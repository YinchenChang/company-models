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6_dc" vbProcedure="false">Q!$F$5</definedName>
    <definedName function="false" hidden="false" name="a26_edge" vbProcedure="false">Q!$F$6</definedName>
    <definedName function="false" hidden="false" name="a26_eps" vbProcedure="false">Q!$F$22</definedName>
    <definedName function="false" hidden="false" name="a26_gp" vbProcedure="false">Q!$F$8</definedName>
    <definedName function="false" hidden="false" name="a26_ni" vbProcedure="false">Q!$F$20</definedName>
    <definedName function="false" hidden="false" name="a26_oi" vbProcedure="false">Q!$F$11</definedName>
    <definedName function="false" hidden="false" name="a26_opx" vbProcedure="false">Q!$F$10</definedName>
    <definedName function="false" hidden="false" name="a26_oth" vbProcedure="false">Q!$F$15</definedName>
    <definedName function="false" hidden="false" name="a26_rev" vbProcedure="false">Q!$F$4</definedName>
    <definedName function="false" hidden="false" name="a26_sh" vbProcedure="false">Q!$F$21</definedName>
    <definedName function="false" hidden="false" name="a27_dc" vbProcedure="false">Q!$K$5</definedName>
    <definedName function="false" hidden="false" name="a27_edge" vbProcedure="false">Q!$K$6</definedName>
    <definedName function="false" hidden="false" name="a27_eps" vbProcedure="false">Q!$K$22</definedName>
    <definedName function="false" hidden="false" name="a27_etr" vbProcedure="false">Q!$K$19</definedName>
    <definedName function="false" hidden="false" name="a27_gp" vbProcedure="false">Q!$K$8</definedName>
    <definedName function="false" hidden="false" name="a27_ni" vbProcedure="false">Q!$K$20</definedName>
    <definedName function="false" hidden="false" name="a27_oi" vbProcedure="false">Q!$K$11</definedName>
    <definedName function="false" hidden="false" name="a27_opx" vbProcedure="false">Q!$K$10</definedName>
    <definedName function="false" hidden="false" name="a27_oth" vbProcedure="false">Q!$K$15</definedName>
    <definedName function="false" hidden="false" name="a27_rev" vbProcedure="false">Q!$K$4</definedName>
    <definedName function="false" hidden="false" name="a27_sh" vbProcedure="false">Q!$K$21</definedName>
    <definedName function="false" hidden="false" name="abs_mem" vbProcedure="false">In!$E$77</definedName>
    <definedName function="false" hidden="false" name="abs_mem_hi" vbProcedure="false">In!$F$77</definedName>
    <definedName function="false" hidden="false" name="abs_mem_lo" vbProcedure="false">In!$D$77</definedName>
    <definedName function="false" hidden="false" name="cdx_A_26" vbProcedure="false">In!$E$91</definedName>
    <definedName function="false" hidden="false" name="cdx_A_27" vbProcedure="false">In!$E$92</definedName>
    <definedName function="false" hidden="false" name="cdx_A_28" vbProcedure="false">In!$E$93</definedName>
    <definedName function="false" hidden="false" name="cdx_A_29" vbProcedure="false">In!$E$94</definedName>
    <definedName function="false" hidden="false" name="cdx_B_26" vbProcedure="false">In!$E$95</definedName>
    <definedName function="false" hidden="false" name="cdx_B_27" vbProcedure="false">In!$E$96</definedName>
    <definedName function="false" hidden="false" name="cdx_B_28" vbProcedure="false">In!$E$97</definedName>
    <definedName function="false" hidden="false" name="cdx_B_29" vbProcedure="false">In!$E$98</definedName>
    <definedName function="false" hidden="false" name="cdx_C_26" vbProcedure="false">In!$E$99</definedName>
    <definedName function="false" hidden="false" name="cdx_C_27" vbProcedure="false">In!$E$100</definedName>
    <definedName function="false" hidden="false" name="cdx_C_28" vbProcedure="false">In!$E$101</definedName>
    <definedName function="false" hidden="false" name="cdx_C_29" vbProcedure="false">In!$E$102</definedName>
    <definedName function="false" hidden="false" name="cn_amt" vbProcedure="false">In!$E$116</definedName>
    <definedName function="false" hidden="false" name="cn_amt_hi" vbProcedure="false">In!$F$116</definedName>
    <definedName function="false" hidden="false" name="cn_amt_lo" vbProcedure="false">In!$D$116</definedName>
    <definedName function="false" hidden="false" name="cons_eps27" vbProcedure="false">In!$E$139</definedName>
    <definedName function="false" hidden="false" name="cons_eps28" vbProcedure="false">In!$E$140</definedName>
    <definedName function="false" hidden="false" name="cons_eps28_hi" vbProcedure="false">In!$F$140</definedName>
    <definedName function="false" hidden="false" name="cons_eps28_lo" vbProcedure="false">In!$D$140</definedName>
    <definedName function="false" hidden="false" name="cons_g28" vbProcedure="false">In!$E$137</definedName>
    <definedName function="false" hidden="false" name="cons_rev27" vbProcedure="false">In!$E$138</definedName>
    <definedName function="false" hidden="false" name="cons_tp" vbProcedure="false">In!$E$168</definedName>
    <definedName function="false" hidden="false" name="c_net" vbProcedure="false">In!$E$110</definedName>
    <definedName function="false" hidden="false" name="c_net_hi" vbProcedure="false">In!$F$110</definedName>
    <definedName function="false" hidden="false" name="c_net_lo" vbProcedure="false">In!$D$110</definedName>
    <definedName function="false" hidden="false" name="c_nh" vbProcedure="false">Units!$C$117</definedName>
    <definedName function="false" hidden="false" name="c_nh_p" vbProcedure="false">Units!$C$118</definedName>
    <definedName function="false" hidden="false" name="dsh" vbProcedure="false">In!$E$149</definedName>
    <definedName function="false" hidden="false" name="edge_q" vbProcedure="false">In!$E$114</definedName>
    <definedName function="false" hidden="false" name="edge_q_hi" vbProcedure="false">In!$F$114</definedName>
    <definedName function="false" hidden="false" name="edge_q_lo" vbProcedure="false">In!$D$114</definedName>
    <definedName function="false" hidden="false" name="eg" vbProcedure="false">In!$E$113</definedName>
    <definedName function="false" hidden="false" name="eg_hi" vbProcedure="false">In!$F$113</definedName>
    <definedName function="false" hidden="false" name="eg_lo" vbProcedure="false">In!$D$113</definedName>
    <definedName function="false" hidden="false" name="g28_gm" vbProcedure="false">In!$E$136</definedName>
    <definedName function="false" hidden="false" name="g28_gm_hi" vbProcedure="false">In!$F$136</definedName>
    <definedName function="false" hidden="false" name="g28_gm_lo" vbProcedure="false">In!$D$136</definedName>
    <definedName function="false" hidden="false" name="g28_gr" vbProcedure="false">In!$E$135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gb_bw_26" vbProcedure="false">In!$E$43</definedName>
    <definedName function="false" hidden="false" name="gb_bw_27" vbProcedure="false">In!$E$44</definedName>
    <definedName function="false" hidden="false" name="gb_bw_28" vbProcedure="false">In!$E$45</definedName>
    <definedName function="false" hidden="false" name="gb_hp_26" vbProcedure="false">In!$E$52</definedName>
    <definedName function="false" hidden="false" name="gb_hp_27" vbProcedure="false">In!$E$53</definedName>
    <definedName function="false" hidden="false" name="gb_hp_28" vbProcedure="false">In!$E$54</definedName>
    <definedName function="false" hidden="false" name="gb_rb_26" vbProcedure="false">In!$E$46</definedName>
    <definedName function="false" hidden="false" name="gb_rb_27" vbProcedure="false">In!$E$47</definedName>
    <definedName function="false" hidden="false" name="gb_rb_28" vbProcedure="false">In!$E$48</definedName>
    <definedName function="false" hidden="false" name="gb_ru_26" vbProcedure="false">In!$E$49</definedName>
    <definedName function="false" hidden="false" name="gb_ru_27" vbProcedure="false">In!$E$50</definedName>
    <definedName function="false" hidden="false" name="gb_ru_28" vbProcedure="false">In!$E$51</definedName>
    <definedName function="false" hidden="false" name="gm_edge" vbProcedure="false">In!$E$112</definedName>
    <definedName function="false" hidden="false" name="gm_edge_hi" vbProcedure="false">In!$F$112</definedName>
    <definedName function="false" hidden="false" name="gm_edge_lo" vbProcedure="false">In!$D$112</definedName>
    <definedName function="false" hidden="false" name="g_opx_min" vbProcedure="false">In!$E$119</definedName>
    <definedName function="false" hidden="false" name="g_opx_min_hi" vbProcedure="false">In!$F$119</definedName>
    <definedName function="false" hidden="false" name="g_opx_min_lo" vbProcedure="false">In!$D$119</definedName>
    <definedName function="false" hidden="false" name="hbm_A_26" vbProcedure="false">In!$E$79</definedName>
    <definedName function="false" hidden="false" name="hbm_A_27" vbProcedure="false">In!$E$80</definedName>
    <definedName function="false" hidden="false" name="hbm_A_28" vbProcedure="false">In!$E$81</definedName>
    <definedName function="false" hidden="false" name="hbm_A_29" vbProcedure="false">In!$E$82</definedName>
    <definedName function="false" hidden="false" name="hbm_B_26" vbProcedure="false">In!$E$83</definedName>
    <definedName function="false" hidden="false" name="hbm_B_27" vbProcedure="false">In!$E$84</definedName>
    <definedName function="false" hidden="false" name="hbm_B_28" vbProcedure="false">In!$E$85</definedName>
    <definedName function="false" hidden="false" name="hbm_B_29" vbProcedure="false">In!$E$86</definedName>
    <definedName function="false" hidden="false" name="hbm_C_26" vbProcedure="false">In!$E$87</definedName>
    <definedName function="false" hidden="false" name="hbm_C_27" vbProcedure="false">In!$E$88</definedName>
    <definedName function="false" hidden="false" name="hbm_C_28" vbProcedure="false">In!$E$89</definedName>
    <definedName function="false" hidden="false" name="hbm_C_29" vbProcedure="false">In!$E$90</definedName>
    <definedName function="false" hidden="false" name="hpx_bw" vbProcedure="false">In!$E$73</definedName>
    <definedName function="false" hidden="false" name="hpx_hp" vbProcedure="false">In!$E$76</definedName>
    <definedName function="false" hidden="false" name="hpx_rb" vbProcedure="false">In!$E$74</definedName>
    <definedName function="false" hidden="false" name="hpx_ru" vbProcedure="false">In!$E$75</definedName>
    <definedName function="false" hidden="false" name="k_rec" vbProcedure="false">Units!$C$116</definedName>
    <definedName function="false" hidden="false" name="k_tray" vbProcedure="false">In!$E$72</definedName>
    <definedName function="false" hidden="false" name="k_tray_hi" vbProcedure="false">In!$F$72</definedName>
    <definedName function="false" hidden="false" name="k_tray_lo" vbProcedure="false">In!$D$72</definedName>
    <definedName function="false" hidden="false" name="net_26" vbProcedure="false">In!$E$104</definedName>
    <definedName function="false" hidden="false" name="net_27" vbProcedure="false">In!$E$105</definedName>
    <definedName function="false" hidden="false" name="net_28" vbProcedure="false">In!$E$106</definedName>
    <definedName function="false" hidden="false" name="net_29" vbProcedure="false">In!$E$107</definedName>
    <definedName function="false" hidden="false" name="net_q1" vbProcedure="false">In!$E$109</definedName>
    <definedName function="false" hidden="false" name="nm10" vbProcedure="false">In!$E$167</definedName>
    <definedName function="false" hidden="false" name="opx_adj" vbProcedure="false">In!$E$120</definedName>
    <definedName function="false" hidden="false" name="opx_adj_hi" vbProcedure="false">In!$F$120</definedName>
    <definedName function="false" hidden="false" name="opx_adj_lo" vbProcedure="false">In!$D$120</definedName>
    <definedName function="false" hidden="false" name="oth_f" vbProcedure="false">In!$E$122</definedName>
    <definedName function="false" hidden="false" name="oth_f_hi" vbProcedure="false">In!$F$122</definedName>
    <definedName function="false" hidden="false" name="oth_f_lo" vbProcedure="false">In!$D$122</definedName>
    <definedName function="false" hidden="false" name="pa_amd" vbProcedure="false">In!$E$145</definedName>
    <definedName function="false" hidden="false" name="pa_amd_hi" vbProcedure="false">In!$F$145</definedName>
    <definedName function="false" hidden="false" name="pa_amd_lo" vbProcedure="false">In!$D$145</definedName>
    <definedName function="false" hidden="false" name="pa_oth" vbProcedure="false">In!$E$148</definedName>
    <definedName function="false" hidden="false" name="pa_oth_hi" vbProcedure="false">In!$F$148</definedName>
    <definedName function="false" hidden="false" name="pa_oth_lo" vbProcedure="false">In!$D$148</definedName>
    <definedName function="false" hidden="false" name="pa_tpu" vbProcedure="false">In!$E$146</definedName>
    <definedName function="false" hidden="false" name="pa_tpu_hi" vbProcedure="false">In!$F$146</definedName>
    <definedName function="false" hidden="false" name="pa_tpu_lo" vbProcedure="false">In!$D$146</definedName>
    <definedName function="false" hidden="false" name="pa_trn" vbProcedure="false">In!$E$147</definedName>
    <definedName function="false" hidden="false" name="pa_trn_hi" vbProcedure="false">In!$F$147</definedName>
    <definedName function="false" hidden="false" name="pa_trn_lo" vbProcedure="false">In!$D$147</definedName>
    <definedName function="false" hidden="false" name="pcpu_bw" vbProcedure="false">In!$E$60</definedName>
    <definedName function="false" hidden="false" name="pcpu_hp" vbProcedure="false">In!$E$69</definedName>
    <definedName function="false" hidden="false" name="pcpu_rb" vbProcedure="false">In!$E$63</definedName>
    <definedName function="false" hidden="false" name="pcpu_ru" vbProcedure="false">In!$E$66</definedName>
    <definedName function="false" hidden="false" name="pe_mid" vbProcedure="false">Val!$C$150</definedName>
    <definedName function="false" hidden="false" name="pe_peak" vbProcedure="false">Val!$C$149</definedName>
    <definedName function="false" hidden="false" name="pe_trough" vbProcedure="false">Val!$C$151</definedName>
    <definedName function="false" hidden="false" name="pf_cal" vbProcedure="false">Units!$C$123</definedName>
    <definedName function="false" hidden="false" name="phi" vbProcedure="false">In!$E$118</definedName>
    <definedName function="false" hidden="false" name="phi_hi" vbProcedure="false">In!$F$118</definedName>
    <definedName function="false" hidden="false" name="phi_lo" vbProcedure="false">In!$D$118</definedName>
    <definedName function="false" hidden="false" name="pk_A" vbProcedure="false">In!$E$154</definedName>
    <definedName function="false" hidden="false" name="pk_B" vbProcedure="false">In!$E$155</definedName>
    <definedName function="false" hidden="false" name="pk_C" vbProcedure="false">In!$E$156</definedName>
    <definedName function="false" hidden="false" name="plp_bw" vbProcedure="false">In!$E$61</definedName>
    <definedName function="false" hidden="false" name="plp_hp" vbProcedure="false">In!$E$70</definedName>
    <definedName function="false" hidden="false" name="plp_rb" vbProcedure="false">In!$E$64</definedName>
    <definedName function="false" hidden="false" name="plp_ru" vbProcedure="false">In!$E$67</definedName>
    <definedName function="false" hidden="false" name="pm_bw" vbProcedure="false">In!$E$56</definedName>
    <definedName function="false" hidden="false" name="pm_bw_hi" vbProcedure="false">In!$F$56</definedName>
    <definedName function="false" hidden="false" name="pm_bw_lo" vbProcedure="false">In!$D$56</definedName>
    <definedName function="false" hidden="false" name="pm_hp" vbProcedure="false">In!$E$59</definedName>
    <definedName function="false" hidden="false" name="pm_hp_hi" vbProcedure="false">In!$F$59</definedName>
    <definedName function="false" hidden="false" name="pm_hp_lo" vbProcedure="false">In!$D$59</definedName>
    <definedName function="false" hidden="false" name="pm_rb" vbProcedure="false">In!$E$57</definedName>
    <definedName function="false" hidden="false" name="pm_rb_hi" vbProcedure="false">In!$F$57</definedName>
    <definedName function="false" hidden="false" name="pm_rb_lo" vbProcedure="false">In!$D$57</definedName>
    <definedName function="false" hidden="false" name="pm_ru" vbProcedure="false">In!$E$58</definedName>
    <definedName function="false" hidden="false" name="pm_ru_hi" vbProcedure="false">In!$F$58</definedName>
    <definedName function="false" hidden="false" name="pm_ru_lo" vbProcedure="false">In!$D$58</definedName>
    <definedName function="false" hidden="false" name="pres_bw" vbProcedure="false">In!$E$62</definedName>
    <definedName function="false" hidden="false" name="pres_hp" vbProcedure="false">In!$E$71</definedName>
    <definedName function="false" hidden="false" name="pres_rb" vbProcedure="false">In!$E$65</definedName>
    <definedName function="false" hidden="false" name="pres_ru" vbProcedure="false">In!$E$68</definedName>
    <definedName function="false" hidden="false" name="px" vbProcedure="false">In!$E$152</definedName>
    <definedName function="false" hidden="false" name="q3_gm" vbProcedure="false">In!$E$126</definedName>
    <definedName function="false" hidden="false" name="q3_gm_hi" vbProcedure="false">In!$F$126</definedName>
    <definedName function="false" hidden="false" name="q3_gm_lo" vbProcedure="false">In!$D$126</definedName>
    <definedName function="false" hidden="false" name="q3_opx" vbProcedure="false">In!$E$127</definedName>
    <definedName function="false" hidden="false" name="q3_rev" vbProcedure="false">In!$E$125</definedName>
    <definedName function="false" hidden="false" name="q3_rev_hi" vbProcedure="false">In!$F$125</definedName>
    <definedName function="false" hidden="false" name="q3_rev_lo" vbProcedure="false">In!$D$125</definedName>
    <definedName function="false" hidden="false" name="q4_g" vbProcedure="false">In!$E$128</definedName>
    <definedName function="false" hidden="false" name="q4_gm" vbProcedure="false">In!$E$129</definedName>
    <definedName function="false" hidden="false" name="q4_gm_hi" vbProcedure="false">In!$F$129</definedName>
    <definedName function="false" hidden="false" name="q4_gm_lo" vbProcedure="false">In!$D$129</definedName>
    <definedName function="false" hidden="false" name="q4_g_hi" vbProcedure="false">In!$F$128</definedName>
    <definedName function="false" hidden="false" name="q4_g_lo" vbProcedure="false">In!$D$128</definedName>
    <definedName function="false" hidden="false" name="q4_opx_g" vbProcedure="false">In!$E$130</definedName>
    <definedName function="false" hidden="false" name="q4_opx_g_hi" vbProcedure="false">In!$F$130</definedName>
    <definedName function="false" hidden="false" name="q4_opx_g_lo" vbProcedure="false">In!$D$130</definedName>
    <definedName function="false" hidden="false" name="q_oth" vbProcedure="false">In!$E$131</definedName>
    <definedName function="false" hidden="false" name="q_oth_hi" vbProcedure="false">In!$F$131</definedName>
    <definedName function="false" hidden="false" name="q_oth_lo" vbProcedure="false">In!$D$131</definedName>
    <definedName function="false" hidden="false" name="q_sh" vbProcedure="false">In!$E$133</definedName>
    <definedName function="false" hidden="false" name="q_sh_hi" vbProcedure="false">In!$F$133</definedName>
    <definedName function="false" hidden="false" name="q_sh_lo" vbProcedure="false">In!$D$133</definedName>
    <definedName function="false" hidden="false" name="rep_nv26" vbProcedure="false">In!$E$108</definedName>
    <definedName function="false" hidden="false" name="rep_nv26_hi" vbProcedure="false">In!$F$108</definedName>
    <definedName function="false" hidden="false" name="rep_nv26_lo" vbProcedure="false">In!$D$108</definedName>
    <definedName function="false" hidden="false" name="r_disc" vbProcedure="false">In!$E$153</definedName>
    <definedName function="false" hidden="false" name="r_disc_hi" vbProcedure="false">In!$F$153</definedName>
    <definedName function="false" hidden="false" name="r_disc_lo" vbProcedure="false">In!$D$153</definedName>
    <definedName function="false" hidden="false" name="sh_g" vbProcedure="false">In!$E$123</definedName>
    <definedName function="false" hidden="false" name="sh_g_hi" vbProcedure="false">In!$F$123</definedName>
    <definedName function="false" hidden="false" name="sh_g_lo" vbProcedure="false">In!$D$123</definedName>
    <definedName function="false" hidden="false" name="th_mult" vbProcedure="false">In!$E$141</definedName>
    <definedName function="false" hidden="false" name="th_sh_hi" vbProcedure="false">In!$E$143</definedName>
    <definedName function="false" hidden="false" name="th_sh_lo" vbProcedure="false">In!$E$142</definedName>
    <definedName function="false" hidden="false" name="tp_g" vbProcedure="false">In!$E$163</definedName>
    <definedName function="false" hidden="false" name="tp_gd" vbProcedure="false">In!$E$164</definedName>
    <definedName function="false" hidden="false" name="tp_r" vbProcedure="false">In!$E$162</definedName>
    <definedName function="false" hidden="false" name="tp_roe" vbProcedure="false">In!$E$165</definedName>
    <definedName function="false" hidden="false" name="tp_wA" vbProcedure="false">In!$E$158</definedName>
    <definedName function="false" hidden="false" name="tp_wB" vbProcedure="false">In!$E$159</definedName>
    <definedName function="false" hidden="false" name="tp_wC" vbProcedure="false">In!$E$160</definedName>
    <definedName function="false" hidden="false" name="tp_w_dcf" vbProcedure="false">In!$E$166</definedName>
    <definedName function="false" hidden="false" name="tx_27" vbProcedure="false">In!$E$132</definedName>
    <definedName function="false" hidden="false" name="tx_27_hi" vbProcedure="false">In!$F$132</definedName>
    <definedName function="false" hidden="false" name="tx_27_lo" vbProcedure="false">In!$D$132</definedName>
    <definedName function="false" hidden="false" name="tx_f" vbProcedure="false">In!$E$121</definedName>
    <definedName function="false" hidden="false" name="tx_f_hi" vbProcedure="false">In!$F$121</definedName>
    <definedName function="false" hidden="false" name="tx_f_lo" vbProcedure="false">In!$D$121</definedName>
    <definedName function="false" hidden="false" name="uk" vbProcedure="false">In!$E$150</definedName>
    <definedName function="false" hidden="false" name="uk_hi" vbProcedure="false">In!$F$150</definedName>
    <definedName function="false" hidden="false" name="uk_lo" vbProcedure="false">In!$D$150</definedName>
    <definedName function="false" hidden="false" name="um28_A" vbProcedure="false">In!$E$37</definedName>
    <definedName function="false" hidden="false" name="um28_B" vbProcedure="false">In!$E$39</definedName>
    <definedName function="false" hidden="false" name="um28_C" vbProcedure="false">In!$E$41</definedName>
    <definedName function="false" hidden="false" name="um29_A" vbProcedure="false">In!$E$38</definedName>
    <definedName function="false" hidden="false" name="um29_B" vbProcedure="false">In!$E$40</definedName>
    <definedName function="false" hidden="false" name="um29_C" vbProcedure="false">In!$E$42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<sst xmlns="http://schemas.openxmlformats.org/spreadsheetml/2006/main" count="4253" uniqueCount="1160">
  <si>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NVDA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：運算層第一個樣板）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</si>
  <si>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PR </t>
    </r>
    <r>
      <rPr>
        <sz val="11"/>
        <rFont val="Noto Sans CJK SC"/>
        <family val="2"/>
      </rPr>
      <t xml:space="preserve">審查後）：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新增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認列顆數係數 </t>
    </r>
    <r>
      <rPr>
        <sz val="11"/>
        <rFont val="Cambria"/>
        <family val="0"/>
        <charset val="1"/>
      </rPr>
      <t xml:space="preserve">k_rec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，只在本模型內縮放，不改 </t>
    </r>
    <r>
      <rPr>
        <sz val="11"/>
        <rFont val="Cambria"/>
        <family val="0"/>
        <charset val="1"/>
      </rPr>
      <t xml:space="preserve">markets/memory </t>
    </r>
    <r>
      <rPr>
        <sz val="11"/>
        <rFont val="Noto Sans CJK SC"/>
        <family val="2"/>
      </rPr>
      <t xml:space="preserve">的共用顆數；營收與成本同比例縮放），使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由下而上的 </t>
    </r>
    <r>
      <rPr>
        <sz val="11"/>
        <rFont val="Cambria"/>
        <family val="0"/>
        <charset val="1"/>
      </rPr>
      <t xml:space="preserve">Data Center </t>
    </r>
    <r>
      <rPr>
        <sz val="11"/>
        <rFont val="Noto Sans CJK SC"/>
        <family val="2"/>
      </rPr>
      <t xml:space="preserve">營收與毛利率等於錨點，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起沿用；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的未校準基準保留在 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對照區塊與 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原 </t>
    </r>
    <r>
      <rPr>
        <sz val="11"/>
        <rFont val="Cambria"/>
        <family val="0"/>
        <charset val="1"/>
      </rPr>
      <t xml:space="preserve">pf_cal</t>
    </r>
    <r>
      <rPr>
        <sz val="11"/>
        <rFont val="Noto Sans CJK SC"/>
        <family val="2"/>
      </rPr>
      <t xml:space="preserve">（只調售價）留在 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當對照。</t>
    </r>
    <r>
      <rPr>
        <sz val="11"/>
        <rFont val="Cambria"/>
        <family val="0"/>
        <charset val="1"/>
      </rPr>
      <t xml:space="preserve">(3) Recon </t>
    </r>
    <r>
      <rPr>
        <sz val="11"/>
        <rFont val="Noto Sans CJK SC"/>
        <family val="2"/>
      </rPr>
      <t xml:space="preserve">新增 </t>
    </r>
    <r>
      <rPr>
        <sz val="11"/>
        <rFont val="Cambria"/>
        <family val="0"/>
        <charset val="1"/>
      </rPr>
      <t xml:space="preserve">B2</t>
    </r>
    <r>
      <rPr>
        <sz val="11"/>
        <rFont val="Noto Sans CJK SC"/>
        <family val="2"/>
      </rPr>
      <t xml:space="preserve">「差額來源待查」。</t>
    </r>
    <r>
      <rPr>
        <sz val="11"/>
        <rFont val="Cambria"/>
        <family val="0"/>
        <charset val="1"/>
      </rPr>
      <t xml:space="preserve">(4) Val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年落後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規則值標「不適用」（保留計算，不進結論）。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</si>
  <si>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的營收＝加速器顆數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每顆售價＋網通附掛。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把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的金額份額壓到約 </t>
    </r>
    <r>
      <rPr>
        <sz val="11"/>
        <rFont val="Cambria"/>
        <family val="0"/>
        <charset val="1"/>
      </rPr>
      <t xml:space="preserve">75–80%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漲價壓毛利 </t>
    </r>
    <r>
      <rPr>
        <sz val="11"/>
        <rFont val="Cambria"/>
        <family val="0"/>
        <charset val="1"/>
      </rPr>
      <t xml:space="preserve">2–3 </t>
    </r>
    <r>
      <rPr>
        <sz val="11"/>
        <rFont val="Noto Sans CJK SC"/>
        <family val="2"/>
      </rPr>
      <t xml:space="preserve">個百分點。股價取決於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年顆數持平之後，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還能不能成長：現價約為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13.5 </t>
    </r>
    <r>
      <rPr>
        <sz val="11"/>
        <rFont val="Noto Sans CJK SC"/>
        <family val="2"/>
      </rPr>
      <t xml:space="preserve">倍，是低估，還是見頂前的折價。</t>
    </r>
  </si>
  <si>
    <r>
      <rPr>
        <sz val="11"/>
        <rFont val="Noto Sans CJK SC"/>
        <family val="2"/>
      </rPr>
      <t xml:space="preserve">核心問題：加速器顆數在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年持平以後，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還能不能成長。（命題的「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年」＝日曆年 </t>
    </r>
    <r>
      <rPr>
        <sz val="11"/>
        <rFont val="Cambria"/>
        <family val="0"/>
        <charset val="1"/>
      </rPr>
      <t xml:space="preserve">2027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FY2028</t>
    </r>
    <r>
      <rPr>
        <sz val="11"/>
        <rFont val="Noto Sans CJK SC"/>
        <family val="2"/>
      </rPr>
      <t xml:space="preserve">；「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年顆數持平」＝</t>
    </r>
    <r>
      <rPr>
        <sz val="11"/>
        <rFont val="Cambria"/>
        <family val="0"/>
        <charset val="1"/>
      </rPr>
      <t xml:space="preserve">CY2028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FY2029</t>
    </r>
    <r>
      <rPr>
        <sz val="11"/>
        <rFont val="Noto Sans CJK SC"/>
        <family val="2"/>
      </rPr>
      <t xml:space="preserve">，故問題是 </t>
    </r>
    <r>
      <rPr>
        <sz val="11"/>
        <rFont val="Cambria"/>
        <family val="0"/>
        <charset val="1"/>
      </rPr>
      <t xml:space="preserve">FY2030 EPS </t>
    </r>
    <r>
      <rPr>
        <sz val="11"/>
        <rFont val="Noto Sans CJK SC"/>
        <family val="2"/>
      </rPr>
      <t xml:space="preserve">相對 </t>
    </r>
    <r>
      <rPr>
        <sz val="11"/>
        <rFont val="Cambria"/>
        <family val="0"/>
        <charset val="1"/>
      </rPr>
      <t xml:space="preserve">FY2029</t>
    </r>
    <r>
      <rPr>
        <sz val="11"/>
        <rFont val="Noto Sans CJK SC"/>
        <family val="2"/>
      </rPr>
      <t xml:space="preserve">。）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</si>
  <si>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t−1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2 </t>
    </r>
    <r>
      <rPr>
        <sz val="11"/>
        <rFont val="Noto Sans CJK SC"/>
        <family val="2"/>
      </rPr>
      <t xml:space="preserve">月～</t>
    </r>
    <r>
      <rPr>
        <sz val="11"/>
        <rFont val="Cambria"/>
        <family val="0"/>
        <charset val="1"/>
      </rPr>
      <t xml:space="preserve">t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月，約等於日曆年 </t>
    </r>
    <r>
      <rPr>
        <sz val="11"/>
        <rFont val="Cambria"/>
        <family val="0"/>
        <charset val="1"/>
      </rPr>
      <t xml:space="preserve">t−1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CY2026 … FY2030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CY2029</t>
    </r>
    <r>
      <rPr>
        <sz val="11"/>
        <rFont val="Noto Sans CJK SC"/>
        <family val="2"/>
      </rPr>
      <t xml:space="preserve">）。上游市場層是日曆年，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直接取 </t>
    </r>
    <r>
      <rPr>
        <sz val="11"/>
        <rFont val="Cambria"/>
        <family val="0"/>
        <charset val="1"/>
      </rPr>
      <t xml:space="preserve">CY(t−1)</t>
    </r>
    <r>
      <rPr>
        <sz val="11"/>
        <rFont val="Noto Sans CJK SC"/>
        <family val="2"/>
      </rPr>
      <t xml:space="preserve">，不做跨年加權（</t>
    </r>
    <r>
      <rPr>
        <sz val="11"/>
        <rFont val="Cambria"/>
        <family val="0"/>
        <charset val="1"/>
      </rPr>
      <t xml:space="preserve">11/12 </t>
    </r>
    <r>
      <rPr>
        <sz val="11"/>
        <rFont val="Noto Sans CJK SC"/>
        <family val="2"/>
      </rPr>
      <t xml:space="preserve">落在同一日曆年）——這是近似。預測期 </t>
    </r>
    <r>
      <rPr>
        <sz val="11"/>
        <rFont val="Cambria"/>
        <family val="0"/>
        <charset val="1"/>
      </rPr>
      <t xml:space="preserve">FY2027–FY2030</t>
    </r>
    <r>
      <rPr>
        <sz val="11"/>
        <rFont val="Noto Sans CJK SC"/>
        <family val="2"/>
      </rPr>
      <t xml:space="preserve">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</si>
  <si>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</si>
  <si>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各世代顆數（</t>
    </r>
    <r>
      <rPr>
        <sz val="11"/>
        <rFont val="Cambria"/>
        <family val="0"/>
        <charset val="1"/>
      </rPr>
      <t xml:space="preserve">markets/memory UNITS × </t>
    </r>
    <r>
      <rPr>
        <sz val="11"/>
        <rFont val="Noto Sans CJK SC"/>
        <family val="2"/>
      </rPr>
      <t xml:space="preserve">情境係數）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每顆售價（橋接表 </t>
    </r>
    <r>
      <rPr>
        <sz val="11"/>
        <rFont val="Cambria"/>
        <family val="0"/>
        <charset val="1"/>
      </rPr>
      <t xml:space="preserve">Rack </t>
    </r>
    <r>
      <rPr>
        <sz val="11"/>
        <rFont val="Noto Sans CJK SC"/>
        <family val="2"/>
      </rPr>
      <t xml:space="preserve">頁：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模組＋</t>
    </r>
    <r>
      <rPr>
        <sz val="11"/>
        <rFont val="Cambria"/>
        <family val="0"/>
        <charset val="1"/>
      </rPr>
      <t xml:space="preserve">CPU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LPDDR</t>
    </r>
    <r>
      <rPr>
        <sz val="11"/>
        <rFont val="Noto Sans CJK SC"/>
        <family val="2"/>
      </rPr>
      <t xml:space="preserve">＋匣級加價中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保留的部分；</t>
    </r>
    <r>
      <rPr>
        <sz val="11"/>
        <rFont val="Cambria"/>
        <family val="0"/>
        <charset val="1"/>
      </rPr>
      <t xml:space="preserve">Rubin Ultra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Assumed </t>
    </r>
    <r>
      <rPr>
        <sz val="11"/>
        <rFont val="Noto Sans CJK SC"/>
        <family val="2"/>
      </rPr>
      <t xml:space="preserve">區間）→ 運算營收；＋網通附掛（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的「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網通（本模型歸屬）」列，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依顆數係數縮放）＋</t>
    </r>
    <r>
      <rPr>
        <sz val="11"/>
        <rFont val="Cambria"/>
        <family val="0"/>
        <charset val="1"/>
      </rPr>
      <t xml:space="preserve">Edge Computing</t>
    </r>
    <r>
      <rPr>
        <sz val="11"/>
        <rFont val="Noto Sans CJK SC"/>
        <family val="2"/>
      </rPr>
      <t xml:space="preserve">（公司實績＋成長率）</t>
    </r>
  </si>
  <si>
    <r>
      <rPr>
        <sz val="11"/>
        <rFont val="Noto Sans CJK SC"/>
        <family val="2"/>
      </rPr>
      <t xml:space="preserve">毛利率：非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成本占基準售價的比例（</t>
    </r>
    <r>
      <rPr>
        <sz val="11"/>
        <rFont val="Cambria"/>
        <family val="0"/>
        <charset val="1"/>
      </rPr>
      <t xml:space="preserve">c_nh</t>
    </r>
    <r>
      <rPr>
        <sz val="11"/>
        <rFont val="Noto Sans CJK SC"/>
        <family val="2"/>
      </rPr>
      <t xml:space="preserve">）在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校準到公司錨點毛利率；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起毛利率的變化來自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LPDDR </t>
    </r>
    <r>
      <rPr>
        <sz val="11"/>
        <rFont val="Noto Sans CJK SC"/>
        <family val="2"/>
      </rPr>
      <t xml:space="preserve">成本（</t>
    </r>
    <r>
      <rPr>
        <sz val="11"/>
        <rFont val="Cambria"/>
        <family val="0"/>
        <charset val="1"/>
      </rPr>
      <t xml:space="preserve">markets/memory </t>
    </r>
    <r>
      <rPr>
        <sz val="11"/>
        <rFont val="Noto Sans CJK SC"/>
        <family val="2"/>
      </rPr>
      <t xml:space="preserve">的情境別價格路徑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每顆容量）、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吸收比例（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 </t>
    </r>
    <r>
      <rPr>
        <sz val="11"/>
        <rFont val="Cambria"/>
        <family val="0"/>
        <charset val="1"/>
      </rPr>
      <t xml:space="preserve">abs_mem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 0–1</t>
    </r>
    <r>
      <rPr>
        <sz val="11"/>
        <rFont val="Noto Sans CJK SC"/>
        <family val="2"/>
      </rPr>
      <t xml:space="preserve">，基準 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）、世代與顆數組合。中國資料中心運算基準為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（公司 </t>
    </r>
    <r>
      <rPr>
        <sz val="11"/>
        <rFont val="Cambria"/>
        <family val="0"/>
        <charset val="1"/>
      </rPr>
      <t xml:space="preserve">Q3 FY27 </t>
    </r>
    <r>
      <rPr>
        <sz val="11"/>
        <rFont val="Noto Sans CJK SC"/>
        <family val="2"/>
      </rPr>
      <t xml:space="preserve">指引假設），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列恢復。</t>
    </r>
  </si>
  <si>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口徑：</t>
    </r>
    <r>
      <rPr>
        <sz val="11"/>
        <rFont val="Cambria"/>
        <family val="0"/>
        <charset val="1"/>
      </rPr>
      <t xml:space="preserve">GAAP </t>
    </r>
    <r>
      <rPr>
        <sz val="11"/>
        <rFont val="Noto Sans CJK SC"/>
        <family val="2"/>
      </rPr>
      <t xml:space="preserve">扣除權益證券損益（一次性），含股票薪酬；近似公司自 </t>
    </r>
    <r>
      <rPr>
        <sz val="11"/>
        <rFont val="Cambria"/>
        <family val="0"/>
        <charset val="1"/>
      </rPr>
      <t xml:space="preserve">Q1 FY27 </t>
    </r>
    <r>
      <rPr>
        <sz val="11"/>
        <rFont val="Noto Sans CJK SC"/>
        <family val="2"/>
      </rPr>
      <t xml:space="preserve">起的新 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（含 </t>
    </r>
    <r>
      <rPr>
        <sz val="11"/>
        <rFont val="Cambria"/>
        <family val="0"/>
        <charset val="1"/>
      </rPr>
      <t xml:space="preserve">SBC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Q </t>
    </r>
    <r>
      <rPr>
        <sz val="11"/>
        <rFont val="Noto Sans CJK SC"/>
        <family val="2"/>
      </rPr>
      <t xml:space="preserve">頁檢查列差 −</t>
    </r>
    <r>
      <rPr>
        <sz val="11"/>
        <rFont val="Cambria"/>
        <family val="0"/>
        <charset val="1"/>
      </rPr>
      <t xml:space="preserve">0.03</t>
    </r>
    <r>
      <rPr>
        <sz val="11"/>
        <rFont val="Noto Sans CJK SC"/>
        <family val="2"/>
      </rPr>
      <t xml:space="preserve">～−</t>
    </r>
    <r>
      <rPr>
        <sz val="11"/>
        <rFont val="Cambria"/>
        <family val="0"/>
        <charset val="1"/>
      </rPr>
      <t xml:space="preserve">0.02</t>
    </r>
    <r>
      <rPr>
        <sz val="11"/>
        <rFont val="Noto Sans CJK SC"/>
        <family val="2"/>
      </rPr>
      <t xml:space="preserve">）。營業費用、稅率、股數：公司實績（</t>
    </r>
    <r>
      <rPr>
        <sz val="11"/>
        <rFont val="Cambria"/>
        <family val="0"/>
        <charset val="1"/>
      </rPr>
      <t xml:space="preserve">Q </t>
    </r>
    <r>
      <rPr>
        <sz val="11"/>
        <rFont val="Noto Sans CJK SC"/>
        <family val="2"/>
      </rPr>
      <t xml:space="preserve">頁）＋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頁假設。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</si>
  <si>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Q1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Q2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Q3 </t>
    </r>
    <r>
      <rPr>
        <sz val="11"/>
        <rFont val="Noto Sans CJK SC"/>
        <family val="2"/>
      </rPr>
      <t xml:space="preserve">指引（</t>
    </r>
    <r>
      <rPr>
        <sz val="11"/>
        <rFont val="Cambria"/>
        <family val="0"/>
        <charset val="1"/>
      </rPr>
      <t xml:space="preserve">$108B ±2%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Q4 </t>
    </r>
    <r>
      <rPr>
        <sz val="11"/>
        <rFont val="Noto Sans CJK SC"/>
        <family val="2"/>
      </rPr>
      <t xml:space="preserve">假設。</t>
    </r>
    <r>
      <rPr>
        <sz val="11"/>
        <rFont val="Cambria"/>
        <family val="0"/>
        <charset val="1"/>
      </rPr>
      <t xml:space="preserve">k_rec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）＝錨點 </t>
    </r>
    <r>
      <rPr>
        <sz val="11"/>
        <rFont val="Cambria"/>
        <family val="0"/>
        <charset val="1"/>
      </rPr>
      <t xml:space="preserve">Data Center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未校準的由下而上（市場層顆數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橋接表售價＋網通歸屬）；以已發生的實績校準，不用公司對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的預測；顆數層與售價層無法分開識別，</t>
    </r>
    <r>
      <rPr>
        <sz val="11"/>
        <rFont val="Cambria"/>
        <family val="0"/>
        <charset val="1"/>
      </rPr>
      <t xml:space="preserve">k_rec </t>
    </r>
    <r>
      <rPr>
        <sz val="11"/>
        <rFont val="Noto Sans CJK SC"/>
        <family val="2"/>
      </rPr>
      <t xml:space="preserve">是合併係數，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起沿用。</t>
    </r>
    <r>
      <rPr>
        <sz val="11"/>
        <rFont val="Cambria"/>
        <family val="0"/>
        <charset val="1"/>
      </rPr>
      <t xml:space="preserve">c_nh </t>
    </r>
    <r>
      <rPr>
        <sz val="11"/>
        <rFont val="Noto Sans CJK SC"/>
        <family val="2"/>
      </rPr>
      <t xml:space="preserve">另讓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毛利率等於錨點毛利率。驅動因子從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起作用。公司指引（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營收約 </t>
    </r>
    <r>
      <rPr>
        <sz val="11"/>
        <rFont val="Cambria"/>
        <family val="0"/>
        <charset val="1"/>
      </rPr>
      <t xml:space="preserve">+70%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72–73%</t>
    </r>
    <r>
      <rPr>
        <sz val="11"/>
        <rFont val="Noto Sans CJK SC"/>
        <family val="2"/>
      </rPr>
      <t xml:space="preserve">）與共識只在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對帳，不作校準。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</si>
  <si>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規則——</t>
    </r>
    <r>
      <rPr>
        <sz val="11"/>
        <rFont val="Cambria"/>
        <family val="0"/>
        <charset val="1"/>
      </rPr>
      <t xml:space="preserve">FY2016–FY2025 </t>
    </r>
    <r>
      <rPr>
        <sz val="11"/>
        <rFont val="Noto Sans CJK SC"/>
        <family val="2"/>
      </rPr>
      <t xml:space="preserve">年底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分位（見頂 </t>
    </r>
    <r>
      <rPr>
        <sz val="11"/>
        <rFont val="Cambria"/>
        <family val="0"/>
        <charset val="1"/>
      </rPr>
      <t xml:space="preserve">25 </t>
    </r>
    <r>
      <rPr>
        <sz val="11"/>
        <rFont val="Noto Sans CJK SC"/>
        <family val="2"/>
      </rPr>
      <t xml:space="preserve">分位、中段中位數、谷底 </t>
    </r>
    <r>
      <rPr>
        <sz val="11"/>
        <rFont val="Cambria"/>
        <family val="0"/>
        <charset val="1"/>
      </rPr>
      <t xml:space="preserve">75 </t>
    </r>
    <r>
      <rPr>
        <sz val="11"/>
        <rFont val="Noto Sans CJK SC"/>
        <family val="2"/>
      </rPr>
      <t xml:space="preserve">分位）；循環位置用 </t>
    </r>
    <r>
      <rPr>
        <sz val="11"/>
        <rFont val="Cambria"/>
        <family val="0"/>
        <charset val="1"/>
      </rPr>
      <t xml:space="preserve">tools/cycle_position.py </t>
    </r>
    <r>
      <rPr>
        <sz val="11"/>
        <rFont val="Noto Sans CJK SC"/>
        <family val="2"/>
      </rPr>
      <t xml:space="preserve">的共用規則（</t>
    </r>
    <r>
      <rPr>
        <sz val="11"/>
        <rFont val="Cambria"/>
        <family val="0"/>
        <charset val="1"/>
      </rPr>
      <t xml:space="preserve">lag </t>
    </r>
    <r>
      <rPr>
        <sz val="11"/>
        <rFont val="Noto Sans CJK SC"/>
        <family val="2"/>
      </rPr>
      <t xml:space="preserve">版：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對照 </t>
    </r>
    <r>
      <rPr>
        <sz val="11"/>
        <rFont val="Cambria"/>
        <family val="0"/>
        <charset val="1"/>
      </rPr>
      <t xml:space="preserve">CY t−1</t>
    </r>
    <r>
      <rPr>
        <sz val="11"/>
        <rFont val="Noto Sans CJK SC"/>
        <family val="2"/>
      </rPr>
      <t xml:space="preserve">；見頂年度讀設備市場模型 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FY2028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見頂）；另列以本模型營收路徑自己的見頂年判斷的對照欄（只作對照）。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年落後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規則值標「不適用」（歷史倍數含高成長期溢價；保留計算，不進結論）；結論用現價 </t>
    </r>
    <r>
      <rPr>
        <sz val="11"/>
        <rFont val="Cambria"/>
        <family val="0"/>
        <charset val="1"/>
      </rPr>
      <t xml:space="preserve">÷ FY2028 EPS</t>
    </r>
    <r>
      <rPr>
        <sz val="11"/>
        <rFont val="Noto Sans CJK SC"/>
        <family val="2"/>
      </rPr>
      <t xml:space="preserve">（模型與共識）。前瞻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歷史資料由擁有者另行提供，本版不做。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</si>
  <si>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未單獨使用。公司原文＝</t>
    </r>
    <r>
      <rPr>
        <sz val="11"/>
        <rFont val="Cambria"/>
        <family val="0"/>
        <charset val="1"/>
      </rPr>
      <t xml:space="preserve">8-K </t>
    </r>
    <r>
      <rPr>
        <sz val="11"/>
        <rFont val="Noto Sans CJK SC"/>
        <family val="2"/>
      </rPr>
      <t xml:space="preserve">新聞稿（</t>
    </r>
    <r>
      <rPr>
        <sz val="11"/>
        <rFont val="Cambria"/>
        <family val="0"/>
        <charset val="1"/>
      </rPr>
      <t xml:space="preserve">nvidianews.nvidia.com</t>
    </r>
    <r>
      <rPr>
        <sz val="11"/>
        <rFont val="Noto Sans CJK SC"/>
        <family val="2"/>
      </rPr>
      <t xml:space="preserve">，已抓取）；</t>
    </r>
    <r>
      <rPr>
        <sz val="11"/>
        <rFont val="Cambria"/>
        <family val="0"/>
        <charset val="1"/>
      </rPr>
      <t xml:space="preserve">CFO </t>
    </r>
    <r>
      <rPr>
        <sz val="11"/>
        <rFont val="Noto Sans CJK SC"/>
        <family val="2"/>
      </rPr>
      <t xml:space="preserve">書面說明、</t>
    </r>
    <r>
      <rPr>
        <sz val="11"/>
        <rFont val="Cambria"/>
        <family val="0"/>
        <charset val="1"/>
      </rPr>
      <t xml:space="preserve">10-Q</t>
    </r>
    <r>
      <rPr>
        <sz val="11"/>
        <rFont val="Noto Sans CJK SC"/>
        <family val="2"/>
      </rPr>
      <t xml:space="preserve">、法說逐字稿無法開啟，相關數字只經搜尋摘要（標二手），原文待人工複核。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</si>
  <si>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k_rec </t>
    </r>
    <r>
      <rPr>
        <sz val="11"/>
        <rFont val="Noto Sans CJK SC"/>
        <family val="2"/>
      </rPr>
      <t xml:space="preserve">是顆數層與售價層的合併係數（無法分開識別，</t>
    </r>
    <r>
      <rPr>
        <sz val="11"/>
        <rFont val="Cambria"/>
        <family val="0"/>
        <charset val="1"/>
      </rPr>
      <t xml:space="preserve">Recon B2 </t>
    </r>
    <r>
      <rPr>
        <sz val="11"/>
        <rFont val="Noto Sans CJK SC"/>
        <family val="2"/>
      </rPr>
      <t xml:space="preserve">列各候選來源與公開資料，皆未驗證）；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起沿用 </t>
    </r>
    <r>
      <rPr>
        <sz val="11"/>
        <rFont val="Cambria"/>
        <family val="0"/>
        <charset val="1"/>
      </rPr>
      <t xml:space="preserve">k_rec </t>
    </r>
    <r>
      <rPr>
        <sz val="11"/>
        <rFont val="Noto Sans CJK SC"/>
        <family val="2"/>
      </rPr>
      <t xml:space="preserve">假設該缺口持續；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對照案例顯示 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未校準基準與只調售價（</t>
    </r>
    <r>
      <rPr>
        <sz val="11"/>
        <rFont val="Cambria"/>
        <family val="0"/>
        <charset val="1"/>
      </rPr>
      <t xml:space="preserve">pf_cal</t>
    </r>
    <r>
      <rPr>
        <sz val="11"/>
        <rFont val="Noto Sans CJK SC"/>
        <family val="2"/>
      </rPr>
      <t xml:space="preserve">）的結果，後者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毛利率與公司指引不一致。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吸收比例、</t>
    </r>
    <r>
      <rPr>
        <sz val="11"/>
        <rFont val="Cambria"/>
        <family val="0"/>
        <charset val="1"/>
      </rPr>
      <t xml:space="preserve">Rubin Ultra </t>
    </r>
    <r>
      <rPr>
        <sz val="11"/>
        <rFont val="Noto Sans CJK SC"/>
        <family val="2"/>
      </rPr>
      <t xml:space="preserve">售價、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單價、</t>
    </r>
    <r>
      <rPr>
        <sz val="11"/>
        <rFont val="Cambria"/>
        <family val="0"/>
        <charset val="1"/>
      </rPr>
      <t xml:space="preserve">Edge </t>
    </r>
    <r>
      <rPr>
        <sz val="11"/>
        <rFont val="Noto Sans CJK SC"/>
        <family val="2"/>
      </rPr>
      <t xml:space="preserve">與網通毛利率為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(3) P/E </t>
    </r>
    <r>
      <rPr>
        <sz val="11"/>
        <rFont val="Noto Sans CJK SC"/>
        <family val="2"/>
      </rPr>
      <t xml:space="preserve">歷史只有一個可用序列（</t>
    </r>
    <r>
      <rPr>
        <sz val="11"/>
        <rFont val="Cambria"/>
        <family val="0"/>
        <charset val="1"/>
      </rPr>
      <t xml:space="preserve">Macrotrends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9 </t>
    </r>
    <r>
      <rPr>
        <sz val="11"/>
        <rFont val="Noto Sans CJK SC"/>
        <family val="2"/>
      </rPr>
      <t xml:space="preserve">年）；自算需要會計年度年底收盤價（未找到）。</t>
    </r>
    <r>
      <rPr>
        <sz val="11"/>
        <rFont val="Cambria"/>
        <family val="0"/>
        <charset val="1"/>
      </rPr>
      <t xml:space="preserve">(4) 10 </t>
    </r>
    <r>
      <rPr>
        <sz val="11"/>
        <rFont val="Noto Sans CJK SC"/>
        <family val="2"/>
      </rPr>
      <t xml:space="preserve">年落後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規則值不適用：歷史倍數含高成長期溢價，乘在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上得到的價格遠高於現價（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 </t>
    </r>
    <r>
      <rPr>
        <sz val="11"/>
        <rFont val="Cambria"/>
        <family val="0"/>
        <charset val="1"/>
      </rPr>
      <t xml:space="preserve">What must be true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(5) FY↔CY </t>
    </r>
    <r>
      <rPr>
        <sz val="11"/>
        <rFont val="Noto Sans CJK SC"/>
        <family val="2"/>
      </rPr>
      <t xml:space="preserve">近似：</t>
    </r>
    <r>
      <rPr>
        <sz val="11"/>
        <rFont val="Cambria"/>
        <family val="0"/>
        <charset val="1"/>
      </rPr>
      <t xml:space="preserve">Rubin </t>
    </r>
    <r>
      <rPr>
        <sz val="11"/>
        <rFont val="Noto Sans CJK SC"/>
        <family val="2"/>
      </rPr>
      <t xml:space="preserve">在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1.7M </t>
    </r>
    <r>
      <rPr>
        <sz val="11"/>
        <rFont val="Noto Sans CJK SC"/>
        <family val="2"/>
      </rPr>
      <t xml:space="preserve">顆多數出貨在 </t>
    </r>
    <r>
      <rPr>
        <sz val="11"/>
        <rFont val="Cambria"/>
        <family val="0"/>
        <charset val="1"/>
      </rPr>
      <t xml:space="preserve">FY2027 Q4 </t>
    </r>
    <r>
      <rPr>
        <sz val="11"/>
        <rFont val="Noto Sans CJK SC"/>
        <family val="2"/>
      </rPr>
      <t xml:space="preserve">之後。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網通的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縮放假設組合不變。</t>
    </r>
    <r>
      <rPr>
        <sz val="11"/>
        <rFont val="Cambria"/>
        <family val="0"/>
        <charset val="1"/>
      </rPr>
      <t xml:space="preserve">(7) </t>
    </r>
    <r>
      <rPr>
        <sz val="11"/>
        <rFont val="Noto Sans CJK SC"/>
        <family val="2"/>
      </rPr>
      <t xml:space="preserve">公司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美元指引（約 </t>
    </r>
    <r>
      <rPr>
        <sz val="11"/>
        <rFont val="Cambria"/>
        <family val="0"/>
        <charset val="1"/>
      </rPr>
      <t xml:space="preserve">$690B</t>
    </r>
    <r>
      <rPr>
        <sz val="11"/>
        <rFont val="Noto Sans CJK SC"/>
        <family val="2"/>
      </rPr>
      <t xml:space="preserve">）未找到直接陳述。</t>
    </r>
  </si>
  <si>
    <r>
      <rPr>
        <sz val="11"/>
        <rFont val="Cambria"/>
        <family val="0"/>
        <charset val="1"/>
      </rPr>
      <t xml:space="preserve">v0.1.2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既有內容之後，不位移既有儲存格）與 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頁目標價情境權重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）。主估值法標「不適用」，目標價改用十年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各情境 </t>
    </r>
    <r>
      <rPr>
        <sz val="11"/>
        <rFont val="Cambria"/>
        <family val="0"/>
        <charset val="1"/>
      </rPr>
      <t xml:space="preserve">FY2027 EPS</t>
    </r>
    <r>
      <rPr>
        <sz val="11"/>
        <rFont val="Noto Sans CJK SC"/>
        <family val="2"/>
      </rPr>
      <t xml:space="preserve">；其餘儲存格不變。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</si>
  <si>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目標價改為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頁最前面「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目標價」：</t>
    </r>
    <r>
      <rPr>
        <sz val="11"/>
        <color theme="1"/>
        <rFont val="Calibri"/>
        <family val="2"/>
        <charset val="1"/>
      </rPr>
      <t xml:space="preserve">0.1 DCF </t>
    </r>
    <r>
      <rPr>
        <sz val="11"/>
        <color theme="1"/>
        <rFont val="Noto Sans CJK SC"/>
        <family val="2"/>
      </rPr>
      <t xml:space="preserve">股東權益現金流、</t>
    </r>
    <r>
      <rPr>
        <sz val="11"/>
        <color theme="1"/>
        <rFont val="Calibri"/>
        <family val="2"/>
        <charset val="1"/>
      </rPr>
      <t xml:space="preserve">0.2 Comparable </t>
    </r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既有內容整體下移，公式一併改寫）；</t>
    </r>
    <r>
      <rPr>
        <sz val="11"/>
        <color theme="1"/>
        <rFont val="Calibri"/>
        <family val="2"/>
        <charset val="1"/>
      </rPr>
      <t xml:space="preserve">v0.1.2 </t>
    </r>
    <r>
      <rPr>
        <sz val="11"/>
        <color theme="1"/>
        <rFont val="Noto Sans CJK SC"/>
        <family val="2"/>
      </rPr>
      <t xml:space="preserve">的「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目標價與上檔空間」改名「舊法：規則值情境加權（參考）」保留在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頁末。</t>
    </r>
    <r>
      <rPr>
        <sz val="11"/>
        <color theme="1"/>
        <rFont val="Calibri"/>
        <family val="2"/>
        <charset val="1"/>
      </rPr>
      <t xml:space="preserve">(2) PL </t>
    </r>
    <r>
      <rPr>
        <sz val="11"/>
        <color theme="1"/>
        <rFont val="Noto Sans CJK SC"/>
        <family val="2"/>
      </rPr>
      <t xml:space="preserve">頁末新增三情境延伸到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起為收斂法，非驅動因子推導（上游市場層只到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現價更新到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210.96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(4)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節新增目標價參數（黃底，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對加權目標價的影響。</t>
    </r>
    <r>
      <rPr>
        <sz val="11"/>
        <color theme="1"/>
        <rFont val="Calibri"/>
        <family val="2"/>
        <charset val="1"/>
      </rPr>
      <t xml:space="preserve">FY2026–FY2030 </t>
    </r>
    <r>
      <rPr>
        <sz val="11"/>
        <color theme="1"/>
        <rFont val="Noto Sans CJK SC"/>
        <family val="2"/>
      </rPr>
      <t xml:space="preserve">既有數字不變。</t>
    </r>
  </si>
  <si>
    <r>
      <rPr>
        <sz val="11"/>
        <color theme="1"/>
        <rFont val="Noto Sans CJK SC"/>
        <family val="2"/>
      </rPr>
      <t xml:space="preserve">情境對應（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延伸期）：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＝順利（基準顆數）、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</t>
    </r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）。三情境在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相同、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幾乎相同（只差 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Noto Sans CJK SC"/>
        <family val="2"/>
      </rPr>
      <t xml:space="preserve">成本），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的情境差異主要來自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之後。本版未做先驗，無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</si>
  <si>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）；每顆價格：千美元（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）；顆數：百萬顆。每個輸入附兩個來源（找不到者寫「未找到」）；公司原文算一個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</si>
  <si>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未單獨使用。公司原文＝</t>
    </r>
    <r>
      <rPr>
        <sz val="11"/>
        <color theme="1"/>
        <rFont val="Calibri"/>
        <family val="2"/>
        <charset val="1"/>
      </rPr>
      <t xml:space="preserve">NVIDIA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nvidianews.nvidia.com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書面說明與 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在建置環境無法開啟，標「未找到」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</si>
  <si>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</si>
  <si>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</si>
  <si>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</si>
  <si>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</si>
  <si>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</si>
  <si>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</si>
  <si>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</si>
  <si>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</si>
  <si>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</si>
  <si>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markets/memory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、台積電、網通模型同一份；情境係數讀台積電模型成品，不另訂）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</si>
  <si>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</si>
  <si>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</si>
  <si>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</si>
  <si>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</si>
  <si>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</si>
  <si>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</si>
  <si>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</si>
  <si>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</si>
  <si>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</si>
  <si>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</si>
  <si>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</si>
  <si>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</si>
  <si>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</si>
  <si>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</si>
  <si>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</si>
  <si>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In!E8</t>
    </r>
  </si>
  <si>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；沿用台積電模型（網通模型相同，建置時檢查）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</si>
  <si>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</si>
  <si>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</si>
  <si>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</si>
  <si>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In!E9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</si>
  <si>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</si>
  <si>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</si>
  <si>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</si>
  <si>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</si>
  <si>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</si>
  <si>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</si>
  <si>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</si>
  <si>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</si>
  <si>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</si>
  <si>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</si>
  <si>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In!E13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</si>
  <si>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</si>
  <si>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</si>
  <si>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</si>
  <si>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</si>
  <si>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</si>
  <si>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</si>
  <si>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In!E16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</si>
  <si>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</si>
  <si>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</si>
  <si>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</si>
  <si>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In!E17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</si>
  <si>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</si>
  <si>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</si>
  <si>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</si>
  <si>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</si>
  <si>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</si>
  <si>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</si>
  <si>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In!E20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</si>
  <si>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</si>
  <si>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</si>
  <si>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</si>
  <si>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</si>
  <si>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In!E21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</si>
  <si>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</si>
  <si>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</si>
  <si>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</si>
  <si>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</si>
  <si>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</si>
  <si>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</si>
  <si>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</si>
  <si>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</si>
  <si>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</si>
  <si>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</si>
  <si>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</si>
  <si>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</si>
  <si>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</si>
  <si>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</si>
  <si>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</si>
  <si>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</si>
  <si>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</si>
  <si>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</si>
  <si>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</si>
  <si>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</si>
  <si>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</si>
  <si>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</si>
  <si>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</si>
  <si>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</si>
  <si>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</si>
  <si>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</si>
  <si>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</si>
  <si>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</si>
  <si>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</si>
  <si>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</si>
  <si>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</si>
  <si>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</si>
  <si>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</si>
  <si>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</si>
  <si>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</si>
  <si>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</si>
  <si>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</si>
  <si>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</si>
  <si>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</si>
  <si>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</si>
  <si>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</si>
  <si>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</si>
  <si>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</si>
  <si>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</si>
  <si>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</si>
  <si>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＝明顯下修（與台積電模型相同；</t>
    </r>
    <r>
      <rPr>
        <sz val="11"/>
        <color theme="1"/>
        <rFont val="Calibri"/>
        <family val="2"/>
        <charset val="1"/>
      </rPr>
      <t xml:space="preserve">markets/memory SCEN_UNITS </t>
    </r>
    <r>
      <rPr>
        <sz val="11"/>
        <color theme="1"/>
        <rFont val="Noto Sans CJK SC"/>
        <family val="2"/>
      </rPr>
      <t xml:space="preserve">相同，建置時檢查）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</si>
  <si>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</si>
  <si>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</si>
  <si>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</si>
  <si>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</si>
  <si>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</si>
  <si>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</si>
  <si>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</si>
  <si>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</si>
  <si>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</si>
  <si>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</si>
  <si>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</si>
  <si>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</si>
  <si>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</si>
  <si>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</si>
  <si>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</si>
  <si>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gb_bw_26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</si>
  <si>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</si>
  <si>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</si>
  <si>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B300 288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288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</si>
  <si>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2028</t>
    </r>
  </si>
  <si>
    <t xml:space="preserve">gb_bw_27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</si>
  <si>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</si>
  <si>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gb_bw_28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</si>
  <si>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</si>
  <si>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gb_rb_26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</si>
  <si>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</si>
  <si>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</si>
  <si>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</si>
  <si>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gb_rb_28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</si>
  <si>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</si>
  <si>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gb_ru_26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</si>
  <si>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</si>
  <si>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</si>
  <si>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</si>
  <si>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gb_ru_28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</si>
  <si>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</si>
  <si>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gb_hp_26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</si>
  <si>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</si>
  <si>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</si>
  <si>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</si>
  <si>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gb_hp_28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</si>
  <si>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</si>
  <si>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每顆售價（運算部分）：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模組＋</t>
    </r>
    <r>
      <rPr>
        <b val="true"/>
        <sz val="11"/>
        <rFont val="Cambria"/>
        <family val="0"/>
        <charset val="1"/>
      </rPr>
      <t xml:space="preserve">CPU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LPDDR</t>
    </r>
    <r>
      <rPr>
        <b val="true"/>
        <sz val="11"/>
        <rFont val="Noto Sans CJK SC"/>
        <family val="2"/>
      </rPr>
      <t xml:space="preserve">＋匣級加價中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保留的部分（</t>
    </r>
    <r>
      <rPr>
        <b val="true"/>
        <sz val="11"/>
        <rFont val="Cambria"/>
        <family val="0"/>
        <charset val="1"/>
      </rPr>
      <t xml:space="preserve">US$K</t>
    </r>
    <r>
      <rPr>
        <b val="true"/>
        <sz val="11"/>
        <rFont val="Noto Sans CJK SC"/>
        <family val="2"/>
      </rPr>
      <t xml:space="preserve">／顆；橋接表 </t>
    </r>
    <r>
      <rPr>
        <b val="true"/>
        <sz val="11"/>
        <rFont val="Cambria"/>
        <family val="0"/>
        <charset val="1"/>
      </rPr>
      <t xml:space="preserve">v0.2.1 Rack </t>
    </r>
    <r>
      <rPr>
        <b val="true"/>
        <sz val="11"/>
        <rFont val="Noto Sans CJK SC"/>
        <family val="2"/>
      </rPr>
      <t xml:space="preserve">頁）</t>
    </r>
  </si>
  <si>
    <t xml:space="preserve">pm_bw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</si>
  <si>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模組售價：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對買方）</t>
    </r>
  </si>
  <si>
    <t xml:space="preserve">US$K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</si>
  <si>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</si>
  <si>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Rack!B6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</si>
  <si>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In!D15:F15</t>
    </r>
    <r>
      <rPr>
        <sz val="11"/>
        <color theme="1"/>
        <rFont val="Noto Sans CJK SC"/>
        <family val="2"/>
      </rPr>
      <t xml:space="preserve">（低／基準／高）；</t>
    </r>
    <r>
      <rPr>
        <sz val="11"/>
        <color theme="1"/>
        <rFont val="Calibri"/>
        <family val="2"/>
        <charset val="1"/>
      </rPr>
      <t xml:space="preserve">Tokenomics v20.1 </t>
    </r>
    <r>
      <rPr>
        <sz val="11"/>
        <color theme="1"/>
        <rFont val="Noto Sans CJK SC"/>
        <family val="2"/>
      </rPr>
      <t xml:space="preserve">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B200 </t>
    </r>
    <r>
      <rPr>
        <sz val="11"/>
        <color theme="1"/>
        <rFont val="Noto Sans CJK SC"/>
        <family val="2"/>
      </rPr>
      <t xml:space="preserve">較 </t>
    </r>
    <r>
      <rPr>
        <sz val="11"/>
        <color theme="1"/>
        <rFont val="Calibri"/>
        <family val="2"/>
        <charset val="1"/>
      </rPr>
      <t xml:space="preserve">B300 </t>
    </r>
    <r>
      <rPr>
        <sz val="11"/>
        <color theme="1"/>
        <rFont val="Noto Sans CJK SC"/>
        <family val="2"/>
      </rPr>
      <t xml:space="preserve">便宜，本模型不分（在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列為顆數＋價格差額的候選來源）</t>
    </r>
  </si>
  <si>
    <t xml:space="preserve">pm_rb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</si>
  <si>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模組售價：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價）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</si>
  <si>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Rack!C6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</si>
  <si>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In!G15:I15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 </t>
    </r>
    <r>
      <rPr>
        <sz val="11"/>
        <color theme="1"/>
        <rFont val="Calibri"/>
        <family val="2"/>
        <charset val="1"/>
      </rPr>
      <t xml:space="preserve">$9.1M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Fubon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Rubin GPU $78–80K</t>
    </r>
    <r>
      <rPr>
        <sz val="11"/>
        <color theme="1"/>
        <rFont val="Noto Sans CJK SC"/>
        <family val="2"/>
      </rPr>
      <t xml:space="preserve">（二手，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）高於此基準，未採</t>
    </r>
  </si>
  <si>
    <t xml:space="preserve">pm_ru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</si>
  <si>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模組售價：</t>
    </r>
    <r>
      <rPr>
        <sz val="11"/>
        <color theme="1"/>
        <rFont val="Calibri"/>
        <family val="2"/>
        <charset val="1"/>
      </rPr>
      <t xml:space="preserve">Rubin Ultra</t>
    </r>
  </si>
  <si>
    <r>
      <rPr>
        <sz val="11"/>
        <color theme="1"/>
        <rFont val="Noto Sans CJK SC"/>
        <family val="2"/>
      </rPr>
      <t xml:space="preserve">無：未發布。基準＝</t>
    </r>
    <r>
      <rPr>
        <sz val="11"/>
        <color theme="1"/>
        <rFont val="Calibri"/>
        <family val="2"/>
        <charset val="1"/>
      </rPr>
      <t xml:space="preserve">VR200 55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1.36 </t>
    </r>
    <r>
      <rPr>
        <sz val="11"/>
        <color theme="1"/>
        <rFont val="Noto Sans CJK SC"/>
        <family val="2"/>
      </rPr>
      <t xml:space="preserve">倍外推）＝</t>
    </r>
    <r>
      <rPr>
        <sz val="11"/>
        <color theme="1"/>
        <rFont val="Calibri"/>
        <family val="2"/>
        <charset val="1"/>
      </rPr>
      <t xml:space="preserve">75</t>
    </r>
  </si>
  <si>
    <r>
      <rPr>
        <sz val="11"/>
        <color theme="1"/>
        <rFont val="Calibri"/>
        <family val="2"/>
        <charset val="1"/>
      </rPr>
      <t xml:space="preserve">BofA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機架約 </t>
    </r>
    <r>
      <rPr>
        <sz val="11"/>
        <color theme="1"/>
        <rFont val="Calibri"/>
        <family val="2"/>
        <charset val="1"/>
      </rPr>
      <t xml:space="preserve">$21M</t>
    </r>
    <r>
      <rPr>
        <sz val="11"/>
        <color theme="1"/>
        <rFont val="Noto Sans CJK SC"/>
        <family val="2"/>
      </rPr>
      <t xml:space="preserve">（二手；每封裝約 </t>
    </r>
    <r>
      <rPr>
        <sz val="11"/>
        <color theme="1"/>
        <rFont val="Calibri"/>
        <family val="2"/>
        <charset val="1"/>
      </rPr>
      <t xml:space="preserve">$146K </t>
    </r>
    <r>
      <rPr>
        <sz val="11"/>
        <color theme="1"/>
        <rFont val="Noto Sans CJK SC"/>
        <family val="2"/>
      </rPr>
      <t xml:space="preserve">是本模型算術，封裝數有爭議；</t>
    </r>
    <r>
      <rPr>
        <sz val="11"/>
        <color theme="1"/>
        <rFont val="Calibri"/>
        <family val="2"/>
        <charset val="1"/>
      </rPr>
      <t xml:space="preserve">wccftech</t>
    </r>
    <r>
      <rPr>
        <sz val="11"/>
        <color theme="1"/>
        <rFont val="Noto Sans CJK SC"/>
        <family val="2"/>
      </rPr>
      <t xml:space="preserve">）。擁有者待定區間</t>
    </r>
  </si>
  <si>
    <t xml:space="preserve">pm_hp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</si>
  <si>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模組售價：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</si>
  <si>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出貨僅 </t>
    </r>
    <r>
      <rPr>
        <sz val="11"/>
        <color theme="1"/>
        <rFont val="Calibri"/>
        <family val="2"/>
        <charset val="1"/>
      </rPr>
      <t xml:space="preserve">0.5M</t>
    </r>
    <r>
      <rPr>
        <sz val="11"/>
        <color theme="1"/>
        <rFont val="Noto Sans CJK SC"/>
        <family val="2"/>
      </rPr>
      <t xml:space="preserve">，影響小</t>
    </r>
  </si>
  <si>
    <t xml:space="preserve">第二來源：未找到</t>
  </si>
  <si>
    <t xml:space="preserve">pcpu_bw</t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</si>
  <si>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分攤（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</si>
  <si>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Rack!B20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$M</t>
    </r>
    <r>
      <rPr>
        <sz val="11"/>
        <color theme="1"/>
        <rFont val="Noto Sans CJK SC"/>
        <family val="2"/>
      </rPr>
      <t xml:space="preserve">／架 </t>
    </r>
    <r>
      <rPr>
        <sz val="11"/>
        <color theme="1"/>
        <rFont val="Calibri"/>
        <family val="2"/>
        <charset val="1"/>
      </rPr>
      <t xml:space="preserve">× 1000 ÷ 72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</si>
  <si>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自家 </t>
    </r>
    <r>
      <rPr>
        <sz val="11"/>
        <color theme="1"/>
        <rFont val="Calibri"/>
        <family val="2"/>
        <charset val="1"/>
      </rPr>
      <t xml:space="preserve">Grace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Vera</t>
    </r>
  </si>
  <si>
    <t xml:space="preserve">plp_bw</t>
  </si>
  <si>
    <r>
      <rPr>
        <sz val="11"/>
        <color theme="1"/>
        <rFont val="Calibri"/>
        <family val="2"/>
        <charset val="1"/>
      </rPr>
      <t xml:space="preserve">LPDDR5X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分攤（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</si>
  <si>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Rack!B21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72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</si>
  <si>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隨一般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價格路徑變動（見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節）</t>
    </r>
  </si>
  <si>
    <t xml:space="preserve">pres_bw</t>
  </si>
  <si>
    <r>
      <rPr>
        <sz val="11"/>
        <color theme="1"/>
        <rFont val="Noto Sans CJK SC"/>
        <family val="2"/>
      </rPr>
      <t xml:space="preserve">匣級加價（殘差）每顆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</si>
  <si>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Rack!B30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72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</si>
  <si>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匣級電路板、供電與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匣級加價；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保留比例見 </t>
    </r>
    <r>
      <rPr>
        <sz val="11"/>
        <color theme="1"/>
        <rFont val="Calibri"/>
        <family val="2"/>
        <charset val="1"/>
      </rPr>
      <t xml:space="preserve">k_tray</t>
    </r>
  </si>
  <si>
    <t xml:space="preserve">pcpu_rb</t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</si>
  <si>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分攤（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</si>
  <si>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Rack!C20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$M</t>
    </r>
    <r>
      <rPr>
        <sz val="11"/>
        <color theme="1"/>
        <rFont val="Noto Sans CJK SC"/>
        <family val="2"/>
      </rPr>
      <t xml:space="preserve">／架 </t>
    </r>
    <r>
      <rPr>
        <sz val="11"/>
        <color theme="1"/>
        <rFont val="Calibri"/>
        <family val="2"/>
        <charset val="1"/>
      </rPr>
      <t xml:space="preserve">× 1000 ÷ 72</t>
    </r>
    <r>
      <rPr>
        <sz val="11"/>
        <color theme="1"/>
        <rFont val="Noto Sans CJK SC"/>
        <family val="2"/>
      </rPr>
      <t xml:space="preserve">）</t>
    </r>
  </si>
  <si>
    <t xml:space="preserve">plp_rb</t>
  </si>
  <si>
    <r>
      <rPr>
        <sz val="11"/>
        <color theme="1"/>
        <rFont val="Calibri"/>
        <family val="2"/>
        <charset val="1"/>
      </rPr>
      <t xml:space="preserve">LPDDR5X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分攤（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</si>
  <si>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Rack!C21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72</t>
    </r>
    <r>
      <rPr>
        <sz val="11"/>
        <color theme="1"/>
        <rFont val="Noto Sans CJK SC"/>
        <family val="2"/>
      </rPr>
      <t xml:space="preserve">）</t>
    </r>
  </si>
  <si>
    <t xml:space="preserve">pres_rb</t>
  </si>
  <si>
    <r>
      <rPr>
        <sz val="11"/>
        <color theme="1"/>
        <rFont val="Noto Sans CJK SC"/>
        <family val="2"/>
      </rPr>
      <t xml:space="preserve">匣級加價（殘差）每顆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</si>
  <si>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Rack!C30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72</t>
    </r>
    <r>
      <rPr>
        <sz val="11"/>
        <color theme="1"/>
        <rFont val="Noto Sans CJK SC"/>
        <family val="2"/>
      </rPr>
      <t xml:space="preserve">）</t>
    </r>
  </si>
  <si>
    <t xml:space="preserve">pcpu_ru</t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</si>
  <si>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分攤（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）</t>
    </r>
  </si>
  <si>
    <t xml:space="preserve">Analogy</t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</si>
  <si>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VR200</t>
    </r>
  </si>
  <si>
    <t xml:space="preserve">—</t>
  </si>
  <si>
    <t xml:space="preserve">plp_ru</t>
  </si>
  <si>
    <r>
      <rPr>
        <sz val="11"/>
        <color theme="1"/>
        <rFont val="Calibri"/>
        <family val="2"/>
        <charset val="1"/>
      </rPr>
      <t xml:space="preserve">LPDDR5X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分攤（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）</t>
    </r>
  </si>
  <si>
    <t xml:space="preserve">pres_ru</t>
  </si>
  <si>
    <r>
      <rPr>
        <sz val="11"/>
        <color theme="1"/>
        <rFont val="Noto Sans CJK SC"/>
        <family val="2"/>
      </rPr>
      <t xml:space="preserve">匣級加價每顆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）</t>
    </r>
  </si>
  <si>
    <t xml:space="preserve">pcpu_hp</t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</si>
  <si>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分攤（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</si>
  <si>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HGX </t>
    </r>
    <r>
      <rPr>
        <sz val="11"/>
        <color theme="1"/>
        <rFont val="Noto Sans CJK SC"/>
        <family val="2"/>
      </rPr>
      <t xml:space="preserve">板出貨，價格已含在模組價</t>
    </r>
  </si>
  <si>
    <t xml:space="preserve">plp_hp</t>
  </si>
  <si>
    <r>
      <rPr>
        <sz val="11"/>
        <color theme="1"/>
        <rFont val="Calibri"/>
        <family val="2"/>
        <charset val="1"/>
      </rPr>
      <t xml:space="preserve">LPDDR5X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分攤（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）</t>
    </r>
  </si>
  <si>
    <t xml:space="preserve">pres_hp</t>
  </si>
  <si>
    <r>
      <rPr>
        <sz val="11"/>
        <color theme="1"/>
        <rFont val="Noto Sans CJK SC"/>
        <family val="2"/>
      </rPr>
      <t xml:space="preserve">匣級加價每顆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）</t>
    </r>
  </si>
  <si>
    <t xml:space="preserve">k_tray</t>
  </si>
  <si>
    <r>
      <rPr>
        <sz val="11"/>
        <color theme="1"/>
        <rFont val="Noto Sans CJK SC"/>
        <family val="2"/>
      </rPr>
      <t xml:space="preserve">匣級加價中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保留的比例</t>
    </r>
  </si>
  <si>
    <r>
      <rPr>
        <sz val="11"/>
        <color theme="1"/>
        <rFont val="Noto Sans CJK SC"/>
        <family val="2"/>
      </rPr>
      <t xml:space="preserve">無：橋接表殘差由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共享，公司未揭露</t>
    </r>
  </si>
  <si>
    <r>
      <rPr>
        <sz val="11"/>
        <color theme="1"/>
        <rFont val="Noto Sans CJK SC"/>
        <family val="2"/>
      </rPr>
      <t xml:space="preserve">第二來源：未找到。影響運算營收水準（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±1.5K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的水準差額見 </t>
    </r>
    <r>
      <rPr>
        <sz val="11"/>
        <color theme="1"/>
        <rFont val="Calibri"/>
        <family val="2"/>
        <charset val="1"/>
      </rPr>
      <t xml:space="preserve">Recon</t>
    </r>
  </si>
  <si>
    <t xml:space="preserve">hpx_bw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</si>
  <si>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合約：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</si>
  <si>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US$/GB</t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</si>
  <si>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Rack!B4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</si>
  <si>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In!hbm_p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比照</t>
    </r>
  </si>
  <si>
    <t xml:space="preserve">hpx_rb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</si>
  <si>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合約：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</si>
  <si>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Rack!C4</t>
    </r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</si>
  <si>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比照；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估計 </t>
    </r>
    <r>
      <rPr>
        <sz val="11"/>
        <color theme="1"/>
        <rFont val="Calibri"/>
        <family val="2"/>
        <charset val="1"/>
      </rPr>
      <t xml:space="preserve">$15–53/GB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Fubon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，二手，見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</si>
  <si>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t xml:space="preserve">hpx_ru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</si>
  <si>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合約：</t>
    </r>
    <r>
      <rPr>
        <sz val="11"/>
        <color theme="1"/>
        <rFont val="Calibri"/>
        <family val="2"/>
        <charset val="1"/>
      </rPr>
      <t xml:space="preserve">Rubin Ultra</t>
    </r>
  </si>
  <si>
    <t xml:space="preserve">hpx_hp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</si>
  <si>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合約：</t>
    </r>
    <r>
      <rPr>
        <sz val="11"/>
        <color theme="1"/>
        <rFont val="Calibri"/>
        <family val="2"/>
        <charset val="1"/>
      </rPr>
      <t xml:space="preserve">Hopper</t>
    </r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</si>
  <si>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GB300</t>
    </r>
  </si>
  <si>
    <t xml:space="preserve">abs_mem</t>
  </si>
  <si>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Noto Sans CJK SC"/>
        <family val="2"/>
      </rPr>
      <t xml:space="preserve">漲價由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吸收的比例（其餘轉嫁到售價）</t>
    </r>
  </si>
  <si>
    <r>
      <rPr>
        <sz val="11"/>
        <color theme="1"/>
        <rFont val="Noto Sans CJK SC"/>
        <family val="2"/>
      </rPr>
      <t xml:space="preserve">無：橋接表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頁列兩端（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欄吸收＝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欄全額轉嫁＝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）；公司稱 </t>
    </r>
    <r>
      <rPr>
        <sz val="11"/>
        <color theme="1"/>
        <rFont val="Calibri"/>
        <family val="2"/>
        <charset val="1"/>
      </rPr>
      <t xml:space="preserve">FY2028 Q1 </t>
    </r>
    <r>
      <rPr>
        <sz val="11"/>
        <color theme="1"/>
        <rFont val="Noto Sans CJK SC"/>
        <family val="2"/>
      </rPr>
      <t xml:space="preserve">起調價（二手：</t>
    </r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247wallst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</si>
  <si>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第二來源：未找到。擁有者待定基準值；基準取兩端中點，不為對上公司毛利率指引而調（指引只在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對帳）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</si>
  <si>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記憶體價格路徑（讀 </t>
    </r>
    <r>
      <rPr>
        <b val="true"/>
        <sz val="11"/>
        <rFont val="Cambria"/>
        <family val="0"/>
        <charset val="1"/>
      </rPr>
      <t xml:space="preserve">skhynix </t>
    </r>
    <r>
      <rPr>
        <b val="true"/>
        <sz val="11"/>
        <rFont val="Noto Sans CJK SC"/>
        <family val="2"/>
      </rPr>
      <t xml:space="preserve">成品；唯讀；情境別）</t>
    </r>
  </si>
  <si>
    <t xml:space="preserve">hbm_A_26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</si>
  <si>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</si>
  <si>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Mkt!C30:G30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</si>
  <si>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+80% </t>
    </r>
    <r>
      <rPr>
        <sz val="11"/>
        <color theme="1"/>
        <rFont val="Noto Sans CJK SC"/>
        <family val="2"/>
      </rPr>
      <t xml:space="preserve">三情境相同；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依情境</t>
    </r>
  </si>
  <si>
    <t xml:space="preserve">hbm_A_27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</si>
  <si>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</si>
  <si>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hbm_A_28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</si>
  <si>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</si>
  <si>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hbm_A_29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</si>
  <si>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</si>
  <si>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hbm_B_26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</si>
  <si>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</si>
  <si>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Mkt!C31:G31</t>
    </r>
  </si>
  <si>
    <t xml:space="preserve">hbm_B_27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</si>
  <si>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</si>
  <si>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hbm_B_28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</si>
  <si>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</si>
  <si>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hbm_B_29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</si>
  <si>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</si>
  <si>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hbm_C_26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</si>
  <si>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</si>
  <si>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Mkt!C32:G32</t>
    </r>
  </si>
  <si>
    <t xml:space="preserve">hbm_C_27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</si>
  <si>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</si>
  <si>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hbm_C_28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</si>
  <si>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</si>
  <si>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hbm_C_29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</si>
  <si>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</si>
  <si>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cdx_A_26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</si>
  <si>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</si>
  <si>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Path!C14:G14</t>
    </r>
  </si>
  <si>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Noto Sans CJK SC"/>
        <family val="2"/>
      </rPr>
      <t xml:space="preserve">成本隨一般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</si>
  <si>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t xml:space="preserve">cdx_A_27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</si>
  <si>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</si>
  <si>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cdx_A_28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</si>
  <si>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</si>
  <si>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cdx_A_29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</si>
  <si>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</si>
  <si>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cdx_B_26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</si>
  <si>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</si>
  <si>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Path!C15:G15</t>
    </r>
  </si>
  <si>
    <t xml:space="preserve">cdx_B_27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</si>
  <si>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</si>
  <si>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cdx_B_28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</si>
  <si>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</si>
  <si>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cdx_B_29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</si>
  <si>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</si>
  <si>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cdx_C_26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</si>
  <si>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</si>
  <si>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Path!C16:G16</t>
    </r>
  </si>
  <si>
    <t xml:space="preserve">cdx_C_27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</si>
  <si>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</si>
  <si>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cdx_C_28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</si>
  <si>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</si>
  <si>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cdx_C_29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</si>
  <si>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</si>
  <si>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網通（讀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顆數係數縮放——網通金額與顆數成正比、組合不變，故縮放精確）</t>
    </r>
  </si>
  <si>
    <t xml:space="preserve">net_26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</si>
  <si>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網通（本模型歸屬）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</si>
  <si>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</si>
  <si>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Mkt!C32:F32</t>
    </r>
  </si>
  <si>
    <r>
      <rPr>
        <sz val="11"/>
        <color theme="1"/>
        <rFont val="Noto Sans CJK SC"/>
        <family val="2"/>
      </rPr>
      <t xml:space="preserve">廠商歸屬比例為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markets/network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節）；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較實際推估低 </t>
    </r>
    <r>
      <rPr>
        <sz val="11"/>
        <color theme="1"/>
        <rFont val="Calibri"/>
        <family val="2"/>
        <charset val="1"/>
      </rPr>
      <t xml:space="preserve">16.6%</t>
    </r>
    <r>
      <rPr>
        <sz val="11"/>
        <color theme="1"/>
        <rFont val="Noto Sans CJK SC"/>
        <family val="2"/>
      </rPr>
      <t xml:space="preserve">（見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</si>
  <si>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t xml:space="preserve">net_27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</si>
  <si>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網通（本模型歸屬）</t>
    </r>
    <r>
      <rPr>
        <sz val="11"/>
        <color theme="1"/>
        <rFont val="Calibri"/>
        <family val="2"/>
        <charset val="1"/>
      </rPr>
      <t xml:space="preserve">2027</t>
    </r>
  </si>
  <si>
    <t xml:space="preserve">net_28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</si>
  <si>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網通（本模型歸屬）</t>
    </r>
    <r>
      <rPr>
        <sz val="11"/>
        <color theme="1"/>
        <rFont val="Calibri"/>
        <family val="2"/>
        <charset val="1"/>
      </rPr>
      <t xml:space="preserve">2028</t>
    </r>
  </si>
  <si>
    <t xml:space="preserve">net_29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</si>
  <si>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網通（本模型歸屬）</t>
    </r>
    <r>
      <rPr>
        <sz val="11"/>
        <color theme="1"/>
        <rFont val="Calibri"/>
        <family val="2"/>
        <charset val="1"/>
      </rPr>
      <t xml:space="preserve">2029</t>
    </r>
  </si>
  <si>
    <t xml:space="preserve">rep_nv26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</si>
  <si>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網通營收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（實際＋推估）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</si>
  <si>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</si>
  <si>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In!D120:F120</t>
    </r>
  </si>
  <si>
    <r>
      <rPr>
        <sz val="11"/>
        <color theme="1"/>
        <rFont val="Calibri"/>
        <family val="2"/>
        <charset val="1"/>
      </rPr>
      <t xml:space="preserve">Q1 FY27 14.8</t>
    </r>
    <r>
      <rPr>
        <sz val="11"/>
        <color theme="1"/>
        <rFont val="Noto Sans CJK SC"/>
        <family val="2"/>
      </rPr>
      <t xml:space="preserve">（公司，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新聞稿）、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17.5</t>
    </r>
    <r>
      <rPr>
        <sz val="11"/>
        <color theme="1"/>
        <rFont val="Noto Sans CJK SC"/>
        <family val="2"/>
      </rPr>
      <t xml:space="preserve">（法說「季增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」，二手）、</t>
    </r>
    <r>
      <rPr>
        <sz val="11"/>
        <color theme="1"/>
        <rFont val="Calibri"/>
        <family val="2"/>
        <charset val="1"/>
      </rPr>
      <t xml:space="preserve">Q3–Q4 Assumed</t>
    </r>
  </si>
  <si>
    <t xml:space="preserve">net_q1</t>
  </si>
  <si>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Noto Sans CJK SC"/>
        <family val="2"/>
      </rPr>
      <t xml:space="preserve">網通營收 </t>
    </r>
    <r>
      <rPr>
        <sz val="11"/>
        <color theme="1"/>
        <rFont val="Calibri"/>
        <family val="2"/>
        <charset val="1"/>
      </rPr>
      <t xml:space="preserve">Q1 FY27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</si>
  <si>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</si>
  <si>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https://nvidianews.nvidia.com/news/nvidia-announces-financial-results-for-first-quarter-fiscal-2027</t>
    </r>
    <r>
      <rPr>
        <sz val="11"/>
        <color theme="1"/>
        <rFont val="Noto Sans CJK SC"/>
        <family val="2"/>
      </rPr>
      <t xml:space="preserve">（公司最後一次揭露 </t>
    </r>
    <r>
      <rPr>
        <sz val="11"/>
        <color theme="1"/>
        <rFont val="Calibri"/>
        <family val="2"/>
        <charset val="1"/>
      </rPr>
      <t xml:space="preserve">compute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networking </t>
    </r>
    <r>
      <rPr>
        <sz val="11"/>
        <color theme="1"/>
        <rFont val="Noto Sans CJK SC"/>
        <family val="2"/>
      </rPr>
      <t xml:space="preserve">拆分）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</si>
  <si>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起不再揭露：未找到（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書面說明無法開啟）</t>
    </r>
  </si>
  <si>
    <t xml:space="preserve">c_net</t>
  </si>
  <si>
    <r>
      <rPr>
        <sz val="11"/>
        <color theme="1"/>
        <rFont val="Noto Sans CJK SC"/>
        <family val="2"/>
      </rPr>
      <t xml:space="preserve">網通非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成本占營收</t>
    </r>
  </si>
  <si>
    <t xml:space="preserve">無：公司不揭露網通毛利率</t>
  </si>
  <si>
    <r>
      <rPr>
        <sz val="11"/>
        <color theme="1"/>
        <rFont val="Noto Sans CJK SC"/>
        <family val="2"/>
      </rPr>
      <t xml:space="preserve">第二來源：未找到。決定網通毛利率 </t>
    </r>
    <r>
      <rPr>
        <sz val="11"/>
        <color theme="1"/>
        <rFont val="Calibri"/>
        <family val="2"/>
        <charset val="1"/>
      </rPr>
      <t xml:space="preserve">60–80%</t>
    </r>
  </si>
  <si>
    <r>
      <rPr>
        <b val="true"/>
        <sz val="11"/>
        <rFont val="Cambria"/>
        <family val="0"/>
        <charset val="1"/>
      </rPr>
      <t xml:space="preserve">E. Edge Computing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PC</t>
    </r>
    <r>
      <rPr>
        <b val="true"/>
        <sz val="11"/>
        <rFont val="Noto Sans CJK SC"/>
        <family val="2"/>
      </rPr>
      <t xml:space="preserve">、遊戲機、工作站、機器人、車用；自 </t>
    </r>
    <r>
      <rPr>
        <b val="true"/>
        <sz val="11"/>
        <rFont val="Cambria"/>
        <family val="0"/>
        <charset val="1"/>
      </rPr>
      <t xml:space="preserve">Q1 FY27 </t>
    </r>
    <r>
      <rPr>
        <b val="true"/>
        <sz val="11"/>
        <rFont val="Noto Sans CJK SC"/>
        <family val="2"/>
      </rPr>
      <t xml:space="preserve">起公司只揭露 </t>
    </r>
    <r>
      <rPr>
        <b val="true"/>
        <sz val="11"/>
        <rFont val="Cambria"/>
        <family val="0"/>
        <charset val="1"/>
      </rPr>
      <t xml:space="preserve">Data Center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Edge Computing </t>
    </r>
    <r>
      <rPr>
        <b val="true"/>
        <sz val="11"/>
        <rFont val="Noto Sans CJK SC"/>
        <family val="2"/>
      </rPr>
      <t xml:space="preserve">兩個平台）</t>
    </r>
  </si>
  <si>
    <t xml:space="preserve">gm_edge</t>
  </si>
  <si>
    <r>
      <rPr>
        <sz val="11"/>
        <color theme="1"/>
        <rFont val="Calibri"/>
        <family val="2"/>
        <charset val="1"/>
      </rPr>
      <t xml:space="preserve">Edge Computing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</si>
  <si>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無：公司不揭露平台毛利率（舊 </t>
    </r>
    <r>
      <rPr>
        <sz val="11"/>
        <color theme="1"/>
        <rFont val="Calibri"/>
        <family val="2"/>
        <charset val="1"/>
      </rPr>
      <t xml:space="preserve">Gaming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ProViz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Auto </t>
    </r>
    <r>
      <rPr>
        <sz val="11"/>
        <color theme="1"/>
        <rFont val="Noto Sans CJK SC"/>
        <family val="2"/>
      </rPr>
      <t xml:space="preserve">的毛利率亦未揭露）</t>
    </r>
  </si>
  <si>
    <t xml:space="preserve">eg</t>
  </si>
  <si>
    <r>
      <rPr>
        <sz val="11"/>
        <color theme="1"/>
        <rFont val="Calibri"/>
        <family val="2"/>
        <charset val="1"/>
      </rPr>
      <t xml:space="preserve">Edge Computing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</si>
  <si>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、季增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；記憶體成本壓抑消費端需求（二手）</t>
    </r>
  </si>
  <si>
    <t xml:space="preserve">edge_q</t>
  </si>
  <si>
    <r>
      <rPr>
        <sz val="11"/>
        <color theme="1"/>
        <rFont val="Calibri"/>
        <family val="2"/>
        <charset val="1"/>
      </rPr>
      <t xml:space="preserve">Edge Computing </t>
    </r>
    <r>
      <rPr>
        <sz val="11"/>
        <color theme="1"/>
        <rFont val="Noto Sans CJK SC"/>
        <family val="2"/>
      </rPr>
      <t xml:space="preserve">季增（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Noto Sans CJK SC"/>
        <family val="2"/>
      </rPr>
      <t xml:space="preserve">假設）</t>
    </r>
  </si>
  <si>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（公司）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</si>
  <si>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中國資料中心運算（基準為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＝公司 </t>
    </r>
    <r>
      <rPr>
        <b val="true"/>
        <sz val="11"/>
        <rFont val="Cambria"/>
        <family val="0"/>
        <charset val="1"/>
      </rPr>
      <t xml:space="preserve">Q3 FY27 </t>
    </r>
    <r>
      <rPr>
        <b val="true"/>
        <sz val="11"/>
        <rFont val="Noto Sans CJK SC"/>
        <family val="2"/>
      </rPr>
      <t xml:space="preserve">指引假設；只在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列「恢復」）</t>
    </r>
  </si>
  <si>
    <t xml:space="preserve">cn_amt</t>
  </si>
  <si>
    <r>
      <rPr>
        <sz val="11"/>
        <color theme="1"/>
        <rFont val="Noto Sans CJK SC"/>
        <family val="2"/>
      </rPr>
      <t xml:space="preserve">中國恢復後的資料中心運算營收（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起，每年）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</si>
  <si>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Q3 FY27 </t>
    </r>
    <r>
      <rPr>
        <sz val="11"/>
        <color theme="1"/>
        <rFont val="Noto Sans CJK SC"/>
        <family val="2"/>
      </rPr>
      <t xml:space="preserve">指引不假設中國資料中心運算營收；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對中國出貨 </t>
    </r>
    <r>
      <rPr>
        <sz val="11"/>
        <color theme="1"/>
        <rFont val="Calibri"/>
        <family val="2"/>
        <charset val="1"/>
      </rPr>
      <t xml:space="preserve">&lt; </t>
    </r>
    <r>
      <rPr>
        <sz val="11"/>
        <color theme="1"/>
        <rFont val="Noto Sans CJK SC"/>
        <family val="2"/>
      </rPr>
      <t xml:space="preserve">資料中心營收的 </t>
    </r>
    <r>
      <rPr>
        <sz val="11"/>
        <color theme="1"/>
        <rFont val="Calibri"/>
        <family val="2"/>
        <charset val="1"/>
      </rPr>
      <t xml:space="preserve">1%</t>
    </r>
    <r>
      <rPr>
        <sz val="11"/>
        <color theme="1"/>
        <rFont val="Noto Sans CJK SC"/>
        <family val="2"/>
      </rPr>
      <t xml:space="preserve">（二手：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CNBC </t>
    </r>
    <r>
      <rPr>
        <sz val="11"/>
        <color theme="1"/>
        <rFont val="Noto Sans CJK SC"/>
        <family val="2"/>
      </rPr>
      <t xml:space="preserve">摘要）</t>
    </r>
  </si>
  <si>
    <r>
      <rPr>
        <sz val="11"/>
        <color theme="1"/>
        <rFont val="Noto Sans CJK SC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FY2026 Q1 H20 </t>
    </r>
    <r>
      <rPr>
        <sz val="11"/>
        <color theme="1"/>
        <rFont val="Noto Sans CJK SC"/>
        <family val="2"/>
      </rPr>
      <t xml:space="preserve">費用 </t>
    </r>
    <r>
      <rPr>
        <sz val="11"/>
        <color theme="1"/>
        <rFont val="Calibri"/>
        <family val="2"/>
        <charset val="1"/>
      </rPr>
      <t xml:space="preserve">$4.5B</t>
    </r>
    <r>
      <rPr>
        <sz val="11"/>
        <color theme="1"/>
        <rFont val="Noto Sans CJK SC"/>
        <family val="2"/>
      </rPr>
      <t xml:space="preserve">（公司）作為量級參照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</si>
  <si>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營業費用、稅、股數（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</si>
  <si>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</si>
  <si>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</si>
  <si>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頁：約 </t>
    </r>
    <r>
      <rPr>
        <sz val="11"/>
        <color theme="1"/>
        <rFont val="Calibri"/>
        <family val="2"/>
        <charset val="1"/>
      </rPr>
      <t xml:space="preserve">0.6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</si>
  <si>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</si>
  <si>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g_opx_min</t>
  </si>
  <si>
    <t xml:space="preserve">營業費用年增下限</t>
  </si>
  <si>
    <t xml:space="preserve">無</t>
  </si>
  <si>
    <t xml:space="preserve">營收下滑時費用僵固</t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</si>
  <si>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</si>
  <si>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</si>
  <si>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</si>
  <si>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 </t>
    </r>
    <r>
      <rPr>
        <sz val="11"/>
        <color theme="1"/>
        <rFont val="Noto Sans CJK SC"/>
        <family val="2"/>
      </rPr>
      <t xml:space="preserve">個百分點</t>
    </r>
  </si>
  <si>
    <t xml:space="preserve">tx_f</t>
  </si>
  <si>
    <r>
      <rPr>
        <sz val="11"/>
        <color theme="1"/>
        <rFont val="Noto Sans CJK SC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</si>
  <si>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16.0%–18.0%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新聞稿）</t>
    </r>
  </si>
  <si>
    <r>
      <rPr>
        <sz val="11"/>
        <color theme="1"/>
        <rFont val="Calibri"/>
        <family val="2"/>
        <charset val="1"/>
      </rPr>
      <t xml:space="preserve">FY2026 15.1%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 FY27 16.6%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16.5%</t>
    </r>
    <r>
      <rPr>
        <sz val="11"/>
        <color theme="1"/>
        <rFont val="Noto Sans CJK SC"/>
        <family val="2"/>
      </rPr>
      <t xml:space="preserve">（公司，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</si>
  <si>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oth_f</t>
  </si>
  <si>
    <r>
      <rPr>
        <sz val="11"/>
        <color theme="1"/>
        <rFont val="Noto Sans CJK SC"/>
        <family val="2"/>
      </rPr>
      <t xml:space="preserve">其他收益淨額（不含權益證券損益；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起每年）</t>
    </r>
  </si>
  <si>
    <r>
      <rPr>
        <sz val="11"/>
        <color theme="1"/>
        <rFont val="Calibri"/>
        <family val="2"/>
        <charset val="1"/>
      </rPr>
      <t xml:space="preserve">FY2026 2.1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 FY27 0.43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FY27 0.00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扣權益證券損益；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</si>
  <si>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權益證券損益屬一次性，一律排除</t>
  </si>
  <si>
    <t xml:space="preserve">sh_g</t>
  </si>
  <si>
    <r>
      <rPr>
        <sz val="11"/>
        <color theme="1"/>
        <rFont val="Noto Sans CJK SC"/>
        <family val="2"/>
      </rPr>
      <t xml:space="preserve">稀釋股數年變動（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</si>
  <si>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FY2025→FY2026 −1.2%</t>
    </r>
    <r>
      <rPr>
        <sz val="11"/>
        <color theme="1"/>
        <rFont val="Noto Sans CJK SC"/>
        <family val="2"/>
      </rPr>
      <t xml:space="preserve">（公司，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回購 </t>
    </r>
    <r>
      <rPr>
        <sz val="11"/>
        <color theme="1"/>
        <rFont val="Calibri"/>
        <family val="2"/>
        <charset val="1"/>
      </rPr>
      <t xml:space="preserve">$19.7B</t>
    </r>
    <r>
      <rPr>
        <sz val="11"/>
        <color theme="1"/>
        <rFont val="Noto Sans CJK SC"/>
        <family val="2"/>
      </rPr>
      <t xml:space="preserve">＋股息 </t>
    </r>
    <r>
      <rPr>
        <sz val="11"/>
        <color theme="1"/>
        <rFont val="Calibri"/>
        <family val="2"/>
        <charset val="1"/>
      </rPr>
      <t xml:space="preserve">$6.0B</t>
    </r>
    <r>
      <rPr>
        <sz val="11"/>
        <color theme="1"/>
        <rFont val="Noto Sans CJK SC"/>
        <family val="2"/>
      </rPr>
      <t xml:space="preserve">、剩餘授權約 </t>
    </r>
    <r>
      <rPr>
        <sz val="11"/>
        <color theme="1"/>
        <rFont val="Calibri"/>
        <family val="2"/>
        <charset val="1"/>
      </rPr>
      <t xml:space="preserve">$99B</t>
    </r>
    <r>
      <rPr>
        <sz val="11"/>
        <color theme="1"/>
        <rFont val="Noto Sans CJK SC"/>
        <family val="2"/>
      </rPr>
      <t xml:space="preserve">（公司）</t>
    </r>
  </si>
  <si>
    <r>
      <rPr>
        <b val="true"/>
        <sz val="11"/>
        <rFont val="Cambria"/>
        <family val="0"/>
        <charset val="1"/>
      </rPr>
      <t xml:space="preserve">H. FY2027 </t>
    </r>
    <r>
      <rPr>
        <b val="true"/>
        <sz val="11"/>
        <rFont val="Noto Sans CJK SC"/>
        <family val="2"/>
      </rPr>
      <t xml:space="preserve">錨點假設（</t>
    </r>
    <r>
      <rPr>
        <b val="true"/>
        <sz val="11"/>
        <rFont val="Cambria"/>
        <family val="0"/>
        <charset val="1"/>
      </rPr>
      <t xml:space="preserve">Q1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Q3 </t>
    </r>
    <r>
      <rPr>
        <b val="true"/>
        <sz val="11"/>
        <rFont val="Noto Sans CJK SC"/>
        <family val="2"/>
      </rPr>
      <t xml:space="preserve">指引＋</t>
    </r>
    <r>
      <rPr>
        <b val="true"/>
        <sz val="11"/>
        <rFont val="Cambria"/>
        <family val="0"/>
        <charset val="1"/>
      </rPr>
      <t xml:space="preserve">Q4 </t>
    </r>
    <r>
      <rPr>
        <b val="true"/>
        <sz val="11"/>
        <rFont val="Noto Sans CJK SC"/>
        <family val="2"/>
      </rPr>
      <t xml:space="preserve">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</si>
  <si>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</si>
  <si>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Q3 FY27 </t>
    </r>
    <r>
      <rPr>
        <sz val="11"/>
        <color theme="1"/>
        <rFont val="Noto Sans CJK SC"/>
        <family val="2"/>
      </rPr>
      <t xml:space="preserve">營收指引（</t>
    </r>
    <r>
      <rPr>
        <sz val="11"/>
        <color theme="1"/>
        <rFont val="Calibri"/>
        <family val="2"/>
        <charset val="1"/>
      </rPr>
      <t xml:space="preserve">±2%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</si>
  <si>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https://nvidianews.nvidia.com/news/nvidia-announces-financial-results-for-second-quarter-fiscal-2027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$108.0B ±2%</t>
    </r>
    <r>
      <rPr>
        <sz val="11"/>
        <color theme="1"/>
        <rFont val="Noto Sans CJK SC"/>
        <family val="2"/>
      </rPr>
      <t xml:space="preserve">；不假設中國資料中心運算營收</t>
    </r>
  </si>
  <si>
    <r>
      <rPr>
        <sz val="11"/>
        <color theme="1"/>
        <rFont val="Calibri"/>
        <family val="2"/>
        <charset val="1"/>
      </rPr>
      <t xml:space="preserve">Webull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摘要（二手）</t>
    </r>
  </si>
  <si>
    <t xml:space="preserve">q3_gm</t>
  </si>
  <si>
    <r>
      <rPr>
        <sz val="11"/>
        <color theme="1"/>
        <rFont val="Calibri"/>
        <family val="2"/>
        <charset val="1"/>
      </rPr>
      <t xml:space="preserve">Q3 FY27 </t>
    </r>
    <r>
      <rPr>
        <sz val="11"/>
        <color theme="1"/>
        <rFont val="Noto Sans CJK SC"/>
        <family val="2"/>
      </rPr>
      <t xml:space="preserve">毛利率指引（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</si>
  <si>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https://nvidianews.nvidia.com/news/nvidia-announces-financial-results-for-second-quarter-fiscal-2027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74.0% ±50bp</t>
    </r>
  </si>
  <si>
    <r>
      <rPr>
        <sz val="11"/>
        <color theme="1"/>
        <rFont val="Calibri"/>
        <family val="2"/>
        <charset val="1"/>
      </rPr>
      <t xml:space="preserve">implicator.ai</t>
    </r>
    <r>
      <rPr>
        <sz val="11"/>
        <color theme="1"/>
        <rFont val="Noto Sans CJK SC"/>
        <family val="2"/>
      </rPr>
      <t xml:space="preserve">（二手）</t>
    </r>
  </si>
  <si>
    <t xml:space="preserve">q3_opx</t>
  </si>
  <si>
    <r>
      <rPr>
        <sz val="11"/>
        <color theme="1"/>
        <rFont val="Calibri"/>
        <family val="2"/>
        <charset val="1"/>
      </rPr>
      <t xml:space="preserve">Q3 FY27 GAAP </t>
    </r>
    <r>
      <rPr>
        <sz val="11"/>
        <color theme="1"/>
        <rFont val="Noto Sans CJK SC"/>
        <family val="2"/>
      </rPr>
      <t xml:space="preserve">營業費用指引</t>
    </r>
  </si>
  <si>
    <r>
      <rPr>
        <sz val="11"/>
        <color theme="1"/>
        <rFont val="Calibri"/>
        <family val="2"/>
        <charset val="1"/>
      </rPr>
      <t xml:space="preserve">https://nvidianews.nvidia.com/news/nvidia-announces-financial-results-for-second-quarter-fiscal-2027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$9.2B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$9.0B</t>
    </r>
    <r>
      <rPr>
        <sz val="11"/>
        <color theme="1"/>
        <rFont val="Noto Sans CJK SC"/>
        <family val="2"/>
      </rPr>
      <t xml:space="preserve">）</t>
    </r>
  </si>
  <si>
    <t xml:space="preserve">q4_g</t>
  </si>
  <si>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Noto Sans CJK SC"/>
        <family val="2"/>
      </rPr>
      <t xml:space="preserve">營收季增（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假設）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</si>
  <si>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Q1→Q2 +17.9%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Q2→Q3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+12.2%</t>
    </r>
    <r>
      <rPr>
        <sz val="11"/>
        <color theme="1"/>
        <rFont val="Noto Sans CJK SC"/>
        <family val="2"/>
      </rPr>
      <t xml:space="preserve">（公司）；共識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$411.7B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摘要，二手）</t>
    </r>
  </si>
  <si>
    <t xml:space="preserve">q4_gm</t>
  </si>
  <si>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假設）</t>
    </r>
  </si>
  <si>
    <r>
      <rPr>
        <sz val="11"/>
        <color theme="1"/>
        <rFont val="Noto Sans CJK SC"/>
        <family val="2"/>
      </rPr>
      <t xml:space="preserve">二手報導：</t>
    </r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Noto Sans CJK SC"/>
        <family val="2"/>
      </rPr>
      <t xml:space="preserve">谷底 </t>
    </r>
    <r>
      <rPr>
        <sz val="11"/>
        <color theme="1"/>
        <rFont val="Calibri"/>
        <family val="2"/>
        <charset val="1"/>
      </rPr>
      <t xml:space="preserve">71–72%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implicator.ai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siliconanalysts</t>
    </r>
    <r>
      <rPr>
        <sz val="11"/>
        <color theme="1"/>
        <rFont val="Noto Sans CJK SC"/>
        <family val="2"/>
      </rPr>
      <t xml:space="preserve">；逐字稿未取得）</t>
    </r>
  </si>
  <si>
    <r>
      <rPr>
        <sz val="11"/>
        <color theme="1"/>
        <rFont val="Noto Sans CJK SC"/>
        <family val="2"/>
      </rPr>
      <t xml:space="preserve">高＝與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指引持平</t>
    </r>
  </si>
  <si>
    <t xml:space="preserve">q4_opx_g</t>
  </si>
  <si>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Noto Sans CJK SC"/>
        <family val="2"/>
      </rPr>
      <t xml:space="preserve">營業費用季增（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假設）</t>
    </r>
  </si>
  <si>
    <r>
      <rPr>
        <sz val="11"/>
        <color theme="1"/>
        <rFont val="Calibri"/>
        <family val="2"/>
        <charset val="1"/>
      </rPr>
      <t xml:space="preserve">Q1→Q2 +10.3%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Q2→Q3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+9.4%</t>
    </r>
    <r>
      <rPr>
        <sz val="11"/>
        <color theme="1"/>
        <rFont val="Noto Sans CJK SC"/>
        <family val="2"/>
      </rPr>
      <t xml:space="preserve">（公司）</t>
    </r>
  </si>
  <si>
    <t xml:space="preserve">q_oth</t>
  </si>
  <si>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Noto Sans CJK SC"/>
        <family val="2"/>
      </rPr>
      <t xml:space="preserve">其他收益淨額（不含權益證券損益；每季）</t>
    </r>
  </si>
  <si>
    <r>
      <rPr>
        <sz val="11"/>
        <color theme="1"/>
        <rFont val="Calibri"/>
        <family val="2"/>
        <charset val="1"/>
      </rPr>
      <t xml:space="preserve">Q1 FY27 0.43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0.00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扣權益證券損益）；</t>
    </r>
    <r>
      <rPr>
        <sz val="11"/>
        <color theme="1"/>
        <rFont val="Calibri"/>
        <family val="2"/>
        <charset val="1"/>
      </rPr>
      <t xml:space="preserve">non-GAAP 0.46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0.30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</si>
  <si>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指引未列：未找到</t>
    </r>
  </si>
  <si>
    <t xml:space="preserve">tx_27</t>
  </si>
  <si>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</si>
  <si>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16.0%–18.0%</t>
    </r>
  </si>
  <si>
    <t xml:space="preserve">q_sh</t>
  </si>
  <si>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Noto Sans CJK SC"/>
        <family val="2"/>
      </rPr>
      <t xml:space="preserve">稀釋股數季變動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</si>
  <si>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季均 −</t>
    </r>
    <r>
      <rPr>
        <sz val="11"/>
        <color theme="1"/>
        <rFont val="Calibri"/>
        <family val="2"/>
        <charset val="1"/>
      </rPr>
      <t xml:space="preserve">0.2%</t>
    </r>
    <r>
      <rPr>
        <sz val="11"/>
        <color theme="1"/>
        <rFont val="Noto Sans CJK SC"/>
        <family val="2"/>
      </rPr>
      <t xml:space="preserve">（公司，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</si>
  <si>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公司指引與共識（只作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</si>
  <si>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g28_gr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</si>
  <si>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</si>
  <si>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法說（二手：</t>
    </r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CNBC </t>
    </r>
    <r>
      <rPr>
        <sz val="11"/>
        <color theme="1"/>
        <rFont val="Noto Sans CJK SC"/>
        <family val="2"/>
      </rPr>
      <t xml:space="preserve">標題確認「約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」）；假設供給受限；逐字稿未取得</t>
    </r>
  </si>
  <si>
    <r>
      <rPr>
        <sz val="11"/>
        <color theme="1"/>
        <rFont val="Noto Sans CJK SC"/>
        <family val="2"/>
      </rPr>
      <t xml:space="preserve">工作單記約 </t>
    </r>
    <r>
      <rPr>
        <sz val="11"/>
        <color theme="1"/>
        <rFont val="Calibri"/>
        <family val="2"/>
        <charset val="1"/>
      </rPr>
      <t xml:space="preserve">US$690B</t>
    </r>
    <r>
      <rPr>
        <sz val="11"/>
        <color theme="1"/>
        <rFont val="Noto Sans CJK SC"/>
        <family val="2"/>
      </rPr>
      <t xml:space="preserve">：未找到公司直接陳述的美元金額，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×1.7 </t>
    </r>
    <r>
      <rPr>
        <sz val="11"/>
        <color theme="1"/>
        <rFont val="Noto Sans CJK SC"/>
        <family val="2"/>
      </rPr>
      <t xml:space="preserve">推算</t>
    </r>
  </si>
  <si>
    <t xml:space="preserve">g28_gm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</si>
  <si>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毛利率指引</t>
    </r>
  </si>
  <si>
    <r>
      <rPr>
        <sz val="11"/>
        <color theme="1"/>
        <rFont val="Noto Sans CJK SC"/>
        <family val="2"/>
      </rPr>
      <t xml:space="preserve">二手報導：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72–73%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FY28 </t>
    </r>
    <r>
      <rPr>
        <sz val="11"/>
        <color theme="1"/>
        <rFont val="Noto Sans CJK SC"/>
        <family val="2"/>
      </rPr>
      <t xml:space="preserve">起調價生效）；</t>
    </r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Noto Sans CJK SC"/>
        <family val="2"/>
      </rPr>
      <t xml:space="preserve">谷底 </t>
    </r>
    <r>
      <rPr>
        <sz val="11"/>
        <color theme="1"/>
        <rFont val="Calibri"/>
        <family val="2"/>
        <charset val="1"/>
      </rPr>
      <t xml:space="preserve">71–72%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moomoo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Noto Sans CJK SC"/>
        <family val="2"/>
      </rPr>
      <t xml:space="preserve">；逐字稿未取得）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</si>
  <si>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Q3 FY27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74.0%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</t>
    </r>
  </si>
  <si>
    <t xml:space="preserve">cons_g28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</si>
  <si>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營收年增（指引後）</t>
    </r>
  </si>
  <si>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摘要（二手）；指引前 </t>
    </r>
    <r>
      <rPr>
        <sz val="11"/>
        <color theme="1"/>
        <rFont val="Calibri"/>
        <family val="2"/>
        <charset val="1"/>
      </rPr>
      <t xml:space="preserve">LSEG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44%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</si>
  <si>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</si>
  <si>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</si>
  <si>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（搜尋摘要，頁面無法開啟）；另一來源 </t>
    </r>
    <r>
      <rPr>
        <sz val="11"/>
        <color theme="1"/>
        <rFont val="Calibri"/>
        <family val="2"/>
        <charset val="1"/>
      </rPr>
      <t xml:space="preserve">396</t>
    </r>
    <r>
      <rPr>
        <sz val="11"/>
        <color theme="1"/>
        <rFont val="Noto Sans CJK SC"/>
        <family val="2"/>
      </rPr>
      <t xml:space="preserve">（可能較舊）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</si>
  <si>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</si>
  <si>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</si>
  <si>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t xml:space="preserve">US$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</si>
  <si>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（搜尋摘要）；</t>
    </r>
    <r>
      <rPr>
        <sz val="11"/>
        <color theme="1"/>
        <rFont val="Calibri"/>
        <family val="2"/>
        <charset val="1"/>
      </rPr>
      <t xml:space="preserve">9.28–9.31 </t>
    </r>
    <r>
      <rPr>
        <sz val="11"/>
        <color theme="1"/>
        <rFont val="Noto Sans CJK SC"/>
        <family val="2"/>
      </rPr>
      <t xml:space="preserve">的其他摘要</t>
    </r>
  </si>
  <si>
    <r>
      <rPr>
        <sz val="11"/>
        <color theme="1"/>
        <rFont val="Noto Sans CJK SC"/>
        <family val="2"/>
      </rPr>
      <t xml:space="preserve">新口徑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</si>
  <si>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</si>
  <si>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</si>
  <si>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Calibri"/>
        <family val="2"/>
        <charset val="1"/>
      </rPr>
      <t xml:space="preserve">247wallst 2026-10-19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15.70–15.91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Wallstreetzen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16.13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68 </t>
    </r>
    <r>
      <rPr>
        <sz val="11"/>
        <color theme="1"/>
        <rFont val="Noto Sans CJK SC"/>
        <family val="2"/>
      </rPr>
      <t xml:space="preserve">位分析師，區間 </t>
    </r>
    <r>
      <rPr>
        <sz val="11"/>
        <color theme="1"/>
        <rFont val="Calibri"/>
        <family val="2"/>
        <charset val="1"/>
      </rPr>
      <t xml:space="preserve">13.13–19.65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</si>
  <si>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新口徑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共識：未找到</t>
    </r>
  </si>
  <si>
    <t xml:space="preserve">th_mult</t>
  </si>
  <si>
    <r>
      <rPr>
        <sz val="11"/>
        <color theme="1"/>
        <rFont val="Noto Sans CJK SC"/>
        <family val="2"/>
      </rPr>
      <t xml:space="preserve">命題中現價對「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」的倍數（日曆年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）</t>
    </r>
  </si>
  <si>
    <t xml:space="preserve">擁有者命題（工作單）</t>
  </si>
  <si>
    <r>
      <rPr>
        <sz val="11"/>
        <color theme="1"/>
        <rFont val="Noto Sans CJK SC"/>
        <family val="2"/>
      </rPr>
      <t xml:space="preserve">對照：現價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13.4–13.5x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頁）</t>
    </r>
  </si>
  <si>
    <t xml:space="preserve">th_sh_lo</t>
  </si>
  <si>
    <r>
      <rPr>
        <sz val="11"/>
        <color theme="1"/>
        <rFont val="Noto Sans CJK SC"/>
        <family val="2"/>
      </rPr>
      <t xml:space="preserve">命題：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金額份額（下緣）</t>
    </r>
  </si>
  <si>
    <r>
      <rPr>
        <sz val="11"/>
        <color theme="1"/>
        <rFont val="Noto Sans CJK SC"/>
        <family val="2"/>
      </rPr>
      <t xml:space="preserve">擁有者命題；可歸屬的外部來源：未找到（</t>
    </r>
    <r>
      <rPr>
        <sz val="11"/>
        <color theme="1"/>
        <rFont val="Calibri"/>
        <family val="2"/>
        <charset val="1"/>
      </rPr>
      <t xml:space="preserve">Kaiso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前 </t>
    </r>
    <r>
      <rPr>
        <sz val="11"/>
        <color theme="1"/>
        <rFont val="Calibri"/>
        <family val="2"/>
        <charset val="1"/>
      </rPr>
      <t xml:space="preserve">60–75%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）</t>
    </r>
  </si>
  <si>
    <t xml:space="preserve">th_sh_hi</t>
  </si>
  <si>
    <r>
      <rPr>
        <sz val="11"/>
        <color theme="1"/>
        <rFont val="Noto Sans CJK SC"/>
        <family val="2"/>
      </rPr>
      <t xml:space="preserve">命題：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金額份額（上緣）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</si>
  <si>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各家每顆加速器金額（份額計算用；模組層級，與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模組價同一口徑）</t>
    </r>
  </si>
  <si>
    <t xml:space="preserve">pa_amd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</si>
  <si>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</si>
  <si>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Calibri"/>
        <family val="2"/>
        <charset val="1"/>
      </rPr>
      <t xml:space="preserve">MI355X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HSBC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$23K</t>
    </r>
    <r>
      <rPr>
        <sz val="11"/>
        <color theme="1"/>
        <rFont val="Noto Sans CJK SC"/>
        <family val="2"/>
      </rPr>
      <t xml:space="preserve">（自 </t>
    </r>
    <r>
      <rPr>
        <sz val="11"/>
        <color theme="1"/>
        <rFont val="Calibri"/>
        <family val="2"/>
        <charset val="1"/>
      </rPr>
      <t xml:space="preserve">$25K </t>
    </r>
    <r>
      <rPr>
        <sz val="11"/>
        <color theme="1"/>
        <rFont val="Noto Sans CJK SC"/>
        <family val="2"/>
      </rPr>
      <t xml:space="preserve">下修）、其他報導 </t>
    </r>
    <r>
      <rPr>
        <sz val="11"/>
        <color theme="1"/>
        <rFont val="Calibri"/>
        <family val="2"/>
        <charset val="1"/>
      </rPr>
      <t xml:space="preserve">$20–25K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無官方價，部落格 </t>
    </r>
    <r>
      <rPr>
        <sz val="11"/>
        <color theme="1"/>
        <rFont val="Calibri"/>
        <family val="2"/>
        <charset val="1"/>
      </rPr>
      <t xml:space="preserve">$15–50K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finviz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gpusmith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MikeLongTerm</t>
    </r>
    <r>
      <rPr>
        <sz val="11"/>
        <color theme="1"/>
        <rFont val="Noto Sans CJK SC"/>
        <family val="2"/>
      </rPr>
      <t xml:space="preserve">；賣方有目標價誘因）</t>
    </r>
  </si>
  <si>
    <r>
      <rPr>
        <sz val="11"/>
        <color theme="1"/>
        <rFont val="Noto Sans CJK SC"/>
        <family val="2"/>
      </rPr>
      <t xml:space="preserve">第二來源：以上三者互相一致於 </t>
    </r>
    <r>
      <rPr>
        <sz val="11"/>
        <color theme="1"/>
        <rFont val="Calibri"/>
        <family val="2"/>
        <charset val="1"/>
      </rPr>
      <t xml:space="preserve">$20–25K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MI355X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無獨立來源</t>
    </r>
  </si>
  <si>
    <t xml:space="preserve">pa_tpu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</si>
  <si>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</si>
  <si>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未找到（只有租用價代理：</t>
    </r>
    <r>
      <rPr>
        <sz val="11"/>
        <color theme="1"/>
        <rFont val="Calibri"/>
        <family val="2"/>
        <charset val="1"/>
      </rPr>
      <t xml:space="preserve">Ironwood $1.03–1.60</t>
    </r>
    <r>
      <rPr>
        <sz val="11"/>
        <color theme="1"/>
        <rFont val="Noto Sans CJK SC"/>
        <family val="2"/>
      </rPr>
      <t xml:space="preserve">／小時，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，不可單獨使用）</t>
    </r>
  </si>
  <si>
    <t xml:space="preserve">未找到</t>
  </si>
  <si>
    <t xml:space="preserve">pa_trn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</si>
  <si>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</si>
  <si>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未找到</t>
    </r>
  </si>
  <si>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（逾 </t>
    </r>
    <r>
      <rPr>
        <sz val="11"/>
        <color theme="1"/>
        <rFont val="Calibri"/>
        <family val="2"/>
        <charset val="1"/>
      </rPr>
      <t xml:space="preserve">$30K</t>
    </r>
    <r>
      <rPr>
        <sz val="11"/>
        <color theme="1"/>
        <rFont val="Noto Sans CJK SC"/>
        <family val="2"/>
      </rPr>
      <t xml:space="preserve">）的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$9–12K</t>
    </r>
    <r>
      <rPr>
        <sz val="11"/>
        <color theme="1"/>
        <rFont val="Noto Sans CJK SC"/>
        <family val="2"/>
      </rPr>
      <t xml:space="preserve">（二手，</t>
    </r>
    <r>
      <rPr>
        <sz val="11"/>
        <color theme="1"/>
        <rFont val="Calibri"/>
        <family val="2"/>
        <charset val="1"/>
      </rPr>
      <t xml:space="preserve">cryptobriefing</t>
    </r>
    <r>
      <rPr>
        <sz val="11"/>
        <color theme="1"/>
        <rFont val="Noto Sans CJK SC"/>
        <family val="2"/>
      </rPr>
      <t xml:space="preserve">）作量級參照</t>
    </r>
  </si>
  <si>
    <t xml:space="preserve">pa_oth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</si>
  <si>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</si>
  <si>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無：未找到（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MTIA </t>
    </r>
    <r>
      <rPr>
        <sz val="11"/>
        <color theme="1"/>
        <rFont val="Noto Sans CJK SC"/>
        <family val="2"/>
      </rPr>
      <t xml:space="preserve">皆無 </t>
    </r>
    <r>
      <rPr>
        <sz val="11"/>
        <color theme="1"/>
        <rFont val="Calibri"/>
        <family val="2"/>
        <charset val="1"/>
      </rPr>
      <t xml:space="preserve">ASP</t>
    </r>
    <r>
      <rPr>
        <sz val="11"/>
        <color theme="1"/>
        <rFont val="Noto Sans CJK SC"/>
        <family val="2"/>
      </rPr>
      <t xml:space="preserve">）</t>
    </r>
  </si>
  <si>
    <t xml:space="preserve">dsh</t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</si>
  <si>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金額份額變動（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±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</si>
  <si>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±5 </t>
    </r>
    <r>
      <rPr>
        <sz val="11"/>
        <color theme="1"/>
        <rFont val="Noto Sans CJK SC"/>
        <family val="2"/>
      </rPr>
      <t xml:space="preserve">個百分點</t>
    </r>
  </si>
  <si>
    <t xml:space="preserve">uk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</si>
  <si>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起乘以所有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世代顆數）</t>
    </r>
  </si>
  <si>
    <t xml:space="preserve">±10%</t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</si>
  <si>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</si>
  <si>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</si>
  <si>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</si>
  <si>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tipranks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bullfincher </t>
    </r>
    <r>
      <rPr>
        <sz val="11"/>
        <color theme="1"/>
        <rFont val="Noto Sans CJK SC"/>
        <family val="2"/>
      </rPr>
      <t xml:space="preserve">兩來源核對）；</t>
    </r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統計頁同值（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210.96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v0.1.2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212.21</t>
    </r>
  </si>
  <si>
    <r>
      <rPr>
        <sz val="11"/>
        <color theme="1"/>
        <rFont val="Noto Sans CJK SC"/>
        <family val="2"/>
      </rPr>
      <t xml:space="preserve">股數量級核對（</t>
    </r>
    <r>
      <rPr>
        <sz val="11"/>
        <color theme="1"/>
        <rFont val="Calibri"/>
        <family val="2"/>
        <charset val="1"/>
      </rPr>
      <t xml:space="preserve">v0.1.2</t>
    </r>
    <r>
      <rPr>
        <sz val="11"/>
        <color theme="1"/>
        <rFont val="Noto Sans CJK SC"/>
        <family val="2"/>
      </rPr>
      <t xml:space="preserve">）：市值約 </t>
    </r>
    <r>
      <rPr>
        <sz val="11"/>
        <color theme="1"/>
        <rFont val="Calibri"/>
        <family val="2"/>
        <charset val="1"/>
      </rPr>
      <t xml:space="preserve">$5.12T ÷ 212.21 ≈ 24.1B </t>
    </r>
    <r>
      <rPr>
        <sz val="11"/>
        <color theme="1"/>
        <rFont val="Noto Sans CJK SC"/>
        <family val="2"/>
      </rPr>
      <t xml:space="preserve">股，與 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稀釋股數 </t>
    </r>
    <r>
      <rPr>
        <sz val="11"/>
        <color theme="1"/>
        <rFont val="Calibri"/>
        <family val="2"/>
        <charset val="1"/>
      </rPr>
      <t xml:space="preserve">24.285B </t>
    </r>
    <r>
      <rPr>
        <sz val="11"/>
        <color theme="1"/>
        <rFont val="Noto Sans CJK SC"/>
        <family val="2"/>
      </rPr>
      <t xml:space="preserve">同量級</t>
    </r>
  </si>
  <si>
    <t xml:space="preserve">r_disc</t>
  </si>
  <si>
    <r>
      <rPr>
        <sz val="11"/>
        <color theme="1"/>
        <rFont val="Noto Sans CJK SC"/>
        <family val="2"/>
      </rPr>
      <t xml:space="preserve">折現率（把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年底隱含價折回現在；參考用）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</si>
  <si>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2028-01</t>
    </r>
    <r>
      <rPr>
        <sz val="11"/>
        <color theme="1"/>
        <rFont val="Noto Sans CJK SC"/>
        <family val="2"/>
      </rPr>
      <t xml:space="preserve">）距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1.27 </t>
    </r>
    <r>
      <rPr>
        <sz val="11"/>
        <color theme="1"/>
        <rFont val="Noto Sans CJK SC"/>
        <family val="2"/>
      </rPr>
      <t xml:space="preserve">年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</si>
  <si>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</si>
  <si>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</si>
  <si>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</si>
  <si>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</si>
  <si>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t−1</t>
    </r>
    <r>
      <rPr>
        <sz val="11"/>
        <color theme="1"/>
        <rFont val="Noto Sans CJK SC"/>
        <family val="2"/>
      </rPr>
      <t xml:space="preserve">，用 </t>
    </r>
    <r>
      <rPr>
        <sz val="11"/>
        <color theme="1"/>
        <rFont val="Calibri"/>
        <family val="2"/>
        <charset val="1"/>
      </rPr>
      <t xml:space="preserve">classify_lag</t>
    </r>
    <r>
      <rPr>
        <sz val="11"/>
        <color theme="1"/>
        <rFont val="Noto Sans CJK SC"/>
        <family val="2"/>
      </rPr>
      <t xml:space="preserve">；設備市場模型的情境係數為 </t>
    </r>
    <r>
      <rPr>
        <sz val="11"/>
        <color theme="1"/>
        <rFont val="Calibri"/>
        <family val="2"/>
        <charset val="1"/>
      </rPr>
      <t xml:space="preserve">Assumed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</si>
  <si>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</si>
  <si>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</si>
  <si>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</si>
  <si>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</si>
  <si>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</si>
  <si>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</si>
  <si>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r>
      <rPr>
        <b val="true"/>
        <sz val="11"/>
        <rFont val="Cambria"/>
        <family val="0"/>
        <charset val="1"/>
      </rPr>
      <t xml:space="preserve">L.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v0.1.2 </t>
    </r>
    <r>
      <rPr>
        <b val="true"/>
        <sz val="11"/>
        <rFont val="Noto Sans CJK SC"/>
        <family val="2"/>
      </rPr>
      <t xml:space="preserve">新增；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節用）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</si>
  <si>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</si>
  <si>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</si>
  <si>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</si>
  <si>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</si>
  <si>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</si>
  <si>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</si>
  <si>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</si>
  <si>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</si>
  <si>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M. </t>
    </r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新增：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加權、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後收斂法；黃底＝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</si>
  <si>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</si>
  <si>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折現率（股東權益成本）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</si>
  <si>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：美、台、日、韓同一值）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</si>
  <si>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</si>
  <si>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</si>
  <si>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後永續；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情境的收斂目標）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</si>
  <si>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</si>
  <si>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（只改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再投資率與永續成長，不改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收斂路徑）</t>
    </r>
  </si>
  <si>
    <t xml:space="preserve">tp_gd</t>
  </si>
  <si>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情境長期成長相對 </t>
    </r>
    <r>
      <rPr>
        <sz val="11"/>
        <color theme="1"/>
        <rFont val="Calibri"/>
        <family val="2"/>
        <charset val="1"/>
      </rPr>
      <t xml:space="preserve">tp_g </t>
    </r>
    <r>
      <rPr>
        <sz val="11"/>
        <color theme="1"/>
        <rFont val="Noto Sans CJK SC"/>
        <family val="2"/>
      </rPr>
      <t xml:space="preserve">的差（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＋、</t>
    </r>
    <r>
      <rPr>
        <sz val="11"/>
        <color theme="1"/>
        <rFont val="Calibri"/>
        <family val="2"/>
        <charset val="1"/>
      </rPr>
      <t xml:space="preserve">C−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</si>
  <si>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</si>
  <si>
    <t xml:space="preserve">tp_roe</t>
  </si>
  <si>
    <r>
      <rPr>
        <sz val="11"/>
        <color theme="1"/>
        <rFont val="Noto Sans CJK SC"/>
        <family val="2"/>
      </rPr>
      <t xml:space="preserve">近三年平均 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</si>
  <si>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valueinvesting.io NVDA ROE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，年度）：</t>
    </r>
    <r>
      <rPr>
        <sz val="11"/>
        <color theme="1"/>
        <rFont val="Calibri"/>
        <family val="2"/>
        <charset val="1"/>
      </rPr>
      <t xml:space="preserve">FY2024 69.24%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91.87%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76.33%</t>
    </r>
    <r>
      <rPr>
        <sz val="11"/>
        <color theme="1"/>
        <rFont val="Noto Sans CJK SC"/>
        <family val="2"/>
      </rPr>
      <t xml:space="preserve">，平均 </t>
    </r>
    <r>
      <rPr>
        <sz val="11"/>
        <color theme="1"/>
        <rFont val="Calibri"/>
        <family val="2"/>
        <charset val="1"/>
      </rPr>
      <t xml:space="preserve">79.15%</t>
    </r>
    <r>
      <rPr>
        <sz val="11"/>
        <color theme="1"/>
        <rFont val="Noto Sans CJK SC"/>
        <family val="2"/>
      </rPr>
      <t xml:space="preserve">（資料商，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</si>
  <si>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ROE 117.21%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頁面）；再投資率上限 </t>
    </r>
    <r>
      <rPr>
        <sz val="11"/>
        <color theme="1"/>
        <rFont val="Calibri"/>
        <family val="2"/>
        <charset val="1"/>
      </rPr>
      <t xml:space="preserve">0.8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</si>
  <si>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</si>
  <si>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的權重（其餘為 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</si>
  <si>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</si>
  <si>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</si>
  <si>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t xml:space="preserve">nm10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</si>
  <si>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）：延伸期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情境的收斂目標</t>
    </r>
  </si>
  <si>
    <r>
      <rPr>
        <sz val="11"/>
        <color theme="1"/>
        <rFont val="Calibri"/>
        <family val="2"/>
        <charset val="1"/>
      </rPr>
      <t xml:space="preserve">finboard.net NVDA </t>
    </r>
    <r>
      <rPr>
        <sz val="11"/>
        <color theme="1"/>
        <rFont val="Noto Sans CJK SC"/>
        <family val="2"/>
      </rPr>
      <t xml:space="preserve">損益表（營收、淨利，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FY2016 5,010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FY2017 6,910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1,666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FY2018 9,714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3,047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FY2019 11,716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4,141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FY2020 10,918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2,796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FY2021 16,675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4,332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FY2022 26,914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9,752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FY2023 26,974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4,368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60,922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29,760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130,497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72,880</t>
    </r>
    <r>
      <rPr>
        <sz val="11"/>
        <color theme="1"/>
        <rFont val="Noto Sans CJK SC"/>
        <family val="2"/>
      </rPr>
      <t xml:space="preserve">；十年淨利率平均 </t>
    </r>
    <r>
      <rPr>
        <sz val="11"/>
        <color theme="1"/>
        <rFont val="Calibri"/>
        <family val="2"/>
        <charset val="1"/>
      </rPr>
      <t xml:space="preserve">31.18%</t>
    </r>
  </si>
  <si>
    <r>
      <rPr>
        <sz val="11"/>
        <color theme="1"/>
        <rFont val="Calibri"/>
        <family val="2"/>
        <charset val="1"/>
      </rPr>
      <t xml:space="preserve">valueinvesting.io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FY2017–FY2025 </t>
    </r>
    <r>
      <rPr>
        <sz val="11"/>
        <color theme="1"/>
        <rFont val="Noto Sans CJK SC"/>
        <family val="2"/>
      </rPr>
      <t xml:space="preserve">逐年相同（</t>
    </r>
    <r>
      <rPr>
        <sz val="11"/>
        <color theme="1"/>
        <rFont val="Calibri"/>
        <family val="2"/>
        <charset val="1"/>
      </rPr>
      <t xml:space="preserve">24.11%…55.85%</t>
    </r>
    <r>
      <rPr>
        <sz val="11"/>
        <color theme="1"/>
        <rFont val="Noto Sans CJK SC"/>
        <family val="2"/>
      </rPr>
      <t xml:space="preserve">）；本模型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口徑（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扣權益證券損益）與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淨利相近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</si>
  <si>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</si>
  <si>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</si>
  <si>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62 </t>
    </r>
    <r>
      <rPr>
        <sz val="11"/>
        <color theme="1"/>
        <rFont val="Noto Sans CJK SC"/>
        <family val="2"/>
      </rPr>
      <t xml:space="preserve">位分析師平均，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頁面；現價為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</t>
    </r>
  </si>
  <si>
    <t xml:space="preserve">賣方有目標價誘因；只作對照，不進目標價</t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</si>
  <si>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為美元；股數為十億股）。會計年度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2025-02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。藍字＝輸入；黑字＝公式。實績取自 </t>
    </r>
    <r>
      <rPr>
        <sz val="11"/>
        <color theme="1"/>
        <rFont val="Calibri"/>
        <family val="2"/>
        <charset val="1"/>
      </rPr>
      <t xml:space="preserve">NVIDIA 8-K </t>
    </r>
    <r>
      <rPr>
        <sz val="11"/>
        <color theme="1"/>
        <rFont val="Noto Sans CJK SC"/>
        <family val="2"/>
      </rPr>
      <t xml:space="preserve">新聞稿；第二來源＝後續季度新聞稿的比較欄（同一公司不同文件）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</si>
  <si>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指引中點＋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假設（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欄，假設見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節）。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口徑：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扣除權益證券損益（一次性；權益證券損益 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$15.9B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$7.8B</t>
    </r>
    <r>
      <rPr>
        <sz val="11"/>
        <color theme="1"/>
        <rFont val="Noto Sans CJK SC"/>
        <family val="2"/>
      </rPr>
      <t xml:space="preserve">），含股票薪酬；與公司自 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起的新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口徑（含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）相近，差額見下方檢查列</t>
    </r>
  </si>
  <si>
    <r>
      <rPr>
        <b val="true"/>
        <sz val="11"/>
        <rFont val="Cambria"/>
        <family val="0"/>
        <charset val="1"/>
      </rPr>
      <t xml:space="preserve">FY26 Q1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2025-02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04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</si>
  <si>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Q2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07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</si>
  <si>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Q3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10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</si>
  <si>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Q4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2026-01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</si>
  <si>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全年</t>
    </r>
  </si>
  <si>
    <r>
      <rPr>
        <b val="true"/>
        <sz val="11"/>
        <rFont val="Cambria"/>
        <family val="0"/>
        <charset val="1"/>
      </rPr>
      <t xml:space="preserve">FY27 Q1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2026-02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04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</si>
  <si>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FY27 Q2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07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</si>
  <si>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FY27 Q3</t>
    </r>
    <r>
      <rPr>
        <b val="true"/>
        <sz val="11"/>
        <rFont val="Noto Sans CJK SC"/>
        <family val="2"/>
      </rPr>
      <t xml:space="preserve">（指引中點）</t>
    </r>
  </si>
  <si>
    <r>
      <rPr>
        <b val="true"/>
        <sz val="11"/>
        <rFont val="Cambria"/>
        <family val="0"/>
        <charset val="1"/>
      </rPr>
      <t xml:space="preserve">FY27 Q4</t>
    </r>
    <r>
      <rPr>
        <b val="true"/>
        <sz val="11"/>
        <rFont val="Noto Sans CJK SC"/>
        <family val="2"/>
      </rPr>
      <t xml:space="preserve">（假設）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</si>
  <si>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</si>
  <si>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</si>
  <si>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</si>
  <si>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</si>
  <si>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nvidianews.nvidia.com/news/nvidia-announces-financial-results-for-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first-quarter-fiscal-2026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second-quarter-fiscal-2026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third-quarter-fiscal-2026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fourth-quarter-and-fiscal-2026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first-quarter-fiscal-2027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second-quarter-fiscal-2027</t>
    </r>
  </si>
  <si>
    <r>
      <rPr>
        <sz val="11"/>
        <color theme="1"/>
        <rFont val="Noto Sans CJK SC"/>
        <family val="2"/>
      </rPr>
      <t xml:space="preserve">後續季度新聞稿比較欄交叉：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Q2 FY26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稿</t>
    </r>
  </si>
  <si>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Noto Sans CJK SC"/>
        <family val="2"/>
      </rPr>
      <t xml:space="preserve">營收（公司揭露，四捨五入到 </t>
    </r>
    <r>
      <rPr>
        <sz val="11"/>
        <color theme="1"/>
        <rFont val="Calibri"/>
        <family val="2"/>
        <charset val="1"/>
      </rPr>
      <t xml:space="preserve">0.1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</si>
  <si>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</si>
  <si>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後續季度新聞稿比較欄交叉：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Q2 FY26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193.7</t>
    </r>
    <r>
      <rPr>
        <sz val="11"/>
        <color theme="1"/>
        <rFont val="Noto Sans CJK SC"/>
        <family val="2"/>
      </rPr>
      <t xml:space="preserve">＝公司全年值</t>
    </r>
  </si>
  <si>
    <r>
      <rPr>
        <sz val="11"/>
        <color theme="1"/>
        <rFont val="Calibri"/>
        <family val="2"/>
        <charset val="1"/>
      </rPr>
      <t xml:space="preserve">Edge Computing </t>
    </r>
    <r>
      <rPr>
        <sz val="11"/>
        <color theme="1"/>
        <rFont val="Noto Sans CJK SC"/>
        <family val="2"/>
      </rPr>
      <t xml:space="preserve">營收（＝營收 − </t>
    </r>
    <r>
      <rPr>
        <sz val="11"/>
        <color theme="1"/>
        <rFont val="Calibri"/>
        <family val="2"/>
        <charset val="1"/>
      </rPr>
      <t xml:space="preserve">Data Center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</si>
  <si>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（實績）／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</si>
  <si>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起只揭露 </t>
    </r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Edge Computing </t>
    </r>
    <r>
      <rPr>
        <sz val="11"/>
        <color theme="1"/>
        <rFont val="Noto Sans CJK SC"/>
        <family val="2"/>
      </rPr>
      <t xml:space="preserve">兩個平台；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Edge</t>
    </r>
    <r>
      <rPr>
        <sz val="11"/>
        <color theme="1"/>
        <rFont val="Noto Sans CJK SC"/>
        <family val="2"/>
      </rPr>
      <t xml:space="preserve">＝營收 − </t>
    </r>
    <r>
      <rPr>
        <sz val="11"/>
        <color theme="1"/>
        <rFont val="Calibri"/>
        <family val="2"/>
        <charset val="1"/>
      </rPr>
      <t xml:space="preserve">Data Center</t>
    </r>
    <r>
      <rPr>
        <sz val="11"/>
        <color theme="1"/>
        <rFont val="Noto Sans CJK SC"/>
        <family val="2"/>
      </rPr>
      <t xml:space="preserve">（舊 </t>
    </r>
    <r>
      <rPr>
        <sz val="11"/>
        <color theme="1"/>
        <rFont val="Calibri"/>
        <family val="2"/>
        <charset val="1"/>
      </rPr>
      <t xml:space="preserve">Gaming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ProViz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Auto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OEM </t>
    </r>
    <r>
      <rPr>
        <sz val="11"/>
        <color theme="1"/>
        <rFont val="Noto Sans CJK SC"/>
        <family val="2"/>
      </rPr>
      <t xml:space="preserve">合計）</t>
    </r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</si>
  <si>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公司官方 </t>
    </r>
    <r>
      <rPr>
        <sz val="11"/>
        <color theme="1"/>
        <rFont val="Calibri"/>
        <family val="2"/>
        <charset val="1"/>
      </rPr>
      <t xml:space="preserve">Edge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6.4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7.2</t>
    </r>
    <r>
      <rPr>
        <sz val="11"/>
        <color theme="1"/>
        <rFont val="Noto Sans CJK SC"/>
        <family val="2"/>
      </rPr>
      <t xml:space="preserve">（下一列核對）</t>
    </r>
  </si>
  <si>
    <r>
      <rPr>
        <sz val="11"/>
        <color theme="1"/>
        <rFont val="Noto Sans CJK SC"/>
        <family val="2"/>
      </rPr>
      <t xml:space="preserve">  公司官方揭露的 </t>
    </r>
    <r>
      <rPr>
        <sz val="11"/>
        <color theme="1"/>
        <rFont val="Calibri"/>
        <family val="2"/>
        <charset val="1"/>
      </rPr>
      <t xml:space="preserve">Edge Computing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</si>
  <si>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https://nvidianews.nvidia.com/news/nvidia-announces-financial-results-for-first-quarter-fiscal-2027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https://nvidianews.nvidia.com/news/nvidia-announces-financial-results-for-second-quarter-fiscal-2027</t>
    </r>
  </si>
  <si>
    <r>
      <rPr>
        <sz val="11"/>
        <color theme="1"/>
        <rFont val="Noto Sans CJK SC"/>
        <family val="2"/>
      </rPr>
      <t xml:space="preserve">與上列推得值差 </t>
    </r>
    <r>
      <rPr>
        <sz val="11"/>
        <color theme="1"/>
        <rFont val="Calibri"/>
        <family val="2"/>
        <charset val="1"/>
      </rPr>
      <t xml:space="preserve">&lt; 0.05</t>
    </r>
    <r>
      <rPr>
        <sz val="11"/>
        <color theme="1"/>
        <rFont val="Noto Sans CJK SC"/>
        <family val="2"/>
      </rPr>
      <t xml:space="preserve">（四捨五入）</t>
    </r>
  </si>
  <si>
    <r>
      <rPr>
        <sz val="11"/>
        <color theme="1"/>
        <rFont val="Noto Sans CJK SC"/>
        <family val="2"/>
      </rPr>
      <t xml:space="preserve">毛利（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</si>
  <si>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</si>
  <si>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</si>
  <si>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FY26 60.5%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H20 </t>
    </r>
    <r>
      <rPr>
        <sz val="11"/>
        <color theme="1"/>
        <rFont val="Noto Sans CJK SC"/>
        <family val="2"/>
      </rPr>
      <t xml:space="preserve">費用 </t>
    </r>
    <r>
      <rPr>
        <sz val="11"/>
        <color theme="1"/>
        <rFont val="Calibri"/>
        <family val="2"/>
        <charset val="1"/>
      </rPr>
      <t xml:space="preserve">$4.5B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FY2026 71.1%</t>
    </r>
  </si>
  <si>
    <r>
      <rPr>
        <sz val="11"/>
        <color theme="1"/>
        <rFont val="Noto Sans CJK SC"/>
        <family val="2"/>
      </rPr>
      <t xml:space="preserve">營業費用（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R&amp;D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SG&amp;A</t>
    </r>
    <r>
      <rPr>
        <sz val="11"/>
        <color theme="1"/>
        <rFont val="Noto Sans CJK SC"/>
        <family val="2"/>
      </rPr>
      <t xml:space="preserve">）</t>
    </r>
  </si>
  <si>
    <t xml:space="preserve">營業利益</t>
  </si>
  <si>
    <r>
      <rPr>
        <sz val="11"/>
        <color theme="1"/>
        <rFont val="Noto Sans CJK SC"/>
        <family val="2"/>
      </rPr>
      <t xml:space="preserve">檢查：毛利 − 營業費用 − 營業利益（實績應為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</si>
  <si>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其他收益淨額（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合計，含權益證券損益）</t>
    </r>
  </si>
  <si>
    <t xml:space="preserve">  其中：權益證券淨損益（一次性，排除）</t>
  </si>
  <si>
    <r>
      <rPr>
        <sz val="11"/>
        <color theme="1"/>
        <rFont val="Calibri"/>
        <family val="2"/>
        <charset val="1"/>
      </rPr>
      <t xml:space="preserve">NVIDIA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nvidianews.nvidia.com/news/nvidia-announces-financial-results-for-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first-quarter-fiscal-2026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second-quarter-fiscal-2026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third-quarter-fiscal-2026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fourth-quarter-and-fiscal-2026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first-quarter-fiscal-2027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second-quarter-fiscal-2027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調節表「</t>
    </r>
    <r>
      <rPr>
        <sz val="11"/>
        <color theme="1"/>
        <rFont val="Calibri"/>
        <family val="2"/>
        <charset val="1"/>
      </rPr>
      <t xml:space="preserve">Gains from equity securities, net</t>
    </r>
    <r>
      <rPr>
        <sz val="11"/>
        <color theme="1"/>
        <rFont val="Noto Sans CJK SC"/>
        <family val="2"/>
      </rPr>
      <t xml:space="preserve">」）</t>
    </r>
  </si>
  <si>
    <t xml:space="preserve">其他收益淨額（不含權益證券損益）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</si>
  <si>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</si>
  <si>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合計 − 權益證券損益；利息收入、利息費用與其他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</si>
  <si>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其他收益：</t>
    </r>
    <r>
      <rPr>
        <sz val="11"/>
        <color theme="1"/>
        <rFont val="Calibri"/>
        <family val="2"/>
        <charset val="1"/>
      </rPr>
      <t xml:space="preserve">Q1 FY26 0.45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0.52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0.62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 FY27 0.46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FY27 0.30</t>
    </r>
    <r>
      <rPr>
        <sz val="11"/>
        <color theme="1"/>
        <rFont val="Noto Sans CJK SC"/>
        <family val="2"/>
      </rPr>
      <t xml:space="preserve">（另含股息收入等調節）</t>
    </r>
  </si>
  <si>
    <t xml:space="preserve">稅前利益（不含權益證券損益）</t>
  </si>
  <si>
    <r>
      <rPr>
        <sz val="11"/>
        <color theme="1"/>
        <rFont val="Noto Sans CJK SC"/>
        <family val="2"/>
      </rPr>
      <t xml:space="preserve">所得稅（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</si>
  <si>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稅前利益（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</si>
  <si>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t xml:space="preserve">營業利益＋其他收益淨額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</si>
  <si>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 FY27 69.903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71.507</t>
    </r>
  </si>
  <si>
    <t xml:space="preserve">有效稅率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</si>
  <si>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16.0–18.0%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</si>
  <si>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稅 </t>
    </r>
    <r>
      <rPr>
        <sz val="11"/>
        <color theme="1"/>
        <rFont val="Calibri"/>
        <family val="2"/>
        <charset val="1"/>
      </rPr>
      <t xml:space="preserve">÷ GAAP </t>
    </r>
    <r>
      <rPr>
        <sz val="11"/>
        <color theme="1"/>
        <rFont val="Noto Sans CJK SC"/>
        <family val="2"/>
      </rPr>
      <t xml:space="preserve">稅前；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欄為扣除權益證券損益後的全年有效稅率（實績季用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有效稅率套用在不含損益的稅前利益）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</si>
  <si>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16.0%–18.0%</t>
    </r>
  </si>
  <si>
    <r>
      <rPr>
        <sz val="11"/>
        <color theme="1"/>
        <rFont val="Noto Sans CJK SC"/>
        <family val="2"/>
      </rPr>
      <t xml:space="preserve">淨利（不含權益證券損益）＝稅前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有效稅率）</t>
    </r>
  </si>
  <si>
    <t xml:space="preserve">稀釋股數（十億股）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</si>
  <si>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（不含權益證券損益，美元）</t>
    </r>
  </si>
  <si>
    <r>
      <rPr>
        <sz val="11"/>
        <color theme="1"/>
        <rFont val="Noto Sans CJK SC"/>
        <family val="2"/>
      </rPr>
      <t xml:space="preserve">淨利（不含權益證券損益）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</si>
  <si>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FY2027 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為指引與假設推得</t>
    </r>
  </si>
  <si>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，公司）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</si>
  <si>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稀釋，公司）</t>
    </r>
  </si>
  <si>
    <r>
      <rPr>
        <sz val="11"/>
        <color theme="1"/>
        <rFont val="Noto Sans CJK SC"/>
        <family val="2"/>
      </rPr>
      <t xml:space="preserve">後續季度新聞稿比較欄交叉：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Q2 FY26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4.90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</si>
  <si>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稀釋，新口徑含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官方重編值：未找到）</t>
    </r>
  </si>
  <si>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稿對帳表（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 FY27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稿對帳表（</t>
    </r>
    <r>
      <rPr>
        <sz val="11"/>
        <color theme="1"/>
        <rFont val="Calibri"/>
        <family val="2"/>
        <charset val="1"/>
      </rPr>
      <t xml:space="preserve">Q2 FY26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</si>
  <si>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舊口徑（排除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）原值：</t>
    </r>
    <r>
      <rPr>
        <sz val="11"/>
        <color theme="1"/>
        <rFont val="Calibri"/>
        <family val="2"/>
        <charset val="1"/>
      </rPr>
      <t xml:space="preserve">0.81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1.62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4.77</t>
    </r>
  </si>
  <si>
    <r>
      <rPr>
        <sz val="11"/>
        <color theme="1"/>
        <rFont val="Noto Sans CJK SC"/>
        <family val="2"/>
      </rPr>
      <t xml:space="preserve">股票薪酬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（現金流量表）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</si>
  <si>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淨利 − </t>
    </r>
    <r>
      <rPr>
        <sz val="11"/>
        <color theme="1"/>
        <rFont val="Calibri"/>
        <family val="2"/>
        <charset val="1"/>
      </rPr>
      <t xml:space="preserve">(GAAP </t>
    </r>
    <r>
      <rPr>
        <sz val="11"/>
        <color theme="1"/>
        <rFont val="Noto Sans CJK SC"/>
        <family val="2"/>
      </rPr>
      <t xml:space="preserve">稅前 − 稅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</si>
  <si>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（不含權益證券損益）− 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（新口徑）</t>
    </r>
  </si>
  <si>
    <t xml:space="preserve">差額來自收購相關成本、其他調節項與稅</t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</si>
  <si>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差 −</t>
    </r>
    <r>
      <rPr>
        <sz val="11"/>
        <color theme="1"/>
        <rFont val="Calibri"/>
        <family val="2"/>
        <charset val="1"/>
      </rPr>
      <t xml:space="preserve">0.03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0.02</t>
    </r>
    <r>
      <rPr>
        <sz val="11"/>
        <color theme="1"/>
        <rFont val="Noto Sans CJK SC"/>
        <family val="2"/>
      </rPr>
      <t xml:space="preserve">：本模型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口徑可近似公司新 </t>
    </r>
    <r>
      <rPr>
        <sz val="11"/>
        <color theme="1"/>
        <rFont val="Calibri"/>
        <family val="2"/>
        <charset val="1"/>
      </rPr>
      <t xml:space="preserve">non-GAAP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</si>
  <si>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四季合計 − 公司全年值（營收 </t>
    </r>
    <r>
      <rPr>
        <sz val="11"/>
        <color theme="1"/>
        <rFont val="Calibri"/>
        <family val="2"/>
        <charset val="1"/>
      </rPr>
      <t xml:space="preserve">215.938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130.387</t>
    </r>
    <r>
      <rPr>
        <sz val="11"/>
        <color theme="1"/>
        <rFont val="Noto Sans CJK SC"/>
        <family val="2"/>
      </rPr>
      <t xml:space="preserve">，應為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</si>
  <si>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錨點與共識、指引的距離（參考；校準時未使用共識）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</si>
  <si>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共識營收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</si>
  <si>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（不含權益證券損益）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− 1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</si>
  <si>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</si>
  <si>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</si>
  <si>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</si>
  <si>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加速器顆數（百萬顆；日曆年；與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、台積電、網通模型同一份）與金額份額（模組層級每顆價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顆數）。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t−1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CY2026 … FY2030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</si>
  <si>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</si>
  <si>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FY2028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</si>
  <si>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</si>
  <si>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）</t>
    </r>
  </si>
  <si>
    <t xml:space="preserve">說明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</si>
  <si>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</t>
    </r>
  </si>
  <si>
    <t xml:space="preserve">顆數</t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</si>
  <si>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</si>
  <si>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</si>
  <si>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</si>
  <si>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</si>
  <si>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</si>
  <si>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</si>
  <si>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</si>
  <si>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</si>
  <si>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  合計</t>
  </si>
  <si>
    <r>
      <rPr>
        <b val="true"/>
        <sz val="11"/>
        <rFont val="Noto Sans CJK SC"/>
        <family val="2"/>
      </rPr>
      <t xml:space="preserve">金額（顆數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每顆售價）</t>
    </r>
  </si>
  <si>
    <t xml:space="preserve">顆數份額</t>
  </si>
  <si>
    <t xml:space="preserve">  NVIDIA</t>
  </si>
  <si>
    <t xml:space="preserve">  AMD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</si>
  <si>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</si>
  <si>
    <t xml:space="preserve">金額份額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</si>
  <si>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</si>
  <si>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</si>
  <si>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金額份額的口徑：各平台「模組層級」每顆價（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模組價；</t>
    </r>
    <r>
      <rPr>
        <b val="true"/>
        <sz val="11"/>
        <rFont val="Cambria"/>
        <family val="0"/>
        <charset val="1"/>
      </rPr>
      <t xml:space="preserve">AMD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＝每顆晶片價；皆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J </t>
    </r>
    <r>
      <rPr>
        <b val="true"/>
        <sz val="11"/>
        <rFont val="Noto Sans CJK SC"/>
        <family val="2"/>
      </rPr>
      <t xml:space="preserve">節），不含系統加價與網通，故為加速器晶片的金額份額。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單價為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，份額的區間見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金額份額 </t>
    </r>
    <r>
      <rPr>
        <b val="true"/>
        <sz val="11"/>
        <rFont val="Cambria"/>
        <family val="0"/>
        <charset val="1"/>
      </rPr>
      <t xml:space="preserve">±5 </t>
    </r>
    <r>
      <rPr>
        <b val="true"/>
        <sz val="11"/>
        <rFont val="Noto Sans CJK SC"/>
        <family val="2"/>
      </rPr>
      <t xml:space="preserve">個百分點）。</t>
    </r>
  </si>
  <si>
    <r>
      <rPr>
        <b val="true"/>
        <sz val="11"/>
        <rFont val="Noto Sans CJK SC"/>
        <family val="2"/>
      </rPr>
      <t xml:space="preserve">每顆運算售價（基準，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記憶體價）＝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模組＋</t>
    </r>
    <r>
      <rPr>
        <b val="true"/>
        <sz val="11"/>
        <rFont val="Cambria"/>
        <family val="0"/>
        <charset val="1"/>
      </rPr>
      <t xml:space="preserve">CPU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LPDDR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k_tray × </t>
    </r>
    <r>
      <rPr>
        <b val="true"/>
        <sz val="11"/>
        <rFont val="Noto Sans CJK SC"/>
        <family val="2"/>
      </rPr>
      <t xml:space="preserve">匣級加價（</t>
    </r>
    <r>
      <rPr>
        <b val="true"/>
        <sz val="11"/>
        <rFont val="Cambria"/>
        <family val="0"/>
        <charset val="1"/>
      </rPr>
      <t xml:space="preserve">US$K</t>
    </r>
    <r>
      <rPr>
        <b val="true"/>
        <sz val="11"/>
        <rFont val="Noto Sans CJK SC"/>
        <family val="2"/>
      </rPr>
      <t xml:space="preserve">）</t>
    </r>
  </si>
  <si>
    <t xml:space="preserve">平台</t>
  </si>
  <si>
    <t xml:space="preserve">模組</t>
  </si>
  <si>
    <t xml:space="preserve">CPU</t>
  </si>
  <si>
    <t xml:space="preserve">LPDDR</t>
  </si>
  <si>
    <r>
      <rPr>
        <b val="true"/>
        <sz val="11"/>
        <rFont val="Noto Sans CJK SC"/>
        <family val="2"/>
      </rPr>
      <t xml:space="preserve">匣級加價 </t>
    </r>
    <r>
      <rPr>
        <b val="true"/>
        <sz val="11"/>
        <rFont val="Cambria"/>
        <family val="0"/>
        <charset val="1"/>
      </rPr>
      <t xml:space="preserve">× k_tray</t>
    </r>
  </si>
  <si>
    <r>
      <rPr>
        <b val="true"/>
        <sz val="11"/>
        <rFont val="Noto Sans CJK SC"/>
        <family val="2"/>
      </rPr>
      <t xml:space="preserve">合計 </t>
    </r>
    <r>
      <rPr>
        <b val="true"/>
        <sz val="11"/>
        <rFont val="Cambria"/>
        <family val="0"/>
        <charset val="1"/>
      </rPr>
      <t xml:space="preserve">pb</t>
    </r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</si>
  <si>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</si>
  <si>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NVIDIA Rubin</t>
  </si>
  <si>
    <t xml:space="preserve">NVIDIA Rubin Ultra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</si>
  <si>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</si>
  <si>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r>
      <rPr>
        <b val="true"/>
        <sz val="11"/>
        <rFont val="Noto Sans CJK SC"/>
        <family val="2"/>
      </rPr>
      <t xml:space="preserve">校準（只用公司已發生的實績與當年指引：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錨點的 </t>
    </r>
    <r>
      <rPr>
        <b val="true"/>
        <sz val="11"/>
        <rFont val="Cambria"/>
        <family val="0"/>
        <charset val="1"/>
      </rPr>
      <t xml:space="preserve">Data Center </t>
    </r>
    <r>
      <rPr>
        <b val="true"/>
        <sz val="11"/>
        <rFont val="Noto Sans CJK SC"/>
        <family val="2"/>
      </rPr>
      <t xml:space="preserve">營收與毛利率；不用共識、不用公司對 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的預測）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</si>
  <si>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認列顆數係數 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＝ 錨點 </t>
    </r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（市場層顆數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基準售價的運算營收 ＋ 網通歸屬）（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；營收與成本同比例縮放）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</si>
  <si>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：以已發生的實績校準，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起沿用。不改 </t>
    </r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的共用顆數（市場層顆數維持原值，只在本模型內縮放）。顆數層與售價層無法分開識別，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是兩者的合併係數；</t>
    </r>
    <r>
      <rPr>
        <sz val="11"/>
        <color theme="1"/>
        <rFont val="Calibri"/>
        <family val="2"/>
        <charset val="1"/>
      </rPr>
      <t xml:space="preserve">k_tray </t>
    </r>
    <r>
      <rPr>
        <sz val="11"/>
        <color theme="1"/>
        <rFont val="Noto Sans CJK SC"/>
        <family val="2"/>
      </rPr>
      <t xml:space="preserve">變動時 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隨之重算，營收水準不變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</si>
  <si>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成本占基準售價 </t>
    </r>
    <r>
      <rPr>
        <sz val="11"/>
        <color theme="1"/>
        <rFont val="Calibri"/>
        <family val="2"/>
        <charset val="1"/>
      </rPr>
      <t xml:space="preserve">c_nh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[(1−</t>
    </r>
    <r>
      <rPr>
        <sz val="11"/>
        <color theme="1"/>
        <rFont val="Noto Sans CJK SC"/>
        <family val="2"/>
      </rPr>
      <t xml:space="preserve">錨點毛利率</t>
    </r>
    <r>
      <rPr>
        <sz val="11"/>
        <color theme="1"/>
        <rFont val="Calibri"/>
        <family val="2"/>
        <charset val="1"/>
      </rPr>
      <t xml:space="preserve">) × </t>
    </r>
    <r>
      <rPr>
        <sz val="11"/>
        <color theme="1"/>
        <rFont val="Noto Sans CJK SC"/>
        <family val="2"/>
      </rPr>
      <t xml:space="preserve">由下而上營收 −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 − 網通成本 − </t>
    </r>
    <r>
      <rPr>
        <sz val="11"/>
        <color theme="1"/>
        <rFont val="Calibri"/>
        <family val="2"/>
        <charset val="1"/>
      </rPr>
      <t xml:space="preserve">Edge </t>
    </r>
    <r>
      <rPr>
        <sz val="11"/>
        <color theme="1"/>
        <rFont val="Noto Sans CJK SC"/>
        <family val="2"/>
      </rPr>
      <t xml:space="preserve">成本</t>
    </r>
    <r>
      <rPr>
        <sz val="11"/>
        <color theme="1"/>
        <rFont val="Calibri"/>
        <family val="2"/>
        <charset val="1"/>
      </rPr>
      <t xml:space="preserve">] ÷ Σ </t>
    </r>
    <r>
      <rPr>
        <sz val="11"/>
        <color theme="1"/>
        <rFont val="Noto Sans CJK SC"/>
        <family val="2"/>
      </rPr>
      <t xml:space="preserve">認列顆數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基準售價（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</si>
  <si>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由下而上的毛利率等於錨點毛利率；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起的毛利率變化來自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Noto Sans CJK SC"/>
        <family val="2"/>
      </rPr>
      <t xml:space="preserve">成本、世代與顆數組合、吸收比例</t>
    </r>
  </si>
  <si>
    <r>
      <rPr>
        <sz val="11"/>
        <color theme="1"/>
        <rFont val="Calibri"/>
        <family val="2"/>
        <charset val="1"/>
      </rPr>
      <t xml:space="preserve">c_nh_p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的毛利率校準，</t>
    </r>
    <r>
      <rPr>
        <sz val="11"/>
        <color theme="1"/>
        <rFont val="Calibri"/>
        <family val="2"/>
        <charset val="1"/>
      </rPr>
      <t xml:space="preserve">k_rec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；只供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對照案例用）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</si>
  <si>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；公式同 </t>
    </r>
    <r>
      <rPr>
        <sz val="11"/>
        <color theme="1"/>
        <rFont val="Calibri"/>
        <family val="2"/>
        <charset val="1"/>
      </rPr>
      <t xml:space="preserve">c_nh</t>
    </r>
    <r>
      <rPr>
        <sz val="11"/>
        <color theme="1"/>
        <rFont val="Noto Sans CJK SC"/>
        <family val="2"/>
      </rPr>
      <t xml:space="preserve">，但取對照區塊（未校準顆數）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</si>
  <si>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未校準由下而上 </t>
    </r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k_rec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；運算＋網通）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</si>
  <si>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Noto Sans CJK SC"/>
        <family val="2"/>
      </rPr>
      <t xml:space="preserve">營收（公司）</t>
    </r>
  </si>
  <si>
    <r>
      <rPr>
        <sz val="11"/>
        <color theme="1"/>
        <rFont val="Noto Sans CJK SC"/>
        <family val="2"/>
      </rPr>
      <t xml:space="preserve">未校準差額（未校準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錨點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</si>
  <si>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差額來源待查（顆數層或售價層）：見 </t>
    </r>
    <r>
      <rPr>
        <sz val="11"/>
        <color theme="1"/>
        <rFont val="Calibri"/>
        <family val="2"/>
        <charset val="1"/>
      </rPr>
      <t xml:space="preserve">Recon B2 </t>
    </r>
    <r>
      <rPr>
        <sz val="11"/>
        <color theme="1"/>
        <rFont val="Noto Sans CJK SC"/>
        <family val="2"/>
      </rPr>
      <t xml:space="preserve">節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</si>
  <si>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認列後 </t>
    </r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校準後；應等於錨點）</t>
    </r>
  </si>
  <si>
    <r>
      <rPr>
        <sz val="11"/>
        <color theme="1"/>
        <rFont val="Noto Sans CJK SC"/>
        <family val="2"/>
      </rPr>
      <t xml:space="preserve">售價整體係數 </t>
    </r>
    <r>
      <rPr>
        <sz val="11"/>
        <color theme="1"/>
        <rFont val="Calibri"/>
        <family val="2"/>
        <charset val="1"/>
      </rPr>
      <t xml:space="preserve">pf_cal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Data Center − </t>
    </r>
    <r>
      <rPr>
        <sz val="11"/>
        <color theme="1"/>
        <rFont val="Noto Sans CJK SC"/>
        <family val="2"/>
      </rPr>
      <t xml:space="preserve">未校準網通</t>
    </r>
    <r>
      <rPr>
        <sz val="11"/>
        <color theme="1"/>
        <rFont val="Calibri"/>
        <family val="2"/>
        <charset val="1"/>
      </rPr>
      <t xml:space="preserve">) ÷ </t>
    </r>
    <r>
      <rPr>
        <sz val="11"/>
        <color theme="1"/>
        <rFont val="Noto Sans CJK SC"/>
        <family val="2"/>
      </rPr>
      <t xml:space="preserve">未校準運算（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的作法，只在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當對照案例，不進基準）</t>
    </r>
  </si>
  <si>
    <r>
      <rPr>
        <sz val="11"/>
        <color theme="1"/>
        <rFont val="Calibri"/>
        <family val="2"/>
        <charset val="1"/>
      </rPr>
      <t xml:space="preserve">PL — NVIDIA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為實績與錨點，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起為模型，顆數用認列顆數＝市場層顆數 </t>
    </r>
    <r>
      <rPr>
        <sz val="11"/>
        <color theme="1"/>
        <rFont val="Calibri"/>
        <family val="2"/>
        <charset val="1"/>
      </rPr>
      <t xml:space="preserve">× k_rec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FY(t)≈CY(t−1)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三情境幾乎相同（情境係數從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才開始；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的差在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Noto Sans CJK SC"/>
        <family val="2"/>
      </rPr>
      <t xml:space="preserve">成本）</t>
    </r>
  </si>
  <si>
    <t xml:space="preserve">情境／項目</t>
  </si>
  <si>
    <t xml:space="preserve">FY2026A</t>
  </si>
  <si>
    <t xml:space="preserve">FY2027</t>
  </si>
  <si>
    <t xml:space="preserve">FY2028</t>
  </si>
  <si>
    <t xml:space="preserve">FY2029</t>
  </si>
  <si>
    <t xml:space="preserve">FY2030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</si>
  <si>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</si>
  <si>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</si>
  <si>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t xml:space="preserve">  Data Center</t>
  </si>
  <si>
    <t xml:space="preserve">  Edge Computing</t>
  </si>
  <si>
    <t xml:space="preserve">營業利益率</t>
  </si>
  <si>
    <t xml:space="preserve">淨利（不含權益證券損益）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</si>
  <si>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（不含權益證券損益）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</si>
  <si>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</si>
  <si>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</si>
  <si>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</si>
  <si>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由下而上毛利率 − 錨點毛利率；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由下而上營收 − 錨點營收（</t>
    </r>
    <r>
      <rPr>
        <b val="true"/>
        <sz val="11"/>
        <rFont val="Cambria"/>
        <family val="0"/>
        <charset val="1"/>
      </rPr>
      <t xml:space="preserve">k_rec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c_nh </t>
    </r>
    <r>
      <rPr>
        <b val="true"/>
        <sz val="11"/>
        <rFont val="Noto Sans CJK SC"/>
        <family val="2"/>
      </rPr>
      <t xml:space="preserve">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</si>
  <si>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：毛利率差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</si>
  <si>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</si>
  <si>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</si>
  <si>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由下而上（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欄空白；</t>
    </r>
    <r>
      <rPr>
        <b val="true"/>
        <sz val="11"/>
        <rFont val="Cambria"/>
        <family val="0"/>
        <charset val="1"/>
      </rPr>
      <t xml:space="preserve">D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FY2027≈CY2026 … 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FY2030≈CY2029</t>
    </r>
    <r>
      <rPr>
        <b val="true"/>
        <sz val="11"/>
        <rFont val="Noto Sans CJK SC"/>
        <family val="2"/>
      </rPr>
      <t xml:space="preserve">；顆數為「認列顆數」＝市場層顆數 </t>
    </r>
    <r>
      <rPr>
        <b val="true"/>
        <sz val="11"/>
        <rFont val="Cambria"/>
        <family val="0"/>
        <charset val="1"/>
      </rPr>
      <t xml:space="preserve">× k_rec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Data Center </t>
    </r>
    <r>
      <rPr>
        <b val="true"/>
        <sz val="11"/>
        <rFont val="Noto Sans CJK SC"/>
        <family val="2"/>
      </rPr>
      <t xml:space="preserve">營收與毛利率因此等於錨點，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起沿用 </t>
    </r>
    <r>
      <rPr>
        <b val="true"/>
        <sz val="11"/>
        <rFont val="Cambria"/>
        <family val="0"/>
        <charset val="1"/>
      </rPr>
      <t xml:space="preserve">k_rec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</si>
  <si>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認列顆數乘數（</t>
    </r>
    <r>
      <rPr>
        <sz val="11"/>
        <color theme="1"/>
        <rFont val="Calibri"/>
        <family val="2"/>
        <charset val="1"/>
      </rPr>
      <t xml:space="preserve">k_rec × Sens </t>
    </r>
    <r>
      <rPr>
        <sz val="11"/>
        <color theme="1"/>
        <rFont val="Noto Sans CJK SC"/>
        <family val="2"/>
      </rPr>
      <t xml:space="preserve">乘數）</t>
    </r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</si>
  <si>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認列顆數</t>
    </r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</si>
  <si>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認列顆數</t>
    </r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</si>
  <si>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認列顆數</t>
    </r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</si>
  <si>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認列顆數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</si>
  <si>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認列顆數合計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</si>
  <si>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</si>
  <si>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每顆售價</t>
    </r>
  </si>
  <si>
    <r>
      <rPr>
        <sz val="11"/>
        <color theme="1"/>
        <rFont val="Noto Sans CJK SC"/>
        <family val="2"/>
      </rPr>
      <t xml:space="preserve">基準價 ＋ </t>
    </r>
    <r>
      <rPr>
        <sz val="11"/>
        <color theme="1"/>
        <rFont val="Calibri"/>
        <family val="2"/>
        <charset val="1"/>
      </rPr>
      <t xml:space="preserve">(1−</t>
    </r>
    <r>
      <rPr>
        <sz val="11"/>
        <color theme="1"/>
        <rFont val="Noto Sans CJK SC"/>
        <family val="2"/>
      </rPr>
      <t xml:space="preserve">吸收比例</t>
    </r>
    <r>
      <rPr>
        <sz val="11"/>
        <color theme="1"/>
        <rFont val="Calibri"/>
        <family val="2"/>
        <charset val="1"/>
      </rPr>
      <t xml:space="preserve">)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Noto Sans CJK SC"/>
        <family val="2"/>
      </rPr>
      <t xml:space="preserve">相對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的成本增加）</t>
    </r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</si>
  <si>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每顆售價</t>
    </r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</si>
  <si>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每顆售價</t>
    </r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</si>
  <si>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每顆售價</t>
    </r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</si>
  <si>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</t>
    </r>
  </si>
  <si>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2026 </t>
    </r>
    <r>
      <rPr>
        <sz val="11"/>
        <color theme="1"/>
        <rFont val="Noto Sans CJK SC"/>
        <family val="2"/>
      </rPr>
      <t xml:space="preserve">合約價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情境別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價格指數（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</si>
  <si>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</t>
    </r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</si>
  <si>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</t>
    </r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</si>
  <si>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</t>
    </r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</si>
  <si>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每顆成本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</si>
  <si>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成本（基準價 </t>
    </r>
    <r>
      <rPr>
        <sz val="11"/>
        <color theme="1"/>
        <rFont val="Calibri"/>
        <family val="2"/>
        <charset val="1"/>
      </rPr>
      <t xml:space="preserve">× c_nh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校準）＋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 ＋ 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Noto Sans CJK SC"/>
        <family val="2"/>
      </rPr>
      <t xml:space="preserve">成本增加（每顆；顆數另乘 </t>
    </r>
    <r>
      <rPr>
        <sz val="11"/>
        <color theme="1"/>
        <rFont val="Calibri"/>
        <family val="2"/>
        <charset val="1"/>
      </rPr>
      <t xml:space="preserve">k_rec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</si>
  <si>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每顆成本</t>
    </r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</si>
  <si>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每顆成本</t>
    </r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</si>
  <si>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每顆成本</t>
    </r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</si>
  <si>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運算營收</t>
    </r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</si>
  <si>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運算營收</t>
    </r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</si>
  <si>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運算營收</t>
    </r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</si>
  <si>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運算營收</t>
    </r>
  </si>
  <si>
    <r>
      <rPr>
        <sz val="11"/>
        <color theme="1"/>
        <rFont val="Noto Sans CJK SC"/>
        <family val="2"/>
      </rPr>
      <t xml:space="preserve">運算營收（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每顆售價）</t>
    </r>
  </si>
  <si>
    <t xml:space="preserve">運算成本</t>
  </si>
  <si>
    <r>
      <rPr>
        <sz val="11"/>
        <color theme="1"/>
        <rFont val="Noto Sans CJK SC"/>
        <family val="2"/>
      </rPr>
      <t xml:space="preserve">其中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</t>
    </r>
  </si>
  <si>
    <r>
      <rPr>
        <sz val="11"/>
        <color theme="1"/>
        <rFont val="Noto Sans CJK SC"/>
        <family val="2"/>
      </rPr>
      <t xml:space="preserve">中國資料中心運算營收（基準為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＝公司指引假設；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列恢復）</t>
    </r>
  </si>
  <si>
    <t xml:space="preserve">中國部分成本（毛利率同運算）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</si>
  <si>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網通營收（本模型歸屬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乘數）</t>
    </r>
  </si>
  <si>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；網通金額與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顆數成正比</t>
    </r>
  </si>
  <si>
    <r>
      <rPr>
        <sz val="11"/>
        <color theme="1"/>
        <rFont val="Noto Sans CJK SC"/>
        <family val="2"/>
      </rPr>
      <t xml:space="preserve">網通成本（</t>
    </r>
    <r>
      <rPr>
        <sz val="11"/>
        <color theme="1"/>
        <rFont val="Calibri"/>
        <family val="2"/>
        <charset val="1"/>
      </rPr>
      <t xml:space="preserve">c_net ×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</si>
  <si>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Edge Computing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</si>
  <si>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Edge </t>
    </r>
    <r>
      <rPr>
        <sz val="11"/>
        <color theme="1"/>
        <rFont val="Noto Sans CJK SC"/>
        <family val="2"/>
      </rPr>
      <t xml:space="preserve">成本</t>
    </r>
  </si>
  <si>
    <t xml:space="preserve">由下而上營收合計</t>
  </si>
  <si>
    <t xml:space="preserve">由下而上成本合計</t>
  </si>
  <si>
    <t xml:space="preserve">由下而上毛利率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</si>
  <si>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＝ 錨點毛利率（</t>
    </r>
    <r>
      <rPr>
        <sz val="11"/>
        <color theme="1"/>
        <rFont val="Calibri"/>
        <family val="2"/>
        <charset val="1"/>
      </rPr>
      <t xml:space="preserve">c_nh </t>
    </r>
    <r>
      <rPr>
        <sz val="11"/>
        <color theme="1"/>
        <rFont val="Noto Sans CJK SC"/>
        <family val="2"/>
      </rPr>
      <t xml:space="preserve">校準的恆等式，非獨立檢驗；對照區塊 </t>
    </r>
    <r>
      <rPr>
        <sz val="11"/>
        <color theme="1"/>
        <rFont val="Calibri"/>
        <family val="2"/>
        <charset val="1"/>
      </rPr>
      <t xml:space="preserve">k_rec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時用 </t>
    </r>
    <r>
      <rPr>
        <sz val="11"/>
        <color theme="1"/>
        <rFont val="Calibri"/>
        <family val="2"/>
        <charset val="1"/>
      </rPr>
      <t xml:space="preserve">c_nh_p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</si>
  <si>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成本占由下而上營收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</si>
  <si>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報告值（</t>
    </r>
    <r>
      <rPr>
        <b val="true"/>
        <sz val="11"/>
        <rFont val="Cambria"/>
        <family val="0"/>
        <charset val="1"/>
      </rPr>
      <t xml:space="preserve">FY2026A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為實績與錨點；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起為由下而上）</t>
    </r>
  </si>
  <si>
    <r>
      <rPr>
        <sz val="11"/>
        <color theme="1"/>
        <rFont val="Calibri"/>
        <family val="2"/>
        <charset val="1"/>
      </rPr>
      <t xml:space="preserve">  Data Center</t>
    </r>
    <r>
      <rPr>
        <sz val="11"/>
        <color theme="1"/>
        <rFont val="Noto Sans CJK SC"/>
        <family val="2"/>
      </rPr>
      <t xml:space="preserve">（運算＋網通＋中國）</t>
    </r>
  </si>
  <si>
    <t xml:space="preserve">營收年增</t>
  </si>
  <si>
    <t xml:space="preserve">毛利</t>
  </si>
  <si>
    <t xml:space="preserve">營業費用（基準路徑）</t>
  </si>
  <si>
    <r>
      <rPr>
        <sz val="11"/>
        <color theme="1"/>
        <rFont val="Noto Sans CJK SC"/>
        <family val="2"/>
      </rPr>
      <t xml:space="preserve">前一年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MAX(</t>
    </r>
    <r>
      <rPr>
        <sz val="11"/>
        <color theme="1"/>
        <rFont val="Noto Sans CJK SC"/>
        <family val="2"/>
      </rPr>
      <t xml:space="preserve">下限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彈性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營收年增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</t>
    </r>
  </si>
  <si>
    <t xml:space="preserve">營業費用</t>
  </si>
  <si>
    <t xml:space="preserve">稀釋股數</t>
  </si>
  <si>
    <t xml:space="preserve">十億股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</si>
  <si>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</si>
  <si>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</si>
  <si>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</si>
  <si>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對照：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Noto Sans CJK SC"/>
        <family val="2"/>
      </rPr>
      <t xml:space="preserve">基準（</t>
    </r>
    <r>
      <rPr>
        <b val="true"/>
        <sz val="11"/>
        <rFont val="Cambria"/>
        <family val="0"/>
        <charset val="1"/>
      </rPr>
      <t xml:space="preserve">k_rec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，未校準；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由下而上高於錨點；</t>
    </r>
    <r>
      <rPr>
        <b val="true"/>
        <sz val="11"/>
        <rFont val="Cambria"/>
        <family val="0"/>
        <charset val="1"/>
      </rPr>
      <t xml:space="preserve">c_nh_p </t>
    </r>
    <r>
      <rPr>
        <b val="true"/>
        <sz val="11"/>
        <rFont val="Noto Sans CJK SC"/>
        <family val="2"/>
      </rPr>
      <t xml:space="preserve">為 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Noto Sans CJK SC"/>
        <family val="2"/>
      </rPr>
      <t xml:space="preserve">的毛利率校準）</t>
    </r>
  </si>
  <si>
    <r>
      <rPr>
        <b val="true"/>
        <sz val="11"/>
        <rFont val="Noto Sans CJK SC"/>
        <family val="2"/>
      </rPr>
      <t xml:space="preserve">三情境延伸到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FY2026A–FY2030 </t>
    </r>
    <r>
      <rPr>
        <b val="true"/>
        <sz val="11"/>
        <rFont val="Noto Sans CJK SC"/>
        <family val="2"/>
      </rPr>
      <t xml:space="preserve">引用上方推導區塊，</t>
    </r>
    <r>
      <rPr>
        <b val="true"/>
        <sz val="11"/>
        <rFont val="Cambria"/>
        <family val="0"/>
        <charset val="1"/>
      </rPr>
      <t xml:space="preserve">FY2031 </t>
    </r>
    <r>
      <rPr>
        <b val="true"/>
        <sz val="11"/>
        <rFont val="Noto Sans CJK SC"/>
        <family val="2"/>
      </rPr>
      <t xml:space="preserve">起為收斂法，非驅動因子推導；收斂年度為橘底）</t>
    </r>
  </si>
  <si>
    <r>
      <rPr>
        <sz val="11"/>
        <color theme="1"/>
        <rFont val="Noto Sans CJK SC"/>
        <family val="2"/>
      </rPr>
      <t xml:space="preserve">上游市場層（</t>
    </r>
    <r>
      <rPr>
        <sz val="11"/>
        <color theme="1"/>
        <rFont val="Calibri"/>
        <family val="2"/>
        <charset val="1"/>
      </rPr>
      <t xml:space="preserve">markets/*</t>
    </r>
    <r>
      <rPr>
        <sz val="11"/>
        <color theme="1"/>
        <rFont val="Noto Sans CJK SC"/>
        <family val="2"/>
      </rPr>
      <t xml:space="preserve">、台積電顆數）只到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起：營收年增由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tp_g−tp_gd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線性收斂到中段利潤率（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 </t>
    </r>
    <r>
      <rPr>
        <sz val="11"/>
        <color theme="1"/>
        <rFont val="Calibri"/>
        <family val="2"/>
        <charset val="1"/>
      </rPr>
      <t xml:space="preserve">nm10</t>
    </r>
    <r>
      <rPr>
        <sz val="11"/>
        <color theme="1"/>
        <rFont val="Noto Sans CJK SC"/>
        <family val="2"/>
      </rPr>
      <t xml:space="preserve">），股數沿用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年變動</t>
    </r>
  </si>
  <si>
    <t xml:space="preserve">情境／延伸項目</t>
  </si>
  <si>
    <t xml:space="preserve">FY2031</t>
  </si>
  <si>
    <t xml:space="preserve">FY2032</t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</si>
  <si>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）</t>
    </r>
  </si>
  <si>
    <t xml:space="preserve">淨利率</t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</si>
  <si>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淨利率線性收斂到中段利潤率（維持最後一年；十年平均見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 </t>
    </r>
    <r>
      <rPr>
        <sz val="11"/>
        <color theme="1"/>
        <rFont val="Noto Sans CJK SC"/>
        <family val="2"/>
      </rPr>
      <t xml:space="preserve">列）</t>
    </r>
  </si>
  <si>
    <t xml:space="preserve">淨利（延伸表）</t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</si>
  <si>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起沿用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的股數年變動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</si>
  <si>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（延伸表）</t>
    </r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</si>
  <si>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</si>
  <si>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淨利率線性收斂到中段利潤率（最後一年與十年平均的中點；十年平均見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</si>
  <si>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－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</si>
  <si>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淨利率線性收斂到中段利潤率（十年平均；十年平均見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</si>
  <si>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估值（美元）。結論用「現價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（模型與共識）」；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年落後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規則值不適用（保留計算，不進結論）。跨公司規則：合理倍數＝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FY2016–FY2025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分位。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t−1</t>
    </r>
    <r>
      <rPr>
        <sz val="11"/>
        <color theme="1"/>
        <rFont val="Noto Sans CJK SC"/>
        <family val="2"/>
      </rPr>
      <t xml:space="preserve">，循環位置用共用規則的 </t>
    </r>
    <r>
      <rPr>
        <sz val="11"/>
        <color theme="1"/>
        <rFont val="Calibri"/>
        <family val="2"/>
        <charset val="1"/>
      </rPr>
      <t xml:space="preserve">lag </t>
    </r>
    <r>
      <rPr>
        <sz val="11"/>
        <color theme="1"/>
        <rFont val="Noto Sans CJK SC"/>
        <family val="2"/>
      </rPr>
      <t xml:space="preserve">包裝（</t>
    </r>
    <r>
      <rPr>
        <sz val="11"/>
        <color theme="1"/>
        <rFont val="Calibri"/>
        <family val="2"/>
        <charset val="1"/>
      </rPr>
      <t xml:space="preserve">tools/cycle_position.py classify_lag</t>
    </r>
    <r>
      <rPr>
        <sz val="11"/>
        <color theme="1"/>
        <rFont val="Noto Sans CJK SC"/>
        <family val="2"/>
      </rPr>
      <t xml:space="preserve">），見頂年度讀設備市場模型</t>
    </r>
  </si>
  <si>
    <r>
      <rPr>
        <sz val="11"/>
        <color theme="1"/>
        <rFont val="Noto Sans CJK SC"/>
        <family val="2"/>
      </rPr>
      <t xml:space="preserve">不適用的理由：歷史倍數是「會計年度年底價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該年度（剛結束）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」＝落後（</t>
    </r>
    <r>
      <rPr>
        <sz val="11"/>
        <color theme="1"/>
        <rFont val="Calibri"/>
        <family val="2"/>
        <charset val="1"/>
      </rPr>
      <t xml:space="preserve">trailing</t>
    </r>
    <r>
      <rPr>
        <sz val="11"/>
        <color theme="1"/>
        <rFont val="Noto Sans CJK SC"/>
        <family val="2"/>
      </rPr>
      <t xml:space="preserve">）倍數；規則把它乘在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上，得到的是約 </t>
    </r>
    <r>
      <rPr>
        <sz val="11"/>
        <color theme="1"/>
        <rFont val="Calibri"/>
        <family val="2"/>
        <charset val="1"/>
      </rPr>
      <t xml:space="preserve">2028-01 </t>
    </r>
    <r>
      <rPr>
        <sz val="11"/>
        <color theme="1"/>
        <rFont val="Noto Sans CJK SC"/>
        <family val="2"/>
      </rPr>
      <t xml:space="preserve">的價格（距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1.27 </t>
    </r>
    <r>
      <rPr>
        <sz val="11"/>
        <color theme="1"/>
        <rFont val="Noto Sans CJK SC"/>
        <family val="2"/>
      </rPr>
      <t xml:space="preserve">年，未折現；折現值另列）。歷史倍數含高成長期的高估值（</t>
    </r>
    <r>
      <rPr>
        <sz val="11"/>
        <color theme="1"/>
        <rFont val="Calibri"/>
        <family val="2"/>
        <charset val="1"/>
      </rPr>
      <t xml:space="preserve">FY2023 </t>
    </r>
    <r>
      <rPr>
        <sz val="11"/>
        <color theme="1"/>
        <rFont val="Noto Sans CJK SC"/>
        <family val="2"/>
      </rPr>
      <t xml:space="preserve">因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低谷達 </t>
    </r>
    <r>
      <rPr>
        <sz val="11"/>
        <color theme="1"/>
        <rFont val="Calibri"/>
        <family val="2"/>
        <charset val="1"/>
      </rPr>
      <t xml:space="preserve">114x</t>
    </r>
    <r>
      <rPr>
        <sz val="11"/>
        <color theme="1"/>
        <rFont val="Noto Sans CJK SC"/>
        <family val="2"/>
      </rPr>
      <t xml:space="preserve">），規則值遠高於現價——見下方「</t>
    </r>
    <r>
      <rPr>
        <sz val="11"/>
        <color theme="1"/>
        <rFont val="Calibri"/>
        <family val="2"/>
        <charset val="1"/>
      </rPr>
      <t xml:space="preserve">What must be true</t>
    </r>
    <r>
      <rPr>
        <sz val="11"/>
        <color theme="1"/>
        <rFont val="Noto Sans CJK SC"/>
        <family val="2"/>
      </rPr>
      <t xml:space="preserve">」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</si>
  <si>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新增，</t>
    </r>
    <r>
      <rPr>
        <b val="true"/>
        <sz val="11"/>
        <rFont val="Cambria"/>
        <family val="0"/>
        <charset val="1"/>
      </rPr>
      <t xml:space="preserve">Andy 2026-10-25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</si>
  <si>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</si>
  <si>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t xml:space="preserve">A</t>
  </si>
  <si>
    <t xml:space="preserve">B</t>
  </si>
  <si>
    <t xml:space="preserve">C</t>
  </si>
  <si>
    <r>
      <rPr>
        <b val="true"/>
        <sz val="11"/>
        <rFont val="Noto Sans CJK SC"/>
        <family val="2"/>
      </rPr>
      <t xml:space="preserve">折現年數 </t>
    </r>
    <r>
      <rPr>
        <b val="true"/>
        <sz val="11"/>
        <rFont val="Cambria"/>
        <family val="0"/>
        <charset val="1"/>
      </rPr>
      <t xml:space="preserve">t</t>
    </r>
  </si>
  <si>
    <t xml:space="preserve">期內占比（基準日後）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</si>
  <si>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</si>
  <si>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頁延伸表（上游結束後為收斂法）；三情境欄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</si>
  <si>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</si>
  <si>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</si>
  <si>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</si>
  <si>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</si>
  <si>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</si>
  <si>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</si>
  <si>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</si>
  <si>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欄＝可發放比例（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再投資率；再投資率＝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）；下列六列＝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可發放比例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期內占比</t>
    </r>
  </si>
  <si>
    <r>
      <rPr>
        <sz val="11"/>
        <color theme="1"/>
        <rFont val="Calibri"/>
        <family val="2"/>
        <charset val="1"/>
      </rPr>
      <t xml:space="preserve">  FY2027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</si>
  <si>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FY2028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</si>
  <si>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FY2029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</si>
  <si>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FY2030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</si>
  <si>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FY2031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</si>
  <si>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FY2032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</si>
  <si>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Noto Sans CJK SC"/>
        <family val="2"/>
      </rPr>
      <t xml:space="preserve">  永續價值（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年底；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tp_g) ÷ (tp_r − tp_g)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</si>
  <si>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</si>
  <si>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年底；明確期現金流與永續價值依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欄年數折現；小於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2026-10-25 12:22</t>
    </r>
    <r>
      <rPr>
        <sz val="11"/>
        <color theme="1"/>
        <rFont val="Noto Sans CJK SC"/>
        <family val="2"/>
      </rPr>
      <t xml:space="preserve">）</t>
    </r>
  </si>
  <si>
    <t xml:space="preserve">  其中：永續價值現值占比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</si>
  <si>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</si>
  <si>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：推到約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</si>
  <si>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</si>
  <si>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</si>
  <si>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</si>
  <si>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</si>
  <si>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</si>
  <si>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</si>
  <si>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AMD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</si>
  <si>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</si>
  <si>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統計頁（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</si>
  <si>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（資料商彙整賣方預估）</t>
    </r>
  </si>
  <si>
    <t xml:space="preserve">Broadcom</t>
  </si>
  <si>
    <t xml:space="preserve">AVGO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</si>
  <si>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（同上）</t>
    </r>
  </si>
  <si>
    <t xml:space="preserve">Marvell</t>
  </si>
  <si>
    <t xml:space="preserve">MRVL</t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</si>
  <si>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ADR</t>
    </r>
  </si>
  <si>
    <t xml:space="preserve">TSM</t>
  </si>
  <si>
    <t xml:space="preserve">Qualcomm</t>
  </si>
  <si>
    <t xml:space="preserve">QCOM</t>
  </si>
  <si>
    <t xml:space="preserve">  同業選擇</t>
  </si>
  <si>
    <r>
      <rPr>
        <sz val="11"/>
        <color theme="1"/>
        <rFont val="Noto Sans CJK SC"/>
        <family val="2"/>
      </rPr>
      <t xml:space="preserve">券商常用的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運算／半導體大型股同業（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、客製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、代工、手機 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）；不含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Andy 11:53</t>
    </r>
    <r>
      <rPr>
        <sz val="11"/>
        <color theme="1"/>
        <rFont val="Noto Sans CJK SC"/>
        <family val="2"/>
      </rPr>
      <t xml:space="preserve">）。前瞻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口徑為資料商的未來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，各家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口徑不一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</si>
  <si>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</si>
  <si>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  各情境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</si>
  <si>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月：約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底）的未來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個月＝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個月＋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個月（</t>
    </r>
    <r>
      <rPr>
        <sz val="11"/>
        <color theme="1"/>
        <rFont val="Calibri"/>
        <family val="2"/>
        <charset val="1"/>
      </rPr>
      <t xml:space="preserve">3/12 × FY2028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9/12 × FY2029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</si>
  <si>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</si>
  <si>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</si>
  <si>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</si>
  <si>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</si>
  <si>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</si>
  <si>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t xml:space="preserve">對照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</si>
  <si>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</si>
  <si>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</si>
  <si>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</si>
  <si>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62 </t>
    </r>
    <r>
      <rPr>
        <sz val="11"/>
        <color theme="1"/>
        <rFont val="Noto Sans CJK SC"/>
        <family val="2"/>
      </rPr>
      <t xml:space="preserve">位分析師平均目標價（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頁面）；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</si>
  <si>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</si>
  <si>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</si>
  <si>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</si>
  <si>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＝我們的前瞻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共識未找到，故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因素以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同年度比較：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＝情境加權 </t>
    </r>
    <r>
      <rPr>
        <sz val="11"/>
        <color theme="1"/>
        <rFont val="Calibri"/>
        <family val="2"/>
        <charset val="1"/>
      </rPr>
      <t xml:space="preserve">FY2028 EPS 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））</t>
    </r>
  </si>
  <si>
    <t xml:space="preserve">與市場共識目標價的差距：倍數因素</t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</si>
  <si>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＝市場共識目標價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隱含的倍數；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＝同業中位數；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÷ D − 1</t>
    </r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</si>
  <si>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</si>
  <si>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價值（皆推到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</si>
  <si>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  檢查用：現價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</si>
  <si>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</si>
  <si>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上一列在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分布（</t>
    </r>
    <r>
      <rPr>
        <sz val="11"/>
        <color theme="1"/>
        <rFont val="Calibri"/>
        <family val="2"/>
        <charset val="1"/>
      </rPr>
      <t xml:space="preserve">Val!B126:B135</t>
    </r>
    <r>
      <rPr>
        <sz val="11"/>
        <color theme="1"/>
        <rFont val="Noto Sans CJK SC"/>
        <family val="2"/>
      </rPr>
      <t xml:space="preserve">）的分位（</t>
    </r>
    <r>
      <rPr>
        <sz val="11"/>
        <color theme="1"/>
        <rFont val="Calibri"/>
        <family val="2"/>
        <charset val="1"/>
      </rPr>
      <t xml:space="preserve">PERCENTRANK</t>
    </r>
    <r>
      <rPr>
        <sz val="11"/>
        <color theme="1"/>
        <rFont val="Noto Sans CJK SC"/>
        <family val="2"/>
      </rPr>
      <t xml:space="preserve">；低於最小＝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、高於最大＝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</si>
  <si>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</si>
  <si>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tp_r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tp_roe </t>
    </r>
    <r>
      <rPr>
        <sz val="11"/>
        <color theme="1"/>
        <rFont val="Noto Sans CJK SC"/>
        <family val="2"/>
      </rPr>
      <t xml:space="preserve">近三年平均 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）；基準日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只計 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一個月，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、台積電 </t>
    </r>
    <r>
      <rPr>
        <sz val="11"/>
        <color theme="1"/>
        <rFont val="Calibri"/>
        <family val="2"/>
        <charset val="1"/>
      </rPr>
      <t xml:space="preserve">ADR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Qualcomm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。偏誤方向：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起淨利率收斂到十年平均 </t>
    </r>
    <r>
      <rPr>
        <sz val="11"/>
        <color theme="1"/>
        <rFont val="Calibri"/>
        <family val="2"/>
        <charset val="1"/>
      </rPr>
      <t xml:space="preserve">31%</t>
    </r>
    <r>
      <rPr>
        <sz val="11"/>
        <color theme="1"/>
        <rFont val="Noto Sans CJK SC"/>
        <family val="2"/>
      </rPr>
      <t xml:space="preserve">（低於近年 </t>
    </r>
    <r>
      <rPr>
        <sz val="11"/>
        <color theme="1"/>
        <rFont val="Calibri"/>
        <family val="2"/>
        <charset val="1"/>
      </rPr>
      <t xml:space="preserve">55% </t>
    </r>
    <r>
      <rPr>
        <sz val="11"/>
        <color theme="1"/>
        <rFont val="Noto Sans CJK SC"/>
        <family val="2"/>
      </rPr>
      <t xml:space="preserve">以上），偏保守；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幾乎相同，情境差主要來自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起；永續價值占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價值過半，對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</t>
    </r>
    <r>
      <rPr>
        <sz val="11"/>
        <color theme="1"/>
        <rFont val="Noto Sans CJK SC"/>
        <family val="2"/>
      </rPr>
      <t xml:space="preserve">敏感（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</t>
    </r>
  </si>
  <si>
    <r>
      <rPr>
        <sz val="11"/>
        <color theme="1"/>
        <rFont val="Noto Sans CJK SC"/>
        <family val="2"/>
      </rPr>
      <t xml:space="preserve">  檢查：情境權重合計（應為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</si>
  <si>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</si>
  <si>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</si>
  <si>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</si>
  <si>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三情境幾乎相同（情境係數從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才開始；差在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Noto Sans CJK SC"/>
        <family val="2"/>
      </rPr>
      <t xml:space="preserve">成本），故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倍數相近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</si>
  <si>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</si>
  <si>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</si>
  <si>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口徑（含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），與本模型口徑近似（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頁檢查列）</t>
    </r>
  </si>
  <si>
    <r>
      <rPr>
        <sz val="11"/>
        <color theme="1"/>
        <rFont val="Noto Sans CJK SC"/>
        <family val="2"/>
      </rPr>
      <t xml:space="preserve">命題：現價約為「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」的倍數（工作單：</t>
    </r>
    <r>
      <rPr>
        <sz val="11"/>
        <color theme="1"/>
        <rFont val="Calibri"/>
        <family val="2"/>
        <charset val="1"/>
      </rPr>
      <t xml:space="preserve">13.5x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年＝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</si>
  <si>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循環位置（共用規則的 </t>
    </r>
    <r>
      <rPr>
        <b val="true"/>
        <sz val="11"/>
        <rFont val="Cambria"/>
        <family val="0"/>
        <charset val="1"/>
      </rPr>
      <t xml:space="preserve">lag </t>
    </r>
    <r>
      <rPr>
        <b val="true"/>
        <sz val="11"/>
        <rFont val="Noto Sans CJK SC"/>
        <family val="2"/>
      </rPr>
      <t xml:space="preserve">版）與規則倍數</t>
    </r>
  </si>
  <si>
    <r>
      <rPr>
        <sz val="11"/>
        <color theme="1"/>
        <rFont val="Noto Sans CJK SC"/>
        <family val="2"/>
      </rPr>
      <t xml:space="preserve">規則：各情境見頂年度（日曆年）取自設備市場模型（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t−1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分位）。擁有者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核准：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為中段，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為見頂。</t>
    </r>
  </si>
  <si>
    <t xml:space="preserve">情境</t>
  </si>
  <si>
    <r>
      <rPr>
        <b val="true"/>
        <sz val="11"/>
        <rFont val="Noto Sans CJK SC"/>
        <family val="2"/>
      </rPr>
      <t xml:space="preserve">設備市場見頂年度（</t>
    </r>
    <r>
      <rPr>
        <b val="true"/>
        <sz val="11"/>
        <rFont val="Cambria"/>
        <family val="0"/>
        <charset val="1"/>
      </rPr>
      <t xml:space="preserve">CY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</si>
  <si>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對照 </t>
    </r>
    <r>
      <rPr>
        <b val="true"/>
        <sz val="11"/>
        <rFont val="Cambria"/>
        <family val="0"/>
        <charset val="1"/>
      </rPr>
      <t xml:space="preserve">CY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</si>
  <si>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</si>
  <si>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倍數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</si>
  <si>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對照 </t>
    </r>
    <r>
      <rPr>
        <b val="true"/>
        <sz val="11"/>
        <rFont val="Cambria"/>
        <family val="0"/>
        <charset val="1"/>
      </rPr>
      <t xml:space="preserve">CY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</si>
  <si>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</si>
  <si>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倍數</t>
    </r>
  </si>
  <si>
    <t xml:space="preserve">規則</t>
  </si>
  <si>
    <r>
      <rPr>
        <sz val="11"/>
        <color theme="1"/>
        <rFont val="Calibri"/>
        <family val="2"/>
        <charset val="1"/>
      </rPr>
      <t xml:space="preserve">tools/cycle_position.py classify_lag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</si>
  <si>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對照欄（只作對照，不當主值）：以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本模型營收路徑自己的見頂年判斷循環位置</t>
    </r>
  </si>
  <si>
    <r>
      <rPr>
        <b val="true"/>
        <sz val="11"/>
        <rFont val="Noto Sans CJK SC"/>
        <family val="2"/>
      </rPr>
      <t xml:space="preserve">營收見頂 </t>
    </r>
    <r>
      <rPr>
        <b val="true"/>
        <sz val="11"/>
        <rFont val="Cambria"/>
        <family val="0"/>
        <charset val="1"/>
      </rPr>
      <t xml:space="preserve">FY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FY2027–FY2030 </t>
    </r>
    <r>
      <rPr>
        <b val="true"/>
        <sz val="11"/>
        <rFont val="Noto Sans CJK SC"/>
        <family val="2"/>
      </rPr>
      <t xml:space="preserve">內）</t>
    </r>
  </si>
  <si>
    <r>
      <rPr>
        <b val="true"/>
        <sz val="11"/>
        <rFont val="Noto Sans CJK SC"/>
        <family val="2"/>
      </rPr>
      <t xml:space="preserve">對照 </t>
    </r>
    <r>
      <rPr>
        <b val="true"/>
        <sz val="11"/>
        <rFont val="Cambria"/>
        <family val="0"/>
        <charset val="1"/>
      </rPr>
      <t xml:space="preserve">CY</t>
    </r>
  </si>
  <si>
    <t xml:space="preserve">觀測期是否截尾</t>
  </si>
  <si>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CY t−1</t>
    </r>
    <r>
      <rPr>
        <sz val="11"/>
        <color theme="1"/>
        <rFont val="Noto Sans CJK SC"/>
        <family val="2"/>
      </rPr>
      <t xml:space="preserve">；以本模型營收最大的會計年度為見頂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</si>
  <si>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規則值隱含股價（美元）——不適用：落後倍數含高成長期溢價，保留計算但不進結論；規則值＝</t>
    </r>
    <r>
      <rPr>
        <b val="true"/>
        <sz val="11"/>
        <rFont val="Cambria"/>
        <family val="0"/>
        <charset val="1"/>
      </rPr>
      <t xml:space="preserve">FY2028 EPS × </t>
    </r>
    <r>
      <rPr>
        <b val="true"/>
        <sz val="11"/>
        <rFont val="Noto Sans CJK SC"/>
        <family val="2"/>
      </rPr>
      <t xml:space="preserve">依循環位置的倍數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</si>
  <si>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</si>
  <si>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EPS</t>
  </si>
  <si>
    <t xml:space="preserve">倍數類型</t>
  </si>
  <si>
    <t xml:space="preserve">倍數</t>
  </si>
  <si>
    <r>
      <rPr>
        <b val="true"/>
        <sz val="11"/>
        <rFont val="Noto Sans CJK SC"/>
        <family val="2"/>
      </rPr>
      <t xml:space="preserve">隱含股價（不適用；約 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年底，未折現）</t>
    </r>
  </si>
  <si>
    <t xml:space="preserve">相對現價</t>
  </si>
  <si>
    <t xml:space="preserve">折現到現在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</si>
  <si>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</si>
  <si>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</si>
  <si>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</si>
  <si>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i val="true"/>
        <sz val="11"/>
        <rFont val="Cambria"/>
        <family val="0"/>
        <charset val="1"/>
      </rPr>
      <t xml:space="preserve">FY2029 </t>
    </r>
    <r>
      <rPr>
        <i val="true"/>
        <sz val="11"/>
        <rFont val="Noto Sans CJK SC"/>
        <family val="2"/>
      </rPr>
      <t xml:space="preserve">折現年數＝</t>
    </r>
    <r>
      <rPr>
        <i val="true"/>
        <sz val="11"/>
        <rFont val="Cambria"/>
        <family val="0"/>
        <charset val="1"/>
      </rPr>
      <t xml:space="preserve">1.27</t>
    </r>
    <r>
      <rPr>
        <i val="true"/>
        <sz val="11"/>
        <rFont val="Noto Sans CJK SC"/>
        <family val="2"/>
      </rPr>
      <t xml:space="preserve">＋</t>
    </r>
    <r>
      <rPr>
        <i val="true"/>
        <sz val="11"/>
        <rFont val="Cambria"/>
        <family val="0"/>
        <charset val="1"/>
      </rPr>
      <t xml:space="preserve">1</t>
    </r>
    <r>
      <rPr>
        <i val="true"/>
        <sz val="11"/>
        <rFont val="Noto Sans CJK SC"/>
        <family val="2"/>
      </rPr>
      <t xml:space="preserve">（</t>
    </r>
    <r>
      <rPr>
        <i val="true"/>
        <sz val="11"/>
        <rFont val="Cambria"/>
        <family val="0"/>
        <charset val="1"/>
      </rPr>
      <t xml:space="preserve">FY2029 </t>
    </r>
    <r>
      <rPr>
        <i val="true"/>
        <sz val="11"/>
        <rFont val="Noto Sans CJK SC"/>
        <family val="2"/>
      </rPr>
      <t xml:space="preserve">年底約 </t>
    </r>
    <r>
      <rPr>
        <i val="true"/>
        <sz val="11"/>
        <rFont val="Cambria"/>
        <family val="0"/>
        <charset val="1"/>
      </rPr>
      <t xml:space="preserve">2029-01</t>
    </r>
    <r>
      <rPr>
        <i val="true"/>
        <sz val="11"/>
        <rFont val="Noto Sans CJK SC"/>
        <family val="2"/>
      </rPr>
      <t xml:space="preserve">）；折現率為 </t>
    </r>
    <r>
      <rPr>
        <i val="true"/>
        <sz val="11"/>
        <rFont val="Cambria"/>
        <family val="0"/>
        <charset val="1"/>
      </rPr>
      <t xml:space="preserve">In </t>
    </r>
    <r>
      <rPr>
        <i val="true"/>
        <sz val="11"/>
        <rFont val="Noto Sans CJK SC"/>
        <family val="2"/>
      </rPr>
      <t xml:space="preserve">頁 </t>
    </r>
    <r>
      <rPr>
        <i val="true"/>
        <sz val="11"/>
        <rFont val="Cambria"/>
        <family val="0"/>
        <charset val="1"/>
      </rPr>
      <t xml:space="preserve">r_disc</t>
    </r>
    <r>
      <rPr>
        <i val="true"/>
        <sz val="11"/>
        <rFont val="Noto Sans CJK SC"/>
        <family val="2"/>
      </rPr>
      <t xml:space="preserve">（</t>
    </r>
    <r>
      <rPr>
        <i val="true"/>
        <sz val="11"/>
        <rFont val="Cambria"/>
        <family val="0"/>
        <charset val="1"/>
      </rPr>
      <t xml:space="preserve">Assumed 8–12%</t>
    </r>
    <r>
      <rPr>
        <i val="true"/>
        <sz val="1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</si>
  <si>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：要讓 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年底價等於現價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＋報酬），需要的倍數（情境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</si>
  <si>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年底隱含價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</si>
  <si>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t xml:space="preserve">所需倍數</t>
  </si>
  <si>
    <r>
      <rPr>
        <b val="true"/>
        <sz val="11"/>
        <rFont val="Noto Sans CJK SC"/>
        <family val="2"/>
      </rPr>
      <t xml:space="preserve">對照：歷史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</t>
    </r>
  </si>
  <si>
    <t xml:space="preserve">對照：歷史中位數</t>
  </si>
  <si>
    <r>
      <rPr>
        <b val="true"/>
        <sz val="11"/>
        <rFont val="Noto Sans CJK SC"/>
        <family val="2"/>
      </rPr>
      <t xml:space="preserve">對照：歷史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</si>
  <si>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＝兩年約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年報酬。現價 </t>
    </r>
    <r>
      <rPr>
        <sz val="11"/>
        <color theme="1"/>
        <rFont val="Calibri"/>
        <family val="2"/>
        <charset val="1"/>
      </rPr>
      <t xml:space="preserve">÷ FY2028 EPS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15x</t>
    </r>
    <r>
      <rPr>
        <sz val="11"/>
        <color theme="1"/>
        <rFont val="Noto Sans CJK SC"/>
        <family val="2"/>
      </rPr>
      <t xml:space="preserve">，遠低於歷史年底倍數的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分位；規則值反映的是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過去的高成長溢價，不是它在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成長放緩時仍會被給的倍數。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</si>
  <si>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</si>
  <si>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依循環位置取分位。本模型來源：只有 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一個序列可用（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年，缺 </t>
    </r>
    <r>
      <rPr>
        <sz val="11"/>
        <color theme="1"/>
        <rFont val="Calibri"/>
        <family val="2"/>
        <charset val="1"/>
      </rPr>
      <t xml:space="preserve">FY2016</t>
    </r>
    <r>
      <rPr>
        <sz val="11"/>
        <color theme="1"/>
        <rFont val="Noto Sans CJK SC"/>
        <family val="2"/>
      </rPr>
      <t xml:space="preserve">）；第二個來源（</t>
    </r>
    <r>
      <rPr>
        <sz val="11"/>
        <color theme="1"/>
        <rFont val="Calibri"/>
        <family val="2"/>
        <charset val="1"/>
      </rPr>
      <t xml:space="preserve">fullratio</t>
    </r>
    <r>
      <rPr>
        <sz val="11"/>
        <color theme="1"/>
        <rFont val="Noto Sans CJK SC"/>
        <family val="2"/>
      </rPr>
      <t xml:space="preserve">）為日曆年年底口徑，只列參考。自算（會計年度年底收盤價 </t>
    </r>
    <r>
      <rPr>
        <sz val="11"/>
        <color theme="1"/>
        <rFont val="Calibri"/>
        <family val="2"/>
        <charset val="1"/>
      </rPr>
      <t xml:space="preserve">÷ 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）的收盤價在建置環境找不到（未找到），見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頁待補。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</si>
  <si>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</si>
  <si>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</si>
  <si>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31 </t>
    </r>
    <r>
      <rPr>
        <b val="true"/>
        <sz val="11"/>
        <rFont val="Noto Sans CJK SC"/>
        <family val="2"/>
      </rPr>
      <t xml:space="preserve">日 </t>
    </r>
    <r>
      <rPr>
        <b val="true"/>
        <sz val="11"/>
        <rFont val="Cambria"/>
        <family val="0"/>
        <charset val="1"/>
      </rPr>
      <t xml:space="preserve">÷ TTM GAAP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</si>
  <si>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fullratio</t>
    </r>
    <r>
      <rPr>
        <b val="true"/>
        <sz val="11"/>
        <rFont val="Noto Sans CJK SC"/>
        <family val="2"/>
      </rPr>
      <t xml:space="preserve">（日曆年年底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，僅參考）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</si>
  <si>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</si>
  <si>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</si>
  <si>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31 </t>
    </r>
    <r>
      <rPr>
        <sz val="11"/>
        <color theme="1"/>
        <rFont val="Noto Sans CJK SC"/>
        <family val="2"/>
      </rPr>
      <t xml:space="preserve">日 </t>
    </r>
    <r>
      <rPr>
        <sz val="11"/>
        <color theme="1"/>
        <rFont val="Calibri"/>
        <family val="2"/>
        <charset val="1"/>
      </rPr>
      <t xml:space="preserve">÷ TTM GAAP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（資料商；搜尋摘要，頁面無法開啟）；</t>
    </r>
    <r>
      <rPr>
        <sz val="11"/>
        <color theme="1"/>
        <rFont val="Calibri"/>
        <family val="2"/>
        <charset val="1"/>
      </rPr>
      <t xml:space="preserve">FY2016 </t>
    </r>
    <r>
      <rPr>
        <sz val="11"/>
        <color theme="1"/>
        <rFont val="Noto Sans CJK SC"/>
        <family val="2"/>
      </rPr>
      <t xml:space="preserve">未找到；</t>
    </r>
    <r>
      <rPr>
        <sz val="11"/>
        <color theme="1"/>
        <rFont val="Calibri"/>
        <family val="2"/>
        <charset val="1"/>
      </rPr>
      <t xml:space="preserve">FY2017 </t>
    </r>
    <r>
      <rPr>
        <sz val="11"/>
        <color theme="1"/>
        <rFont val="Noto Sans CJK SC"/>
        <family val="2"/>
      </rPr>
      <t xml:space="preserve">取自另一摘要；</t>
    </r>
    <r>
      <rPr>
        <sz val="11"/>
        <color theme="1"/>
        <rFont val="Calibri"/>
        <family val="2"/>
        <charset val="1"/>
      </rPr>
      <t xml:space="preserve">FY2023 114.67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112.19–114.67</t>
    </r>
    <r>
      <rPr>
        <sz val="11"/>
        <color theme="1"/>
        <rFont val="Noto Sans CJK SC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Wisesheets </t>
    </r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FY2019 20.29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FY2023 106.44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51.63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fullratio</t>
    </r>
    <r>
      <rPr>
        <sz val="11"/>
        <color theme="1"/>
        <rFont val="Noto Sans CJK SC"/>
        <family val="2"/>
      </rPr>
      <t xml:space="preserve">（日曆年年底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，僅參考）：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（日期口徑為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月底而非會計年度年底；</t>
    </r>
    <r>
      <rPr>
        <sz val="11"/>
        <color theme="1"/>
        <rFont val="Calibri"/>
        <family val="2"/>
        <charset val="1"/>
      </rPr>
      <t xml:space="preserve">2016–2022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年；不採用）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</si>
  <si>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</si>
  <si>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</si>
  <si>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</si>
  <si>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</si>
  <si>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</si>
  <si>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</si>
  <si>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</si>
  <si>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</si>
  <si>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</si>
  <si>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</si>
  <si>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</si>
  <si>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</si>
  <si>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</si>
  <si>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</si>
  <si>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</si>
  <si>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</si>
  <si>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</si>
  <si>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</si>
  <si>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</si>
  <si>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</si>
  <si>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</si>
  <si>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</si>
  <si>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每股基準</t>
  </si>
  <si>
    <t xml:space="preserve">隱含股價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</si>
  <si>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</si>
  <si>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</si>
  <si>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</si>
  <si>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</si>
  <si>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</si>
  <si>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</si>
  <si>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</si>
  <si>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</si>
  <si>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</si>
  <si>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Noto Sans CJK SC"/>
        <family val="2"/>
      </rPr>
      <t xml:space="preserve">自算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的缺口：會計年度年底收盤價（</t>
    </r>
    <r>
      <rPr>
        <b val="true"/>
        <sz val="11"/>
        <rFont val="Cambria"/>
        <family val="0"/>
        <charset val="1"/>
      </rPr>
      <t xml:space="preserve">FY2016–FY2025</t>
    </r>
    <r>
      <rPr>
        <b val="true"/>
        <sz val="11"/>
        <rFont val="Noto Sans CJK SC"/>
        <family val="2"/>
      </rPr>
      <t xml:space="preserve">）未找到；已找到公司 </t>
    </r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稀釋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as reported</t>
    </r>
    <r>
      <rPr>
        <b val="true"/>
        <sz val="11"/>
        <rFont val="Noto Sans CJK SC"/>
        <family val="2"/>
      </rPr>
      <t xml:space="preserve">／分割調整：見下表），待補收盤價後可自算第二來源</t>
    </r>
  </si>
  <si>
    <t xml:space="preserve">會計年度</t>
  </si>
  <si>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稀釋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（原報）</t>
    </r>
  </si>
  <si>
    <t xml:space="preserve">分割除數</t>
  </si>
  <si>
    <r>
      <rPr>
        <b val="true"/>
        <sz val="11"/>
        <rFont val="Noto Sans CJK SC"/>
        <family val="2"/>
      </rPr>
      <t xml:space="preserve">分割調整後 </t>
    </r>
    <r>
      <rPr>
        <b val="true"/>
        <sz val="11"/>
        <rFont val="Cambria"/>
        <family val="0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</si>
  <si>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non-GAAP EPS</t>
    </r>
    <r>
      <rPr>
        <b val="true"/>
        <sz val="11"/>
        <rFont val="Noto Sans CJK SC"/>
        <family val="2"/>
      </rPr>
      <t xml:space="preserve">（調整後）</t>
    </r>
  </si>
  <si>
    <t xml:space="preserve">FY2016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</si>
  <si>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第四季新聞稿（</t>
    </r>
    <r>
      <rPr>
        <sz val="11"/>
        <color theme="1"/>
        <rFont val="Calibri"/>
        <family val="2"/>
        <charset val="1"/>
      </rPr>
      <t xml:space="preserve">nvidianews.nvidia.com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FY2016–FY2020 </t>
    </r>
    <r>
      <rPr>
        <sz val="11"/>
        <color theme="1"/>
        <rFont val="Noto Sans CJK SC"/>
        <family val="2"/>
      </rPr>
      <t xml:space="preserve">原報為 </t>
    </r>
    <r>
      <rPr>
        <sz val="11"/>
        <color theme="1"/>
        <rFont val="Calibri"/>
        <family val="2"/>
        <charset val="1"/>
      </rPr>
      <t xml:space="preserve">4:1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10:1 </t>
    </r>
    <r>
      <rPr>
        <sz val="11"/>
        <color theme="1"/>
        <rFont val="Noto Sans CJK SC"/>
        <family val="2"/>
      </rPr>
      <t xml:space="preserve">分割前（除數 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FY2021–FY2024 </t>
    </r>
    <r>
      <rPr>
        <sz val="11"/>
        <color theme="1"/>
        <rFont val="Noto Sans CJK SC"/>
        <family val="2"/>
      </rPr>
      <t xml:space="preserve">原報已含 </t>
    </r>
    <r>
      <rPr>
        <sz val="11"/>
        <color theme="1"/>
        <rFont val="Calibri"/>
        <family val="2"/>
        <charset val="1"/>
      </rPr>
      <t xml:space="preserve">4:1</t>
    </r>
    <r>
      <rPr>
        <sz val="11"/>
        <color theme="1"/>
        <rFont val="Noto Sans CJK SC"/>
        <family val="2"/>
      </rPr>
      <t xml:space="preserve">、未含 </t>
    </r>
    <r>
      <rPr>
        <sz val="11"/>
        <color theme="1"/>
        <rFont val="Calibri"/>
        <family val="2"/>
        <charset val="1"/>
      </rPr>
      <t xml:space="preserve">10:1</t>
    </r>
    <r>
      <rPr>
        <sz val="11"/>
        <color theme="1"/>
        <rFont val="Noto Sans CJK SC"/>
        <family val="2"/>
      </rPr>
      <t xml:space="preserve">（除數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已含兩次分割（除數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為舊口徑（排除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FY2016 </t>
    </r>
    <r>
      <rPr>
        <sz val="11"/>
        <color theme="1"/>
        <rFont val="Noto Sans CJK SC"/>
        <family val="2"/>
      </rPr>
      <t xml:space="preserve">取自搜尋摘要</t>
    </r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</si>
  <si>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</si>
  <si>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</si>
  <si>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</si>
  <si>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</si>
  <si>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</si>
  <si>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</si>
  <si>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</si>
  <si>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</si>
  <si>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</si>
  <si>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</si>
  <si>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</si>
  <si>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</t>
    </r>
  </si>
  <si>
    <t xml:space="preserve">相對現價（參考）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</si>
  <si>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</si>
  <si>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</si>
  <si>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pe_mid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</si>
  <si>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</si>
  <si>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pe_mid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</si>
  <si>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</si>
  <si>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pe_mid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</si>
  <si>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</si>
  <si>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</si>
  <si>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：十年（</t>
    </r>
    <r>
      <rPr>
        <sz val="11"/>
        <color theme="1"/>
        <rFont val="Calibri"/>
        <family val="2"/>
        <charset val="1"/>
      </rPr>
      <t xml:space="preserve">FY2016–FY2025 </t>
    </r>
    <r>
      <rPr>
        <sz val="11"/>
        <color theme="1"/>
        <rFont val="Noto Sans CJK SC"/>
        <family val="2"/>
      </rPr>
      <t xml:space="preserve">會計年度年底，</t>
    </r>
    <r>
      <rPr>
        <sz val="11"/>
        <color theme="1"/>
        <rFont val="Calibri"/>
        <family val="2"/>
        <charset val="1"/>
      </rPr>
      <t xml:space="preserve">Macrotrends 9 </t>
    </r>
    <r>
      <rPr>
        <sz val="11"/>
        <color theme="1"/>
        <rFont val="Noto Sans CJK SC"/>
        <family val="2"/>
      </rPr>
      <t xml:space="preserve">年）落後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（不含權益證券損益；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2026-02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2027-01</t>
    </r>
    <r>
      <rPr>
        <sz val="11"/>
        <color theme="1"/>
        <rFont val="Noto Sans CJK SC"/>
        <family val="2"/>
      </rPr>
      <t xml:space="preserve">）。本模型主估值法（</t>
    </r>
    <r>
      <rPr>
        <sz val="11"/>
        <color theme="1"/>
        <rFont val="Calibri"/>
        <family val="2"/>
        <charset val="1"/>
      </rPr>
      <t xml:space="preserve">FY2028 EPS × </t>
    </r>
    <r>
      <rPr>
        <sz val="11"/>
        <color theme="1"/>
        <rFont val="Noto Sans CJK SC"/>
        <family val="2"/>
      </rPr>
      <t xml:space="preserve">循環位置分位）標「不適用」，依工作單改用此備案。十年倍數含高成長期溢價（</t>
    </r>
    <r>
      <rPr>
        <sz val="11"/>
        <color theme="1"/>
        <rFont val="Calibri"/>
        <family val="2"/>
        <charset val="1"/>
      </rPr>
      <t xml:space="preserve">FY2023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115x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FY2021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75x</t>
    </r>
    <r>
      <rPr>
        <sz val="11"/>
        <color theme="1"/>
        <rFont val="Noto Sans CJK SC"/>
        <family val="2"/>
      </rPr>
      <t xml:space="preserve">），偏誤方向為高估；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相同（情境差從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起），故三情境隱含價相同；隱含價約為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2027-01</t>
    </r>
    <r>
      <rPr>
        <sz val="11"/>
        <color theme="1"/>
        <rFont val="Noto Sans CJK SC"/>
        <family val="2"/>
      </rPr>
      <t xml:space="preserve">）的價格、未折現。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</si>
  <si>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公司指引、共識、市場層。只作事後對照，不為對上數字而調整參數。公司指引（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營收年增約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72–73%</t>
    </r>
    <r>
      <rPr>
        <sz val="11"/>
        <color theme="1"/>
        <rFont val="Noto Sans CJK SC"/>
        <family val="2"/>
      </rPr>
      <t xml:space="preserve">）與共識只放在這裡，不用於校準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</si>
  <si>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</si>
  <si>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</si>
  <si>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</si>
  <si>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</si>
  <si>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</si>
  <si>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</si>
  <si>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</si>
  <si>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</si>
  <si>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FY2028 vs </t>
    </r>
    <r>
      <rPr>
        <b val="true"/>
        <sz val="11"/>
        <rFont val="Noto Sans CJK SC"/>
        <family val="2"/>
      </rPr>
      <t xml:space="preserve">公司指引與共識（校準時未使用）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</si>
  <si>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指引推算（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70%)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</si>
  <si>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法說（二手）；美元金額：未找到公司直接陳述</t>
    </r>
  </si>
  <si>
    <r>
      <rPr>
        <sz val="11"/>
        <color theme="1"/>
        <rFont val="Noto Sans CJK SC"/>
        <family val="2"/>
      </rPr>
      <t xml:space="preserve">工作單記約 </t>
    </r>
    <r>
      <rPr>
        <sz val="11"/>
        <color theme="1"/>
        <rFont val="Calibri"/>
        <family val="2"/>
        <charset val="1"/>
      </rPr>
      <t xml:space="preserve">US$690B</t>
    </r>
    <r>
      <rPr>
        <sz val="11"/>
        <color theme="1"/>
        <rFont val="Noto Sans CJK SC"/>
        <family val="2"/>
      </rPr>
      <t xml:space="preserve">；本列用錨點 </t>
    </r>
    <r>
      <rPr>
        <sz val="11"/>
        <color theme="1"/>
        <rFont val="Calibri"/>
        <family val="2"/>
        <charset val="1"/>
      </rPr>
      <t xml:space="preserve">× 1.7 </t>
    </r>
    <r>
      <rPr>
        <sz val="11"/>
        <color theme="1"/>
        <rFont val="Noto Sans CJK SC"/>
        <family val="2"/>
      </rPr>
      <t xml:space="preserve">推算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</si>
  <si>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（差距以百分點計）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</si>
  <si>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共識推算（共識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63%)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</si>
  <si>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（二手）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</si>
  <si>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營收直接值：未找到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</si>
  <si>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72–73% </t>
    </r>
    <r>
      <rPr>
        <sz val="11"/>
        <color theme="1"/>
        <rFont val="Noto Sans CJK SC"/>
        <family val="2"/>
      </rPr>
      <t xml:space="preserve">中點（百分點）</t>
    </r>
  </si>
  <si>
    <t xml:space="preserve">二手報導；逐字稿未取得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</si>
  <si>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EPS vs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</si>
  <si>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（二手）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</si>
  <si>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</si>
  <si>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Calibri"/>
        <family val="2"/>
        <charset val="1"/>
      </rPr>
      <t xml:space="preserve">247wallst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Wallstreetzen</t>
    </r>
    <r>
      <rPr>
        <sz val="11"/>
        <color theme="1"/>
        <rFont val="Noto Sans CJK SC"/>
        <family val="2"/>
      </rPr>
      <t xml:space="preserve">（二手）</t>
    </r>
  </si>
  <si>
    <r>
      <rPr>
        <sz val="11"/>
        <color theme="1"/>
        <rFont val="Noto Sans CJK SC"/>
        <family val="2"/>
      </rPr>
      <t xml:space="preserve">共識區間 </t>
    </r>
    <r>
      <rPr>
        <sz val="11"/>
        <color theme="1"/>
        <rFont val="Calibri"/>
        <family val="2"/>
        <charset val="1"/>
      </rPr>
      <t xml:space="preserve">15.70–16.13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</si>
  <si>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毛利率：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對照案例（只調售價 </t>
    </r>
    <r>
      <rPr>
        <sz val="11"/>
        <color theme="1"/>
        <rFont val="Calibri"/>
        <family val="2"/>
        <charset val="1"/>
      </rPr>
      <t xml:space="preserve">pf_cal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72–73% </t>
    </r>
    <r>
      <rPr>
        <sz val="11"/>
        <color theme="1"/>
        <rFont val="Noto Sans CJK SC"/>
        <family val="2"/>
      </rPr>
      <t xml:space="preserve">中點（百分點）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</si>
  <si>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對照案例（只調售價，顆數不縮放）</t>
    </r>
  </si>
  <si>
    <r>
      <rPr>
        <sz val="11"/>
        <color theme="1"/>
        <rFont val="Noto Sans CJK SC"/>
        <family val="2"/>
      </rPr>
      <t xml:space="preserve">與公司指引不一致：只調售價時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成本相對營收被放大，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毛利率偏低</t>
    </r>
  </si>
  <si>
    <r>
      <rPr>
        <sz val="11"/>
        <color theme="1"/>
        <rFont val="Calibri"/>
        <family val="2"/>
        <charset val="1"/>
      </rPr>
      <t xml:space="preserve">FY2029 EPS</t>
    </r>
    <r>
      <rPr>
        <sz val="11"/>
        <color theme="1"/>
        <rFont val="Noto Sans CJK SC"/>
        <family val="2"/>
      </rPr>
      <t xml:space="preserve">（共識：未找到）</t>
    </r>
  </si>
  <si>
    <r>
      <rPr>
        <sz val="11"/>
        <color theme="1"/>
        <rFont val="Calibri"/>
        <family val="2"/>
        <charset val="1"/>
      </rPr>
      <t xml:space="preserve">WallStreetSmart </t>
    </r>
    <r>
      <rPr>
        <sz val="11"/>
        <color theme="1"/>
        <rFont val="Noto Sans CJK SC"/>
        <family val="2"/>
      </rPr>
      <t xml:space="preserve">自有模型 </t>
    </r>
    <r>
      <rPr>
        <sz val="11"/>
        <color theme="1"/>
        <rFont val="Calibri"/>
        <family val="2"/>
        <charset val="1"/>
      </rPr>
      <t xml:space="preserve">FY2029 EPS 20.70</t>
    </r>
    <r>
      <rPr>
        <sz val="11"/>
        <color theme="1"/>
        <rFont val="Noto Sans CJK SC"/>
        <family val="2"/>
      </rPr>
      <t xml:space="preserve">（非共識，不採）</t>
    </r>
  </si>
  <si>
    <r>
      <rPr>
        <b val="true"/>
        <sz val="11"/>
        <rFont val="Cambria"/>
        <family val="0"/>
        <charset val="1"/>
      </rPr>
      <t xml:space="preserve">B. FY2027 </t>
    </r>
    <r>
      <rPr>
        <b val="true"/>
        <sz val="11"/>
        <rFont val="Noto Sans CJK SC"/>
        <family val="2"/>
      </rPr>
      <t xml:space="preserve">水準差與 </t>
    </r>
    <r>
      <rPr>
        <b val="true"/>
        <sz val="11"/>
        <rFont val="Cambria"/>
        <family val="0"/>
        <charset val="1"/>
      </rPr>
      <t xml:space="preserve">k_rec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Noto Sans CJK SC"/>
        <family val="2"/>
      </rPr>
      <t xml:space="preserve">：基準已用 </t>
    </r>
    <r>
      <rPr>
        <b val="true"/>
        <sz val="11"/>
        <rFont val="Cambria"/>
        <family val="0"/>
        <charset val="1"/>
      </rPr>
      <t xml:space="preserve">k_rec </t>
    </r>
    <r>
      <rPr>
        <b val="true"/>
        <sz val="11"/>
        <rFont val="Noto Sans CJK SC"/>
        <family val="2"/>
      </rPr>
      <t xml:space="preserve">校準到錨點；未校準的差額保留供查）</t>
    </r>
  </si>
  <si>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Noto Sans CJK SC"/>
        <family val="2"/>
      </rPr>
      <t xml:space="preserve">營收：未校準由下而上（</t>
    </r>
    <r>
      <rPr>
        <sz val="11"/>
        <color theme="1"/>
        <rFont val="Calibri"/>
        <family val="2"/>
        <charset val="1"/>
      </rPr>
      <t xml:space="preserve">k_rec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；運算＋網通）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公司錨點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</si>
  <si>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假設（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基準的差額）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</si>
  <si>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三情境相同（情境係數從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</si>
  <si>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認列顆數係數 </t>
    </r>
    <r>
      <rPr>
        <sz val="11"/>
        <color theme="1"/>
        <rFont val="Calibri"/>
        <family val="2"/>
        <charset val="1"/>
      </rPr>
      <t xml:space="preserve">k_rec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</si>
  <si>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Data Center ÷ </t>
    </r>
    <r>
      <rPr>
        <sz val="11"/>
        <color theme="1"/>
        <rFont val="Noto Sans CJK SC"/>
        <family val="2"/>
      </rPr>
      <t xml:space="preserve">未校準由下而上</t>
    </r>
  </si>
  <si>
    <r>
      <rPr>
        <sz val="11"/>
        <color theme="1"/>
        <rFont val="Noto Sans CJK SC"/>
        <family val="2"/>
      </rPr>
      <t xml:space="preserve">以已發生的實績校準，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起沿用；營收與成本同比例縮放；顆數層與售價層無法分開識別</t>
    </r>
  </si>
  <si>
    <r>
      <rPr>
        <sz val="11"/>
        <color theme="1"/>
        <rFont val="Noto Sans CJK SC"/>
        <family val="2"/>
      </rPr>
      <t xml:space="preserve">認列後 </t>
    </r>
    <r>
      <rPr>
        <sz val="11"/>
        <color theme="1"/>
        <rFont val="Calibri"/>
        <family val="2"/>
        <charset val="1"/>
      </rPr>
      <t xml:space="preserve">FY2027 Data Center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錨點（應為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</si>
  <si>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校準恆等式，非獨立檢驗</t>
  </si>
  <si>
    <r>
      <rPr>
        <sz val="11"/>
        <color theme="1"/>
        <rFont val="Noto Sans CJK SC"/>
        <family val="2"/>
      </rPr>
      <t xml:space="preserve">認列後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錨點毛利率（應為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；百分點）</t>
    </r>
  </si>
  <si>
    <r>
      <rPr>
        <sz val="11"/>
        <color theme="1"/>
        <rFont val="Calibri"/>
        <family val="2"/>
        <charset val="1"/>
      </rPr>
      <t xml:space="preserve">c_nh </t>
    </r>
    <r>
      <rPr>
        <sz val="11"/>
        <color theme="1"/>
        <rFont val="Noto Sans CJK SC"/>
        <family val="2"/>
      </rPr>
      <t xml:space="preserve">校準恆等式，非獨立檢驗</t>
    </r>
  </si>
  <si>
    <r>
      <rPr>
        <sz val="11"/>
        <color theme="1"/>
        <rFont val="Noto Sans CJK SC"/>
        <family val="2"/>
      </rPr>
      <t xml:space="preserve">認列顆數（百萬顆）：</t>
    </r>
    <r>
      <rPr>
        <sz val="11"/>
        <color theme="1"/>
        <rFont val="Calibri"/>
        <family val="2"/>
        <charset val="1"/>
      </rPr>
      <t xml:space="preserve">k_rec × </t>
    </r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CY2026 NVIDIA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</si>
  <si>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，未修改）</t>
    </r>
  </si>
  <si>
    <t xml:space="preserve">認列顆數低於市場層＝顆數層與售價層的合併下調</t>
  </si>
  <si>
    <r>
      <rPr>
        <sz val="11"/>
        <color theme="1"/>
        <rFont val="Noto Sans CJK SC"/>
        <family val="2"/>
      </rPr>
      <t xml:space="preserve">  網通：本模型歸屬（未縮放）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實際推估 </t>
    </r>
    <r>
      <rPr>
        <sz val="11"/>
        <color theme="1"/>
        <rFont val="Calibri"/>
        <family val="2"/>
        <charset val="1"/>
      </rPr>
      <t xml:space="preserve">rep_nv26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的對帳）</t>
    </r>
  </si>
  <si>
    <r>
      <rPr>
        <sz val="11"/>
        <color theme="1"/>
        <rFont val="Calibri"/>
        <family val="2"/>
        <charset val="1"/>
      </rPr>
      <t xml:space="preserve">markets/network v0.2.2 Recon</t>
    </r>
    <r>
      <rPr>
        <sz val="11"/>
        <color theme="1"/>
        <rFont val="Noto Sans CJK SC"/>
        <family val="2"/>
      </rPr>
      <t xml:space="preserve">：−</t>
    </r>
    <r>
      <rPr>
        <sz val="11"/>
        <color theme="1"/>
        <rFont val="Calibri"/>
        <family val="2"/>
        <charset val="1"/>
      </rPr>
      <t xml:space="preserve">16.6%</t>
    </r>
  </si>
  <si>
    <r>
      <rPr>
        <sz val="11"/>
        <color theme="1"/>
        <rFont val="Noto Sans CJK SC"/>
        <family val="2"/>
      </rPr>
      <t xml:space="preserve">歸屬比例為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</si>
  <si>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  網通：本模型歸屬（未縮放）</t>
    </r>
    <r>
      <rPr>
        <sz val="11"/>
        <color theme="1"/>
        <rFont val="Calibri"/>
        <family val="2"/>
        <charset val="1"/>
      </rPr>
      <t xml:space="preserve">vs Q1 FY27 </t>
    </r>
    <r>
      <rPr>
        <sz val="11"/>
        <color theme="1"/>
        <rFont val="Noto Sans CJK SC"/>
        <family val="2"/>
      </rPr>
      <t xml:space="preserve">實際年化（</t>
    </r>
    <r>
      <rPr>
        <sz val="11"/>
        <color theme="1"/>
        <rFont val="Calibri"/>
        <family val="2"/>
        <charset val="1"/>
      </rPr>
      <t xml:space="preserve">14.8 × 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</si>
  <si>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稿</t>
    </r>
  </si>
  <si>
    <t xml:space="preserve">網通季增中，年化為下限</t>
  </si>
  <si>
    <r>
      <rPr>
        <sz val="11"/>
        <color theme="1"/>
        <rFont val="Noto Sans CJK SC"/>
        <family val="2"/>
      </rPr>
      <t xml:space="preserve">  運算：未校準由下而上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Data Center − </t>
    </r>
    <r>
      <rPr>
        <sz val="11"/>
        <color theme="1"/>
        <rFont val="Noto Sans CJK SC"/>
        <family val="2"/>
      </rPr>
      <t xml:space="preserve">網通推估（</t>
    </r>
    <r>
      <rPr>
        <sz val="11"/>
        <color theme="1"/>
        <rFont val="Calibri"/>
        <family val="2"/>
        <charset val="1"/>
      </rPr>
      <t xml:space="preserve">rep_nv26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</si>
  <si>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網通推估 </t>
    </r>
    <r>
      <rPr>
        <sz val="11"/>
        <color theme="1"/>
        <rFont val="Calibri"/>
        <family val="2"/>
        <charset val="1"/>
      </rPr>
      <t xml:space="preserve">rep_nv26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14.8</t>
    </r>
    <r>
      <rPr>
        <sz val="11"/>
        <color theme="1"/>
        <rFont val="Noto Sans CJK SC"/>
        <family val="2"/>
      </rPr>
      <t xml:space="preserve">＋推估）</t>
    </r>
  </si>
  <si>
    <r>
      <rPr>
        <sz val="11"/>
        <color theme="1"/>
        <rFont val="Noto Sans CJK SC"/>
        <family val="2"/>
      </rPr>
      <t xml:space="preserve">把網通拿掉後的運算差距（</t>
    </r>
    <r>
      <rPr>
        <sz val="11"/>
        <color theme="1"/>
        <rFont val="Calibri"/>
        <family val="2"/>
        <charset val="1"/>
      </rPr>
      <t xml:space="preserve">B2 </t>
    </r>
    <r>
      <rPr>
        <sz val="11"/>
        <color theme="1"/>
        <rFont val="Noto Sans CJK SC"/>
        <family val="2"/>
      </rPr>
      <t xml:space="preserve">節各候選來源以此為缺口）</t>
    </r>
  </si>
  <si>
    <r>
      <rPr>
        <b val="true"/>
        <sz val="11"/>
        <rFont val="Cambria"/>
        <family val="0"/>
        <charset val="1"/>
      </rPr>
      <t xml:space="preserve">B2. </t>
    </r>
    <r>
      <rPr>
        <b val="true"/>
        <sz val="11"/>
        <rFont val="Noto Sans CJK SC"/>
        <family val="2"/>
      </rPr>
      <t xml:space="preserve">差額來源待查（以上一列的運算缺口為準；各列為候選來源，未驗證）</t>
    </r>
  </si>
  <si>
    <t xml:space="preserve">候選來源</t>
  </si>
  <si>
    <t xml:space="preserve">目前狀態</t>
  </si>
  <si>
    <t xml:space="preserve">可查的公開資料</t>
  </si>
  <si>
    <r>
      <rPr>
        <sz val="11"/>
        <color theme="1"/>
        <rFont val="Calibri"/>
        <family val="2"/>
        <charset val="1"/>
      </rPr>
      <t xml:space="preserve">① Rubin CY2026 </t>
    </r>
    <r>
      <rPr>
        <sz val="11"/>
        <color theme="1"/>
        <rFont val="Noto Sans CJK SC"/>
        <family val="2"/>
      </rPr>
      <t xml:space="preserve">出貨時點（</t>
    </r>
    <r>
      <rPr>
        <sz val="11"/>
        <color theme="1"/>
        <rFont val="Calibri"/>
        <family val="2"/>
        <charset val="1"/>
      </rPr>
      <t xml:space="preserve">FY↔CY</t>
    </r>
    <r>
      <rPr>
        <sz val="11"/>
        <color theme="1"/>
        <rFont val="Noto Sans CJK SC"/>
        <family val="2"/>
      </rPr>
      <t xml:space="preserve">）：缺口相當於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顆數（百萬）；對照值＝</t>
    </r>
    <r>
      <rPr>
        <sz val="11"/>
        <color theme="1"/>
        <rFont val="Calibri"/>
        <family val="2"/>
        <charset val="1"/>
      </rPr>
      <t xml:space="preserve">Rubin CY2026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</si>
  <si>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Noto Sans CJK SC"/>
        <family val="2"/>
      </rPr>
      <t xml:space="preserve">未驗證。二手報導：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量產出貨自日曆年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第三季開始、第四季放量（</t>
    </r>
    <r>
      <rPr>
        <sz val="11"/>
        <color theme="1"/>
        <rFont val="Calibri"/>
        <family val="2"/>
        <charset val="1"/>
      </rPr>
      <t xml:space="preserve">digitalcitizen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winbuzzer</t>
    </r>
    <r>
      <rPr>
        <sz val="11"/>
        <color theme="1"/>
        <rFont val="Noto Sans CJK SC"/>
        <family val="2"/>
      </rPr>
      <t xml:space="preserve">、經濟日報經 </t>
    </r>
    <r>
      <rPr>
        <sz val="11"/>
        <color theme="1"/>
        <rFont val="Calibri"/>
        <family val="2"/>
        <charset val="1"/>
      </rPr>
      <t xml:space="preserve">wccftech</t>
    </r>
    <r>
      <rPr>
        <sz val="11"/>
        <color theme="1"/>
        <rFont val="Noto Sans CJK SC"/>
        <family val="2"/>
      </rPr>
      <t xml:space="preserve">）；日曆年第三季多數落在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第二、三季，只有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月落在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之外，時點本身應只解釋小部分缺口（本模型推論，未驗證）</t>
    </r>
  </si>
  <si>
    <r>
      <rPr>
        <sz val="11"/>
        <color theme="1"/>
        <rFont val="Noto Sans CJK SC"/>
        <family val="2"/>
      </rPr>
      <t xml:space="preserve">可查：公司法說與 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營收認列時點與出貨顆數（財務長書面說明、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本環境無法開啟）；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季別出貨；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（鴻海、廣達）月營收與機櫃出貨</t>
    </r>
  </si>
  <si>
    <r>
      <rPr>
        <sz val="11"/>
        <color theme="1"/>
        <rFont val="Noto Sans CJK SC"/>
        <family val="2"/>
      </rPr>
      <t xml:space="preserve">① 同上：缺口占 </t>
    </r>
    <r>
      <rPr>
        <sz val="11"/>
        <color theme="1"/>
        <rFont val="Calibri"/>
        <family val="2"/>
        <charset val="1"/>
      </rPr>
      <t xml:space="preserve">Rubin CY2026 </t>
    </r>
    <r>
      <rPr>
        <sz val="11"/>
        <color theme="1"/>
        <rFont val="Noto Sans CJK SC"/>
        <family val="2"/>
      </rPr>
      <t xml:space="preserve">顆數的比例（需落在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之外的比例）</t>
    </r>
  </si>
  <si>
    <t xml:space="preserve">比例愈高，愈難只用出貨時點解釋</t>
  </si>
  <si>
    <r>
      <rPr>
        <sz val="11"/>
        <color theme="1"/>
        <rFont val="Calibri"/>
        <family val="2"/>
        <charset val="1"/>
      </rPr>
      <t xml:space="preserve">② 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 </t>
    </r>
    <r>
      <rPr>
        <sz val="11"/>
        <color theme="1"/>
        <rFont val="Noto Sans CJK SC"/>
        <family val="2"/>
      </rPr>
      <t xml:space="preserve">價差：僅靠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均價下調解釋缺口，所需降幅</t>
    </r>
  </si>
  <si>
    <r>
      <rPr>
        <sz val="11"/>
        <color theme="1"/>
        <rFont val="Noto Sans CJK SC"/>
        <family val="2"/>
      </rPr>
      <t xml:space="preserve">未驗證。公司不分 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 </t>
    </r>
    <r>
      <rPr>
        <sz val="11"/>
        <color theme="1"/>
        <rFont val="Noto Sans CJK SC"/>
        <family val="2"/>
      </rPr>
      <t xml:space="preserve">揭露；橋接表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頁只有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（模組價 </t>
    </r>
    <r>
      <rPr>
        <sz val="11"/>
        <color theme="1"/>
        <rFont val="Calibri"/>
        <family val="2"/>
        <charset val="1"/>
      </rPr>
      <t xml:space="preserve">40.4K</t>
    </r>
    <r>
      <rPr>
        <sz val="11"/>
        <color theme="1"/>
        <rFont val="Noto Sans CJK SC"/>
        <family val="2"/>
      </rPr>
      <t xml:space="preserve">）。二手：</t>
    </r>
    <r>
      <rPr>
        <sz val="11"/>
        <color theme="1"/>
        <rFont val="Calibri"/>
        <family val="2"/>
        <charset val="1"/>
      </rPr>
      <t xml:space="preserve">HSBC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B200→B300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GB200→GB300</t>
    </r>
    <r>
      <rPr>
        <sz val="11"/>
        <color theme="1"/>
        <rFont val="Noto Sans CJK SC"/>
        <family val="2"/>
      </rPr>
      <t xml:space="preserve">）沒有明顯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提升（</t>
    </r>
    <r>
      <rPr>
        <sz val="11"/>
        <color theme="1"/>
        <rFont val="Calibri"/>
        <family val="2"/>
        <charset val="1"/>
      </rPr>
      <t xml:space="preserve">wccftech </t>
    </r>
    <r>
      <rPr>
        <sz val="11"/>
        <color theme="1"/>
        <rFont val="Noto Sans CJK SC"/>
        <family val="2"/>
      </rPr>
      <t xml:space="preserve">轉述，原報告未取得）→ 價差本身不足以解釋缺口</t>
    </r>
  </si>
  <si>
    <r>
      <rPr>
        <sz val="11"/>
        <color theme="1"/>
        <rFont val="Noto Sans CJK SC"/>
        <family val="2"/>
      </rPr>
      <t xml:space="preserve">可查：賣方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估計（</t>
    </r>
    <r>
      <rPr>
        <sz val="11"/>
        <color theme="1"/>
        <rFont val="Calibri"/>
        <family val="2"/>
        <charset val="1"/>
      </rPr>
      <t xml:space="preserve">HSBC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KeyBanc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B200 HGX 8 </t>
    </r>
    <r>
      <rPr>
        <sz val="11"/>
        <color theme="1"/>
        <rFont val="Noto Sans CJK SC"/>
        <family val="2"/>
      </rPr>
      <t xml:space="preserve">卡系統報價（經銷商）、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機架價與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機架價對照；目前只找到機架層級 </t>
    </r>
    <r>
      <rPr>
        <sz val="11"/>
        <color theme="1"/>
        <rFont val="Calibri"/>
        <family val="2"/>
        <charset val="1"/>
      </rPr>
      <t xml:space="preserve">$3.7–4.0M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blog</t>
    </r>
    <r>
      <rPr>
        <sz val="11"/>
        <color theme="1"/>
        <rFont val="Noto Sans CJK SC"/>
        <family val="2"/>
      </rPr>
      <t xml:space="preserve">，無原始出處）</t>
    </r>
  </si>
  <si>
    <r>
      <rPr>
        <sz val="11"/>
        <color theme="1"/>
        <rFont val="Noto Sans CJK SC"/>
        <family val="2"/>
      </rPr>
      <t xml:space="preserve">③ 匣級加價保留比例 </t>
    </r>
    <r>
      <rPr>
        <sz val="11"/>
        <color theme="1"/>
        <rFont val="Calibri"/>
        <family val="2"/>
        <charset val="1"/>
      </rPr>
      <t xml:space="preserve">k_tray </t>
    </r>
    <r>
      <rPr>
        <sz val="11"/>
        <color theme="1"/>
        <rFont val="Noto Sans CJK SC"/>
        <family val="2"/>
      </rPr>
      <t xml:space="preserve">由基準降到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：未校準運算營收變動占缺口的比例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</si>
  <si>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0–1</t>
    </r>
    <r>
      <rPr>
        <sz val="11"/>
        <color theme="1"/>
        <rFont val="Noto Sans CJK SC"/>
        <family val="2"/>
      </rPr>
      <t xml:space="preserve">）。公司不揭露匣級加價與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分成</t>
    </r>
  </si>
  <si>
    <r>
      <rPr>
        <sz val="11"/>
        <color theme="1"/>
        <rFont val="Noto Sans CJK SC"/>
        <family val="2"/>
      </rPr>
      <t xml:space="preserve">可查：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（鴻海、廣達、緯創）的毛利率與營收認列方式（是否以機櫃或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板認列）</t>
    </r>
  </si>
  <si>
    <r>
      <rPr>
        <sz val="11"/>
        <color theme="1"/>
        <rFont val="Noto Sans CJK SC"/>
        <family val="2"/>
      </rPr>
      <t xml:space="preserve">④ 顆數層（市場層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為賣方與研調估計）：全歸顆數層時，</t>
    </r>
    <r>
      <rPr>
        <sz val="11"/>
        <color theme="1"/>
        <rFont val="Calibri"/>
        <family val="2"/>
        <charset val="1"/>
      </rPr>
      <t xml:space="preserve">CY2026 NVIDIA </t>
    </r>
    <r>
      <rPr>
        <sz val="11"/>
        <color theme="1"/>
        <rFont val="Noto Sans CJK SC"/>
        <family val="2"/>
      </rPr>
      <t xml:space="preserve">顆數需為（百萬顆）；對照值＝市場層</t>
    </r>
  </si>
  <si>
    <r>
      <rPr>
        <sz val="11"/>
        <color theme="1"/>
        <rFont val="Noto Sans CJK SC"/>
        <family val="2"/>
      </rPr>
      <t xml:space="preserve">未驗證。市場層顆數為 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等估計（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</si>
  <si>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可查：台積電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出貨與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分配、各研調的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出貨更新；公司不揭露顆數</t>
    </r>
  </si>
  <si>
    <r>
      <rPr>
        <sz val="11"/>
        <color theme="1"/>
        <rFont val="Noto Sans CJK SC"/>
        <family val="2"/>
      </rPr>
      <t xml:space="preserve">⑤ 全歸售價層時，每顆平均運算售價（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）；對照值＝模型（未校準）</t>
    </r>
  </si>
  <si>
    <t xml:space="preserve">未驗證</t>
  </si>
  <si>
    <t xml:space="preserve">同②③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</si>
  <si>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網通與記憶體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</si>
  <si>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CY2027 ÷ CY2026</t>
    </r>
    <r>
      <rPr>
        <sz val="11"/>
        <color theme="1"/>
        <rFont val="Noto Sans CJK SC"/>
        <family val="2"/>
      </rPr>
      <t xml:space="preserve">：本模型（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VR200 2027 </t>
    </r>
    <r>
      <rPr>
        <sz val="11"/>
        <color theme="1"/>
        <rFont val="Noto Sans CJK SC"/>
        <family val="2"/>
      </rPr>
      <t xml:space="preserve">合約（</t>
    </r>
    <r>
      <rPr>
        <sz val="11"/>
        <color theme="1"/>
        <rFont val="Calibri"/>
        <family val="2"/>
        <charset val="1"/>
      </rPr>
      <t xml:space="preserve">36 ÷ 16.7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</si>
  <si>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v20.1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</si>
  <si>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市場層混合價 </t>
    </r>
    <r>
      <rPr>
        <sz val="11"/>
        <color theme="1"/>
        <rFont val="Calibri"/>
        <family val="2"/>
        <charset val="1"/>
      </rPr>
      <t xml:space="preserve">+80%</t>
    </r>
    <r>
      <rPr>
        <sz val="11"/>
        <color theme="1"/>
        <rFont val="Noto Sans CJK SC"/>
        <family val="2"/>
      </rPr>
      <t xml:space="preserve">；橋接表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合約 </t>
    </r>
    <r>
      <rPr>
        <sz val="11"/>
        <color theme="1"/>
        <rFont val="Calibri"/>
        <family val="2"/>
        <charset val="1"/>
      </rPr>
      <t xml:space="preserve">+116%</t>
    </r>
    <r>
      <rPr>
        <sz val="11"/>
        <color theme="1"/>
        <rFont val="Noto Sans CJK SC"/>
        <family val="2"/>
      </rPr>
      <t xml:space="preserve">：吸收時毛利率壓力的上限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</si>
  <si>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CY2027 ($/GB)</t>
    </r>
    <r>
      <rPr>
        <sz val="11"/>
        <color theme="1"/>
        <rFont val="Noto Sans CJK SC"/>
        <family val="2"/>
      </rPr>
      <t xml:space="preserve">：市場層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二手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估計（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$53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Fubon $31–32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</si>
  <si>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（二手；賣方與記憶體廠有價格方向誘因）</t>
    </r>
  </si>
  <si>
    <r>
      <rPr>
        <sz val="11"/>
        <color theme="1"/>
        <rFont val="Noto Sans CJK SC"/>
        <family val="2"/>
      </rPr>
      <t xml:space="preserve">市場層為混合單價（含 </t>
    </r>
    <r>
      <rPr>
        <sz val="11"/>
        <color theme="1"/>
        <rFont val="Calibri"/>
        <family val="2"/>
        <charset val="1"/>
      </rPr>
      <t xml:space="preserve">HBM3E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</si>
  <si>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命題檢查（不為對上而調參數）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</si>
  <si>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金額份額（加速器晶片，模組層級）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命題下緣 </t>
    </r>
    <r>
      <rPr>
        <sz val="11"/>
        <color theme="1"/>
        <rFont val="Calibri"/>
        <family val="2"/>
        <charset val="1"/>
      </rPr>
      <t xml:space="preserve">75%</t>
    </r>
  </si>
  <si>
    <t xml:space="preserve">擁有者命題；外部來源：未找到</t>
  </si>
  <si>
    <r>
      <rPr>
        <sz val="11"/>
        <color theme="1"/>
        <rFont val="Noto Sans CJK SC"/>
        <family val="2"/>
      </rPr>
      <t xml:space="preserve">區間見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）；命題上緣 </t>
    </r>
    <r>
      <rPr>
        <sz val="11"/>
        <color theme="1"/>
        <rFont val="Calibri"/>
        <family val="2"/>
        <charset val="1"/>
      </rPr>
      <t xml:space="preserve">80%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</si>
  <si>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金額份額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命題上緣 </t>
    </r>
    <r>
      <rPr>
        <sz val="11"/>
        <color theme="1"/>
        <rFont val="Calibri"/>
        <family val="2"/>
        <charset val="1"/>
      </rPr>
      <t xml:space="preserve">80%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</si>
  <si>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顆數份額（對照 </t>
    </r>
    <r>
      <rPr>
        <sz val="11"/>
        <color theme="1"/>
        <rFont val="Calibri"/>
        <family val="2"/>
        <charset val="1"/>
      </rPr>
      <t xml:space="preserve">DIGITIMES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35%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顆數）</t>
    </r>
  </si>
  <si>
    <r>
      <rPr>
        <sz val="11"/>
        <color theme="1"/>
        <rFont val="Calibri"/>
        <family val="2"/>
        <charset val="1"/>
      </rPr>
      <t xml:space="preserve">DIGITIMES Research 2026-10-13</t>
    </r>
    <r>
      <rPr>
        <sz val="11"/>
        <color theme="1"/>
        <rFont val="Noto Sans CJK SC"/>
        <family val="2"/>
      </rPr>
      <t xml:space="preserve">（二手）</t>
    </r>
  </si>
  <si>
    <r>
      <rPr>
        <sz val="11"/>
        <color theme="1"/>
        <rFont val="Noto Sans CJK SC"/>
        <family val="2"/>
      </rPr>
      <t xml:space="preserve">顆數份額與金額份額差距大＝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單價遠高於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</si>
  <si>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 −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毛利率（百分點；命題：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漲價壓毛利 </t>
    </r>
    <r>
      <rPr>
        <sz val="11"/>
        <color theme="1"/>
        <rFont val="Calibri"/>
        <family val="2"/>
        <charset val="1"/>
      </rPr>
      <t xml:space="preserve">2–3 </t>
    </r>
    <r>
      <rPr>
        <sz val="11"/>
        <color theme="1"/>
        <rFont val="Noto Sans CJK SC"/>
        <family val="2"/>
      </rPr>
      <t xml:space="preserve">個百分點）</t>
    </r>
  </si>
  <si>
    <r>
      <rPr>
        <sz val="11"/>
        <color theme="1"/>
        <rFont val="Noto Sans CJK SC"/>
        <family val="2"/>
      </rPr>
      <t xml:space="preserve">擁有者命題（中點 −</t>
    </r>
    <r>
      <rPr>
        <sz val="11"/>
        <color theme="1"/>
        <rFont val="Calibri"/>
        <family val="2"/>
        <charset val="1"/>
      </rPr>
      <t xml:space="preserve">2.5pt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</si>
  <si>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含吸收比例、世代組合與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較高售價；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成本占營收的變化見下一列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</si>
  <si>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成本占由下而上營收：</t>
    </r>
    <r>
      <rPr>
        <sz val="11"/>
        <color theme="1"/>
        <rFont val="Calibri"/>
        <family val="2"/>
        <charset val="1"/>
      </rPr>
      <t xml:space="preserve">FY2028 − FY2027</t>
    </r>
    <r>
      <rPr>
        <sz val="11"/>
        <color theme="1"/>
        <rFont val="Noto Sans CJK SC"/>
        <family val="2"/>
      </rPr>
      <t xml:space="preserve">（百分點，吸收前）</t>
    </r>
  </si>
  <si>
    <r>
      <rPr>
        <sz val="11"/>
        <color theme="1"/>
        <rFont val="Noto Sans CJK SC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時約一半轉嫁到售價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</si>
  <si>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 vs </t>
    </r>
    <r>
      <rPr>
        <sz val="11"/>
        <color theme="1"/>
        <rFont val="Noto Sans CJK SC"/>
        <family val="2"/>
      </rPr>
      <t xml:space="preserve">命題 </t>
    </r>
    <r>
      <rPr>
        <sz val="11"/>
        <color theme="1"/>
        <rFont val="Calibri"/>
        <family val="2"/>
        <charset val="1"/>
      </rPr>
      <t xml:space="preserve">13.5x</t>
    </r>
  </si>
  <si>
    <r>
      <rPr>
        <sz val="11"/>
        <color theme="1"/>
        <rFont val="Noto Sans CJK SC"/>
        <family val="2"/>
      </rPr>
      <t xml:space="preserve">擁有者命題；共識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下約 </t>
    </r>
    <r>
      <rPr>
        <sz val="11"/>
        <color theme="1"/>
        <rFont val="Calibri"/>
        <family val="2"/>
        <charset val="1"/>
      </rPr>
      <t xml:space="preserve">13.4x</t>
    </r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</si>
  <si>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越高，現價越便宜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</si>
  <si>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</si>
  <si>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IT capex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</si>
  <si>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</si>
  <si>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校準後的基準）：對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與隱含股價（規則值，不適用，僅供對照）的影響。每個案例是一個完整的推導區塊（本頁下方，與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同一引擎）。隱含股價＝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的規則倍數（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Val!E15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Val!H15</t>
    </r>
    <r>
      <rPr>
        <sz val="11"/>
        <color theme="1"/>
        <rFont val="Noto Sans CJK SC"/>
        <family val="2"/>
      </rPr>
      <t xml:space="preserve">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</si>
  <si>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</si>
  <si>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</si>
  <si>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</si>
  <si>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</si>
  <si>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</si>
  <si>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隱含價（規則值，不適用，僅供對照）</t>
    </r>
  </si>
  <si>
    <t xml:space="preserve">隱含價相對基準</t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</si>
  <si>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營收</t>
    </r>
  </si>
  <si>
    <t xml:space="preserve">FY2029 EPS</t>
  </si>
  <si>
    <r>
      <rPr>
        <b val="true"/>
        <sz val="11"/>
        <rFont val="Cambria"/>
        <family val="0"/>
        <charset val="1"/>
      </rPr>
      <t xml:space="preserve">FY2029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</si>
  <si>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隱含價（規則值，不適用）</t>
    </r>
  </si>
  <si>
    <t xml:space="preserve">FY2030 EPS</t>
  </si>
  <si>
    <r>
      <rPr>
        <b val="true"/>
        <sz val="11"/>
        <rFont val="Cambria"/>
        <family val="0"/>
        <charset val="1"/>
      </rPr>
      <t xml:space="preserve">FY2030 EPS </t>
    </r>
    <r>
      <rPr>
        <b val="true"/>
        <sz val="11"/>
        <rFont val="Noto Sans CJK SC"/>
        <family val="2"/>
      </rPr>
      <t xml:space="preserve">年增（對 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</si>
  <si>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</si>
  <si>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</si>
  <si>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顆數係數 低（</t>
    </r>
    <r>
      <rPr>
        <sz val="11"/>
        <color theme="1"/>
        <rFont val="Calibri"/>
        <family val="2"/>
        <charset val="1"/>
      </rPr>
      <t xml:space="preserve">×0.9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</si>
  <si>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起所有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世代顆數 </t>
    </r>
    <r>
      <rPr>
        <sz val="11"/>
        <color theme="1"/>
        <rFont val="Calibri"/>
        <family val="2"/>
        <charset val="1"/>
      </rPr>
      <t xml:space="preserve">×0.9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</si>
  <si>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顆數係數 高（</t>
    </r>
    <r>
      <rPr>
        <sz val="11"/>
        <color theme="1"/>
        <rFont val="Calibri"/>
        <family val="2"/>
        <charset val="1"/>
      </rPr>
      <t xml:space="preserve">×1.1</t>
    </r>
    <r>
      <rPr>
        <sz val="11"/>
        <color theme="1"/>
        <rFont val="Noto Sans CJK SC"/>
        <family val="2"/>
      </rPr>
      <t xml:space="preserve">）</t>
    </r>
  </si>
  <si>
    <t xml:space="preserve">×1.1</t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</si>
  <si>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售價 低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</si>
  <si>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模組價 </t>
    </r>
    <r>
      <rPr>
        <sz val="11"/>
        <color theme="1"/>
        <rFont val="Calibri"/>
        <family val="2"/>
        <charset val="1"/>
      </rPr>
      <t xml:space="preserve">60K</t>
    </r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</si>
  <si>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售價 高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</si>
  <si>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模組價 </t>
    </r>
    <r>
      <rPr>
        <sz val="11"/>
        <color theme="1"/>
        <rFont val="Calibri"/>
        <family val="2"/>
        <charset val="1"/>
      </rPr>
      <t xml:space="preserve">100K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</si>
  <si>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金額份額 </t>
    </r>
    <r>
      <rPr>
        <sz val="11"/>
        <color theme="1"/>
        <rFont val="Calibri"/>
        <family val="2"/>
        <charset val="1"/>
      </rPr>
      <t xml:space="preserve">+5pt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−</t>
    </r>
    <r>
      <rPr>
        <sz val="11"/>
        <color theme="1"/>
        <rFont val="Calibri"/>
        <family val="2"/>
        <charset val="1"/>
      </rPr>
      <t xml:space="preserve">5pt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</si>
  <si>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×(</t>
    </r>
    <r>
      <rPr>
        <sz val="11"/>
        <color theme="1"/>
        <rFont val="Noto Sans CJK SC"/>
        <family val="2"/>
      </rPr>
      <t xml:space="preserve">份額−</t>
    </r>
    <r>
      <rPr>
        <sz val="11"/>
        <color theme="1"/>
        <rFont val="Calibri"/>
        <family val="2"/>
        <charset val="1"/>
      </rPr>
      <t xml:space="preserve">5pt)÷</t>
    </r>
    <r>
      <rPr>
        <sz val="11"/>
        <color theme="1"/>
        <rFont val="Noto Sans CJK SC"/>
        <family val="2"/>
      </rPr>
      <t xml:space="preserve">份額（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頁金額份額），總市場金額不變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</si>
  <si>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金額份額 −</t>
    </r>
    <r>
      <rPr>
        <sz val="11"/>
        <color theme="1"/>
        <rFont val="Calibri"/>
        <family val="2"/>
        <charset val="1"/>
      </rPr>
      <t xml:space="preserve">5pt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+5pt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</si>
  <si>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×(</t>
    </r>
    <r>
      <rPr>
        <sz val="11"/>
        <color theme="1"/>
        <rFont val="Noto Sans CJK SC"/>
        <family val="2"/>
      </rPr>
      <t xml:space="preserve">份額</t>
    </r>
    <r>
      <rPr>
        <sz val="11"/>
        <color theme="1"/>
        <rFont val="Calibri"/>
        <family val="2"/>
        <charset val="1"/>
      </rPr>
      <t xml:space="preserve">+5pt)÷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</si>
  <si>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Noto Sans CJK SC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（全額轉嫁）</t>
    </r>
  </si>
  <si>
    <r>
      <rPr>
        <sz val="11"/>
        <color theme="1"/>
        <rFont val="Noto Sans CJK SC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0.0</t>
    </r>
  </si>
  <si>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Noto Sans CJK SC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（全額吸收）</t>
    </r>
  </si>
  <si>
    <r>
      <rPr>
        <sz val="11"/>
        <color theme="1"/>
        <rFont val="Noto Sans CJK SC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</si>
  <si>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Noto Sans CJK SC"/>
        <family val="2"/>
      </rPr>
      <t xml:space="preserve">中國恢復 低（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</si>
  <si>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起每年加 </t>
    </r>
    <r>
      <rPr>
        <sz val="11"/>
        <color theme="1"/>
        <rFont val="Calibri"/>
        <family val="2"/>
        <charset val="1"/>
      </rPr>
      <t xml:space="preserve">10</t>
    </r>
  </si>
  <si>
    <r>
      <rPr>
        <sz val="11"/>
        <color theme="1"/>
        <rFont val="Noto Sans CJK SC"/>
        <family val="2"/>
      </rPr>
      <t xml:space="preserve">中國恢復 基準（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</si>
  <si>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每年加 </t>
    </r>
    <r>
      <rPr>
        <sz val="11"/>
        <color theme="1"/>
        <rFont val="Calibri"/>
        <family val="2"/>
        <charset val="1"/>
      </rPr>
      <t xml:space="preserve">20</t>
    </r>
  </si>
  <si>
    <r>
      <rPr>
        <sz val="11"/>
        <color theme="1"/>
        <rFont val="Noto Sans CJK SC"/>
        <family val="2"/>
      </rPr>
      <t xml:space="preserve">中國恢復 高（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</si>
  <si>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每年加 </t>
    </r>
    <r>
      <rPr>
        <sz val="11"/>
        <color theme="1"/>
        <rFont val="Calibri"/>
        <family val="2"/>
        <charset val="1"/>
      </rPr>
      <t xml:space="preserve">40</t>
    </r>
  </si>
  <si>
    <r>
      <rPr>
        <sz val="11"/>
        <color theme="1"/>
        <rFont val="Noto Sans CJK SC"/>
        <family val="2"/>
      </rPr>
      <t xml:space="preserve">營業費用率 −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</si>
  <si>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營業費用額外 −</t>
    </r>
    <r>
      <rPr>
        <sz val="11"/>
        <color theme="1"/>
        <rFont val="Calibri"/>
        <family val="2"/>
        <charset val="1"/>
      </rPr>
      <t xml:space="preserve">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</si>
  <si>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</si>
  <si>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</si>
  <si>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顆數與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持平（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顆數持平）</t>
    </r>
  </si>
  <si>
    <r>
      <rPr>
        <sz val="11"/>
        <color theme="1"/>
        <rFont val="Noto Sans CJK SC"/>
        <family val="2"/>
      </rPr>
      <t xml:space="preserve">核心問題：顆數持平以後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還能不能成長；網通同步持平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</si>
  <si>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的作法——只調售價（</t>
    </r>
    <r>
      <rPr>
        <sz val="11"/>
        <color theme="1"/>
        <rFont val="Calibri"/>
        <family val="2"/>
        <charset val="1"/>
      </rPr>
      <t xml:space="preserve">pf_cal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k_rec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</si>
  <si>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全部運算售價（與非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成本）</t>
    </r>
    <r>
      <rPr>
        <sz val="11"/>
        <color theme="1"/>
        <rFont val="Calibri"/>
        <family val="2"/>
        <charset val="1"/>
      </rPr>
      <t xml:space="preserve">× pf_cal</t>
    </r>
    <r>
      <rPr>
        <sz val="11"/>
        <color theme="1"/>
        <rFont val="Noto Sans CJK SC"/>
        <family val="2"/>
      </rPr>
      <t xml:space="preserve">，顆數不縮放：讓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Noto Sans CJK SC"/>
        <family val="2"/>
      </rPr>
      <t xml:space="preserve">等於錨點；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毛利率與公司指引不一致（見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對應列）；不進基準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</si>
  <si>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</si>
  <si>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</si>
  <si>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</si>
  <si>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</si>
  <si>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k_rec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，未校準）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</si>
  <si>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由下而上高於錨點；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起沿用未校準水準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</si>
  <si>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（≈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）三情境幾乎相同；顆數係數、售價與吸收比例的影響從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起；情境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起。隱含價欄為規則值（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年落後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分位，不適用，僅供對照），只反映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變動，不反映循環位置變動。</t>
    </r>
  </si>
  <si>
    <r>
      <rPr>
        <b val="true"/>
        <sz val="11"/>
        <rFont val="Noto Sans CJK SC"/>
        <family val="2"/>
      </rPr>
      <t xml:space="preserve">目標價參數敏感度（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）：加權目標價（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節）一次動一個參數；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延伸期的收斂路徑不隨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變動，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只改再投資率與永續成長</t>
    </r>
  </si>
  <si>
    <t xml:space="preserve">參數</t>
  </si>
  <si>
    <t xml:space="preserve">設定（低／高）</t>
  </si>
  <si>
    <t xml:space="preserve">低：加權目標價</t>
  </si>
  <si>
    <t xml:space="preserve">低：相對基準</t>
  </si>
  <si>
    <t xml:space="preserve">高：加權目標價</t>
  </si>
  <si>
    <t xml:space="preserve">高：相對基準</t>
  </si>
  <si>
    <t xml:space="preserve">基準加權目標價</t>
  </si>
  <si>
    <t xml:space="preserve">tp_r ±1pt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</si>
  <si>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</si>
  <si>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t xml:space="preserve">tp_g ±1pt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</si>
  <si>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</si>
  <si>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Calibri"/>
        <family val="2"/>
        <charset val="1"/>
      </rPr>
      <t xml:space="preserve">tp_w_dcf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</si>
  <si>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</si>
  <si>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顆數係數 低（</t>
    </r>
    <r>
      <rPr>
        <b val="true"/>
        <sz val="11"/>
        <rFont val="Cambria"/>
        <family val="0"/>
        <charset val="1"/>
      </rPr>
      <t xml:space="preserve">×0.9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</si>
  <si>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顆數係數 高（</t>
    </r>
    <r>
      <rPr>
        <b val="true"/>
        <sz val="11"/>
        <rFont val="Cambria"/>
        <family val="0"/>
        <charset val="1"/>
      </rPr>
      <t xml:space="preserve">×1.1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</si>
  <si>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Rubin Ultra </t>
    </r>
    <r>
      <rPr>
        <b val="true"/>
        <sz val="11"/>
        <rFont val="Noto Sans CJK SC"/>
        <family val="2"/>
      </rPr>
      <t xml:space="preserve">售價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</si>
  <si>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Rubin Ultra </t>
    </r>
    <r>
      <rPr>
        <b val="true"/>
        <sz val="11"/>
        <rFont val="Noto Sans CJK SC"/>
        <family val="2"/>
      </rPr>
      <t xml:space="preserve">售價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</si>
  <si>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金額份額 </t>
    </r>
    <r>
      <rPr>
        <b val="true"/>
        <sz val="11"/>
        <rFont val="Cambria"/>
        <family val="0"/>
        <charset val="1"/>
      </rPr>
      <t xml:space="preserve">+5pt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份額 −</t>
    </r>
    <r>
      <rPr>
        <b val="true"/>
        <sz val="11"/>
        <rFont val="Cambria"/>
        <family val="0"/>
        <charset val="1"/>
      </rPr>
      <t xml:space="preserve">5pt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</si>
  <si>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金額份額 −</t>
    </r>
    <r>
      <rPr>
        <b val="true"/>
        <sz val="11"/>
        <rFont val="Cambria"/>
        <family val="0"/>
        <charset val="1"/>
      </rPr>
      <t xml:space="preserve">5pt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+5pt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</si>
  <si>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LPDDR </t>
    </r>
    <r>
      <rPr>
        <b val="true"/>
        <sz val="11"/>
        <rFont val="Noto Sans CJK SC"/>
        <family val="2"/>
      </rPr>
      <t xml:space="preserve">吸收比例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（全額轉嫁）（情境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</si>
  <si>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LPDDR </t>
    </r>
    <r>
      <rPr>
        <b val="true"/>
        <sz val="11"/>
        <rFont val="Noto Sans CJK SC"/>
        <family val="2"/>
      </rPr>
      <t xml:space="preserve">吸收比例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（全額吸收）（情境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</si>
  <si>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案例區塊：中國恢復 低（</t>
    </r>
    <r>
      <rPr>
        <b val="true"/>
        <sz val="11"/>
        <rFont val="Cambria"/>
        <family val="0"/>
        <charset val="1"/>
      </rPr>
      <t xml:space="preserve">10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</si>
  <si>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案例區塊：中國恢復 基準（</t>
    </r>
    <r>
      <rPr>
        <b val="true"/>
        <sz val="11"/>
        <rFont val="Cambria"/>
        <family val="0"/>
        <charset val="1"/>
      </rPr>
      <t xml:space="preserve">20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</si>
  <si>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案例區塊：中國恢復 高（</t>
    </r>
    <r>
      <rPr>
        <b val="true"/>
        <sz val="11"/>
        <rFont val="Cambria"/>
        <family val="0"/>
        <charset val="1"/>
      </rPr>
      <t xml:space="preserve">40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</si>
  <si>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</si>
  <si>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</si>
  <si>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CY2029 </t>
    </r>
    <r>
      <rPr>
        <b val="true"/>
        <sz val="11"/>
        <rFont val="Noto Sans CJK SC"/>
        <family val="2"/>
      </rPr>
      <t xml:space="preserve">顆數與 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持平（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顆數持平）（情境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</si>
  <si>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案例區塊：對照：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Noto Sans CJK SC"/>
        <family val="2"/>
      </rPr>
      <t xml:space="preserve">的作法——只調售價（</t>
    </r>
    <r>
      <rPr>
        <b val="true"/>
        <sz val="11"/>
        <rFont val="Cambria"/>
        <family val="0"/>
        <charset val="1"/>
      </rPr>
      <t xml:space="preserve">pf_cal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k_rec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</si>
  <si>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</t>
    </r>
    <r>
      <rPr>
        <b val="true"/>
        <sz val="11"/>
        <rFont val="Cambria"/>
        <family val="0"/>
        <charset val="1"/>
      </rPr>
      <t xml:space="preserve">NVIDIA 8-K </t>
    </r>
    <r>
      <rPr>
        <b val="true"/>
        <sz val="11"/>
        <rFont val="Noto Sans CJK SC"/>
        <family val="2"/>
      </rPr>
      <t xml:space="preserve">新聞稿，已逐頁抓取；</t>
    </r>
    <r>
      <rPr>
        <b val="true"/>
        <sz val="11"/>
        <rFont val="Cambria"/>
        <family val="0"/>
        <charset val="1"/>
      </rPr>
      <t xml:space="preserve">CFO </t>
    </r>
    <r>
      <rPr>
        <b val="true"/>
        <sz val="11"/>
        <rFont val="Noto Sans CJK SC"/>
        <family val="2"/>
      </rPr>
      <t xml:space="preserve">書面說明、</t>
    </r>
    <r>
      <rPr>
        <b val="true"/>
        <sz val="11"/>
        <rFont val="Cambria"/>
        <family val="0"/>
        <charset val="1"/>
      </rPr>
      <t xml:space="preserve">10-Q</t>
    </r>
    <r>
      <rPr>
        <b val="true"/>
        <sz val="11"/>
        <rFont val="Noto Sans CJK SC"/>
        <family val="2"/>
      </rPr>
      <t xml:space="preserve">、法說逐字稿在建置環境無法開啟，其內容只經搜尋摘要）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</si>
  <si>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2026-08-26</t>
    </r>
    <r>
      <rPr>
        <sz val="11"/>
        <color theme="1"/>
        <rFont val="Noto Sans CJK SC"/>
        <family val="2"/>
      </rPr>
      <t xml:space="preserve">）</t>
    </r>
  </si>
  <si>
    <t xml:space="preserve">https://nvidianews.nvidia.com/news/nvidia-announces-financial-results-for-second-quarter-fiscal-2027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</si>
  <si>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2026-05-20</t>
    </r>
    <r>
      <rPr>
        <sz val="11"/>
        <color theme="1"/>
        <rFont val="Noto Sans CJK SC"/>
        <family val="2"/>
      </rPr>
      <t xml:space="preserve">）</t>
    </r>
  </si>
  <si>
    <t xml:space="preserve">https://nvidianews.nvidia.com/news/nvidia-announces-financial-results-for-first-quarter-fiscal-2027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</si>
  <si>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新聞稿</t>
    </r>
  </si>
  <si>
    <t xml:space="preserve">https://nvidianews.nvidia.com/news/nvidia-announces-financial-results-for-fourth-quarter-and-fiscal-2026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</si>
  <si>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新聞稿</t>
    </r>
  </si>
  <si>
    <t xml:space="preserve">https://nvidianews.nvidia.com/news/nvidia-announces-financial-results-for-third-quarter-fiscal-2026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</si>
  <si>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FY26 </t>
    </r>
    <r>
      <rPr>
        <sz val="11"/>
        <color theme="1"/>
        <rFont val="Noto Sans CJK SC"/>
        <family val="2"/>
      </rPr>
      <t xml:space="preserve">新聞稿</t>
    </r>
  </si>
  <si>
    <t xml:space="preserve">https://nvidianews.nvidia.com/news/nvidia-announces-financial-results-for-second-quarter-fiscal-2026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</si>
  <si>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新聞稿</t>
    </r>
  </si>
  <si>
    <t xml:space="preserve">https://nvidianews.nvidia.com/news/nvidia-announces-financial-results-for-first-quarter-fiscal-2026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</si>
  <si>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FY25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全年；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歷史）</t>
    </r>
  </si>
  <si>
    <t xml:space="preserve">https://nvidianews.nvidia.com/news/nvidia-announces-financial-results-for-fourth-quarter-and-fiscal-2025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</si>
  <si>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FY2016–FY2024 </t>
    </r>
    <r>
      <rPr>
        <sz val="11"/>
        <color theme="1"/>
        <rFont val="Noto Sans CJK SC"/>
        <family val="2"/>
      </rPr>
      <t xml:space="preserve">第四季新聞稿（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歷史）</t>
    </r>
  </si>
  <si>
    <r>
      <rPr>
        <sz val="11"/>
        <color theme="1"/>
        <rFont val="Calibri"/>
        <family val="2"/>
        <charset val="1"/>
      </rPr>
      <t xml:space="preserve">https://nvidianews.nvidia.com/news/nvidia-announces-financial-results-for-fourth-quarter-and-fiscal-2024 </t>
    </r>
    <r>
      <rPr>
        <sz val="11"/>
        <color theme="1"/>
        <rFont val="Noto Sans CJK SC"/>
        <family val="2"/>
      </rPr>
      <t xml:space="preserve">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</si>
  <si>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FY27 CFO </t>
    </r>
    <r>
      <rPr>
        <sz val="11"/>
        <color theme="1"/>
        <rFont val="Noto Sans CJK SC"/>
        <family val="2"/>
      </rPr>
      <t xml:space="preserve">書面說明（網通 </t>
    </r>
    <r>
      <rPr>
        <sz val="11"/>
        <color theme="1"/>
        <rFont val="Calibri"/>
        <family val="2"/>
        <charset val="1"/>
      </rPr>
      <t xml:space="preserve">14.8 </t>
    </r>
    <r>
      <rPr>
        <sz val="11"/>
        <color theme="1"/>
        <rFont val="Noto Sans CJK SC"/>
        <family val="2"/>
      </rPr>
      <t xml:space="preserve">之外的拆分；無法開啟：未找到）</t>
    </r>
  </si>
  <si>
    <t xml:space="preserve">https://s201.q4cdn.com/141608511/files/doc_financials/2027/Q127/Q1FY27-CFO-Commentary.pdf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</si>
  <si>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+70%</t>
    </r>
    <r>
      <rPr>
        <sz val="11"/>
        <color theme="1"/>
        <rFont val="Noto Sans CJK SC"/>
        <family val="2"/>
      </rPr>
      <t xml:space="preserve">、毛利率路徑）</t>
    </r>
  </si>
  <si>
    <t xml:space="preserve">https://finance.yahoo.com/technology/ai/articles/nvidia-q2-earnings-call-highlights-230417656.html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</si>
  <si>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CNBC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成長）</t>
    </r>
  </si>
  <si>
    <t xml:space="preserve">https://www.cnbc.com/2026/08/26/nvidia-70percent-growth-forecast-puts-it-on-track-to-be-tech-no-2-company.html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</si>
  <si>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implicator.ai</t>
    </r>
    <r>
      <rPr>
        <sz val="11"/>
        <color theme="1"/>
        <rFont val="Noto Sans CJK SC"/>
        <family val="2"/>
      </rPr>
      <t xml:space="preserve">（毛利率路徑 </t>
    </r>
    <r>
      <rPr>
        <sz val="11"/>
        <color theme="1"/>
        <rFont val="Calibri"/>
        <family val="2"/>
        <charset val="1"/>
      </rPr>
      <t xml:space="preserve">Q4 FY27 71–72%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72–73%</t>
    </r>
    <r>
      <rPr>
        <sz val="11"/>
        <color theme="1"/>
        <rFont val="Noto Sans CJK SC"/>
        <family val="2"/>
      </rPr>
      <t xml:space="preserve">）</t>
    </r>
  </si>
  <si>
    <t xml:space="preserve">https://www.implicator.ai/nvidia-70-percent-growth-forecast-margin-outlook/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</si>
  <si>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Webull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108B</t>
    </r>
    <r>
      <rPr>
        <sz val="11"/>
        <color theme="1"/>
        <rFont val="Noto Sans CJK SC"/>
        <family val="2"/>
      </rPr>
      <t xml:space="preserve">）</t>
    </r>
  </si>
  <si>
    <t xml:space="preserve">https://www.webull.com/blog/304-Nvidia-Q2-FY2027-Earnings-Beats-Revenue-EPS-Estimates-Guides-Q3-to-108B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</si>
  <si>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247wallst</t>
    </r>
    <r>
      <rPr>
        <sz val="11"/>
        <color theme="1"/>
        <rFont val="Noto Sans CJK SC"/>
        <family val="2"/>
      </rPr>
      <t xml:space="preserve">（共識 </t>
    </r>
    <r>
      <rPr>
        <sz val="11"/>
        <color theme="1"/>
        <rFont val="Calibri"/>
        <family val="2"/>
        <charset val="1"/>
      </rPr>
      <t xml:space="preserve">FY2028 EPS 15.70–15.91</t>
    </r>
    <r>
      <rPr>
        <sz val="11"/>
        <color theme="1"/>
        <rFont val="Noto Sans CJK SC"/>
        <family val="2"/>
      </rPr>
      <t xml:space="preserve">）</t>
    </r>
  </si>
  <si>
    <t xml:space="preserve">https://247wallst.com/investing/2026/10/19/nvidia-stock-could-be-headed-for-a-significant-revaluation/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</si>
  <si>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Wallstreetzen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16.13</t>
    </r>
    <r>
      <rPr>
        <sz val="11"/>
        <color theme="1"/>
        <rFont val="Noto Sans CJK SC"/>
        <family val="2"/>
      </rPr>
      <t xml:space="preserve">）</t>
    </r>
  </si>
  <si>
    <t xml:space="preserve">https://www.wallstreetzen.com/stocks/us/nasdaq/nvda/stock-forecast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</si>
  <si>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（共識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、現價、遠期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</si>
  <si>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https://stockanalysis.com/stocks/nvda/forecast/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</si>
  <si>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（會計年度年底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</si>
  <si>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https://www.macrotrends.net/stocks/charts/NVDA/nvidia/pe-ratio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</si>
  <si>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Wisesheets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對照）</t>
    </r>
  </si>
  <si>
    <t xml:space="preserve">https://www.wisesheets.io/pe-ratio/NVDA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</si>
  <si>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fullratio</t>
    </r>
    <r>
      <rPr>
        <sz val="11"/>
        <color theme="1"/>
        <rFont val="Noto Sans CJK SC"/>
        <family val="2"/>
      </rPr>
      <t xml:space="preserve">（日曆年年底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</si>
  <si>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https://fullratio.com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</si>
  <si>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HSBC MI355X $23K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finviz</t>
    </r>
    <r>
      <rPr>
        <sz val="11"/>
        <color theme="1"/>
        <rFont val="Noto Sans CJK SC"/>
        <family val="2"/>
      </rPr>
      <t xml:space="preserve">）</t>
    </r>
  </si>
  <si>
    <t xml:space="preserve">https://finviz.com/news/165555/hsbc-trims-amd-target-amid-revised-pricing-assumptions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</si>
  <si>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BofA Rubin Ultra </t>
    </r>
    <r>
      <rPr>
        <sz val="11"/>
        <color theme="1"/>
        <rFont val="Noto Sans CJK SC"/>
        <family val="2"/>
      </rPr>
      <t xml:space="preserve">機架約 </t>
    </r>
    <r>
      <rPr>
        <sz val="11"/>
        <color theme="1"/>
        <rFont val="Calibri"/>
        <family val="2"/>
        <charset val="1"/>
      </rPr>
      <t xml:space="preserve">$21M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wccftech</t>
    </r>
    <r>
      <rPr>
        <sz val="11"/>
        <color theme="1"/>
        <rFont val="Noto Sans CJK SC"/>
        <family val="2"/>
      </rPr>
      <t xml:space="preserve">）</t>
    </r>
  </si>
  <si>
    <t xml:space="preserve">https://wccftech.com/nvidia-rubin-ultra-rack-estimated-to-cost-21-million-hbm4e-swelling-to-1-5m-per-unit/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</si>
  <si>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Bernstein VR200 $9.1M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HBM4 $53/GB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wccftech</t>
    </r>
    <r>
      <rPr>
        <sz val="11"/>
        <color theme="1"/>
        <rFont val="Noto Sans CJK SC"/>
        <family val="2"/>
      </rPr>
      <t xml:space="preserve">）</t>
    </r>
  </si>
  <si>
    <t xml:space="preserve">https://wccftech.com/bernstein-warns-nvidias-vera-rubin-racks-will-hit-9-1-million-as-hbm4-prices-triple-to-53-per-gigabyte/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</si>
  <si>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堆疊 </t>
    </r>
    <r>
      <rPr>
        <sz val="11"/>
        <color theme="1"/>
        <rFont val="Calibri"/>
        <family val="2"/>
        <charset val="1"/>
      </rPr>
      <t xml:space="preserve">$600→$1,300</t>
    </r>
    <r>
      <rPr>
        <sz val="11"/>
        <color theme="1"/>
        <rFont val="Noto Sans CJK SC"/>
        <family val="2"/>
      </rPr>
      <t xml:space="preserve">）</t>
    </r>
  </si>
  <si>
    <t xml:space="preserve">https://siliconanalysts.com/market/trendforce-lifts-2027-hbm-asp-forecast-to-121-hbm4-stack-seen-doubling-to-1-300-2026-10-01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</si>
  <si>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DIGITIMES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ASIC 15.26M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vs NVIDIA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9.1M</t>
    </r>
    <r>
      <rPr>
        <sz val="11"/>
        <color theme="1"/>
        <rFont val="Noto Sans CJK SC"/>
        <family val="2"/>
      </rPr>
      <t xml:space="preserve">）</t>
    </r>
  </si>
  <si>
    <t xml:space="preserve">https://www.digitimes.com/reports/item.php?id=20261013RS400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</si>
  <si>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Kaiso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前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60–75%</t>
    </r>
    <r>
      <rPr>
        <sz val="11"/>
        <color theme="1"/>
        <rFont val="Noto Sans CJK SC"/>
        <family val="2"/>
      </rPr>
      <t xml:space="preserve">）</t>
    </r>
  </si>
  <si>
    <t xml:space="preserve">https://www.kaisoresearch.com/blog/ai-accelerators-market-431b-by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</si>
  <si>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skhynix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</si>
  <si>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FY2016–FY2025 </t>
    </r>
    <r>
      <rPr>
        <sz val="11"/>
        <color theme="1"/>
        <rFont val="Noto Sans CJK SC"/>
        <family val="2"/>
      </rPr>
      <t xml:space="preserve">會計年度年底收盤價（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Nasdaq </t>
    </r>
    <r>
      <rPr>
        <sz val="11"/>
        <color theme="1"/>
        <rFont val="Noto Sans CJK SC"/>
        <family val="2"/>
      </rPr>
      <t xml:space="preserve">歷史價）；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書面說明；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法說逐字稿</t>
    </r>
  </si>
  <si>
    <t xml:space="preserve">SemiAnalysis</t>
  </si>
  <si>
    <r>
      <rPr>
        <sz val="11"/>
        <color theme="1"/>
        <rFont val="Noto Sans CJK SC"/>
        <family val="2"/>
      </rPr>
      <t xml:space="preserve">未單獨使用（僅作為 </t>
    </r>
    <r>
      <rPr>
        <sz val="11"/>
        <color theme="1"/>
        <rFont val="Calibri"/>
        <family val="2"/>
        <charset val="1"/>
      </rPr>
      <t xml:space="preserve">Ironwood </t>
    </r>
    <r>
      <rPr>
        <sz val="11"/>
        <color theme="1"/>
        <rFont val="Noto Sans CJK SC"/>
        <family val="2"/>
      </rPr>
      <t xml:space="preserve">租用價的二手出處，未採）</t>
    </r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</si>
</sst>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00"/>
    <numFmt numFmtId="166" formatCode="#,##0.0"/>
    <numFmt numFmtId="167" formatCode="0.0%"/>
    <numFmt numFmtId="168" formatCode="0.000"/>
    <numFmt numFmtId="169" formatCode="0.00"/>
    <numFmt numFmtId="170" formatCode="0.0"/>
    <numFmt numFmtId="171" formatCode="0.0000"/>
    <numFmt numFmtId="172" formatCode="#,##0.00"/>
    <numFmt numFmtId="173" formatCode="0%"/>
    <numFmt numFmtId="174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Cambria"/>
      <family val="0"/>
      <charset val="1"/>
    </font>
    <font>
      <sz val="11"/>
      <name val="Noto Sans CJK SC"/>
      <family val="2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i val="true"/>
      <sz val="11"/>
      <name val="Cambria"/>
      <family val="0"/>
      <charset val="1"/>
    </font>
    <font>
      <i val="true"/>
      <sz val="11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3" t="s">
        <v>2</v>
      </c>
    </row>
    <row r="4" customFormat="false" ht="17.15" hidden="false" customHeight="false" outlineLevel="0" collapsed="false">
      <c r="A4" s="3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3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4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3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3" t="s">
        <v>9</v>
      </c>
    </row>
    <row r="13" customFormat="false" ht="17.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3" t="s">
        <v>11</v>
      </c>
    </row>
    <row r="16" customFormat="false" ht="17.15" hidden="false" customHeight="false" outlineLevel="0" collapsed="false">
      <c r="A16" s="3" t="s">
        <v>12</v>
      </c>
    </row>
    <row r="17" customFormat="false" ht="17.15" hidden="false" customHeight="false" outlineLevel="0" collapsed="false">
      <c r="A17" s="2" t="s">
        <v>13</v>
      </c>
    </row>
    <row r="18" customFormat="false" ht="17.15" hidden="false" customHeight="false" outlineLevel="0" collapsed="false">
      <c r="A18" s="0" t="s">
        <v>14</v>
      </c>
    </row>
    <row r="19" customFormat="false" ht="17.15" hidden="false" customHeight="false" outlineLevel="0" collapsed="false">
      <c r="A19" s="5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16</v>
      </c>
    </row>
    <row r="2" customFormat="false" ht="17.15" hidden="false" customHeight="false" outlineLevel="0" collapsed="false">
      <c r="A2" s="5" t="s">
        <v>17</v>
      </c>
    </row>
    <row r="3" customFormat="false" ht="17.15" hidden="false" customHeight="false" outlineLevel="0" collapsed="false">
      <c r="A3" s="6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6" t="s">
        <v>26</v>
      </c>
    </row>
    <row r="4" customFormat="false" ht="17.15" hidden="false" customHeight="false" outlineLevel="0" collapsed="false">
      <c r="A4" s="1" t="s">
        <v>27</v>
      </c>
    </row>
    <row r="5" customFormat="false" ht="17.15" hidden="false" customHeight="false" outlineLevel="0" collapsed="false">
      <c r="A5" s="0" t="s">
        <v>28</v>
      </c>
      <c r="B5" s="0" t="s">
        <v>29</v>
      </c>
      <c r="C5" s="5" t="s">
        <v>30</v>
      </c>
      <c r="E5" s="7" t="n">
        <v>5.4</v>
      </c>
      <c r="G5" s="8" t="s">
        <v>31</v>
      </c>
      <c r="H5" s="8" t="s">
        <v>32</v>
      </c>
      <c r="I5" s="5" t="s">
        <v>33</v>
      </c>
    </row>
    <row r="6" customFormat="false" ht="17.15" hidden="false" customHeight="false" outlineLevel="0" collapsed="false">
      <c r="A6" s="0" t="s">
        <v>34</v>
      </c>
      <c r="B6" s="0" t="s">
        <v>35</v>
      </c>
      <c r="C6" s="5" t="s">
        <v>30</v>
      </c>
      <c r="E6" s="7" t="n">
        <v>2.4</v>
      </c>
      <c r="G6" s="8" t="s">
        <v>31</v>
      </c>
      <c r="H6" s="5" t="s">
        <v>36</v>
      </c>
      <c r="I6" s="5" t="s">
        <v>36</v>
      </c>
    </row>
    <row r="7" customFormat="false" ht="17.15" hidden="false" customHeight="false" outlineLevel="0" collapsed="false">
      <c r="A7" s="0" t="s">
        <v>37</v>
      </c>
      <c r="B7" s="0" t="s">
        <v>38</v>
      </c>
      <c r="C7" s="5" t="s">
        <v>30</v>
      </c>
      <c r="E7" s="7" t="n">
        <v>0.5</v>
      </c>
      <c r="G7" s="8" t="s">
        <v>31</v>
      </c>
      <c r="H7" s="5" t="s">
        <v>36</v>
      </c>
      <c r="I7" s="5" t="s">
        <v>36</v>
      </c>
    </row>
    <row r="8" customFormat="false" ht="17.15" hidden="false" customHeight="false" outlineLevel="0" collapsed="false">
      <c r="A8" s="0" t="s">
        <v>39</v>
      </c>
      <c r="B8" s="0" t="s">
        <v>40</v>
      </c>
      <c r="C8" s="0" t="s">
        <v>41</v>
      </c>
      <c r="E8" s="7" t="n">
        <v>-0.5</v>
      </c>
      <c r="G8" s="8" t="s">
        <v>42</v>
      </c>
      <c r="H8" s="8" t="s">
        <v>43</v>
      </c>
      <c r="I8" s="8" t="s">
        <v>44</v>
      </c>
    </row>
    <row r="9" customFormat="false" ht="17.15" hidden="false" customHeight="false" outlineLevel="0" collapsed="false">
      <c r="A9" s="0" t="s">
        <v>45</v>
      </c>
      <c r="B9" s="0" t="s">
        <v>46</v>
      </c>
      <c r="C9" s="5" t="s">
        <v>30</v>
      </c>
      <c r="E9" s="7" t="n">
        <v>1.7</v>
      </c>
      <c r="G9" s="8" t="s">
        <v>31</v>
      </c>
      <c r="H9" s="8" t="s">
        <v>47</v>
      </c>
      <c r="I9" s="5" t="s">
        <v>48</v>
      </c>
    </row>
    <row r="10" customFormat="false" ht="17.15" hidden="false" customHeight="false" outlineLevel="0" collapsed="false">
      <c r="A10" s="0" t="s">
        <v>49</v>
      </c>
      <c r="B10" s="0" t="s">
        <v>50</v>
      </c>
      <c r="C10" s="5" t="s">
        <v>30</v>
      </c>
      <c r="E10" s="7" t="n">
        <v>7</v>
      </c>
      <c r="G10" s="8" t="s">
        <v>31</v>
      </c>
      <c r="H10" s="5" t="s">
        <v>36</v>
      </c>
      <c r="I10" s="5" t="s">
        <v>36</v>
      </c>
    </row>
    <row r="11" customFormat="false" ht="17.15" hidden="false" customHeight="false" outlineLevel="0" collapsed="false">
      <c r="A11" s="0" t="s">
        <v>51</v>
      </c>
      <c r="B11" s="0" t="s">
        <v>52</v>
      </c>
      <c r="C11" s="5" t="s">
        <v>30</v>
      </c>
      <c r="E11" s="7" t="n">
        <v>7</v>
      </c>
      <c r="G11" s="8" t="s">
        <v>31</v>
      </c>
      <c r="H11" s="5" t="s">
        <v>36</v>
      </c>
      <c r="I11" s="5" t="s">
        <v>36</v>
      </c>
    </row>
    <row r="12" customFormat="false" ht="17.15" hidden="false" customHeight="false" outlineLevel="0" collapsed="false">
      <c r="A12" s="0" t="s">
        <v>53</v>
      </c>
      <c r="B12" s="0" t="s">
        <v>54</v>
      </c>
      <c r="C12" s="0" t="s">
        <v>41</v>
      </c>
      <c r="E12" s="7" t="n">
        <v>0.15</v>
      </c>
      <c r="G12" s="8" t="s">
        <v>42</v>
      </c>
      <c r="H12" s="8" t="s">
        <v>55</v>
      </c>
      <c r="I12" s="8" t="s">
        <v>44</v>
      </c>
    </row>
    <row r="13" customFormat="false" ht="17.15" hidden="false" customHeight="false" outlineLevel="0" collapsed="false">
      <c r="A13" s="0" t="s">
        <v>56</v>
      </c>
      <c r="B13" s="0" t="s">
        <v>57</v>
      </c>
      <c r="C13" s="5" t="s">
        <v>30</v>
      </c>
      <c r="E13" s="7" t="n">
        <v>0</v>
      </c>
      <c r="G13" s="8" t="s">
        <v>42</v>
      </c>
      <c r="H13" s="8" t="s">
        <v>58</v>
      </c>
      <c r="I13" s="5" t="s">
        <v>59</v>
      </c>
    </row>
    <row r="14" customFormat="false" ht="17.15" hidden="false" customHeight="false" outlineLevel="0" collapsed="false">
      <c r="A14" s="0" t="s">
        <v>60</v>
      </c>
      <c r="B14" s="0" t="s">
        <v>61</v>
      </c>
      <c r="C14" s="5" t="s">
        <v>30</v>
      </c>
      <c r="E14" s="7" t="n">
        <v>0.3</v>
      </c>
      <c r="G14" s="8" t="s">
        <v>42</v>
      </c>
      <c r="H14" s="5" t="s">
        <v>36</v>
      </c>
      <c r="I14" s="5" t="s">
        <v>36</v>
      </c>
    </row>
    <row r="15" customFormat="false" ht="17.15" hidden="false" customHeight="false" outlineLevel="0" collapsed="false">
      <c r="A15" s="0" t="s">
        <v>62</v>
      </c>
      <c r="B15" s="0" t="s">
        <v>63</v>
      </c>
      <c r="C15" s="5" t="s">
        <v>30</v>
      </c>
      <c r="E15" s="7" t="n">
        <v>2</v>
      </c>
      <c r="G15" s="8" t="s">
        <v>42</v>
      </c>
      <c r="H15" s="5" t="s">
        <v>36</v>
      </c>
      <c r="I15" s="5" t="s">
        <v>36</v>
      </c>
    </row>
    <row r="16" customFormat="false" ht="17.15" hidden="false" customHeight="false" outlineLevel="0" collapsed="false">
      <c r="A16" s="0" t="s">
        <v>64</v>
      </c>
      <c r="B16" s="0" t="s">
        <v>65</v>
      </c>
      <c r="C16" s="0" t="s">
        <v>41</v>
      </c>
      <c r="E16" s="7" t="n">
        <v>0.15</v>
      </c>
      <c r="G16" s="8" t="s">
        <v>42</v>
      </c>
      <c r="H16" s="8" t="s">
        <v>66</v>
      </c>
      <c r="I16" s="8" t="s">
        <v>44</v>
      </c>
    </row>
    <row r="17" customFormat="false" ht="17.15" hidden="false" customHeight="false" outlineLevel="0" collapsed="false">
      <c r="A17" s="0" t="s">
        <v>67</v>
      </c>
      <c r="B17" s="0" t="s">
        <v>68</v>
      </c>
      <c r="C17" s="5" t="s">
        <v>30</v>
      </c>
      <c r="E17" s="7" t="n">
        <v>0.5</v>
      </c>
      <c r="G17" s="8" t="s">
        <v>31</v>
      </c>
      <c r="H17" s="8" t="s">
        <v>69</v>
      </c>
      <c r="I17" s="5" t="s">
        <v>70</v>
      </c>
    </row>
    <row r="18" customFormat="false" ht="17.15" hidden="false" customHeight="false" outlineLevel="0" collapsed="false">
      <c r="A18" s="0" t="s">
        <v>71</v>
      </c>
      <c r="B18" s="0" t="s">
        <v>72</v>
      </c>
      <c r="C18" s="5" t="s">
        <v>30</v>
      </c>
      <c r="E18" s="7" t="n">
        <v>0</v>
      </c>
      <c r="G18" s="8" t="s">
        <v>31</v>
      </c>
      <c r="H18" s="5" t="s">
        <v>36</v>
      </c>
      <c r="I18" s="5" t="s">
        <v>36</v>
      </c>
    </row>
    <row r="19" customFormat="false" ht="17.15" hidden="false" customHeight="false" outlineLevel="0" collapsed="false">
      <c r="A19" s="0" t="s">
        <v>73</v>
      </c>
      <c r="B19" s="0" t="s">
        <v>74</v>
      </c>
      <c r="C19" s="5" t="s">
        <v>30</v>
      </c>
      <c r="E19" s="7" t="n">
        <v>0</v>
      </c>
      <c r="G19" s="8" t="s">
        <v>31</v>
      </c>
      <c r="H19" s="5" t="s">
        <v>36</v>
      </c>
      <c r="I19" s="5" t="s">
        <v>36</v>
      </c>
    </row>
    <row r="20" customFormat="false" ht="17.15" hidden="false" customHeight="false" outlineLevel="0" collapsed="false">
      <c r="A20" s="0" t="s">
        <v>75</v>
      </c>
      <c r="B20" s="0" t="s">
        <v>76</v>
      </c>
      <c r="C20" s="0" t="s">
        <v>41</v>
      </c>
      <c r="E20" s="7" t="n">
        <v>0</v>
      </c>
      <c r="G20" s="8" t="s">
        <v>42</v>
      </c>
      <c r="H20" s="8" t="s">
        <v>77</v>
      </c>
      <c r="I20" s="8" t="s">
        <v>44</v>
      </c>
    </row>
    <row r="21" customFormat="false" ht="17.15" hidden="false" customHeight="false" outlineLevel="0" collapsed="false">
      <c r="A21" s="0" t="s">
        <v>78</v>
      </c>
      <c r="B21" s="0" t="s">
        <v>79</v>
      </c>
      <c r="C21" s="5" t="s">
        <v>30</v>
      </c>
      <c r="E21" s="7" t="n">
        <v>0.75</v>
      </c>
      <c r="G21" s="8" t="s">
        <v>80</v>
      </c>
      <c r="H21" s="8" t="s">
        <v>81</v>
      </c>
      <c r="I21" s="5" t="s">
        <v>82</v>
      </c>
    </row>
    <row r="22" customFormat="false" ht="17.15" hidden="false" customHeight="false" outlineLevel="0" collapsed="false">
      <c r="A22" s="0" t="s">
        <v>83</v>
      </c>
      <c r="B22" s="0" t="s">
        <v>84</v>
      </c>
      <c r="C22" s="5" t="s">
        <v>30</v>
      </c>
      <c r="E22" s="7" t="n">
        <v>1.5</v>
      </c>
      <c r="G22" s="8" t="s">
        <v>80</v>
      </c>
      <c r="H22" s="5" t="s">
        <v>36</v>
      </c>
      <c r="I22" s="5" t="s">
        <v>36</v>
      </c>
    </row>
    <row r="23" customFormat="false" ht="17.15" hidden="false" customHeight="false" outlineLevel="0" collapsed="false">
      <c r="A23" s="0" t="s">
        <v>85</v>
      </c>
      <c r="B23" s="0" t="s">
        <v>86</v>
      </c>
      <c r="C23" s="5" t="s">
        <v>30</v>
      </c>
      <c r="E23" s="7" t="n">
        <v>2</v>
      </c>
      <c r="G23" s="8" t="s">
        <v>80</v>
      </c>
      <c r="H23" s="5" t="s">
        <v>36</v>
      </c>
      <c r="I23" s="5" t="s">
        <v>36</v>
      </c>
    </row>
    <row r="24" customFormat="false" ht="17.15" hidden="false" customHeight="false" outlineLevel="0" collapsed="false">
      <c r="A24" s="0" t="s">
        <v>87</v>
      </c>
      <c r="B24" s="0" t="s">
        <v>88</v>
      </c>
      <c r="C24" s="0" t="s">
        <v>41</v>
      </c>
      <c r="E24" s="7" t="n">
        <v>0.15</v>
      </c>
      <c r="G24" s="8" t="s">
        <v>42</v>
      </c>
      <c r="H24" s="8" t="s">
        <v>89</v>
      </c>
      <c r="I24" s="8" t="s">
        <v>44</v>
      </c>
    </row>
    <row r="25" customFormat="false" ht="17.15" hidden="false" customHeight="false" outlineLevel="0" collapsed="false">
      <c r="A25" s="0" t="s">
        <v>90</v>
      </c>
      <c r="B25" s="0" t="s">
        <v>91</v>
      </c>
      <c r="C25" s="5" t="s">
        <v>30</v>
      </c>
      <c r="E25" s="7" t="n">
        <v>3.85</v>
      </c>
      <c r="G25" s="8" t="s">
        <v>31</v>
      </c>
      <c r="H25" s="8" t="s">
        <v>92</v>
      </c>
      <c r="I25" s="5" t="s">
        <v>93</v>
      </c>
    </row>
    <row r="26" customFormat="false" ht="17.15" hidden="false" customHeight="false" outlineLevel="0" collapsed="false">
      <c r="A26" s="0" t="s">
        <v>94</v>
      </c>
      <c r="B26" s="0" t="s">
        <v>95</v>
      </c>
      <c r="C26" s="5" t="s">
        <v>30</v>
      </c>
      <c r="E26" s="7" t="n">
        <v>5.5</v>
      </c>
      <c r="G26" s="8" t="s">
        <v>31</v>
      </c>
      <c r="H26" s="5" t="s">
        <v>36</v>
      </c>
      <c r="I26" s="5" t="s">
        <v>36</v>
      </c>
    </row>
    <row r="27" customFormat="false" ht="17.15" hidden="false" customHeight="false" outlineLevel="0" collapsed="false">
      <c r="A27" s="0" t="s">
        <v>96</v>
      </c>
      <c r="B27" s="0" t="s">
        <v>97</v>
      </c>
      <c r="C27" s="5" t="s">
        <v>30</v>
      </c>
      <c r="E27" s="7" t="n">
        <v>7</v>
      </c>
      <c r="G27" s="8" t="s">
        <v>31</v>
      </c>
      <c r="H27" s="5" t="s">
        <v>36</v>
      </c>
      <c r="I27" s="5" t="s">
        <v>36</v>
      </c>
    </row>
    <row r="28" customFormat="false" ht="17.15" hidden="false" customHeight="false" outlineLevel="0" collapsed="false">
      <c r="A28" s="0" t="s">
        <v>98</v>
      </c>
      <c r="B28" s="0" t="s">
        <v>99</v>
      </c>
      <c r="C28" s="0" t="s">
        <v>41</v>
      </c>
      <c r="E28" s="7" t="n">
        <v>0.15</v>
      </c>
      <c r="G28" s="8" t="s">
        <v>42</v>
      </c>
      <c r="H28" s="8" t="s">
        <v>100</v>
      </c>
      <c r="I28" s="8" t="s">
        <v>44</v>
      </c>
    </row>
    <row r="29" customFormat="false" ht="17.15" hidden="false" customHeight="false" outlineLevel="0" collapsed="false">
      <c r="A29" s="0" t="s">
        <v>101</v>
      </c>
      <c r="B29" s="0" t="s">
        <v>102</v>
      </c>
      <c r="C29" s="5" t="s">
        <v>30</v>
      </c>
      <c r="E29" s="7" t="n">
        <v>2</v>
      </c>
      <c r="G29" s="8" t="s">
        <v>42</v>
      </c>
      <c r="H29" s="8" t="s">
        <v>103</v>
      </c>
      <c r="I29" s="5" t="s">
        <v>104</v>
      </c>
    </row>
    <row r="30" customFormat="false" ht="17.15" hidden="false" customHeight="false" outlineLevel="0" collapsed="false">
      <c r="A30" s="0" t="s">
        <v>105</v>
      </c>
      <c r="B30" s="0" t="s">
        <v>106</v>
      </c>
      <c r="C30" s="5" t="s">
        <v>30</v>
      </c>
      <c r="E30" s="7" t="n">
        <v>2.5</v>
      </c>
      <c r="G30" s="8" t="s">
        <v>42</v>
      </c>
      <c r="H30" s="5" t="s">
        <v>36</v>
      </c>
      <c r="I30" s="5" t="s">
        <v>36</v>
      </c>
    </row>
    <row r="31" customFormat="false" ht="17.15" hidden="false" customHeight="false" outlineLevel="0" collapsed="false">
      <c r="A31" s="0" t="s">
        <v>107</v>
      </c>
      <c r="B31" s="0" t="s">
        <v>108</v>
      </c>
      <c r="C31" s="5" t="s">
        <v>30</v>
      </c>
      <c r="E31" s="7" t="n">
        <v>3</v>
      </c>
      <c r="G31" s="8" t="s">
        <v>42</v>
      </c>
      <c r="H31" s="5" t="s">
        <v>36</v>
      </c>
      <c r="I31" s="5" t="s">
        <v>36</v>
      </c>
    </row>
    <row r="32" customFormat="false" ht="17.15" hidden="false" customHeight="false" outlineLevel="0" collapsed="false">
      <c r="A32" s="0" t="s">
        <v>109</v>
      </c>
      <c r="B32" s="0" t="s">
        <v>110</v>
      </c>
      <c r="C32" s="0" t="s">
        <v>41</v>
      </c>
      <c r="E32" s="7" t="n">
        <v>0.15</v>
      </c>
      <c r="G32" s="8" t="s">
        <v>42</v>
      </c>
      <c r="H32" s="8" t="s">
        <v>111</v>
      </c>
      <c r="I32" s="8" t="s">
        <v>44</v>
      </c>
    </row>
    <row r="33" customFormat="false" ht="17.15" hidden="false" customHeight="false" outlineLevel="0" collapsed="false">
      <c r="A33" s="0" t="s">
        <v>112</v>
      </c>
      <c r="B33" s="5" t="s">
        <v>113</v>
      </c>
      <c r="C33" s="5" t="s">
        <v>30</v>
      </c>
      <c r="E33" s="7" t="n">
        <v>1</v>
      </c>
      <c r="G33" s="8" t="s">
        <v>114</v>
      </c>
      <c r="H33" s="8" t="s">
        <v>115</v>
      </c>
      <c r="I33" s="5" t="s">
        <v>116</v>
      </c>
    </row>
    <row r="34" customFormat="false" ht="17.15" hidden="false" customHeight="false" outlineLevel="0" collapsed="false">
      <c r="A34" s="0" t="s">
        <v>117</v>
      </c>
      <c r="B34" s="5" t="s">
        <v>118</v>
      </c>
      <c r="C34" s="5" t="s">
        <v>30</v>
      </c>
      <c r="E34" s="7" t="n">
        <v>4.5</v>
      </c>
      <c r="G34" s="8" t="s">
        <v>114</v>
      </c>
      <c r="H34" s="5" t="s">
        <v>36</v>
      </c>
      <c r="I34" s="5" t="s">
        <v>36</v>
      </c>
    </row>
    <row r="35" customFormat="false" ht="17.15" hidden="false" customHeight="false" outlineLevel="0" collapsed="false">
      <c r="A35" s="0" t="s">
        <v>119</v>
      </c>
      <c r="B35" s="5" t="s">
        <v>120</v>
      </c>
      <c r="C35" s="5" t="s">
        <v>30</v>
      </c>
      <c r="E35" s="7" t="n">
        <v>5</v>
      </c>
      <c r="G35" s="8" t="s">
        <v>114</v>
      </c>
      <c r="H35" s="5" t="s">
        <v>36</v>
      </c>
      <c r="I35" s="5" t="s">
        <v>36</v>
      </c>
    </row>
    <row r="36" customFormat="false" ht="17.15" hidden="false" customHeight="false" outlineLevel="0" collapsed="false">
      <c r="A36" s="0" t="s">
        <v>121</v>
      </c>
      <c r="B36" s="5" t="s">
        <v>122</v>
      </c>
      <c r="C36" s="0" t="s">
        <v>41</v>
      </c>
      <c r="E36" s="7" t="n">
        <v>0.15</v>
      </c>
      <c r="G36" s="8" t="s">
        <v>42</v>
      </c>
      <c r="H36" s="8" t="s">
        <v>123</v>
      </c>
      <c r="I36" s="8" t="s">
        <v>44</v>
      </c>
    </row>
    <row r="37" customFormat="false" ht="17.15" hidden="false" customHeight="false" outlineLevel="0" collapsed="false">
      <c r="A37" s="0" t="s">
        <v>124</v>
      </c>
      <c r="B37" s="5" t="s">
        <v>125</v>
      </c>
      <c r="C37" s="0" t="s">
        <v>126</v>
      </c>
      <c r="E37" s="7" t="n">
        <v>1</v>
      </c>
      <c r="G37" s="8" t="s">
        <v>42</v>
      </c>
      <c r="H37" s="8" t="s">
        <v>127</v>
      </c>
      <c r="I37" s="8" t="s">
        <v>128</v>
      </c>
    </row>
    <row r="38" customFormat="false" ht="17.15" hidden="false" customHeight="false" outlineLevel="0" collapsed="false">
      <c r="A38" s="0" t="s">
        <v>129</v>
      </c>
      <c r="B38" s="5" t="s">
        <v>130</v>
      </c>
      <c r="C38" s="0" t="s">
        <v>126</v>
      </c>
      <c r="E38" s="7" t="n">
        <v>1</v>
      </c>
      <c r="G38" s="8" t="s">
        <v>42</v>
      </c>
      <c r="H38" s="8" t="s">
        <v>131</v>
      </c>
      <c r="I38" s="5" t="s">
        <v>36</v>
      </c>
    </row>
    <row r="39" customFormat="false" ht="17.15" hidden="false" customHeight="false" outlineLevel="0" collapsed="false">
      <c r="A39" s="0" t="s">
        <v>132</v>
      </c>
      <c r="B39" s="5" t="s">
        <v>133</v>
      </c>
      <c r="C39" s="0" t="s">
        <v>126</v>
      </c>
      <c r="E39" s="7" t="n">
        <v>0.8</v>
      </c>
      <c r="G39" s="8" t="s">
        <v>42</v>
      </c>
      <c r="H39" s="8" t="s">
        <v>134</v>
      </c>
      <c r="I39" s="8" t="s">
        <v>128</v>
      </c>
    </row>
    <row r="40" customFormat="false" ht="17.15" hidden="false" customHeight="false" outlineLevel="0" collapsed="false">
      <c r="A40" s="0" t="s">
        <v>135</v>
      </c>
      <c r="B40" s="5" t="s">
        <v>136</v>
      </c>
      <c r="C40" s="0" t="s">
        <v>126</v>
      </c>
      <c r="E40" s="7" t="n">
        <v>0.85</v>
      </c>
      <c r="G40" s="8" t="s">
        <v>42</v>
      </c>
      <c r="H40" s="8" t="s">
        <v>137</v>
      </c>
      <c r="I40" s="5" t="s">
        <v>36</v>
      </c>
    </row>
    <row r="41" customFormat="false" ht="17.15" hidden="false" customHeight="false" outlineLevel="0" collapsed="false">
      <c r="A41" s="0" t="s">
        <v>138</v>
      </c>
      <c r="B41" s="5" t="s">
        <v>139</v>
      </c>
      <c r="C41" s="0" t="s">
        <v>126</v>
      </c>
      <c r="E41" s="7" t="n">
        <v>0.6</v>
      </c>
      <c r="G41" s="8" t="s">
        <v>42</v>
      </c>
      <c r="H41" s="8" t="s">
        <v>140</v>
      </c>
      <c r="I41" s="8" t="s">
        <v>128</v>
      </c>
    </row>
    <row r="42" customFormat="false" ht="17.15" hidden="false" customHeight="false" outlineLevel="0" collapsed="false">
      <c r="A42" s="0" t="s">
        <v>141</v>
      </c>
      <c r="B42" s="5" t="s">
        <v>142</v>
      </c>
      <c r="C42" s="0" t="s">
        <v>126</v>
      </c>
      <c r="E42" s="7" t="n">
        <v>0.6</v>
      </c>
      <c r="G42" s="8" t="s">
        <v>42</v>
      </c>
      <c r="H42" s="8" t="s">
        <v>143</v>
      </c>
      <c r="I42" s="5" t="s">
        <v>36</v>
      </c>
    </row>
    <row r="43" customFormat="false" ht="17.15" hidden="false" customHeight="false" outlineLevel="0" collapsed="false">
      <c r="A43" s="0" t="s">
        <v>144</v>
      </c>
      <c r="B43" s="0" t="s">
        <v>145</v>
      </c>
      <c r="C43" s="0" t="s">
        <v>146</v>
      </c>
      <c r="E43" s="7" t="n">
        <v>260</v>
      </c>
      <c r="G43" s="8" t="s">
        <v>31</v>
      </c>
      <c r="H43" s="8" t="s">
        <v>147</v>
      </c>
      <c r="I43" s="8" t="s">
        <v>148</v>
      </c>
    </row>
    <row r="44" customFormat="false" ht="17.15" hidden="false" customHeight="false" outlineLevel="0" collapsed="false">
      <c r="A44" s="0" t="s">
        <v>149</v>
      </c>
      <c r="B44" s="0" t="s">
        <v>150</v>
      </c>
      <c r="C44" s="0" t="s">
        <v>146</v>
      </c>
      <c r="E44" s="7" t="n">
        <v>280</v>
      </c>
      <c r="G44" s="8" t="s">
        <v>31</v>
      </c>
      <c r="H44" s="8" t="s">
        <v>147</v>
      </c>
      <c r="I44" s="5" t="s">
        <v>36</v>
      </c>
    </row>
    <row r="45" customFormat="false" ht="17.15" hidden="false" customHeight="false" outlineLevel="0" collapsed="false">
      <c r="A45" s="0" t="s">
        <v>151</v>
      </c>
      <c r="B45" s="0" t="s">
        <v>152</v>
      </c>
      <c r="C45" s="0" t="s">
        <v>146</v>
      </c>
      <c r="E45" s="7" t="n">
        <v>288</v>
      </c>
      <c r="G45" s="8" t="s">
        <v>31</v>
      </c>
      <c r="H45" s="8" t="s">
        <v>147</v>
      </c>
      <c r="I45" s="5" t="s">
        <v>36</v>
      </c>
    </row>
    <row r="46" customFormat="false" ht="17.15" hidden="false" customHeight="false" outlineLevel="0" collapsed="false">
      <c r="A46" s="0" t="s">
        <v>153</v>
      </c>
      <c r="B46" s="0" t="s">
        <v>154</v>
      </c>
      <c r="C46" s="0" t="s">
        <v>146</v>
      </c>
      <c r="E46" s="7" t="n">
        <v>288</v>
      </c>
      <c r="G46" s="8" t="s">
        <v>31</v>
      </c>
      <c r="H46" s="8" t="s">
        <v>147</v>
      </c>
      <c r="I46" s="8" t="s">
        <v>148</v>
      </c>
    </row>
    <row r="47" customFormat="false" ht="17.15" hidden="false" customHeight="false" outlineLevel="0" collapsed="false">
      <c r="A47" s="0" t="s">
        <v>155</v>
      </c>
      <c r="B47" s="0" t="s">
        <v>156</v>
      </c>
      <c r="C47" s="0" t="s">
        <v>146</v>
      </c>
      <c r="E47" s="7" t="n">
        <v>288</v>
      </c>
      <c r="G47" s="8" t="s">
        <v>31</v>
      </c>
      <c r="H47" s="8" t="s">
        <v>147</v>
      </c>
      <c r="I47" s="5" t="s">
        <v>36</v>
      </c>
    </row>
    <row r="48" customFormat="false" ht="17.15" hidden="false" customHeight="false" outlineLevel="0" collapsed="false">
      <c r="A48" s="0" t="s">
        <v>157</v>
      </c>
      <c r="B48" s="0" t="s">
        <v>158</v>
      </c>
      <c r="C48" s="0" t="s">
        <v>146</v>
      </c>
      <c r="E48" s="7" t="n">
        <v>288</v>
      </c>
      <c r="G48" s="8" t="s">
        <v>31</v>
      </c>
      <c r="H48" s="8" t="s">
        <v>147</v>
      </c>
      <c r="I48" s="5" t="s">
        <v>36</v>
      </c>
    </row>
    <row r="49" customFormat="false" ht="17.15" hidden="false" customHeight="false" outlineLevel="0" collapsed="false">
      <c r="A49" s="0" t="s">
        <v>159</v>
      </c>
      <c r="B49" s="0" t="s">
        <v>160</v>
      </c>
      <c r="C49" s="0" t="s">
        <v>146</v>
      </c>
      <c r="E49" s="7" t="n">
        <v>1024</v>
      </c>
      <c r="G49" s="8" t="s">
        <v>31</v>
      </c>
      <c r="H49" s="8" t="s">
        <v>147</v>
      </c>
      <c r="I49" s="8" t="s">
        <v>148</v>
      </c>
    </row>
    <row r="50" customFormat="false" ht="17.15" hidden="false" customHeight="false" outlineLevel="0" collapsed="false">
      <c r="A50" s="0" t="s">
        <v>161</v>
      </c>
      <c r="B50" s="0" t="s">
        <v>162</v>
      </c>
      <c r="C50" s="0" t="s">
        <v>146</v>
      </c>
      <c r="E50" s="7" t="n">
        <v>1024</v>
      </c>
      <c r="G50" s="8" t="s">
        <v>31</v>
      </c>
      <c r="H50" s="8" t="s">
        <v>147</v>
      </c>
      <c r="I50" s="5" t="s">
        <v>36</v>
      </c>
    </row>
    <row r="51" customFormat="false" ht="17.15" hidden="false" customHeight="false" outlineLevel="0" collapsed="false">
      <c r="A51" s="0" t="s">
        <v>163</v>
      </c>
      <c r="B51" s="0" t="s">
        <v>164</v>
      </c>
      <c r="C51" s="0" t="s">
        <v>146</v>
      </c>
      <c r="E51" s="7" t="n">
        <v>1024</v>
      </c>
      <c r="G51" s="8" t="s">
        <v>31</v>
      </c>
      <c r="H51" s="8" t="s">
        <v>147</v>
      </c>
      <c r="I51" s="5" t="s">
        <v>36</v>
      </c>
    </row>
    <row r="52" customFormat="false" ht="17.15" hidden="false" customHeight="false" outlineLevel="0" collapsed="false">
      <c r="A52" s="0" t="s">
        <v>165</v>
      </c>
      <c r="B52" s="0" t="s">
        <v>166</v>
      </c>
      <c r="C52" s="0" t="s">
        <v>146</v>
      </c>
      <c r="E52" s="7" t="n">
        <v>141</v>
      </c>
      <c r="G52" s="8" t="s">
        <v>31</v>
      </c>
      <c r="H52" s="8" t="s">
        <v>147</v>
      </c>
      <c r="I52" s="8" t="s">
        <v>148</v>
      </c>
    </row>
    <row r="53" customFormat="false" ht="17.15" hidden="false" customHeight="false" outlineLevel="0" collapsed="false">
      <c r="A53" s="0" t="s">
        <v>167</v>
      </c>
      <c r="B53" s="0" t="s">
        <v>168</v>
      </c>
      <c r="C53" s="0" t="s">
        <v>146</v>
      </c>
      <c r="E53" s="7" t="n">
        <v>141</v>
      </c>
      <c r="G53" s="8" t="s">
        <v>31</v>
      </c>
      <c r="H53" s="8" t="s">
        <v>147</v>
      </c>
      <c r="I53" s="5" t="s">
        <v>36</v>
      </c>
    </row>
    <row r="54" customFormat="false" ht="17.15" hidden="false" customHeight="false" outlineLevel="0" collapsed="false">
      <c r="A54" s="0" t="s">
        <v>169</v>
      </c>
      <c r="B54" s="0" t="s">
        <v>170</v>
      </c>
      <c r="C54" s="0" t="s">
        <v>146</v>
      </c>
      <c r="E54" s="7" t="n">
        <v>141</v>
      </c>
      <c r="G54" s="8" t="s">
        <v>31</v>
      </c>
      <c r="H54" s="8" t="s">
        <v>147</v>
      </c>
      <c r="I54" s="5" t="s">
        <v>36</v>
      </c>
    </row>
    <row r="55" customFormat="false" ht="17.15" hidden="false" customHeight="false" outlineLevel="0" collapsed="false">
      <c r="A55" s="1" t="s">
        <v>171</v>
      </c>
    </row>
    <row r="56" customFormat="false" ht="17.15" hidden="false" customHeight="false" outlineLevel="0" collapsed="false">
      <c r="A56" s="0" t="s">
        <v>172</v>
      </c>
      <c r="B56" s="0" t="s">
        <v>173</v>
      </c>
      <c r="C56" s="0" t="s">
        <v>174</v>
      </c>
      <c r="D56" s="7" t="n">
        <v>37.6</v>
      </c>
      <c r="E56" s="7" t="n">
        <v>40.4</v>
      </c>
      <c r="F56" s="7" t="n">
        <v>47</v>
      </c>
      <c r="G56" s="8" t="s">
        <v>175</v>
      </c>
      <c r="H56" s="8" t="s">
        <v>176</v>
      </c>
      <c r="I56" s="5" t="s">
        <v>177</v>
      </c>
    </row>
    <row r="57" customFormat="false" ht="17.15" hidden="false" customHeight="false" outlineLevel="0" collapsed="false">
      <c r="A57" s="0" t="s">
        <v>178</v>
      </c>
      <c r="B57" s="0" t="s">
        <v>179</v>
      </c>
      <c r="C57" s="0" t="s">
        <v>174</v>
      </c>
      <c r="D57" s="7" t="n">
        <v>50</v>
      </c>
      <c r="E57" s="7" t="n">
        <v>55</v>
      </c>
      <c r="F57" s="7" t="n">
        <v>60</v>
      </c>
      <c r="G57" s="8" t="s">
        <v>175</v>
      </c>
      <c r="H57" s="8" t="s">
        <v>180</v>
      </c>
      <c r="I57" s="5" t="s">
        <v>181</v>
      </c>
    </row>
    <row r="58" customFormat="false" ht="17.15" hidden="false" customHeight="false" outlineLevel="0" collapsed="false">
      <c r="A58" s="0" t="s">
        <v>182</v>
      </c>
      <c r="B58" s="0" t="s">
        <v>183</v>
      </c>
      <c r="C58" s="0" t="s">
        <v>174</v>
      </c>
      <c r="D58" s="7" t="n">
        <v>60</v>
      </c>
      <c r="E58" s="7" t="n">
        <v>75</v>
      </c>
      <c r="F58" s="7" t="n">
        <v>100</v>
      </c>
      <c r="G58" s="8" t="s">
        <v>42</v>
      </c>
      <c r="H58" s="5" t="s">
        <v>184</v>
      </c>
      <c r="I58" s="8" t="s">
        <v>185</v>
      </c>
    </row>
    <row r="59" customFormat="false" ht="17.15" hidden="false" customHeight="false" outlineLevel="0" collapsed="false">
      <c r="A59" s="0" t="s">
        <v>186</v>
      </c>
      <c r="B59" s="0" t="s">
        <v>187</v>
      </c>
      <c r="C59" s="0" t="s">
        <v>174</v>
      </c>
      <c r="D59" s="7" t="n">
        <v>25</v>
      </c>
      <c r="E59" s="7" t="n">
        <v>30</v>
      </c>
      <c r="F59" s="7" t="n">
        <v>35</v>
      </c>
      <c r="G59" s="8" t="s">
        <v>42</v>
      </c>
      <c r="H59" s="5" t="s">
        <v>188</v>
      </c>
      <c r="I59" s="5" t="s">
        <v>189</v>
      </c>
    </row>
    <row r="60" customFormat="false" ht="17.15" hidden="false" customHeight="false" outlineLevel="0" collapsed="false">
      <c r="A60" s="0" t="s">
        <v>190</v>
      </c>
      <c r="B60" s="0" t="s">
        <v>191</v>
      </c>
      <c r="C60" s="0" t="s">
        <v>174</v>
      </c>
      <c r="E60" s="7" t="n">
        <v>2</v>
      </c>
      <c r="G60" s="8" t="s">
        <v>175</v>
      </c>
      <c r="H60" s="8" t="s">
        <v>192</v>
      </c>
      <c r="I60" s="8" t="s">
        <v>193</v>
      </c>
    </row>
    <row r="61" customFormat="false" ht="17.15" hidden="false" customHeight="false" outlineLevel="0" collapsed="false">
      <c r="A61" s="0" t="s">
        <v>194</v>
      </c>
      <c r="B61" s="0" t="s">
        <v>195</v>
      </c>
      <c r="C61" s="0" t="s">
        <v>174</v>
      </c>
      <c r="E61" s="7" t="n">
        <v>3.069444</v>
      </c>
      <c r="G61" s="8" t="s">
        <v>175</v>
      </c>
      <c r="H61" s="8" t="s">
        <v>196</v>
      </c>
      <c r="I61" s="5" t="s">
        <v>197</v>
      </c>
    </row>
    <row r="62" customFormat="false" ht="17.15" hidden="false" customHeight="false" outlineLevel="0" collapsed="false">
      <c r="A62" s="0" t="s">
        <v>198</v>
      </c>
      <c r="B62" s="5" t="s">
        <v>199</v>
      </c>
      <c r="C62" s="0" t="s">
        <v>174</v>
      </c>
      <c r="E62" s="7" t="n">
        <v>3.072222</v>
      </c>
      <c r="G62" s="8" t="s">
        <v>175</v>
      </c>
      <c r="H62" s="8" t="s">
        <v>200</v>
      </c>
      <c r="I62" s="5" t="s">
        <v>201</v>
      </c>
    </row>
    <row r="63" customFormat="false" ht="17.15" hidden="false" customHeight="false" outlineLevel="0" collapsed="false">
      <c r="A63" s="0" t="s">
        <v>202</v>
      </c>
      <c r="B63" s="0" t="s">
        <v>203</v>
      </c>
      <c r="C63" s="0" t="s">
        <v>174</v>
      </c>
      <c r="E63" s="7" t="n">
        <v>2.5</v>
      </c>
      <c r="G63" s="8" t="s">
        <v>175</v>
      </c>
      <c r="H63" s="8" t="s">
        <v>204</v>
      </c>
      <c r="I63" s="8" t="s">
        <v>193</v>
      </c>
    </row>
    <row r="64" customFormat="false" ht="17.15" hidden="false" customHeight="false" outlineLevel="0" collapsed="false">
      <c r="A64" s="0" t="s">
        <v>205</v>
      </c>
      <c r="B64" s="0" t="s">
        <v>206</v>
      </c>
      <c r="C64" s="0" t="s">
        <v>174</v>
      </c>
      <c r="E64" s="7" t="n">
        <v>5.055556</v>
      </c>
      <c r="G64" s="8" t="s">
        <v>175</v>
      </c>
      <c r="H64" s="8" t="s">
        <v>207</v>
      </c>
      <c r="I64" s="5" t="s">
        <v>197</v>
      </c>
    </row>
    <row r="65" customFormat="false" ht="17.15" hidden="false" customHeight="false" outlineLevel="0" collapsed="false">
      <c r="A65" s="0" t="s">
        <v>208</v>
      </c>
      <c r="B65" s="5" t="s">
        <v>209</v>
      </c>
      <c r="C65" s="0" t="s">
        <v>174</v>
      </c>
      <c r="E65" s="7" t="n">
        <v>19.222222</v>
      </c>
      <c r="G65" s="8" t="s">
        <v>175</v>
      </c>
      <c r="H65" s="8" t="s">
        <v>210</v>
      </c>
      <c r="I65" s="5" t="s">
        <v>201</v>
      </c>
    </row>
    <row r="66" customFormat="false" ht="17.15" hidden="false" customHeight="false" outlineLevel="0" collapsed="false">
      <c r="A66" s="0" t="s">
        <v>211</v>
      </c>
      <c r="B66" s="0" t="s">
        <v>212</v>
      </c>
      <c r="C66" s="0" t="s">
        <v>174</v>
      </c>
      <c r="E66" s="0" t="n">
        <f aca="false">pcpu_rb</f>
        <v>2.5</v>
      </c>
      <c r="G66" s="0" t="s">
        <v>213</v>
      </c>
      <c r="H66" s="5" t="s">
        <v>214</v>
      </c>
      <c r="I66" s="0" t="s">
        <v>215</v>
      </c>
    </row>
    <row r="67" customFormat="false" ht="17.15" hidden="false" customHeight="false" outlineLevel="0" collapsed="false">
      <c r="A67" s="0" t="s">
        <v>216</v>
      </c>
      <c r="B67" s="0" t="s">
        <v>217</v>
      </c>
      <c r="C67" s="0" t="s">
        <v>174</v>
      </c>
      <c r="E67" s="0" t="n">
        <f aca="false">plp_rb</f>
        <v>5.055556</v>
      </c>
      <c r="G67" s="0" t="s">
        <v>213</v>
      </c>
      <c r="H67" s="5" t="s">
        <v>214</v>
      </c>
      <c r="I67" s="0" t="s">
        <v>215</v>
      </c>
    </row>
    <row r="68" customFormat="false" ht="17.15" hidden="false" customHeight="false" outlineLevel="0" collapsed="false">
      <c r="A68" s="0" t="s">
        <v>218</v>
      </c>
      <c r="B68" s="5" t="s">
        <v>219</v>
      </c>
      <c r="C68" s="0" t="s">
        <v>174</v>
      </c>
      <c r="E68" s="0" t="n">
        <f aca="false">pres_rb</f>
        <v>19.222222</v>
      </c>
      <c r="G68" s="0" t="s">
        <v>213</v>
      </c>
      <c r="H68" s="5" t="s">
        <v>214</v>
      </c>
      <c r="I68" s="0" t="s">
        <v>215</v>
      </c>
    </row>
    <row r="69" customFormat="false" ht="17.15" hidden="false" customHeight="false" outlineLevel="0" collapsed="false">
      <c r="A69" s="0" t="s">
        <v>220</v>
      </c>
      <c r="B69" s="0" t="s">
        <v>221</v>
      </c>
      <c r="C69" s="0" t="s">
        <v>174</v>
      </c>
      <c r="E69" s="7" t="n">
        <v>0</v>
      </c>
      <c r="G69" s="8" t="s">
        <v>42</v>
      </c>
      <c r="H69" s="8" t="s">
        <v>222</v>
      </c>
      <c r="I69" s="8" t="s">
        <v>215</v>
      </c>
    </row>
    <row r="70" customFormat="false" ht="17.15" hidden="false" customHeight="false" outlineLevel="0" collapsed="false">
      <c r="A70" s="0" t="s">
        <v>223</v>
      </c>
      <c r="B70" s="0" t="s">
        <v>224</v>
      </c>
      <c r="C70" s="0" t="s">
        <v>174</v>
      </c>
      <c r="E70" s="7" t="n">
        <v>0</v>
      </c>
      <c r="G70" s="8" t="s">
        <v>42</v>
      </c>
      <c r="H70" s="5" t="s">
        <v>36</v>
      </c>
      <c r="I70" s="8" t="s">
        <v>215</v>
      </c>
    </row>
    <row r="71" customFormat="false" ht="17.15" hidden="false" customHeight="false" outlineLevel="0" collapsed="false">
      <c r="A71" s="0" t="s">
        <v>225</v>
      </c>
      <c r="B71" s="5" t="s">
        <v>226</v>
      </c>
      <c r="C71" s="0" t="s">
        <v>174</v>
      </c>
      <c r="E71" s="7" t="n">
        <v>0</v>
      </c>
      <c r="G71" s="8" t="s">
        <v>42</v>
      </c>
      <c r="H71" s="5" t="s">
        <v>36</v>
      </c>
      <c r="I71" s="8" t="s">
        <v>215</v>
      </c>
    </row>
    <row r="72" customFormat="false" ht="17.15" hidden="false" customHeight="false" outlineLevel="0" collapsed="false">
      <c r="A72" s="0" t="s">
        <v>227</v>
      </c>
      <c r="B72" s="5" t="s">
        <v>228</v>
      </c>
      <c r="C72" s="0" t="s">
        <v>126</v>
      </c>
      <c r="D72" s="7" t="n">
        <v>0</v>
      </c>
      <c r="E72" s="7" t="n">
        <v>0.5</v>
      </c>
      <c r="F72" s="7" t="n">
        <v>1</v>
      </c>
      <c r="G72" s="8" t="s">
        <v>42</v>
      </c>
      <c r="H72" s="5" t="s">
        <v>229</v>
      </c>
      <c r="I72" s="5" t="s">
        <v>230</v>
      </c>
    </row>
    <row r="73" customFormat="false" ht="17.15" hidden="false" customHeight="false" outlineLevel="0" collapsed="false">
      <c r="A73" s="0" t="s">
        <v>231</v>
      </c>
      <c r="B73" s="0" t="s">
        <v>232</v>
      </c>
      <c r="C73" s="0" t="s">
        <v>233</v>
      </c>
      <c r="E73" s="7" t="n">
        <v>15.5</v>
      </c>
      <c r="G73" s="8" t="s">
        <v>175</v>
      </c>
      <c r="H73" s="8" t="s">
        <v>234</v>
      </c>
      <c r="I73" s="5" t="s">
        <v>235</v>
      </c>
    </row>
    <row r="74" customFormat="false" ht="17.15" hidden="false" customHeight="false" outlineLevel="0" collapsed="false">
      <c r="A74" s="0" t="s">
        <v>236</v>
      </c>
      <c r="B74" s="0" t="s">
        <v>237</v>
      </c>
      <c r="C74" s="0" t="s">
        <v>233</v>
      </c>
      <c r="E74" s="7" t="n">
        <v>16.7</v>
      </c>
      <c r="G74" s="8" t="s">
        <v>175</v>
      </c>
      <c r="H74" s="8" t="s">
        <v>238</v>
      </c>
      <c r="I74" s="8" t="s">
        <v>239</v>
      </c>
    </row>
    <row r="75" customFormat="false" ht="17.15" hidden="false" customHeight="false" outlineLevel="0" collapsed="false">
      <c r="A75" s="0" t="s">
        <v>240</v>
      </c>
      <c r="B75" s="0" t="s">
        <v>241</v>
      </c>
      <c r="C75" s="0" t="s">
        <v>233</v>
      </c>
      <c r="E75" s="0" t="n">
        <f aca="false">hpx_rb</f>
        <v>16.7</v>
      </c>
      <c r="G75" s="0" t="s">
        <v>213</v>
      </c>
      <c r="H75" s="5" t="s">
        <v>214</v>
      </c>
      <c r="I75" s="0" t="s">
        <v>215</v>
      </c>
    </row>
    <row r="76" customFormat="false" ht="17.15" hidden="false" customHeight="false" outlineLevel="0" collapsed="false">
      <c r="A76" s="0" t="s">
        <v>242</v>
      </c>
      <c r="B76" s="0" t="s">
        <v>243</v>
      </c>
      <c r="C76" s="0" t="s">
        <v>233</v>
      </c>
      <c r="E76" s="0" t="n">
        <f aca="false">hpx_bw</f>
        <v>15.5</v>
      </c>
      <c r="G76" s="0" t="s">
        <v>213</v>
      </c>
      <c r="H76" s="5" t="s">
        <v>244</v>
      </c>
      <c r="I76" s="0" t="s">
        <v>215</v>
      </c>
    </row>
    <row r="77" customFormat="false" ht="17.15" hidden="false" customHeight="false" outlineLevel="0" collapsed="false">
      <c r="A77" s="0" t="s">
        <v>245</v>
      </c>
      <c r="B77" s="0" t="s">
        <v>246</v>
      </c>
      <c r="C77" s="0" t="s">
        <v>126</v>
      </c>
      <c r="D77" s="7" t="n">
        <v>0</v>
      </c>
      <c r="E77" s="7" t="n">
        <v>0.5</v>
      </c>
      <c r="F77" s="7" t="n">
        <v>1</v>
      </c>
      <c r="G77" s="8" t="s">
        <v>42</v>
      </c>
      <c r="H77" s="5" t="s">
        <v>247</v>
      </c>
      <c r="I77" s="5" t="s">
        <v>248</v>
      </c>
    </row>
    <row r="78" customFormat="false" ht="17.15" hidden="false" customHeight="false" outlineLevel="0" collapsed="false">
      <c r="A78" s="1" t="s">
        <v>249</v>
      </c>
    </row>
    <row r="79" customFormat="false" ht="17.15" hidden="false" customHeight="false" outlineLevel="0" collapsed="false">
      <c r="A79" s="0" t="s">
        <v>250</v>
      </c>
      <c r="B79" s="0" t="s">
        <v>251</v>
      </c>
      <c r="C79" s="0" t="s">
        <v>233</v>
      </c>
      <c r="E79" s="7" t="n">
        <v>14.6</v>
      </c>
      <c r="G79" s="8" t="s">
        <v>175</v>
      </c>
      <c r="H79" s="8" t="s">
        <v>252</v>
      </c>
      <c r="I79" s="8" t="s">
        <v>253</v>
      </c>
    </row>
    <row r="80" customFormat="false" ht="17.15" hidden="false" customHeight="false" outlineLevel="0" collapsed="false">
      <c r="A80" s="0" t="s">
        <v>254</v>
      </c>
      <c r="B80" s="0" t="s">
        <v>255</v>
      </c>
      <c r="C80" s="0" t="s">
        <v>233</v>
      </c>
      <c r="E80" s="7" t="n">
        <v>26.28</v>
      </c>
      <c r="G80" s="8" t="s">
        <v>175</v>
      </c>
      <c r="H80" s="8" t="s">
        <v>252</v>
      </c>
      <c r="I80" s="5" t="s">
        <v>36</v>
      </c>
    </row>
    <row r="81" customFormat="false" ht="17.15" hidden="false" customHeight="false" outlineLevel="0" collapsed="false">
      <c r="A81" s="0" t="s">
        <v>256</v>
      </c>
      <c r="B81" s="0" t="s">
        <v>257</v>
      </c>
      <c r="C81" s="0" t="s">
        <v>233</v>
      </c>
      <c r="E81" s="7" t="n">
        <v>28.908</v>
      </c>
      <c r="G81" s="8" t="s">
        <v>175</v>
      </c>
      <c r="H81" s="8" t="s">
        <v>252</v>
      </c>
      <c r="I81" s="5" t="s">
        <v>36</v>
      </c>
    </row>
    <row r="82" customFormat="false" ht="17.15" hidden="false" customHeight="false" outlineLevel="0" collapsed="false">
      <c r="A82" s="0" t="s">
        <v>258</v>
      </c>
      <c r="B82" s="0" t="s">
        <v>259</v>
      </c>
      <c r="C82" s="0" t="s">
        <v>233</v>
      </c>
      <c r="E82" s="7" t="n">
        <v>27.4626</v>
      </c>
      <c r="G82" s="8" t="s">
        <v>175</v>
      </c>
      <c r="H82" s="8" t="s">
        <v>252</v>
      </c>
      <c r="I82" s="5" t="s">
        <v>36</v>
      </c>
    </row>
    <row r="83" customFormat="false" ht="17.15" hidden="false" customHeight="false" outlineLevel="0" collapsed="false">
      <c r="A83" s="0" t="s">
        <v>260</v>
      </c>
      <c r="B83" s="0" t="s">
        <v>261</v>
      </c>
      <c r="C83" s="0" t="s">
        <v>233</v>
      </c>
      <c r="E83" s="7" t="n">
        <v>14.6</v>
      </c>
      <c r="G83" s="8" t="s">
        <v>175</v>
      </c>
      <c r="H83" s="8" t="s">
        <v>262</v>
      </c>
      <c r="I83" s="5" t="s">
        <v>36</v>
      </c>
    </row>
    <row r="84" customFormat="false" ht="17.15" hidden="false" customHeight="false" outlineLevel="0" collapsed="false">
      <c r="A84" s="0" t="s">
        <v>263</v>
      </c>
      <c r="B84" s="0" t="s">
        <v>264</v>
      </c>
      <c r="C84" s="0" t="s">
        <v>233</v>
      </c>
      <c r="E84" s="7" t="n">
        <v>26.28</v>
      </c>
      <c r="G84" s="8" t="s">
        <v>175</v>
      </c>
      <c r="H84" s="8" t="s">
        <v>262</v>
      </c>
      <c r="I84" s="5" t="s">
        <v>36</v>
      </c>
    </row>
    <row r="85" customFormat="false" ht="17.15" hidden="false" customHeight="false" outlineLevel="0" collapsed="false">
      <c r="A85" s="0" t="s">
        <v>265</v>
      </c>
      <c r="B85" s="0" t="s">
        <v>266</v>
      </c>
      <c r="C85" s="0" t="s">
        <v>233</v>
      </c>
      <c r="E85" s="7" t="n">
        <v>19.71</v>
      </c>
      <c r="G85" s="8" t="s">
        <v>175</v>
      </c>
      <c r="H85" s="8" t="s">
        <v>262</v>
      </c>
      <c r="I85" s="5" t="s">
        <v>36</v>
      </c>
    </row>
    <row r="86" customFormat="false" ht="17.15" hidden="false" customHeight="false" outlineLevel="0" collapsed="false">
      <c r="A86" s="0" t="s">
        <v>267</v>
      </c>
      <c r="B86" s="0" t="s">
        <v>268</v>
      </c>
      <c r="C86" s="0" t="s">
        <v>233</v>
      </c>
      <c r="E86" s="7" t="n">
        <v>19.71</v>
      </c>
      <c r="G86" s="8" t="s">
        <v>175</v>
      </c>
      <c r="H86" s="8" t="s">
        <v>262</v>
      </c>
      <c r="I86" s="5" t="s">
        <v>36</v>
      </c>
    </row>
    <row r="87" customFormat="false" ht="17.15" hidden="false" customHeight="false" outlineLevel="0" collapsed="false">
      <c r="A87" s="0" t="s">
        <v>269</v>
      </c>
      <c r="B87" s="0" t="s">
        <v>270</v>
      </c>
      <c r="C87" s="0" t="s">
        <v>233</v>
      </c>
      <c r="E87" s="7" t="n">
        <v>14.6</v>
      </c>
      <c r="G87" s="8" t="s">
        <v>175</v>
      </c>
      <c r="H87" s="8" t="s">
        <v>271</v>
      </c>
      <c r="I87" s="5" t="s">
        <v>36</v>
      </c>
    </row>
    <row r="88" customFormat="false" ht="17.15" hidden="false" customHeight="false" outlineLevel="0" collapsed="false">
      <c r="A88" s="0" t="s">
        <v>272</v>
      </c>
      <c r="B88" s="0" t="s">
        <v>273</v>
      </c>
      <c r="C88" s="0" t="s">
        <v>233</v>
      </c>
      <c r="E88" s="7" t="n">
        <v>26.28</v>
      </c>
      <c r="G88" s="8" t="s">
        <v>175</v>
      </c>
      <c r="H88" s="8" t="s">
        <v>271</v>
      </c>
      <c r="I88" s="5" t="s">
        <v>36</v>
      </c>
    </row>
    <row r="89" customFormat="false" ht="17.15" hidden="false" customHeight="false" outlineLevel="0" collapsed="false">
      <c r="A89" s="0" t="s">
        <v>274</v>
      </c>
      <c r="B89" s="0" t="s">
        <v>275</v>
      </c>
      <c r="C89" s="0" t="s">
        <v>233</v>
      </c>
      <c r="E89" s="7" t="n">
        <v>15.768</v>
      </c>
      <c r="G89" s="8" t="s">
        <v>175</v>
      </c>
      <c r="H89" s="8" t="s">
        <v>271</v>
      </c>
      <c r="I89" s="5" t="s">
        <v>36</v>
      </c>
    </row>
    <row r="90" customFormat="false" ht="17.15" hidden="false" customHeight="false" outlineLevel="0" collapsed="false">
      <c r="A90" s="0" t="s">
        <v>276</v>
      </c>
      <c r="B90" s="0" t="s">
        <v>277</v>
      </c>
      <c r="C90" s="0" t="s">
        <v>233</v>
      </c>
      <c r="E90" s="7" t="n">
        <v>16.5564</v>
      </c>
      <c r="G90" s="8" t="s">
        <v>175</v>
      </c>
      <c r="H90" s="8" t="s">
        <v>271</v>
      </c>
      <c r="I90" s="5" t="s">
        <v>36</v>
      </c>
    </row>
    <row r="91" customFormat="false" ht="17.15" hidden="false" customHeight="false" outlineLevel="0" collapsed="false">
      <c r="A91" s="0" t="s">
        <v>278</v>
      </c>
      <c r="B91" s="5" t="s">
        <v>279</v>
      </c>
      <c r="C91" s="0" t="s">
        <v>126</v>
      </c>
      <c r="E91" s="7" t="n">
        <v>5.16160910558167</v>
      </c>
      <c r="G91" s="8" t="s">
        <v>175</v>
      </c>
      <c r="H91" s="8" t="s">
        <v>280</v>
      </c>
      <c r="I91" s="8" t="s">
        <v>281</v>
      </c>
    </row>
    <row r="92" customFormat="false" ht="17.15" hidden="false" customHeight="false" outlineLevel="0" collapsed="false">
      <c r="A92" s="0" t="s">
        <v>282</v>
      </c>
      <c r="B92" s="5" t="s">
        <v>283</v>
      </c>
      <c r="C92" s="0" t="s">
        <v>126</v>
      </c>
      <c r="E92" s="7" t="n">
        <v>6.6593125157252</v>
      </c>
      <c r="G92" s="8" t="s">
        <v>175</v>
      </c>
      <c r="H92" s="8" t="s">
        <v>280</v>
      </c>
      <c r="I92" s="5" t="s">
        <v>36</v>
      </c>
    </row>
    <row r="93" customFormat="false" ht="17.15" hidden="false" customHeight="false" outlineLevel="0" collapsed="false">
      <c r="A93" s="0" t="s">
        <v>284</v>
      </c>
      <c r="B93" s="5" t="s">
        <v>285</v>
      </c>
      <c r="C93" s="0" t="s">
        <v>126</v>
      </c>
      <c r="E93" s="7" t="n">
        <v>6.01793600154974</v>
      </c>
      <c r="G93" s="8" t="s">
        <v>175</v>
      </c>
      <c r="H93" s="8" t="s">
        <v>280</v>
      </c>
      <c r="I93" s="5" t="s">
        <v>36</v>
      </c>
    </row>
    <row r="94" customFormat="false" ht="17.15" hidden="false" customHeight="false" outlineLevel="0" collapsed="false">
      <c r="A94" s="0" t="s">
        <v>286</v>
      </c>
      <c r="B94" s="5" t="s">
        <v>287</v>
      </c>
      <c r="C94" s="0" t="s">
        <v>126</v>
      </c>
      <c r="E94" s="7" t="n">
        <v>5.43804985489736</v>
      </c>
      <c r="G94" s="8" t="s">
        <v>175</v>
      </c>
      <c r="H94" s="8" t="s">
        <v>280</v>
      </c>
      <c r="I94" s="5" t="s">
        <v>36</v>
      </c>
    </row>
    <row r="95" customFormat="false" ht="17.15" hidden="false" customHeight="false" outlineLevel="0" collapsed="false">
      <c r="A95" s="0" t="s">
        <v>288</v>
      </c>
      <c r="B95" s="5" t="s">
        <v>289</v>
      </c>
      <c r="C95" s="0" t="s">
        <v>126</v>
      </c>
      <c r="E95" s="7" t="n">
        <v>5.16160910558167</v>
      </c>
      <c r="G95" s="8" t="s">
        <v>175</v>
      </c>
      <c r="H95" s="8" t="s">
        <v>290</v>
      </c>
      <c r="I95" s="5" t="s">
        <v>36</v>
      </c>
    </row>
    <row r="96" customFormat="false" ht="17.15" hidden="false" customHeight="false" outlineLevel="0" collapsed="false">
      <c r="A96" s="0" t="s">
        <v>291</v>
      </c>
      <c r="B96" s="5" t="s">
        <v>292</v>
      </c>
      <c r="C96" s="0" t="s">
        <v>126</v>
      </c>
      <c r="E96" s="7" t="n">
        <v>6.48713341292856</v>
      </c>
      <c r="G96" s="8" t="s">
        <v>175</v>
      </c>
      <c r="H96" s="8" t="s">
        <v>290</v>
      </c>
      <c r="I96" s="5" t="s">
        <v>36</v>
      </c>
    </row>
    <row r="97" customFormat="false" ht="17.15" hidden="false" customHeight="false" outlineLevel="0" collapsed="false">
      <c r="A97" s="0" t="s">
        <v>293</v>
      </c>
      <c r="B97" s="5" t="s">
        <v>294</v>
      </c>
      <c r="C97" s="0" t="s">
        <v>126</v>
      </c>
      <c r="E97" s="7" t="n">
        <v>3.45274707414887</v>
      </c>
      <c r="G97" s="8" t="s">
        <v>175</v>
      </c>
      <c r="H97" s="8" t="s">
        <v>290</v>
      </c>
      <c r="I97" s="5" t="s">
        <v>36</v>
      </c>
    </row>
    <row r="98" customFormat="false" ht="17.15" hidden="false" customHeight="false" outlineLevel="0" collapsed="false">
      <c r="A98" s="0" t="s">
        <v>295</v>
      </c>
      <c r="B98" s="5" t="s">
        <v>296</v>
      </c>
      <c r="C98" s="0" t="s">
        <v>126</v>
      </c>
      <c r="E98" s="7" t="n">
        <v>3.34725167569952</v>
      </c>
      <c r="G98" s="8" t="s">
        <v>175</v>
      </c>
      <c r="H98" s="8" t="s">
        <v>290</v>
      </c>
      <c r="I98" s="5" t="s">
        <v>36</v>
      </c>
    </row>
    <row r="99" customFormat="false" ht="17.15" hidden="false" customHeight="false" outlineLevel="0" collapsed="false">
      <c r="A99" s="0" t="s">
        <v>297</v>
      </c>
      <c r="B99" s="5" t="s">
        <v>298</v>
      </c>
      <c r="C99" s="0" t="s">
        <v>126</v>
      </c>
      <c r="E99" s="7" t="n">
        <v>5.16160910558167</v>
      </c>
      <c r="G99" s="8" t="s">
        <v>175</v>
      </c>
      <c r="H99" s="8" t="s">
        <v>299</v>
      </c>
      <c r="I99" s="5" t="s">
        <v>36</v>
      </c>
    </row>
    <row r="100" customFormat="false" ht="17.15" hidden="false" customHeight="false" outlineLevel="0" collapsed="false">
      <c r="A100" s="0" t="s">
        <v>300</v>
      </c>
      <c r="B100" s="5" t="s">
        <v>301</v>
      </c>
      <c r="C100" s="0" t="s">
        <v>126</v>
      </c>
      <c r="E100" s="7" t="n">
        <v>6.48713341292856</v>
      </c>
      <c r="G100" s="8" t="s">
        <v>175</v>
      </c>
      <c r="H100" s="8" t="s">
        <v>299</v>
      </c>
      <c r="I100" s="5" t="s">
        <v>36</v>
      </c>
    </row>
    <row r="101" customFormat="false" ht="17.15" hidden="false" customHeight="false" outlineLevel="0" collapsed="false">
      <c r="A101" s="0" t="s">
        <v>302</v>
      </c>
      <c r="B101" s="5" t="s">
        <v>303</v>
      </c>
      <c r="C101" s="0" t="s">
        <v>126</v>
      </c>
      <c r="E101" s="7" t="n">
        <v>2.36847376663143</v>
      </c>
      <c r="G101" s="8" t="s">
        <v>175</v>
      </c>
      <c r="H101" s="8" t="s">
        <v>299</v>
      </c>
      <c r="I101" s="5" t="s">
        <v>36</v>
      </c>
    </row>
    <row r="102" customFormat="false" ht="17.15" hidden="false" customHeight="false" outlineLevel="0" collapsed="false">
      <c r="A102" s="0" t="s">
        <v>304</v>
      </c>
      <c r="B102" s="5" t="s">
        <v>305</v>
      </c>
      <c r="C102" s="0" t="s">
        <v>126</v>
      </c>
      <c r="E102" s="7" t="n">
        <v>1.66660678743638</v>
      </c>
      <c r="G102" s="8" t="s">
        <v>175</v>
      </c>
      <c r="H102" s="8" t="s">
        <v>299</v>
      </c>
      <c r="I102" s="5" t="s">
        <v>36</v>
      </c>
    </row>
    <row r="103" customFormat="false" ht="17.15" hidden="false" customHeight="false" outlineLevel="0" collapsed="false">
      <c r="A103" s="1" t="s">
        <v>306</v>
      </c>
    </row>
    <row r="104" customFormat="false" ht="17.15" hidden="false" customHeight="false" outlineLevel="0" collapsed="false">
      <c r="A104" s="0" t="s">
        <v>307</v>
      </c>
      <c r="B104" s="0" t="s">
        <v>308</v>
      </c>
      <c r="C104" s="0" t="s">
        <v>309</v>
      </c>
      <c r="E104" s="7" t="n">
        <v>61.733865</v>
      </c>
      <c r="G104" s="8" t="s">
        <v>175</v>
      </c>
      <c r="H104" s="8" t="s">
        <v>310</v>
      </c>
      <c r="I104" s="5" t="s">
        <v>311</v>
      </c>
    </row>
    <row r="105" customFormat="false" ht="17.15" hidden="false" customHeight="false" outlineLevel="0" collapsed="false">
      <c r="A105" s="0" t="s">
        <v>312</v>
      </c>
      <c r="B105" s="0" t="s">
        <v>313</v>
      </c>
      <c r="C105" s="0" t="s">
        <v>309</v>
      </c>
      <c r="E105" s="7" t="n">
        <v>122.488065</v>
      </c>
      <c r="G105" s="8" t="s">
        <v>175</v>
      </c>
      <c r="H105" s="8" t="s">
        <v>310</v>
      </c>
      <c r="I105" s="5" t="s">
        <v>36</v>
      </c>
    </row>
    <row r="106" customFormat="false" ht="17.15" hidden="false" customHeight="false" outlineLevel="0" collapsed="false">
      <c r="A106" s="0" t="s">
        <v>314</v>
      </c>
      <c r="B106" s="0" t="s">
        <v>315</v>
      </c>
      <c r="C106" s="0" t="s">
        <v>309</v>
      </c>
      <c r="E106" s="7" t="n">
        <v>138.6168</v>
      </c>
      <c r="G106" s="8" t="s">
        <v>175</v>
      </c>
      <c r="H106" s="8" t="s">
        <v>310</v>
      </c>
      <c r="I106" s="5" t="s">
        <v>36</v>
      </c>
    </row>
    <row r="107" customFormat="false" ht="17.15" hidden="false" customHeight="false" outlineLevel="0" collapsed="false">
      <c r="A107" s="0" t="s">
        <v>316</v>
      </c>
      <c r="B107" s="0" t="s">
        <v>317</v>
      </c>
      <c r="C107" s="0" t="s">
        <v>309</v>
      </c>
      <c r="E107" s="7" t="n">
        <v>157.2997125</v>
      </c>
      <c r="G107" s="8" t="s">
        <v>175</v>
      </c>
      <c r="H107" s="8" t="s">
        <v>310</v>
      </c>
      <c r="I107" s="5" t="s">
        <v>36</v>
      </c>
    </row>
    <row r="108" customFormat="false" ht="17.15" hidden="false" customHeight="false" outlineLevel="0" collapsed="false">
      <c r="A108" s="0" t="s">
        <v>318</v>
      </c>
      <c r="B108" s="0" t="s">
        <v>319</v>
      </c>
      <c r="C108" s="0" t="s">
        <v>309</v>
      </c>
      <c r="D108" s="7" t="n">
        <v>68</v>
      </c>
      <c r="E108" s="7" t="n">
        <v>74</v>
      </c>
      <c r="F108" s="7" t="n">
        <v>80</v>
      </c>
      <c r="G108" s="8" t="s">
        <v>320</v>
      </c>
      <c r="H108" s="8" t="s">
        <v>321</v>
      </c>
      <c r="I108" s="8" t="s">
        <v>322</v>
      </c>
    </row>
    <row r="109" customFormat="false" ht="17.15" hidden="false" customHeight="false" outlineLevel="0" collapsed="false">
      <c r="A109" s="0" t="s">
        <v>323</v>
      </c>
      <c r="B109" s="0" t="s">
        <v>324</v>
      </c>
      <c r="C109" s="0" t="s">
        <v>309</v>
      </c>
      <c r="E109" s="7" t="n">
        <v>14.8</v>
      </c>
      <c r="G109" s="8" t="s">
        <v>325</v>
      </c>
      <c r="H109" s="8" t="s">
        <v>326</v>
      </c>
      <c r="I109" s="8" t="s">
        <v>327</v>
      </c>
    </row>
    <row r="110" customFormat="false" ht="17.15" hidden="false" customHeight="false" outlineLevel="0" collapsed="false">
      <c r="A110" s="0" t="s">
        <v>328</v>
      </c>
      <c r="B110" s="5" t="s">
        <v>329</v>
      </c>
      <c r="C110" s="0" t="s">
        <v>126</v>
      </c>
      <c r="D110" s="7" t="n">
        <v>0.2</v>
      </c>
      <c r="E110" s="7" t="n">
        <v>0.3</v>
      </c>
      <c r="F110" s="7" t="n">
        <v>0.4</v>
      </c>
      <c r="G110" s="8" t="s">
        <v>42</v>
      </c>
      <c r="H110" s="5" t="s">
        <v>330</v>
      </c>
      <c r="I110" s="5" t="s">
        <v>331</v>
      </c>
    </row>
    <row r="111" customFormat="false" ht="17.15" hidden="false" customHeight="false" outlineLevel="0" collapsed="false">
      <c r="A111" s="1" t="s">
        <v>332</v>
      </c>
    </row>
    <row r="112" customFormat="false" ht="17.15" hidden="false" customHeight="false" outlineLevel="0" collapsed="false">
      <c r="A112" s="0" t="s">
        <v>333</v>
      </c>
      <c r="B112" s="0" t="s">
        <v>334</v>
      </c>
      <c r="C112" s="0" t="s">
        <v>126</v>
      </c>
      <c r="D112" s="7" t="n">
        <v>0.5</v>
      </c>
      <c r="E112" s="7" t="n">
        <v>0.6</v>
      </c>
      <c r="F112" s="7" t="n">
        <v>0.7</v>
      </c>
      <c r="G112" s="8" t="s">
        <v>42</v>
      </c>
      <c r="H112" s="5" t="s">
        <v>335</v>
      </c>
      <c r="I112" s="5" t="s">
        <v>189</v>
      </c>
    </row>
    <row r="113" customFormat="false" ht="17.15" hidden="false" customHeight="false" outlineLevel="0" collapsed="false">
      <c r="A113" s="0" t="s">
        <v>336</v>
      </c>
      <c r="B113" s="0" t="s">
        <v>337</v>
      </c>
      <c r="C113" s="0" t="s">
        <v>41</v>
      </c>
      <c r="D113" s="7" t="n">
        <v>0</v>
      </c>
      <c r="E113" s="7" t="n">
        <v>0.08</v>
      </c>
      <c r="F113" s="7" t="n">
        <v>0.15</v>
      </c>
      <c r="G113" s="8" t="s">
        <v>42</v>
      </c>
      <c r="H113" s="5" t="s">
        <v>338</v>
      </c>
      <c r="I113" s="5" t="s">
        <v>189</v>
      </c>
    </row>
    <row r="114" customFormat="false" ht="17.15" hidden="false" customHeight="false" outlineLevel="0" collapsed="false">
      <c r="A114" s="0" t="s">
        <v>339</v>
      </c>
      <c r="B114" s="0" t="s">
        <v>340</v>
      </c>
      <c r="C114" s="0" t="s">
        <v>41</v>
      </c>
      <c r="D114" s="7" t="n">
        <v>0</v>
      </c>
      <c r="E114" s="7" t="n">
        <v>0.05</v>
      </c>
      <c r="F114" s="7" t="n">
        <v>0.1</v>
      </c>
      <c r="G114" s="8" t="s">
        <v>42</v>
      </c>
      <c r="H114" s="8" t="s">
        <v>341</v>
      </c>
      <c r="I114" s="8" t="s">
        <v>215</v>
      </c>
    </row>
    <row r="115" customFormat="false" ht="17.15" hidden="false" customHeight="false" outlineLevel="0" collapsed="false">
      <c r="A115" s="1" t="s">
        <v>342</v>
      </c>
    </row>
    <row r="116" customFormat="false" ht="17.15" hidden="false" customHeight="false" outlineLevel="0" collapsed="false">
      <c r="A116" s="0" t="s">
        <v>343</v>
      </c>
      <c r="B116" s="5" t="s">
        <v>344</v>
      </c>
      <c r="C116" s="0" t="s">
        <v>309</v>
      </c>
      <c r="D116" s="7" t="n">
        <v>10</v>
      </c>
      <c r="E116" s="7" t="n">
        <v>20</v>
      </c>
      <c r="F116" s="7" t="n">
        <v>40</v>
      </c>
      <c r="G116" s="8" t="s">
        <v>42</v>
      </c>
      <c r="H116" s="5" t="s">
        <v>345</v>
      </c>
      <c r="I116" s="5" t="s">
        <v>346</v>
      </c>
    </row>
    <row r="117" customFormat="false" ht="17.15" hidden="false" customHeight="false" outlineLevel="0" collapsed="false">
      <c r="A117" s="1" t="s">
        <v>347</v>
      </c>
    </row>
    <row r="118" customFormat="false" ht="17.15" hidden="false" customHeight="false" outlineLevel="0" collapsed="false">
      <c r="A118" s="0" t="s">
        <v>348</v>
      </c>
      <c r="B118" s="5" t="s">
        <v>349</v>
      </c>
      <c r="C118" s="0" t="s">
        <v>126</v>
      </c>
      <c r="D118" s="7" t="n">
        <v>0.4</v>
      </c>
      <c r="E118" s="7" t="n">
        <v>0.6</v>
      </c>
      <c r="F118" s="7" t="n">
        <v>0.8</v>
      </c>
      <c r="G118" s="8" t="s">
        <v>175</v>
      </c>
      <c r="H118" s="8" t="s">
        <v>350</v>
      </c>
      <c r="I118" s="5" t="s">
        <v>351</v>
      </c>
    </row>
    <row r="119" customFormat="false" ht="15" hidden="false" customHeight="false" outlineLevel="0" collapsed="false">
      <c r="A119" s="0" t="s">
        <v>352</v>
      </c>
      <c r="B119" s="5" t="s">
        <v>353</v>
      </c>
      <c r="C119" s="0" t="s">
        <v>41</v>
      </c>
      <c r="D119" s="7" t="n">
        <v>0</v>
      </c>
      <c r="E119" s="7" t="n">
        <v>0.05</v>
      </c>
      <c r="F119" s="7" t="n">
        <v>0.1</v>
      </c>
      <c r="G119" s="8" t="s">
        <v>42</v>
      </c>
      <c r="H119" s="5" t="s">
        <v>354</v>
      </c>
      <c r="I119" s="5" t="s">
        <v>355</v>
      </c>
    </row>
    <row r="120" customFormat="false" ht="17.15" hidden="false" customHeight="false" outlineLevel="0" collapsed="false">
      <c r="A120" s="0" t="s">
        <v>356</v>
      </c>
      <c r="B120" s="5" t="s">
        <v>357</v>
      </c>
      <c r="C120" s="0" t="s">
        <v>358</v>
      </c>
      <c r="D120" s="7" t="n">
        <v>-0.02</v>
      </c>
      <c r="E120" s="7" t="n">
        <v>0</v>
      </c>
      <c r="F120" s="7" t="n">
        <v>0.02</v>
      </c>
      <c r="G120" s="8" t="s">
        <v>42</v>
      </c>
      <c r="H120" s="5" t="s">
        <v>354</v>
      </c>
      <c r="I120" s="8" t="s">
        <v>359</v>
      </c>
    </row>
    <row r="121" customFormat="false" ht="17.15" hidden="false" customHeight="false" outlineLevel="0" collapsed="false">
      <c r="A121" s="0" t="s">
        <v>360</v>
      </c>
      <c r="B121" s="5" t="s">
        <v>361</v>
      </c>
      <c r="C121" s="0" t="s">
        <v>41</v>
      </c>
      <c r="D121" s="7" t="n">
        <v>0.16</v>
      </c>
      <c r="E121" s="7" t="n">
        <v>0.17</v>
      </c>
      <c r="F121" s="7" t="n">
        <v>0.18</v>
      </c>
      <c r="G121" s="8" t="s">
        <v>31</v>
      </c>
      <c r="H121" s="5" t="s">
        <v>362</v>
      </c>
      <c r="I121" s="8" t="s">
        <v>363</v>
      </c>
    </row>
    <row r="122" customFormat="false" ht="17.15" hidden="false" customHeight="false" outlineLevel="0" collapsed="false">
      <c r="A122" s="0" t="s">
        <v>364</v>
      </c>
      <c r="B122" s="5" t="s">
        <v>365</v>
      </c>
      <c r="C122" s="0" t="s">
        <v>309</v>
      </c>
      <c r="D122" s="7" t="n">
        <v>0.5</v>
      </c>
      <c r="E122" s="7" t="n">
        <v>1.2</v>
      </c>
      <c r="F122" s="7" t="n">
        <v>2.4</v>
      </c>
      <c r="G122" s="8" t="s">
        <v>42</v>
      </c>
      <c r="H122" s="8" t="s">
        <v>366</v>
      </c>
      <c r="I122" s="5" t="s">
        <v>367</v>
      </c>
    </row>
    <row r="123" customFormat="false" ht="17.15" hidden="false" customHeight="false" outlineLevel="0" collapsed="false">
      <c r="A123" s="0" t="s">
        <v>368</v>
      </c>
      <c r="B123" s="5" t="s">
        <v>369</v>
      </c>
      <c r="C123" s="0" t="s">
        <v>41</v>
      </c>
      <c r="D123" s="7" t="n">
        <v>-0.025</v>
      </c>
      <c r="E123" s="7" t="n">
        <v>-0.012</v>
      </c>
      <c r="F123" s="7" t="n">
        <v>0</v>
      </c>
      <c r="G123" s="8" t="s">
        <v>175</v>
      </c>
      <c r="H123" s="8" t="s">
        <v>370</v>
      </c>
      <c r="I123" s="5" t="s">
        <v>351</v>
      </c>
    </row>
    <row r="124" customFormat="false" ht="17.15" hidden="false" customHeight="false" outlineLevel="0" collapsed="false">
      <c r="A124" s="1" t="s">
        <v>371</v>
      </c>
    </row>
    <row r="125" customFormat="false" ht="17.15" hidden="false" customHeight="false" outlineLevel="0" collapsed="false">
      <c r="A125" s="0" t="s">
        <v>372</v>
      </c>
      <c r="B125" s="0" t="s">
        <v>373</v>
      </c>
      <c r="C125" s="0" t="s">
        <v>309</v>
      </c>
      <c r="D125" s="7" t="n">
        <v>105.84</v>
      </c>
      <c r="E125" s="7" t="n">
        <v>108</v>
      </c>
      <c r="F125" s="7" t="n">
        <v>110.16</v>
      </c>
      <c r="G125" s="8" t="s">
        <v>31</v>
      </c>
      <c r="H125" s="8" t="s">
        <v>374</v>
      </c>
      <c r="I125" s="8" t="s">
        <v>375</v>
      </c>
    </row>
    <row r="126" customFormat="false" ht="17.15" hidden="false" customHeight="false" outlineLevel="0" collapsed="false">
      <c r="A126" s="0" t="s">
        <v>376</v>
      </c>
      <c r="B126" s="0" t="s">
        <v>377</v>
      </c>
      <c r="C126" s="0" t="s">
        <v>41</v>
      </c>
      <c r="D126" s="7" t="n">
        <v>0.735</v>
      </c>
      <c r="E126" s="7" t="n">
        <v>0.74</v>
      </c>
      <c r="F126" s="7" t="n">
        <v>0.745</v>
      </c>
      <c r="G126" s="8" t="s">
        <v>31</v>
      </c>
      <c r="H126" s="8" t="s">
        <v>378</v>
      </c>
      <c r="I126" s="8" t="s">
        <v>379</v>
      </c>
    </row>
    <row r="127" customFormat="false" ht="17.15" hidden="false" customHeight="false" outlineLevel="0" collapsed="false">
      <c r="A127" s="0" t="s">
        <v>380</v>
      </c>
      <c r="B127" s="0" t="s">
        <v>381</v>
      </c>
      <c r="C127" s="0" t="s">
        <v>309</v>
      </c>
      <c r="E127" s="7" t="n">
        <v>9.2</v>
      </c>
      <c r="G127" s="8" t="s">
        <v>31</v>
      </c>
      <c r="H127" s="8" t="s">
        <v>382</v>
      </c>
      <c r="I127" s="8" t="s">
        <v>215</v>
      </c>
    </row>
    <row r="128" customFormat="false" ht="17.15" hidden="false" customHeight="false" outlineLevel="0" collapsed="false">
      <c r="A128" s="0" t="s">
        <v>383</v>
      </c>
      <c r="B128" s="0" t="s">
        <v>384</v>
      </c>
      <c r="C128" s="0" t="s">
        <v>41</v>
      </c>
      <c r="D128" s="7" t="n">
        <v>0.05</v>
      </c>
      <c r="E128" s="7" t="n">
        <v>0.1</v>
      </c>
      <c r="F128" s="7" t="n">
        <v>0.15</v>
      </c>
      <c r="G128" s="8" t="s">
        <v>42</v>
      </c>
      <c r="H128" s="5" t="s">
        <v>385</v>
      </c>
      <c r="I128" s="5" t="s">
        <v>189</v>
      </c>
    </row>
    <row r="129" customFormat="false" ht="17.15" hidden="false" customHeight="false" outlineLevel="0" collapsed="false">
      <c r="A129" s="0" t="s">
        <v>386</v>
      </c>
      <c r="B129" s="0" t="s">
        <v>387</v>
      </c>
      <c r="C129" s="0" t="s">
        <v>41</v>
      </c>
      <c r="D129" s="7" t="n">
        <v>0.71</v>
      </c>
      <c r="E129" s="7" t="n">
        <v>0.715</v>
      </c>
      <c r="F129" s="7" t="n">
        <v>0.74</v>
      </c>
      <c r="G129" s="8" t="s">
        <v>42</v>
      </c>
      <c r="H129" s="5" t="s">
        <v>388</v>
      </c>
      <c r="I129" s="5" t="s">
        <v>389</v>
      </c>
    </row>
    <row r="130" customFormat="false" ht="17.15" hidden="false" customHeight="false" outlineLevel="0" collapsed="false">
      <c r="A130" s="0" t="s">
        <v>390</v>
      </c>
      <c r="B130" s="0" t="s">
        <v>391</v>
      </c>
      <c r="C130" s="0" t="s">
        <v>41</v>
      </c>
      <c r="D130" s="7" t="n">
        <v>0.05</v>
      </c>
      <c r="E130" s="7" t="n">
        <v>0.08</v>
      </c>
      <c r="F130" s="7" t="n">
        <v>0.12</v>
      </c>
      <c r="G130" s="8" t="s">
        <v>42</v>
      </c>
      <c r="H130" s="8" t="s">
        <v>392</v>
      </c>
      <c r="I130" s="8" t="s">
        <v>215</v>
      </c>
    </row>
    <row r="131" customFormat="false" ht="17.15" hidden="false" customHeight="false" outlineLevel="0" collapsed="false">
      <c r="A131" s="0" t="s">
        <v>393</v>
      </c>
      <c r="B131" s="0" t="s">
        <v>394</v>
      </c>
      <c r="C131" s="0" t="s">
        <v>309</v>
      </c>
      <c r="D131" s="7" t="n">
        <v>0</v>
      </c>
      <c r="E131" s="7" t="n">
        <v>0.35</v>
      </c>
      <c r="F131" s="7" t="n">
        <v>0.45</v>
      </c>
      <c r="G131" s="8" t="s">
        <v>42</v>
      </c>
      <c r="H131" s="8" t="s">
        <v>395</v>
      </c>
      <c r="I131" s="5" t="s">
        <v>396</v>
      </c>
    </row>
    <row r="132" customFormat="false" ht="17.15" hidden="false" customHeight="false" outlineLevel="0" collapsed="false">
      <c r="A132" s="0" t="s">
        <v>397</v>
      </c>
      <c r="B132" s="0" t="s">
        <v>398</v>
      </c>
      <c r="C132" s="0" t="s">
        <v>41</v>
      </c>
      <c r="D132" s="7" t="n">
        <v>0.16</v>
      </c>
      <c r="E132" s="7" t="n">
        <v>0.17</v>
      </c>
      <c r="F132" s="7" t="n">
        <v>0.18</v>
      </c>
      <c r="G132" s="8" t="s">
        <v>31</v>
      </c>
      <c r="H132" s="5" t="s">
        <v>399</v>
      </c>
      <c r="I132" s="8" t="s">
        <v>215</v>
      </c>
    </row>
    <row r="133" customFormat="false" ht="17.15" hidden="false" customHeight="false" outlineLevel="0" collapsed="false">
      <c r="A133" s="0" t="s">
        <v>400</v>
      </c>
      <c r="B133" s="0" t="s">
        <v>401</v>
      </c>
      <c r="C133" s="0" t="s">
        <v>41</v>
      </c>
      <c r="D133" s="7" t="n">
        <v>-0.006</v>
      </c>
      <c r="E133" s="7" t="n">
        <v>-0.003</v>
      </c>
      <c r="F133" s="7" t="n">
        <v>0</v>
      </c>
      <c r="G133" s="8" t="s">
        <v>175</v>
      </c>
      <c r="H133" s="8" t="s">
        <v>402</v>
      </c>
      <c r="I133" s="8" t="s">
        <v>215</v>
      </c>
    </row>
    <row r="134" customFormat="false" ht="17.15" hidden="false" customHeight="false" outlineLevel="0" collapsed="false">
      <c r="A134" s="1" t="s">
        <v>403</v>
      </c>
    </row>
    <row r="135" customFormat="false" ht="17.15" hidden="false" customHeight="false" outlineLevel="0" collapsed="false">
      <c r="A135" s="0" t="s">
        <v>404</v>
      </c>
      <c r="B135" s="5" t="s">
        <v>405</v>
      </c>
      <c r="C135" s="0" t="s">
        <v>41</v>
      </c>
      <c r="E135" s="7" t="n">
        <v>0.7</v>
      </c>
      <c r="G135" s="8" t="s">
        <v>31</v>
      </c>
      <c r="H135" s="8" t="s">
        <v>406</v>
      </c>
      <c r="I135" s="5" t="s">
        <v>407</v>
      </c>
    </row>
    <row r="136" customFormat="false" ht="17.15" hidden="false" customHeight="false" outlineLevel="0" collapsed="false">
      <c r="A136" s="0" t="s">
        <v>408</v>
      </c>
      <c r="B136" s="5" t="s">
        <v>409</v>
      </c>
      <c r="C136" s="0" t="s">
        <v>41</v>
      </c>
      <c r="D136" s="7" t="n">
        <v>0.72</v>
      </c>
      <c r="E136" s="7" t="n">
        <v>0.725</v>
      </c>
      <c r="F136" s="7" t="n">
        <v>0.73</v>
      </c>
      <c r="G136" s="8" t="s">
        <v>31</v>
      </c>
      <c r="H136" s="5" t="s">
        <v>410</v>
      </c>
      <c r="I136" s="5" t="s">
        <v>411</v>
      </c>
    </row>
    <row r="137" customFormat="false" ht="17.15" hidden="false" customHeight="false" outlineLevel="0" collapsed="false">
      <c r="A137" s="0" t="s">
        <v>412</v>
      </c>
      <c r="B137" s="5" t="s">
        <v>413</v>
      </c>
      <c r="C137" s="0" t="s">
        <v>41</v>
      </c>
      <c r="E137" s="7" t="n">
        <v>0.63</v>
      </c>
      <c r="G137" s="8" t="s">
        <v>31</v>
      </c>
      <c r="H137" s="8" t="s">
        <v>414</v>
      </c>
      <c r="I137" s="5" t="s">
        <v>189</v>
      </c>
    </row>
    <row r="138" customFormat="false" ht="17.15" hidden="false" customHeight="false" outlineLevel="0" collapsed="false">
      <c r="A138" s="0" t="s">
        <v>415</v>
      </c>
      <c r="B138" s="5" t="s">
        <v>416</v>
      </c>
      <c r="C138" s="0" t="s">
        <v>309</v>
      </c>
      <c r="E138" s="7" t="n">
        <v>411.7</v>
      </c>
      <c r="G138" s="8" t="s">
        <v>31</v>
      </c>
      <c r="H138" s="8" t="s">
        <v>417</v>
      </c>
      <c r="I138" s="8" t="s">
        <v>215</v>
      </c>
    </row>
    <row r="139" customFormat="false" ht="17.15" hidden="false" customHeight="false" outlineLevel="0" collapsed="false">
      <c r="A139" s="0" t="s">
        <v>418</v>
      </c>
      <c r="B139" s="5" t="s">
        <v>419</v>
      </c>
      <c r="C139" s="0" t="s">
        <v>420</v>
      </c>
      <c r="E139" s="7" t="n">
        <v>9.31</v>
      </c>
      <c r="G139" s="8" t="s">
        <v>31</v>
      </c>
      <c r="H139" s="8" t="s">
        <v>421</v>
      </c>
      <c r="I139" s="5" t="s">
        <v>422</v>
      </c>
    </row>
    <row r="140" customFormat="false" ht="17.15" hidden="false" customHeight="false" outlineLevel="0" collapsed="false">
      <c r="A140" s="0" t="s">
        <v>423</v>
      </c>
      <c r="B140" s="5" t="s">
        <v>424</v>
      </c>
      <c r="C140" s="0" t="s">
        <v>420</v>
      </c>
      <c r="D140" s="7" t="n">
        <v>15.7</v>
      </c>
      <c r="E140" s="7" t="n">
        <v>15.91</v>
      </c>
      <c r="F140" s="7" t="n">
        <v>16.13</v>
      </c>
      <c r="G140" s="8" t="s">
        <v>31</v>
      </c>
      <c r="H140" s="8" t="s">
        <v>425</v>
      </c>
      <c r="I140" s="5" t="s">
        <v>426</v>
      </c>
    </row>
    <row r="141" customFormat="false" ht="17.15" hidden="false" customHeight="false" outlineLevel="0" collapsed="false">
      <c r="A141" s="0" t="s">
        <v>427</v>
      </c>
      <c r="B141" s="5" t="s">
        <v>428</v>
      </c>
      <c r="C141" s="0" t="s">
        <v>126</v>
      </c>
      <c r="E141" s="7" t="n">
        <v>13.5</v>
      </c>
      <c r="G141" s="8" t="s">
        <v>31</v>
      </c>
      <c r="H141" s="5" t="s">
        <v>429</v>
      </c>
      <c r="I141" s="5" t="s">
        <v>430</v>
      </c>
    </row>
    <row r="142" customFormat="false" ht="17.15" hidden="false" customHeight="false" outlineLevel="0" collapsed="false">
      <c r="A142" s="0" t="s">
        <v>431</v>
      </c>
      <c r="B142" s="5" t="s">
        <v>432</v>
      </c>
      <c r="C142" s="0" t="s">
        <v>41</v>
      </c>
      <c r="E142" s="7" t="n">
        <v>0.75</v>
      </c>
      <c r="G142" s="8" t="s">
        <v>31</v>
      </c>
      <c r="H142" s="5" t="s">
        <v>433</v>
      </c>
      <c r="I142" s="8" t="s">
        <v>215</v>
      </c>
    </row>
    <row r="143" customFormat="false" ht="17.15" hidden="false" customHeight="false" outlineLevel="0" collapsed="false">
      <c r="A143" s="0" t="s">
        <v>434</v>
      </c>
      <c r="B143" s="5" t="s">
        <v>435</v>
      </c>
      <c r="C143" s="0" t="s">
        <v>41</v>
      </c>
      <c r="E143" s="7" t="n">
        <v>0.8</v>
      </c>
      <c r="G143" s="8" t="s">
        <v>31</v>
      </c>
      <c r="H143" s="5" t="s">
        <v>36</v>
      </c>
      <c r="I143" s="8" t="s">
        <v>215</v>
      </c>
    </row>
    <row r="144" customFormat="false" ht="17.15" hidden="false" customHeight="false" outlineLevel="0" collapsed="false">
      <c r="A144" s="1" t="s">
        <v>436</v>
      </c>
    </row>
    <row r="145" customFormat="false" ht="17.15" hidden="false" customHeight="false" outlineLevel="0" collapsed="false">
      <c r="A145" s="0" t="s">
        <v>437</v>
      </c>
      <c r="B145" s="0" t="s">
        <v>438</v>
      </c>
      <c r="C145" s="0" t="s">
        <v>174</v>
      </c>
      <c r="D145" s="7" t="n">
        <v>20</v>
      </c>
      <c r="E145" s="7" t="n">
        <v>30</v>
      </c>
      <c r="F145" s="7" t="n">
        <v>45</v>
      </c>
      <c r="G145" s="8" t="s">
        <v>31</v>
      </c>
      <c r="H145" s="8" t="s">
        <v>439</v>
      </c>
      <c r="I145" s="5" t="s">
        <v>440</v>
      </c>
    </row>
    <row r="146" customFormat="false" ht="17.15" hidden="false" customHeight="false" outlineLevel="0" collapsed="false">
      <c r="A146" s="0" t="s">
        <v>441</v>
      </c>
      <c r="B146" s="0" t="s">
        <v>442</v>
      </c>
      <c r="C146" s="0" t="s">
        <v>174</v>
      </c>
      <c r="D146" s="7" t="n">
        <v>8</v>
      </c>
      <c r="E146" s="7" t="n">
        <v>12</v>
      </c>
      <c r="F146" s="7" t="n">
        <v>18</v>
      </c>
      <c r="G146" s="8" t="s">
        <v>42</v>
      </c>
      <c r="H146" s="5" t="s">
        <v>443</v>
      </c>
      <c r="I146" s="5" t="s">
        <v>444</v>
      </c>
    </row>
    <row r="147" customFormat="false" ht="17.15" hidden="false" customHeight="false" outlineLevel="0" collapsed="false">
      <c r="A147" s="0" t="s">
        <v>445</v>
      </c>
      <c r="B147" s="0" t="s">
        <v>446</v>
      </c>
      <c r="C147" s="0" t="s">
        <v>174</v>
      </c>
      <c r="D147" s="7" t="n">
        <v>5</v>
      </c>
      <c r="E147" s="7" t="n">
        <v>8</v>
      </c>
      <c r="F147" s="7" t="n">
        <v>12</v>
      </c>
      <c r="G147" s="8" t="s">
        <v>42</v>
      </c>
      <c r="H147" s="5" t="s">
        <v>447</v>
      </c>
      <c r="I147" s="8" t="s">
        <v>448</v>
      </c>
    </row>
    <row r="148" customFormat="false" ht="17.15" hidden="false" customHeight="false" outlineLevel="0" collapsed="false">
      <c r="A148" s="0" t="s">
        <v>449</v>
      </c>
      <c r="B148" s="5" t="s">
        <v>450</v>
      </c>
      <c r="C148" s="0" t="s">
        <v>174</v>
      </c>
      <c r="D148" s="7" t="n">
        <v>5</v>
      </c>
      <c r="E148" s="7" t="n">
        <v>8</v>
      </c>
      <c r="F148" s="7" t="n">
        <v>12</v>
      </c>
      <c r="G148" s="8" t="s">
        <v>42</v>
      </c>
      <c r="H148" s="5" t="s">
        <v>451</v>
      </c>
      <c r="I148" s="5" t="s">
        <v>36</v>
      </c>
    </row>
    <row r="149" customFormat="false" ht="17.15" hidden="false" customHeight="false" outlineLevel="0" collapsed="false">
      <c r="A149" s="0" t="s">
        <v>452</v>
      </c>
      <c r="B149" s="0" t="s">
        <v>453</v>
      </c>
      <c r="C149" s="0" t="s">
        <v>358</v>
      </c>
      <c r="E149" s="7" t="n">
        <v>0.05</v>
      </c>
      <c r="G149" s="8" t="s">
        <v>42</v>
      </c>
      <c r="H149" s="5" t="s">
        <v>354</v>
      </c>
      <c r="I149" s="8" t="s">
        <v>454</v>
      </c>
    </row>
    <row r="150" customFormat="false" ht="17.15" hidden="false" customHeight="false" outlineLevel="0" collapsed="false">
      <c r="A150" s="0" t="s">
        <v>455</v>
      </c>
      <c r="B150" s="0" t="s">
        <v>456</v>
      </c>
      <c r="C150" s="0" t="s">
        <v>126</v>
      </c>
      <c r="D150" s="7" t="n">
        <v>0.9</v>
      </c>
      <c r="E150" s="7" t="n">
        <v>1</v>
      </c>
      <c r="F150" s="7" t="n">
        <v>1.1</v>
      </c>
      <c r="G150" s="8" t="s">
        <v>42</v>
      </c>
      <c r="H150" s="5" t="s">
        <v>354</v>
      </c>
      <c r="I150" s="8" t="s">
        <v>457</v>
      </c>
    </row>
    <row r="151" customFormat="false" ht="17.15" hidden="false" customHeight="false" outlineLevel="0" collapsed="false">
      <c r="A151" s="1" t="s">
        <v>458</v>
      </c>
    </row>
    <row r="152" customFormat="false" ht="17.15" hidden="false" customHeight="false" outlineLevel="0" collapsed="false">
      <c r="A152" s="0" t="s">
        <v>459</v>
      </c>
      <c r="B152" s="5" t="s">
        <v>460</v>
      </c>
      <c r="C152" s="0" t="s">
        <v>420</v>
      </c>
      <c r="E152" s="7" t="n">
        <v>210.96</v>
      </c>
      <c r="G152" s="8" t="s">
        <v>31</v>
      </c>
      <c r="H152" s="8" t="s">
        <v>461</v>
      </c>
      <c r="I152" s="5" t="s">
        <v>462</v>
      </c>
    </row>
    <row r="153" customFormat="false" ht="17.15" hidden="false" customHeight="false" outlineLevel="0" collapsed="false">
      <c r="A153" s="0" t="s">
        <v>463</v>
      </c>
      <c r="B153" s="5" t="s">
        <v>464</v>
      </c>
      <c r="C153" s="0" t="s">
        <v>41</v>
      </c>
      <c r="D153" s="7" t="n">
        <v>0.08</v>
      </c>
      <c r="E153" s="7" t="n">
        <v>0.1</v>
      </c>
      <c r="F153" s="7" t="n">
        <v>0.12</v>
      </c>
      <c r="G153" s="8" t="s">
        <v>42</v>
      </c>
      <c r="H153" s="5" t="s">
        <v>354</v>
      </c>
      <c r="I153" s="8" t="s">
        <v>465</v>
      </c>
    </row>
    <row r="154" customFormat="false" ht="17.15" hidden="false" customHeight="false" outlineLevel="0" collapsed="false">
      <c r="A154" s="0" t="s">
        <v>466</v>
      </c>
      <c r="B154" s="5" t="s">
        <v>467</v>
      </c>
      <c r="C154" s="5" t="s">
        <v>468</v>
      </c>
      <c r="E154" s="7" t="n">
        <v>2029</v>
      </c>
      <c r="G154" s="8" t="s">
        <v>175</v>
      </c>
      <c r="H154" s="8" t="s">
        <v>469</v>
      </c>
      <c r="I154" s="5" t="s">
        <v>470</v>
      </c>
    </row>
    <row r="155" customFormat="false" ht="17.15" hidden="false" customHeight="false" outlineLevel="0" collapsed="false">
      <c r="A155" s="0" t="s">
        <v>471</v>
      </c>
      <c r="B155" s="5" t="s">
        <v>472</v>
      </c>
      <c r="C155" s="5" t="s">
        <v>468</v>
      </c>
      <c r="E155" s="7" t="n">
        <v>2028</v>
      </c>
      <c r="G155" s="8" t="s">
        <v>175</v>
      </c>
      <c r="H155" s="8" t="s">
        <v>473</v>
      </c>
      <c r="I155" s="5" t="s">
        <v>36</v>
      </c>
    </row>
    <row r="156" customFormat="false" ht="17.15" hidden="false" customHeight="false" outlineLevel="0" collapsed="false">
      <c r="A156" s="0" t="s">
        <v>474</v>
      </c>
      <c r="B156" s="5" t="s">
        <v>475</v>
      </c>
      <c r="C156" s="5" t="s">
        <v>468</v>
      </c>
      <c r="E156" s="7" t="n">
        <v>2027</v>
      </c>
      <c r="G156" s="8" t="s">
        <v>175</v>
      </c>
      <c r="H156" s="8" t="s">
        <v>476</v>
      </c>
      <c r="I156" s="5" t="s">
        <v>36</v>
      </c>
    </row>
    <row r="157" customFormat="false" ht="17.15" hidden="false" customHeight="false" outlineLevel="0" collapsed="false">
      <c r="A157" s="1" t="s">
        <v>477</v>
      </c>
    </row>
    <row r="158" customFormat="false" ht="17.15" hidden="false" customHeight="false" outlineLevel="0" collapsed="false">
      <c r="A158" s="9" t="s">
        <v>478</v>
      </c>
      <c r="B158" s="10" t="s">
        <v>479</v>
      </c>
      <c r="C158" s="9" t="s">
        <v>41</v>
      </c>
      <c r="D158" s="9"/>
      <c r="E158" s="11" t="n">
        <v>0.3</v>
      </c>
      <c r="F158" s="9"/>
      <c r="G158" s="9" t="s">
        <v>42</v>
      </c>
      <c r="H158" s="9" t="s">
        <v>480</v>
      </c>
      <c r="I158" s="10" t="s">
        <v>481</v>
      </c>
    </row>
    <row r="159" customFormat="false" ht="17.15" hidden="false" customHeight="false" outlineLevel="0" collapsed="false">
      <c r="A159" s="9" t="s">
        <v>482</v>
      </c>
      <c r="B159" s="10" t="s">
        <v>483</v>
      </c>
      <c r="C159" s="9" t="s">
        <v>41</v>
      </c>
      <c r="D159" s="9"/>
      <c r="E159" s="11" t="n">
        <v>0.5</v>
      </c>
      <c r="F159" s="9"/>
      <c r="G159" s="9" t="s">
        <v>42</v>
      </c>
      <c r="H159" s="9" t="s">
        <v>480</v>
      </c>
      <c r="I159" s="10" t="s">
        <v>481</v>
      </c>
    </row>
    <row r="160" customFormat="false" ht="17.15" hidden="false" customHeight="false" outlineLevel="0" collapsed="false">
      <c r="A160" s="9" t="s">
        <v>484</v>
      </c>
      <c r="B160" s="10" t="s">
        <v>485</v>
      </c>
      <c r="C160" s="9" t="s">
        <v>41</v>
      </c>
      <c r="D160" s="9"/>
      <c r="E160" s="11" t="n">
        <v>0.2</v>
      </c>
      <c r="F160" s="9"/>
      <c r="G160" s="9" t="s">
        <v>42</v>
      </c>
      <c r="H160" s="9" t="s">
        <v>480</v>
      </c>
      <c r="I160" s="10" t="s">
        <v>481</v>
      </c>
    </row>
    <row r="161" customFormat="false" ht="17.15" hidden="false" customHeight="false" outlineLevel="0" collapsed="false">
      <c r="A161" s="1" t="s">
        <v>486</v>
      </c>
    </row>
    <row r="162" customFormat="false" ht="17.15" hidden="false" customHeight="false" outlineLevel="0" collapsed="false">
      <c r="A162" s="9" t="s">
        <v>487</v>
      </c>
      <c r="B162" s="9" t="s">
        <v>488</v>
      </c>
      <c r="C162" s="9" t="s">
        <v>41</v>
      </c>
      <c r="D162" s="9"/>
      <c r="E162" s="11" t="n">
        <v>0.1</v>
      </c>
      <c r="F162" s="9"/>
      <c r="G162" s="9" t="s">
        <v>42</v>
      </c>
      <c r="H162" s="9" t="s">
        <v>489</v>
      </c>
      <c r="I162" s="9" t="s">
        <v>490</v>
      </c>
    </row>
    <row r="163" customFormat="false" ht="17.15" hidden="false" customHeight="false" outlineLevel="0" collapsed="false">
      <c r="A163" s="9" t="s">
        <v>491</v>
      </c>
      <c r="B163" s="10" t="s">
        <v>492</v>
      </c>
      <c r="C163" s="9" t="s">
        <v>41</v>
      </c>
      <c r="D163" s="9"/>
      <c r="E163" s="11" t="n">
        <v>0.04</v>
      </c>
      <c r="F163" s="9"/>
      <c r="G163" s="9" t="s">
        <v>42</v>
      </c>
      <c r="H163" s="9" t="s">
        <v>493</v>
      </c>
      <c r="I163" s="9" t="s">
        <v>494</v>
      </c>
    </row>
    <row r="164" customFormat="false" ht="17.15" hidden="false" customHeight="false" outlineLevel="0" collapsed="false">
      <c r="A164" s="9" t="s">
        <v>495</v>
      </c>
      <c r="B164" s="10" t="s">
        <v>496</v>
      </c>
      <c r="C164" s="9" t="s">
        <v>358</v>
      </c>
      <c r="D164" s="9"/>
      <c r="E164" s="11" t="n">
        <v>0.02</v>
      </c>
      <c r="F164" s="9"/>
      <c r="G164" s="9" t="s">
        <v>42</v>
      </c>
      <c r="H164" s="10" t="s">
        <v>497</v>
      </c>
      <c r="I164" s="9" t="s">
        <v>215</v>
      </c>
    </row>
    <row r="165" customFormat="false" ht="17.15" hidden="false" customHeight="false" outlineLevel="0" collapsed="false">
      <c r="A165" s="9" t="s">
        <v>498</v>
      </c>
      <c r="B165" s="10" t="s">
        <v>499</v>
      </c>
      <c r="C165" s="9" t="s">
        <v>41</v>
      </c>
      <c r="D165" s="9"/>
      <c r="E165" s="11" t="n">
        <v>0.7915</v>
      </c>
      <c r="F165" s="9"/>
      <c r="G165" s="9" t="s">
        <v>175</v>
      </c>
      <c r="H165" s="9" t="s">
        <v>500</v>
      </c>
      <c r="I165" s="9" t="s">
        <v>501</v>
      </c>
    </row>
    <row r="166" customFormat="false" ht="17.15" hidden="false" customHeight="false" outlineLevel="0" collapsed="false">
      <c r="A166" s="9" t="s">
        <v>502</v>
      </c>
      <c r="B166" s="10" t="s">
        <v>503</v>
      </c>
      <c r="C166" s="9" t="s">
        <v>41</v>
      </c>
      <c r="D166" s="9"/>
      <c r="E166" s="11" t="n">
        <v>0.5</v>
      </c>
      <c r="F166" s="9"/>
      <c r="G166" s="9" t="s">
        <v>42</v>
      </c>
      <c r="H166" s="9" t="s">
        <v>504</v>
      </c>
      <c r="I166" s="9" t="s">
        <v>505</v>
      </c>
    </row>
    <row r="167" customFormat="false" ht="17.15" hidden="false" customHeight="false" outlineLevel="0" collapsed="false">
      <c r="A167" s="9" t="s">
        <v>506</v>
      </c>
      <c r="B167" s="10" t="s">
        <v>507</v>
      </c>
      <c r="C167" s="9" t="s">
        <v>41</v>
      </c>
      <c r="D167" s="9"/>
      <c r="E167" s="11" t="n">
        <v>0.3118</v>
      </c>
      <c r="F167" s="9"/>
      <c r="G167" s="9" t="s">
        <v>175</v>
      </c>
      <c r="H167" s="9" t="s">
        <v>508</v>
      </c>
      <c r="I167" s="9" t="s">
        <v>509</v>
      </c>
    </row>
    <row r="168" customFormat="false" ht="17.15" hidden="false" customHeight="false" outlineLevel="0" collapsed="false">
      <c r="A168" s="0" t="s">
        <v>510</v>
      </c>
      <c r="B168" s="5" t="s">
        <v>511</v>
      </c>
      <c r="C168" s="0" t="s">
        <v>420</v>
      </c>
      <c r="E168" s="7" t="n">
        <v>328.95</v>
      </c>
      <c r="G168" s="8" t="s">
        <v>31</v>
      </c>
      <c r="H168" s="8" t="s">
        <v>512</v>
      </c>
      <c r="I168" s="5" t="s">
        <v>513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11" min="2" style="0" width="14"/>
    <col collapsed="false" customWidth="true" hidden="false" outlineLevel="0" max="12" min="12" style="0" width="24"/>
    <col collapsed="false" customWidth="true" hidden="false" outlineLevel="0" max="13" min="13" style="0" width="90"/>
    <col collapsed="false" customWidth="true" hidden="false" outlineLevel="0" max="14" min="14" style="0" width="70"/>
  </cols>
  <sheetData>
    <row r="1" customFormat="false" ht="17.15" hidden="false" customHeight="false" outlineLevel="0" collapsed="false">
      <c r="A1" s="0" t="s">
        <v>514</v>
      </c>
    </row>
    <row r="2" customFormat="false" ht="17.15" hidden="false" customHeight="false" outlineLevel="0" collapsed="false">
      <c r="A2" s="0" t="s">
        <v>515</v>
      </c>
    </row>
    <row r="3" customFormat="false" ht="17.15" hidden="false" customHeight="false" outlineLevel="0" collapsed="false">
      <c r="A3" s="6" t="s">
        <v>19</v>
      </c>
      <c r="B3" s="12" t="s">
        <v>516</v>
      </c>
      <c r="C3" s="12" t="s">
        <v>517</v>
      </c>
      <c r="D3" s="12" t="s">
        <v>518</v>
      </c>
      <c r="E3" s="12" t="s">
        <v>519</v>
      </c>
      <c r="F3" s="12" t="s">
        <v>520</v>
      </c>
      <c r="G3" s="12" t="s">
        <v>521</v>
      </c>
      <c r="H3" s="12" t="s">
        <v>522</v>
      </c>
      <c r="I3" s="12" t="s">
        <v>523</v>
      </c>
      <c r="J3" s="12" t="s">
        <v>524</v>
      </c>
      <c r="K3" s="12" t="s">
        <v>525</v>
      </c>
      <c r="L3" s="6" t="s">
        <v>24</v>
      </c>
      <c r="M3" s="6" t="s">
        <v>526</v>
      </c>
      <c r="N3" s="6" t="s">
        <v>26</v>
      </c>
    </row>
    <row r="4" customFormat="false" ht="17.15" hidden="false" customHeight="false" outlineLevel="0" collapsed="false">
      <c r="A4" s="5" t="s">
        <v>527</v>
      </c>
      <c r="B4" s="13" t="n">
        <v>44.062</v>
      </c>
      <c r="C4" s="13" t="n">
        <v>46.743</v>
      </c>
      <c r="D4" s="13" t="n">
        <v>57.006</v>
      </c>
      <c r="E4" s="13" t="n">
        <v>68.127</v>
      </c>
      <c r="F4" s="14" t="n">
        <f aca="false">SUM(B4:E4)</f>
        <v>215.938</v>
      </c>
      <c r="G4" s="13" t="n">
        <v>81.615</v>
      </c>
      <c r="H4" s="13" t="n">
        <v>96.221</v>
      </c>
      <c r="I4" s="14" t="n">
        <f aca="false">q3_rev</f>
        <v>108</v>
      </c>
      <c r="J4" s="14" t="n">
        <f aca="false">I4*(1+q4_g)</f>
        <v>118.8</v>
      </c>
      <c r="K4" s="14" t="n">
        <f aca="false">SUM(G4:J4)</f>
        <v>404.636</v>
      </c>
      <c r="L4" s="8" t="s">
        <v>528</v>
      </c>
      <c r="M4" s="8" t="s">
        <v>529</v>
      </c>
      <c r="N4" s="5" t="s">
        <v>530</v>
      </c>
    </row>
    <row r="5" customFormat="false" ht="17.15" hidden="false" customHeight="false" outlineLevel="0" collapsed="false">
      <c r="A5" s="0" t="s">
        <v>531</v>
      </c>
      <c r="B5" s="15" t="n">
        <v>39.1</v>
      </c>
      <c r="C5" s="15" t="n">
        <v>41.1</v>
      </c>
      <c r="D5" s="15" t="n">
        <v>51.2</v>
      </c>
      <c r="E5" s="15" t="n">
        <v>62.3</v>
      </c>
      <c r="F5" s="16" t="n">
        <f aca="false">SUM(B5:E5)</f>
        <v>193.7</v>
      </c>
      <c r="G5" s="15" t="n">
        <v>75.2</v>
      </c>
      <c r="H5" s="15" t="n">
        <v>89</v>
      </c>
      <c r="I5" s="16" t="n">
        <f aca="false">I4-I6</f>
        <v>100.41795</v>
      </c>
      <c r="J5" s="16" t="n">
        <f aca="false">J4-J6</f>
        <v>110.8388475</v>
      </c>
      <c r="K5" s="16" t="n">
        <f aca="false">SUM(G5:J5)</f>
        <v>375.4567975</v>
      </c>
      <c r="L5" s="8" t="s">
        <v>532</v>
      </c>
      <c r="M5" s="8" t="s">
        <v>529</v>
      </c>
      <c r="N5" s="5" t="s">
        <v>533</v>
      </c>
    </row>
    <row r="6" customFormat="false" ht="17.15" hidden="false" customHeight="false" outlineLevel="0" collapsed="false">
      <c r="A6" s="0" t="s">
        <v>534</v>
      </c>
      <c r="B6" s="14" t="n">
        <f aca="false">B4-B5</f>
        <v>4.962</v>
      </c>
      <c r="C6" s="14" t="n">
        <f aca="false">C4-C5</f>
        <v>5.643</v>
      </c>
      <c r="D6" s="14" t="n">
        <f aca="false">D4-D5</f>
        <v>5.806</v>
      </c>
      <c r="E6" s="14" t="n">
        <f aca="false">E4-E5</f>
        <v>5.827</v>
      </c>
      <c r="F6" s="14" t="n">
        <f aca="false">SUM(B6:E6)</f>
        <v>22.238</v>
      </c>
      <c r="G6" s="14" t="n">
        <f aca="false">G4-G5</f>
        <v>6.41499999999999</v>
      </c>
      <c r="H6" s="14" t="n">
        <f aca="false">H4-H5</f>
        <v>7.221</v>
      </c>
      <c r="I6" s="14" t="n">
        <f aca="false">H6*(1+edge_q)</f>
        <v>7.58205</v>
      </c>
      <c r="J6" s="14" t="n">
        <f aca="false">I6*(1+edge_q)</f>
        <v>7.9611525</v>
      </c>
      <c r="K6" s="14" t="n">
        <f aca="false">SUM(G6:J6)</f>
        <v>29.1792025</v>
      </c>
      <c r="L6" s="8" t="s">
        <v>535</v>
      </c>
      <c r="M6" s="5" t="s">
        <v>536</v>
      </c>
      <c r="N6" s="8" t="s">
        <v>537</v>
      </c>
    </row>
    <row r="7" customFormat="false" ht="17.15" hidden="false" customHeight="false" outlineLevel="0" collapsed="false">
      <c r="A7" s="5" t="s">
        <v>538</v>
      </c>
      <c r="G7" s="15" t="n">
        <v>6.4</v>
      </c>
      <c r="H7" s="15" t="n">
        <v>7.2</v>
      </c>
      <c r="L7" s="8" t="s">
        <v>325</v>
      </c>
      <c r="M7" s="8" t="s">
        <v>539</v>
      </c>
      <c r="N7" s="5" t="s">
        <v>540</v>
      </c>
    </row>
    <row r="8" customFormat="false" ht="17.15" hidden="false" customHeight="false" outlineLevel="0" collapsed="false">
      <c r="A8" s="5" t="s">
        <v>541</v>
      </c>
      <c r="B8" s="13" t="n">
        <v>26.668</v>
      </c>
      <c r="C8" s="13" t="n">
        <v>33.853</v>
      </c>
      <c r="D8" s="13" t="n">
        <v>41.849</v>
      </c>
      <c r="E8" s="13" t="n">
        <v>51.093</v>
      </c>
      <c r="F8" s="14" t="n">
        <f aca="false">SUM(B8:E8)</f>
        <v>153.463</v>
      </c>
      <c r="G8" s="13" t="n">
        <v>61.157</v>
      </c>
      <c r="H8" s="13" t="n">
        <v>72.142</v>
      </c>
      <c r="I8" s="14" t="n">
        <f aca="false">I4*q3_gm</f>
        <v>79.92</v>
      </c>
      <c r="J8" s="14" t="n">
        <f aca="false">J4*q4_gm</f>
        <v>84.942</v>
      </c>
      <c r="K8" s="14" t="n">
        <f aca="false">SUM(G8:J8)</f>
        <v>298.161</v>
      </c>
      <c r="L8" s="8" t="s">
        <v>542</v>
      </c>
      <c r="M8" s="8" t="s">
        <v>529</v>
      </c>
      <c r="N8" s="5" t="s">
        <v>530</v>
      </c>
    </row>
    <row r="9" customFormat="false" ht="17.15" hidden="false" customHeight="false" outlineLevel="0" collapsed="false">
      <c r="A9" s="5" t="s">
        <v>543</v>
      </c>
      <c r="B9" s="17" t="n">
        <f aca="false">B8/B4</f>
        <v>0.605238073623531</v>
      </c>
      <c r="C9" s="17" t="n">
        <f aca="false">C8/C4</f>
        <v>0.724236784117408</v>
      </c>
      <c r="D9" s="17" t="n">
        <f aca="false">D8/D4</f>
        <v>0.734115707118549</v>
      </c>
      <c r="E9" s="17" t="n">
        <f aca="false">E8/E4</f>
        <v>0.749966973446651</v>
      </c>
      <c r="F9" s="17" t="n">
        <f aca="false">F8/F4</f>
        <v>0.710680843575471</v>
      </c>
      <c r="G9" s="17" t="n">
        <f aca="false">G8/G4</f>
        <v>0.749335293757275</v>
      </c>
      <c r="H9" s="17" t="n">
        <f aca="false">H8/H4</f>
        <v>0.749753172384407</v>
      </c>
      <c r="I9" s="17" t="n">
        <f aca="false">I8/I4</f>
        <v>0.74</v>
      </c>
      <c r="J9" s="17" t="n">
        <f aca="false">J8/J4</f>
        <v>0.715</v>
      </c>
      <c r="K9" s="17" t="n">
        <f aca="false">K8/K4</f>
        <v>0.736862266333198</v>
      </c>
      <c r="L9" s="8" t="s">
        <v>175</v>
      </c>
      <c r="M9" s="8" t="s">
        <v>215</v>
      </c>
      <c r="N9" s="5" t="s">
        <v>544</v>
      </c>
    </row>
    <row r="10" customFormat="false" ht="17.15" hidden="false" customHeight="false" outlineLevel="0" collapsed="false">
      <c r="A10" s="5" t="s">
        <v>545</v>
      </c>
      <c r="B10" s="13" t="n">
        <v>5.03</v>
      </c>
      <c r="C10" s="13" t="n">
        <v>5.413</v>
      </c>
      <c r="D10" s="13" t="n">
        <v>5.839</v>
      </c>
      <c r="E10" s="13" t="n">
        <v>6.794</v>
      </c>
      <c r="F10" s="14" t="n">
        <f aca="false">SUM(B10:E10)</f>
        <v>23.076</v>
      </c>
      <c r="G10" s="13" t="n">
        <v>7.621</v>
      </c>
      <c r="H10" s="13" t="n">
        <v>8.408</v>
      </c>
      <c r="I10" s="14" t="n">
        <f aca="false">q3_opx</f>
        <v>9.2</v>
      </c>
      <c r="J10" s="14" t="n">
        <f aca="false">I10*(1+q4_opx_g)</f>
        <v>9.936</v>
      </c>
      <c r="K10" s="14" t="n">
        <f aca="false">SUM(G10:J10)</f>
        <v>35.165</v>
      </c>
      <c r="L10" s="8" t="s">
        <v>542</v>
      </c>
      <c r="M10" s="8" t="s">
        <v>529</v>
      </c>
      <c r="N10" s="5" t="s">
        <v>530</v>
      </c>
    </row>
    <row r="11" customFormat="false" ht="17.15" hidden="false" customHeight="false" outlineLevel="0" collapsed="false">
      <c r="A11" s="5" t="s">
        <v>546</v>
      </c>
      <c r="B11" s="13" t="n">
        <v>21.638</v>
      </c>
      <c r="C11" s="13" t="n">
        <v>28.44</v>
      </c>
      <c r="D11" s="13" t="n">
        <v>36.01</v>
      </c>
      <c r="E11" s="13" t="n">
        <v>44.299</v>
      </c>
      <c r="F11" s="14" t="n">
        <f aca="false">SUM(B11:E11)</f>
        <v>130.387</v>
      </c>
      <c r="G11" s="13" t="n">
        <v>53.536</v>
      </c>
      <c r="H11" s="13" t="n">
        <v>63.734</v>
      </c>
      <c r="I11" s="14" t="n">
        <f aca="false">I8-I10</f>
        <v>70.72</v>
      </c>
      <c r="J11" s="14" t="n">
        <f aca="false">J8-J10</f>
        <v>75.006</v>
      </c>
      <c r="K11" s="14" t="n">
        <f aca="false">SUM(G11:J11)</f>
        <v>262.996</v>
      </c>
      <c r="L11" s="8" t="s">
        <v>532</v>
      </c>
      <c r="M11" s="8" t="s">
        <v>529</v>
      </c>
      <c r="N11" s="5" t="s">
        <v>530</v>
      </c>
    </row>
    <row r="12" customFormat="false" ht="17.15" hidden="false" customHeight="false" outlineLevel="0" collapsed="false">
      <c r="A12" s="5" t="s">
        <v>547</v>
      </c>
      <c r="B12" s="18" t="n">
        <f aca="false">B8-B10-B11</f>
        <v>0</v>
      </c>
      <c r="C12" s="18" t="n">
        <f aca="false">C8-C10-C11</f>
        <v>0</v>
      </c>
      <c r="D12" s="18" t="n">
        <f aca="false">D8-D10-D11</f>
        <v>0</v>
      </c>
      <c r="E12" s="18" t="n">
        <f aca="false">E8-E10-E11</f>
        <v>0</v>
      </c>
      <c r="F12" s="18" t="n">
        <f aca="false">SUM(B12:E12)</f>
        <v>0</v>
      </c>
      <c r="G12" s="18" t="n">
        <f aca="false">G8-G10-G11</f>
        <v>0</v>
      </c>
      <c r="H12" s="18" t="n">
        <f aca="false">H8-H10-H11</f>
        <v>0</v>
      </c>
      <c r="K12" s="18" t="n">
        <f aca="false">SUM(G12:J12)</f>
        <v>0</v>
      </c>
      <c r="L12" s="8" t="s">
        <v>215</v>
      </c>
      <c r="M12" s="8" t="s">
        <v>215</v>
      </c>
      <c r="N12" s="8" t="s">
        <v>215</v>
      </c>
    </row>
    <row r="13" customFormat="false" ht="17.15" hidden="false" customHeight="false" outlineLevel="0" collapsed="false">
      <c r="A13" s="5" t="s">
        <v>548</v>
      </c>
      <c r="B13" s="13" t="n">
        <v>0.272</v>
      </c>
      <c r="C13" s="13" t="n">
        <v>2.766</v>
      </c>
      <c r="D13" s="13" t="n">
        <v>1.926</v>
      </c>
      <c r="E13" s="13" t="n">
        <v>6.098</v>
      </c>
      <c r="F13" s="14" t="n">
        <f aca="false">SUM(B13:E13)</f>
        <v>11.062</v>
      </c>
      <c r="G13" s="13" t="n">
        <v>16.367</v>
      </c>
      <c r="H13" s="13" t="n">
        <v>7.773</v>
      </c>
      <c r="L13" s="8" t="s">
        <v>325</v>
      </c>
      <c r="M13" s="8" t="s">
        <v>529</v>
      </c>
      <c r="N13" s="5" t="s">
        <v>530</v>
      </c>
    </row>
    <row r="14" customFormat="false" ht="17.15" hidden="false" customHeight="false" outlineLevel="0" collapsed="false">
      <c r="A14" s="5" t="s">
        <v>549</v>
      </c>
      <c r="B14" s="13" t="n">
        <v>-0.175</v>
      </c>
      <c r="C14" s="13" t="n">
        <v>2.247</v>
      </c>
      <c r="D14" s="13" t="n">
        <v>1.354</v>
      </c>
      <c r="E14" s="13" t="n">
        <v>5.491</v>
      </c>
      <c r="F14" s="14" t="n">
        <f aca="false">SUM(B14:E14)</f>
        <v>8.917</v>
      </c>
      <c r="G14" s="13" t="n">
        <v>15.936</v>
      </c>
      <c r="H14" s="13" t="n">
        <v>7.771</v>
      </c>
      <c r="L14" s="8" t="s">
        <v>325</v>
      </c>
      <c r="M14" s="8" t="s">
        <v>550</v>
      </c>
      <c r="N14" s="5" t="s">
        <v>530</v>
      </c>
    </row>
    <row r="15" customFormat="false" ht="17.15" hidden="false" customHeight="false" outlineLevel="0" collapsed="false">
      <c r="A15" s="5" t="s">
        <v>551</v>
      </c>
      <c r="B15" s="14" t="n">
        <f aca="false">B13-B14</f>
        <v>0.447</v>
      </c>
      <c r="C15" s="14" t="n">
        <f aca="false">C13-C14</f>
        <v>0.519</v>
      </c>
      <c r="D15" s="14" t="n">
        <f aca="false">D13-D14</f>
        <v>0.572</v>
      </c>
      <c r="E15" s="14" t="n">
        <f aca="false">E13-E14</f>
        <v>0.607</v>
      </c>
      <c r="F15" s="14" t="n">
        <f aca="false">SUM(B15:E15)</f>
        <v>2.145</v>
      </c>
      <c r="G15" s="14" t="n">
        <f aca="false">G13-G14</f>
        <v>0.431000000000001</v>
      </c>
      <c r="H15" s="14" t="n">
        <f aca="false">H13-H14</f>
        <v>0.00199999999999978</v>
      </c>
      <c r="I15" s="14" t="n">
        <f aca="false">q_oth</f>
        <v>0.35</v>
      </c>
      <c r="J15" s="14" t="n">
        <f aca="false">q_oth</f>
        <v>0.35</v>
      </c>
      <c r="K15" s="14" t="n">
        <f aca="false">SUM(G15:J15)</f>
        <v>1.133</v>
      </c>
      <c r="L15" s="8" t="s">
        <v>552</v>
      </c>
      <c r="M15" s="8" t="s">
        <v>553</v>
      </c>
      <c r="N15" s="5" t="s">
        <v>554</v>
      </c>
    </row>
    <row r="16" customFormat="false" ht="17.15" hidden="false" customHeight="false" outlineLevel="0" collapsed="false">
      <c r="A16" s="5" t="s">
        <v>555</v>
      </c>
      <c r="B16" s="14" t="n">
        <f aca="false">B11+B15</f>
        <v>22.085</v>
      </c>
      <c r="C16" s="14" t="n">
        <f aca="false">C11+C15</f>
        <v>28.959</v>
      </c>
      <c r="D16" s="14" t="n">
        <f aca="false">D11+D15</f>
        <v>36.582</v>
      </c>
      <c r="E16" s="14" t="n">
        <f aca="false">E11+E15</f>
        <v>44.906</v>
      </c>
      <c r="F16" s="14" t="n">
        <f aca="false">SUM(B16:E16)</f>
        <v>132.532</v>
      </c>
      <c r="G16" s="14" t="n">
        <f aca="false">G11+G15</f>
        <v>53.967</v>
      </c>
      <c r="H16" s="14" t="n">
        <f aca="false">H11+H15</f>
        <v>63.736</v>
      </c>
      <c r="I16" s="14" t="n">
        <f aca="false">I11+I15</f>
        <v>71.07</v>
      </c>
      <c r="J16" s="14" t="n">
        <f aca="false">J11+J15</f>
        <v>75.356</v>
      </c>
      <c r="K16" s="14" t="n">
        <f aca="false">SUM(G16:J16)</f>
        <v>264.129</v>
      </c>
      <c r="L16" s="8" t="s">
        <v>175</v>
      </c>
      <c r="M16" s="8" t="s">
        <v>529</v>
      </c>
      <c r="N16" s="5" t="s">
        <v>530</v>
      </c>
    </row>
    <row r="17" customFormat="false" ht="17.15" hidden="false" customHeight="false" outlineLevel="0" collapsed="false">
      <c r="A17" s="5" t="s">
        <v>556</v>
      </c>
      <c r="B17" s="13" t="n">
        <v>3.135</v>
      </c>
      <c r="C17" s="13" t="n">
        <v>4.784</v>
      </c>
      <c r="D17" s="13" t="n">
        <v>6.026</v>
      </c>
      <c r="E17" s="13" t="n">
        <v>7.437</v>
      </c>
      <c r="F17" s="14" t="n">
        <f aca="false">SUM(B17:E17)</f>
        <v>21.382</v>
      </c>
      <c r="G17" s="13" t="n">
        <v>11.582</v>
      </c>
      <c r="H17" s="13" t="n">
        <v>11.819</v>
      </c>
      <c r="L17" s="8" t="s">
        <v>325</v>
      </c>
      <c r="M17" s="8" t="s">
        <v>529</v>
      </c>
      <c r="N17" s="5" t="s">
        <v>530</v>
      </c>
    </row>
    <row r="18" customFormat="false" ht="17.15" hidden="false" customHeight="false" outlineLevel="0" collapsed="false">
      <c r="A18" s="5" t="s">
        <v>557</v>
      </c>
      <c r="B18" s="14" t="n">
        <f aca="false">B11+B13</f>
        <v>21.91</v>
      </c>
      <c r="C18" s="14" t="n">
        <f aca="false">C11+C13</f>
        <v>31.206</v>
      </c>
      <c r="D18" s="14" t="n">
        <f aca="false">D11+D13</f>
        <v>37.936</v>
      </c>
      <c r="E18" s="14" t="n">
        <f aca="false">E11+E13</f>
        <v>50.397</v>
      </c>
      <c r="F18" s="14" t="n">
        <f aca="false">SUM(B18:E18)</f>
        <v>141.449</v>
      </c>
      <c r="G18" s="14" t="n">
        <f aca="false">G11+G13</f>
        <v>69.903</v>
      </c>
      <c r="H18" s="14" t="n">
        <f aca="false">H11+H13</f>
        <v>71.507</v>
      </c>
      <c r="L18" s="8" t="s">
        <v>175</v>
      </c>
      <c r="M18" s="5" t="s">
        <v>558</v>
      </c>
      <c r="N18" s="5" t="s">
        <v>559</v>
      </c>
    </row>
    <row r="19" customFormat="false" ht="17.15" hidden="false" customHeight="false" outlineLevel="0" collapsed="false">
      <c r="A19" s="5" t="s">
        <v>560</v>
      </c>
      <c r="B19" s="17" t="n">
        <f aca="false">B17/B18</f>
        <v>0.143085349155637</v>
      </c>
      <c r="C19" s="17" t="n">
        <f aca="false">C17/C18</f>
        <v>0.153303851823367</v>
      </c>
      <c r="D19" s="17" t="n">
        <f aca="false">D17/D18</f>
        <v>0.158846478279207</v>
      </c>
      <c r="E19" s="17" t="n">
        <f aca="false">E17/E18</f>
        <v>0.147568307637359</v>
      </c>
      <c r="F19" s="17" t="n">
        <f aca="false">F17/F18</f>
        <v>0.151164023782423</v>
      </c>
      <c r="G19" s="17" t="n">
        <f aca="false">G17/G18</f>
        <v>0.165686737336023</v>
      </c>
      <c r="H19" s="17" t="n">
        <f aca="false">H17/H18</f>
        <v>0.165284517599676</v>
      </c>
      <c r="I19" s="17" t="n">
        <f aca="false">tx_27</f>
        <v>0.17</v>
      </c>
      <c r="J19" s="17" t="n">
        <f aca="false">tx_27</f>
        <v>0.17</v>
      </c>
      <c r="K19" s="17" t="n">
        <f aca="false">1-K20/K16</f>
        <v>0.167980835756566</v>
      </c>
      <c r="L19" s="8" t="s">
        <v>561</v>
      </c>
      <c r="M19" s="8" t="s">
        <v>562</v>
      </c>
      <c r="N19" s="5" t="s">
        <v>563</v>
      </c>
    </row>
    <row r="20" customFormat="false" ht="17.15" hidden="false" customHeight="false" outlineLevel="0" collapsed="false">
      <c r="A20" s="5" t="s">
        <v>564</v>
      </c>
      <c r="B20" s="14" t="n">
        <f aca="false">B16*(1-B19)</f>
        <v>18.9249600638978</v>
      </c>
      <c r="C20" s="14" t="n">
        <f aca="false">C16*(1-C19)</f>
        <v>24.5194737550471</v>
      </c>
      <c r="D20" s="14" t="n">
        <f aca="false">D16*(1-D19)</f>
        <v>30.7710781315901</v>
      </c>
      <c r="E20" s="14" t="n">
        <f aca="false">E16*(1-E19)</f>
        <v>38.2792975772367</v>
      </c>
      <c r="F20" s="14" t="n">
        <f aca="false">SUM(B20:E20)</f>
        <v>112.494809527772</v>
      </c>
      <c r="G20" s="14" t="n">
        <f aca="false">G16*(1-G19)</f>
        <v>45.0253838461869</v>
      </c>
      <c r="H20" s="14" t="n">
        <f aca="false">H16*(1-H19)</f>
        <v>53.2014259862671</v>
      </c>
      <c r="I20" s="14" t="n">
        <f aca="false">I16*(1-I19)</f>
        <v>58.9881</v>
      </c>
      <c r="J20" s="14" t="n">
        <f aca="false">J16*(1-J19)</f>
        <v>62.54548</v>
      </c>
      <c r="K20" s="14" t="n">
        <f aca="false">SUM(G20:J20)</f>
        <v>219.760389832454</v>
      </c>
      <c r="L20" s="8" t="s">
        <v>175</v>
      </c>
      <c r="M20" s="8" t="s">
        <v>529</v>
      </c>
      <c r="N20" s="5" t="s">
        <v>530</v>
      </c>
    </row>
    <row r="21" customFormat="false" ht="17.15" hidden="false" customHeight="false" outlineLevel="0" collapsed="false">
      <c r="A21" s="5" t="s">
        <v>565</v>
      </c>
      <c r="B21" s="13" t="n">
        <v>24.611</v>
      </c>
      <c r="C21" s="13" t="n">
        <v>24.532</v>
      </c>
      <c r="D21" s="13" t="n">
        <v>24.483</v>
      </c>
      <c r="E21" s="13" t="n">
        <v>24.432</v>
      </c>
      <c r="F21" s="14" t="n">
        <f aca="false">AVERAGE(B21:E21)</f>
        <v>24.5145</v>
      </c>
      <c r="G21" s="13" t="n">
        <v>24.391</v>
      </c>
      <c r="H21" s="13" t="n">
        <v>24.285</v>
      </c>
      <c r="I21" s="14" t="n">
        <f aca="false">H21*(1+q_sh)</f>
        <v>24.212145</v>
      </c>
      <c r="J21" s="14" t="n">
        <f aca="false">I21*(1+q_sh)</f>
        <v>24.139508565</v>
      </c>
      <c r="K21" s="14" t="n">
        <f aca="false">AVERAGE(G21:J21)</f>
        <v>24.25691339125</v>
      </c>
      <c r="L21" s="8" t="s">
        <v>532</v>
      </c>
      <c r="M21" s="8" t="s">
        <v>529</v>
      </c>
      <c r="N21" s="5" t="s">
        <v>530</v>
      </c>
    </row>
    <row r="22" customFormat="false" ht="17.15" hidden="false" customHeight="false" outlineLevel="0" collapsed="false">
      <c r="A22" s="0" t="s">
        <v>566</v>
      </c>
      <c r="B22" s="18" t="n">
        <f aca="false">B20/B21</f>
        <v>0.768963474214691</v>
      </c>
      <c r="C22" s="18" t="n">
        <f aca="false">C20/C21</f>
        <v>0.999489391612877</v>
      </c>
      <c r="D22" s="18" t="n">
        <f aca="false">D20/D21</f>
        <v>1.25683446193645</v>
      </c>
      <c r="E22" s="18" t="n">
        <f aca="false">E20/E21</f>
        <v>1.56676889232305</v>
      </c>
      <c r="F22" s="18" t="n">
        <f aca="false">F20/F21</f>
        <v>4.58890899376988</v>
      </c>
      <c r="G22" s="18" t="n">
        <f aca="false">G20/G21</f>
        <v>1.84598351220478</v>
      </c>
      <c r="H22" s="18" t="n">
        <f aca="false">H20/H21</f>
        <v>2.1907113850635</v>
      </c>
      <c r="I22" s="18" t="n">
        <f aca="false">I20/I21</f>
        <v>2.43630211201858</v>
      </c>
      <c r="J22" s="18" t="n">
        <f aca="false">J20/J21</f>
        <v>2.59100055129892</v>
      </c>
      <c r="K22" s="18" t="n">
        <f aca="false">K20/K21</f>
        <v>9.05970130196888</v>
      </c>
      <c r="L22" s="8" t="s">
        <v>175</v>
      </c>
      <c r="M22" s="5" t="s">
        <v>567</v>
      </c>
      <c r="N22" s="8" t="s">
        <v>568</v>
      </c>
    </row>
    <row r="23" customFormat="false" ht="17.15" hidden="false" customHeight="false" outlineLevel="0" collapsed="false">
      <c r="A23" s="5" t="s">
        <v>569</v>
      </c>
      <c r="B23" s="13" t="n">
        <v>18.775</v>
      </c>
      <c r="C23" s="13" t="n">
        <v>26.422</v>
      </c>
      <c r="D23" s="13" t="n">
        <v>31.91</v>
      </c>
      <c r="E23" s="13" t="n">
        <v>42.96</v>
      </c>
      <c r="F23" s="14" t="n">
        <f aca="false">SUM(B23:E23)</f>
        <v>120.067</v>
      </c>
      <c r="G23" s="13" t="n">
        <v>58.321</v>
      </c>
      <c r="H23" s="13" t="n">
        <v>59.688</v>
      </c>
      <c r="L23" s="8" t="s">
        <v>325</v>
      </c>
      <c r="M23" s="8" t="s">
        <v>529</v>
      </c>
      <c r="N23" s="5" t="s">
        <v>530</v>
      </c>
    </row>
    <row r="24" customFormat="false" ht="17.15" hidden="false" customHeight="false" outlineLevel="0" collapsed="false">
      <c r="A24" s="0" t="s">
        <v>570</v>
      </c>
      <c r="B24" s="19" t="n">
        <v>0.76</v>
      </c>
      <c r="C24" s="19" t="n">
        <v>1.08</v>
      </c>
      <c r="D24" s="19" t="n">
        <v>1.3</v>
      </c>
      <c r="E24" s="19" t="n">
        <v>1.76</v>
      </c>
      <c r="F24" s="19" t="n">
        <v>4.9</v>
      </c>
      <c r="G24" s="19" t="n">
        <v>2.39</v>
      </c>
      <c r="H24" s="19" t="n">
        <v>2.46</v>
      </c>
      <c r="L24" s="8" t="s">
        <v>325</v>
      </c>
      <c r="M24" s="8" t="s">
        <v>529</v>
      </c>
      <c r="N24" s="5" t="s">
        <v>571</v>
      </c>
    </row>
    <row r="25" customFormat="false" ht="17.15" hidden="false" customHeight="false" outlineLevel="0" collapsed="false">
      <c r="A25" s="0" t="s">
        <v>572</v>
      </c>
      <c r="B25" s="19" t="n">
        <v>0.78</v>
      </c>
      <c r="C25" s="19" t="n">
        <v>1.01</v>
      </c>
      <c r="E25" s="19" t="n">
        <v>1.59</v>
      </c>
      <c r="G25" s="19" t="n">
        <v>1.87</v>
      </c>
      <c r="H25" s="19" t="n">
        <v>2.22</v>
      </c>
      <c r="L25" s="8" t="s">
        <v>325</v>
      </c>
      <c r="M25" s="8" t="s">
        <v>573</v>
      </c>
      <c r="N25" s="5" t="s">
        <v>574</v>
      </c>
    </row>
    <row r="26" customFormat="false" ht="17.15" hidden="false" customHeight="false" outlineLevel="0" collapsed="false">
      <c r="A26" s="5" t="s">
        <v>575</v>
      </c>
      <c r="B26" s="13" t="n">
        <v>1.474</v>
      </c>
      <c r="C26" s="13" t="n">
        <v>1.624</v>
      </c>
      <c r="D26" s="13" t="n">
        <v>1.655</v>
      </c>
      <c r="E26" s="13" t="n">
        <v>1.633</v>
      </c>
      <c r="F26" s="14" t="n">
        <f aca="false">SUM(B26:E26)</f>
        <v>6.386</v>
      </c>
      <c r="G26" s="13" t="n">
        <v>1.928</v>
      </c>
      <c r="H26" s="13" t="n">
        <v>2.027</v>
      </c>
      <c r="L26" s="8" t="s">
        <v>325</v>
      </c>
      <c r="M26" s="8" t="s">
        <v>529</v>
      </c>
      <c r="N26" s="5" t="s">
        <v>530</v>
      </c>
    </row>
    <row r="27" customFormat="false" ht="17.15" hidden="false" customHeight="false" outlineLevel="0" collapsed="false">
      <c r="A27" s="5" t="s">
        <v>576</v>
      </c>
      <c r="B27" s="18" t="n">
        <f aca="false">B23-(B18-B17)</f>
        <v>0</v>
      </c>
      <c r="C27" s="18" t="n">
        <f aca="false">C23-(C18-C17)</f>
        <v>0</v>
      </c>
      <c r="D27" s="18" t="n">
        <f aca="false">D23-(D18-D17)</f>
        <v>0</v>
      </c>
      <c r="E27" s="18" t="n">
        <f aca="false">E23-(E18-E17)</f>
        <v>0</v>
      </c>
      <c r="G27" s="18" t="n">
        <f aca="false">G23-(G18-G17)</f>
        <v>0</v>
      </c>
      <c r="H27" s="18" t="n">
        <f aca="false">H23-(H18-H17)</f>
        <v>0</v>
      </c>
      <c r="L27" s="8" t="s">
        <v>215</v>
      </c>
      <c r="M27" s="8" t="s">
        <v>215</v>
      </c>
      <c r="N27" s="8" t="s">
        <v>215</v>
      </c>
    </row>
    <row r="28" customFormat="false" ht="17.15" hidden="false" customHeight="false" outlineLevel="0" collapsed="false">
      <c r="A28" s="5" t="s">
        <v>577</v>
      </c>
      <c r="B28" s="18" t="n">
        <f aca="false">B22-B25</f>
        <v>-0.0110365257853089</v>
      </c>
      <c r="C28" s="18" t="n">
        <f aca="false">C22-C25</f>
        <v>-0.0105106083871226</v>
      </c>
      <c r="E28" s="18" t="n">
        <f aca="false">E22-E25</f>
        <v>-0.0232311076769507</v>
      </c>
      <c r="G28" s="18" t="n">
        <f aca="false">G22-G25</f>
        <v>-0.0240164877952171</v>
      </c>
      <c r="H28" s="18" t="n">
        <f aca="false">H22-H25</f>
        <v>-0.029288614936501</v>
      </c>
      <c r="L28" s="8" t="s">
        <v>215</v>
      </c>
      <c r="M28" s="5" t="s">
        <v>578</v>
      </c>
      <c r="N28" s="8" t="s">
        <v>579</v>
      </c>
    </row>
    <row r="29" customFormat="false" ht="17.15" hidden="false" customHeight="false" outlineLevel="0" collapsed="false">
      <c r="A29" s="5" t="s">
        <v>580</v>
      </c>
      <c r="F29" s="18" t="n">
        <f aca="false">(F4-215.938)+(F11-130.387)</f>
        <v>0</v>
      </c>
      <c r="L29" s="8" t="s">
        <v>215</v>
      </c>
      <c r="M29" s="8" t="s">
        <v>215</v>
      </c>
      <c r="N29" s="8" t="s">
        <v>215</v>
      </c>
    </row>
    <row r="31" customFormat="false" ht="17.15" hidden="false" customHeight="false" outlineLevel="0" collapsed="false">
      <c r="A31" s="1" t="s">
        <v>581</v>
      </c>
    </row>
    <row r="32" customFormat="false" ht="17.15" hidden="false" customHeight="false" outlineLevel="0" collapsed="false">
      <c r="A32" s="0" t="s">
        <v>582</v>
      </c>
      <c r="B32" s="17" t="n">
        <f aca="false">K4/cons_rev27-1</f>
        <v>-0.0171581248481903</v>
      </c>
    </row>
    <row r="33" customFormat="false" ht="17.15" hidden="false" customHeight="false" outlineLevel="0" collapsed="false">
      <c r="A33" s="0" t="s">
        <v>583</v>
      </c>
      <c r="B33" s="17" t="n">
        <f aca="false">K22/cons_eps27-1</f>
        <v>-0.0268849299711194</v>
      </c>
    </row>
    <row r="34" customFormat="false" ht="17.15" hidden="false" customHeight="false" outlineLevel="0" collapsed="false">
      <c r="A34" s="0" t="s">
        <v>584</v>
      </c>
      <c r="B34" s="17" t="n">
        <f aca="false">K4/F4-1</f>
        <v>0.873852679935908</v>
      </c>
    </row>
    <row r="35" customFormat="false" ht="17.15" hidden="false" customHeight="false" outlineLevel="0" collapsed="false">
      <c r="A35" s="0" t="s">
        <v>585</v>
      </c>
      <c r="B35" s="17" t="n">
        <f aca="false">K10/F10-1</f>
        <v>0.523877621771538</v>
      </c>
    </row>
    <row r="36" customFormat="false" ht="17.15" hidden="false" customHeight="false" outlineLevel="0" collapsed="false">
      <c r="A36" s="5" t="s">
        <v>586</v>
      </c>
      <c r="B36" s="20" t="n">
        <f aca="false">B35/B34</f>
        <v>0.599503364583102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6"/>
    <col collapsed="false" customWidth="true" hidden="false" outlineLevel="0" max="6" min="3" style="0" width="18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0" t="s">
        <v>587</v>
      </c>
    </row>
    <row r="3" customFormat="false" ht="17.15" hidden="false" customHeight="false" outlineLevel="0" collapsed="false">
      <c r="A3" s="6" t="s">
        <v>19</v>
      </c>
      <c r="B3" s="6" t="s">
        <v>20</v>
      </c>
      <c r="C3" s="12" t="s">
        <v>588</v>
      </c>
      <c r="D3" s="12" t="s">
        <v>589</v>
      </c>
      <c r="E3" s="12" t="s">
        <v>590</v>
      </c>
      <c r="F3" s="12" t="s">
        <v>591</v>
      </c>
      <c r="G3" s="6" t="s">
        <v>592</v>
      </c>
    </row>
    <row r="4" customFormat="false" ht="17.15" hidden="false" customHeight="false" outlineLevel="0" collapsed="false">
      <c r="A4" s="4" t="s">
        <v>593</v>
      </c>
    </row>
    <row r="5" customFormat="false" ht="15" hidden="false" customHeight="false" outlineLevel="0" collapsed="false">
      <c r="A5" s="4" t="s">
        <v>594</v>
      </c>
    </row>
    <row r="6" customFormat="false" ht="17.15" hidden="false" customHeight="false" outlineLevel="0" collapsed="false">
      <c r="A6" s="0" t="s">
        <v>595</v>
      </c>
      <c r="B6" s="5" t="s">
        <v>30</v>
      </c>
      <c r="C6" s="20" t="n">
        <f aca="false">u_bw_26</f>
        <v>5.4</v>
      </c>
      <c r="D6" s="20" t="n">
        <f aca="false">u_bw_27</f>
        <v>2.4</v>
      </c>
      <c r="E6" s="20" t="n">
        <f aca="false">u_bw_28*um28_A</f>
        <v>0.5</v>
      </c>
      <c r="F6" s="20" t="n">
        <f aca="false">u_bw_28*(1+g29_bw)*um29_A</f>
        <v>0.25</v>
      </c>
    </row>
    <row r="7" customFormat="false" ht="15" hidden="false" customHeight="false" outlineLevel="0" collapsed="false">
      <c r="A7" s="0" t="s">
        <v>596</v>
      </c>
      <c r="B7" s="5" t="s">
        <v>30</v>
      </c>
      <c r="C7" s="20" t="n">
        <f aca="false">u_rb_26</f>
        <v>1.7</v>
      </c>
      <c r="D7" s="20" t="n">
        <f aca="false">u_rb_27</f>
        <v>7</v>
      </c>
      <c r="E7" s="20" t="n">
        <f aca="false">u_rb_28*um28_A</f>
        <v>7</v>
      </c>
      <c r="F7" s="20" t="n">
        <f aca="false">u_rb_28*(1+g29_rb)*um29_A</f>
        <v>8.05</v>
      </c>
    </row>
    <row r="8" customFormat="false" ht="15" hidden="false" customHeight="false" outlineLevel="0" collapsed="false">
      <c r="A8" s="0" t="s">
        <v>597</v>
      </c>
      <c r="B8" s="5" t="s">
        <v>30</v>
      </c>
      <c r="C8" s="20" t="n">
        <f aca="false">u_ru_26</f>
        <v>0</v>
      </c>
      <c r="D8" s="20" t="n">
        <f aca="false">u_ru_27</f>
        <v>0.3</v>
      </c>
      <c r="E8" s="20" t="n">
        <f aca="false">u_ru_28*um28_A</f>
        <v>2</v>
      </c>
      <c r="F8" s="20" t="n">
        <f aca="false">u_ru_28*(1+g29_ru)*um29_A</f>
        <v>2.3</v>
      </c>
    </row>
    <row r="9" customFormat="false" ht="17.15" hidden="false" customHeight="false" outlineLevel="0" collapsed="false">
      <c r="A9" s="0" t="s">
        <v>598</v>
      </c>
      <c r="B9" s="5" t="s">
        <v>30</v>
      </c>
      <c r="C9" s="20" t="n">
        <f aca="false">u_hp_26</f>
        <v>0.5</v>
      </c>
      <c r="D9" s="20" t="n">
        <f aca="false">u_hp_27</f>
        <v>0</v>
      </c>
      <c r="E9" s="20" t="n">
        <f aca="false">u_hp_28*um28_A</f>
        <v>0</v>
      </c>
      <c r="F9" s="20" t="n">
        <f aca="false">u_hp_28*(1+g29_hp)*um29_A</f>
        <v>0</v>
      </c>
    </row>
    <row r="10" customFormat="false" ht="15" hidden="false" customHeight="false" outlineLevel="0" collapsed="false">
      <c r="A10" s="0" t="s">
        <v>599</v>
      </c>
      <c r="B10" s="5" t="s">
        <v>30</v>
      </c>
      <c r="C10" s="20" t="n">
        <f aca="false">u_amd_26</f>
        <v>0.75</v>
      </c>
      <c r="D10" s="20" t="n">
        <f aca="false">u_amd_27</f>
        <v>1.5</v>
      </c>
      <c r="E10" s="20" t="n">
        <f aca="false">u_amd_28*um28_A</f>
        <v>2</v>
      </c>
      <c r="F10" s="20" t="n">
        <f aca="false">u_amd_28*(1+g29_amd)*um29_A</f>
        <v>2.3</v>
      </c>
    </row>
    <row r="11" customFormat="false" ht="15" hidden="false" customHeight="false" outlineLevel="0" collapsed="false">
      <c r="A11" s="0" t="s">
        <v>600</v>
      </c>
      <c r="B11" s="5" t="s">
        <v>30</v>
      </c>
      <c r="C11" s="20" t="n">
        <f aca="false">u_tpu_26</f>
        <v>3.85</v>
      </c>
      <c r="D11" s="20" t="n">
        <f aca="false">u_tpu_27</f>
        <v>5.5</v>
      </c>
      <c r="E11" s="20" t="n">
        <f aca="false">u_tpu_28*um28_A</f>
        <v>7</v>
      </c>
      <c r="F11" s="20" t="n">
        <f aca="false">u_tpu_28*(1+g29_tpu)*um29_A</f>
        <v>8.05</v>
      </c>
    </row>
    <row r="12" customFormat="false" ht="15" hidden="false" customHeight="false" outlineLevel="0" collapsed="false">
      <c r="A12" s="0" t="s">
        <v>601</v>
      </c>
      <c r="B12" s="5" t="s">
        <v>30</v>
      </c>
      <c r="C12" s="20" t="n">
        <f aca="false">u_trn_26</f>
        <v>2</v>
      </c>
      <c r="D12" s="20" t="n">
        <f aca="false">u_trn_27</f>
        <v>2.5</v>
      </c>
      <c r="E12" s="20" t="n">
        <f aca="false">u_trn_28*um28_A</f>
        <v>3</v>
      </c>
      <c r="F12" s="20" t="n">
        <f aca="false">u_trn_28*(1+g29_trn)*um29_A</f>
        <v>3.45</v>
      </c>
    </row>
    <row r="13" customFormat="false" ht="17.15" hidden="false" customHeight="false" outlineLevel="0" collapsed="false">
      <c r="A13" s="5" t="s">
        <v>602</v>
      </c>
      <c r="B13" s="5" t="s">
        <v>30</v>
      </c>
      <c r="C13" s="20" t="n">
        <f aca="false">u_oth_26</f>
        <v>1</v>
      </c>
      <c r="D13" s="20" t="n">
        <f aca="false">u_oth_27</f>
        <v>4.5</v>
      </c>
      <c r="E13" s="20" t="n">
        <f aca="false">u_oth_28*um28_A</f>
        <v>5</v>
      </c>
      <c r="F13" s="20" t="n">
        <f aca="false">u_oth_28*(1+g29_oth)*um29_A</f>
        <v>5.75</v>
      </c>
    </row>
    <row r="14" customFormat="false" ht="15" hidden="false" customHeight="false" outlineLevel="0" collapsed="false">
      <c r="A14" s="4" t="s">
        <v>603</v>
      </c>
      <c r="B14" s="5" t="s">
        <v>30</v>
      </c>
      <c r="C14" s="20" t="n">
        <f aca="false">SUM(C6:C13)</f>
        <v>15.2</v>
      </c>
      <c r="D14" s="20" t="n">
        <f aca="false">SUM(D6:D13)</f>
        <v>23.7</v>
      </c>
      <c r="E14" s="20" t="n">
        <f aca="false">SUM(E6:E13)</f>
        <v>26.5</v>
      </c>
      <c r="F14" s="20" t="n">
        <f aca="false">SUM(F6:F13)</f>
        <v>30.15</v>
      </c>
    </row>
    <row r="15" customFormat="false" ht="17.15" hidden="false" customHeight="false" outlineLevel="0" collapsed="false">
      <c r="A15" s="4" t="s">
        <v>604</v>
      </c>
    </row>
    <row r="16" customFormat="false" ht="17.15" hidden="false" customHeight="false" outlineLevel="0" collapsed="false">
      <c r="A16" s="0" t="s">
        <v>595</v>
      </c>
      <c r="B16" s="0" t="s">
        <v>309</v>
      </c>
      <c r="C16" s="21" t="n">
        <f aca="false">u_bw_26*(pm_bw)</f>
        <v>218.16</v>
      </c>
      <c r="D16" s="21" t="n">
        <f aca="false">u_bw_27*(pm_bw)</f>
        <v>96.96</v>
      </c>
      <c r="E16" s="21" t="n">
        <f aca="false">u_bw_28*um28_A*(pm_bw)</f>
        <v>20.2</v>
      </c>
      <c r="F16" s="21" t="n">
        <f aca="false">u_bw_28*(1+g29_bw)*um29_A*(pm_bw)</f>
        <v>10.1</v>
      </c>
    </row>
    <row r="17" customFormat="false" ht="15" hidden="false" customHeight="false" outlineLevel="0" collapsed="false">
      <c r="A17" s="0" t="s">
        <v>596</v>
      </c>
      <c r="B17" s="0" t="s">
        <v>309</v>
      </c>
      <c r="C17" s="21" t="n">
        <f aca="false">u_rb_26*(pm_rb)</f>
        <v>93.5</v>
      </c>
      <c r="D17" s="21" t="n">
        <f aca="false">u_rb_27*(pm_rb)</f>
        <v>385</v>
      </c>
      <c r="E17" s="21" t="n">
        <f aca="false">u_rb_28*um28_A*(pm_rb)</f>
        <v>385</v>
      </c>
      <c r="F17" s="21" t="n">
        <f aca="false">u_rb_28*(1+g29_rb)*um29_A*(pm_rb)</f>
        <v>442.75</v>
      </c>
    </row>
    <row r="18" customFormat="false" ht="15" hidden="false" customHeight="false" outlineLevel="0" collapsed="false">
      <c r="A18" s="0" t="s">
        <v>597</v>
      </c>
      <c r="B18" s="0" t="s">
        <v>309</v>
      </c>
      <c r="C18" s="21" t="n">
        <f aca="false">u_ru_26*(pm_ru)</f>
        <v>0</v>
      </c>
      <c r="D18" s="21" t="n">
        <f aca="false">u_ru_27*(pm_ru)</f>
        <v>22.5</v>
      </c>
      <c r="E18" s="21" t="n">
        <f aca="false">u_ru_28*um28_A*(pm_ru)</f>
        <v>150</v>
      </c>
      <c r="F18" s="21" t="n">
        <f aca="false">u_ru_28*(1+g29_ru)*um29_A*(pm_ru)</f>
        <v>172.5</v>
      </c>
    </row>
    <row r="19" customFormat="false" ht="17.15" hidden="false" customHeight="false" outlineLevel="0" collapsed="false">
      <c r="A19" s="0" t="s">
        <v>598</v>
      </c>
      <c r="B19" s="0" t="s">
        <v>309</v>
      </c>
      <c r="C19" s="21" t="n">
        <f aca="false">u_hp_26*(pm_hp)</f>
        <v>15</v>
      </c>
      <c r="D19" s="21" t="n">
        <f aca="false">u_hp_27*(pm_hp)</f>
        <v>0</v>
      </c>
      <c r="E19" s="21" t="n">
        <f aca="false">u_hp_28*um28_A*(pm_hp)</f>
        <v>0</v>
      </c>
      <c r="F19" s="21" t="n">
        <f aca="false">u_hp_28*(1+g29_hp)*um29_A*(pm_hp)</f>
        <v>0</v>
      </c>
    </row>
    <row r="20" customFormat="false" ht="15" hidden="false" customHeight="false" outlineLevel="0" collapsed="false">
      <c r="A20" s="0" t="s">
        <v>599</v>
      </c>
      <c r="B20" s="0" t="s">
        <v>309</v>
      </c>
      <c r="C20" s="21" t="n">
        <f aca="false">u_amd_26*(pa_amd)</f>
        <v>22.5</v>
      </c>
      <c r="D20" s="21" t="n">
        <f aca="false">u_amd_27*(pa_amd)</f>
        <v>45</v>
      </c>
      <c r="E20" s="21" t="n">
        <f aca="false">u_amd_28*um28_A*(pa_amd)</f>
        <v>60</v>
      </c>
      <c r="F20" s="21" t="n">
        <f aca="false">u_amd_28*(1+g29_amd)*um29_A*(pa_amd)</f>
        <v>69</v>
      </c>
    </row>
    <row r="21" customFormat="false" ht="15" hidden="false" customHeight="false" outlineLevel="0" collapsed="false">
      <c r="A21" s="0" t="s">
        <v>600</v>
      </c>
      <c r="B21" s="0" t="s">
        <v>309</v>
      </c>
      <c r="C21" s="21" t="n">
        <f aca="false">u_tpu_26*(pa_tpu)</f>
        <v>46.2</v>
      </c>
      <c r="D21" s="21" t="n">
        <f aca="false">u_tpu_27*(pa_tpu)</f>
        <v>66</v>
      </c>
      <c r="E21" s="21" t="n">
        <f aca="false">u_tpu_28*um28_A*(pa_tpu)</f>
        <v>84</v>
      </c>
      <c r="F21" s="21" t="n">
        <f aca="false">u_tpu_28*(1+g29_tpu)*um29_A*(pa_tpu)</f>
        <v>96.6</v>
      </c>
    </row>
    <row r="22" customFormat="false" ht="15" hidden="false" customHeight="false" outlineLevel="0" collapsed="false">
      <c r="A22" s="0" t="s">
        <v>601</v>
      </c>
      <c r="B22" s="0" t="s">
        <v>309</v>
      </c>
      <c r="C22" s="21" t="n">
        <f aca="false">u_trn_26*(pa_trn)</f>
        <v>16</v>
      </c>
      <c r="D22" s="21" t="n">
        <f aca="false">u_trn_27*(pa_trn)</f>
        <v>20</v>
      </c>
      <c r="E22" s="21" t="n">
        <f aca="false">u_trn_28*um28_A*(pa_trn)</f>
        <v>24</v>
      </c>
      <c r="F22" s="21" t="n">
        <f aca="false">u_trn_28*(1+g29_trn)*um29_A*(pa_trn)</f>
        <v>27.6</v>
      </c>
    </row>
    <row r="23" customFormat="false" ht="17.15" hidden="false" customHeight="false" outlineLevel="0" collapsed="false">
      <c r="A23" s="5" t="s">
        <v>602</v>
      </c>
      <c r="B23" s="0" t="s">
        <v>309</v>
      </c>
      <c r="C23" s="21" t="n">
        <f aca="false">u_oth_26*(pa_oth)</f>
        <v>8</v>
      </c>
      <c r="D23" s="21" t="n">
        <f aca="false">u_oth_27*(pa_oth)</f>
        <v>36</v>
      </c>
      <c r="E23" s="21" t="n">
        <f aca="false">u_oth_28*um28_A*(pa_oth)</f>
        <v>40</v>
      </c>
      <c r="F23" s="21" t="n">
        <f aca="false">u_oth_28*(1+g29_oth)*um29_A*(pa_oth)</f>
        <v>46</v>
      </c>
    </row>
    <row r="24" customFormat="false" ht="15" hidden="false" customHeight="false" outlineLevel="0" collapsed="false">
      <c r="A24" s="4" t="s">
        <v>603</v>
      </c>
      <c r="B24" s="8" t="s">
        <v>309</v>
      </c>
      <c r="C24" s="21" t="n">
        <f aca="false">SUM(C16:C23)</f>
        <v>419.36</v>
      </c>
      <c r="D24" s="21" t="n">
        <f aca="false">SUM(D16:D23)</f>
        <v>671.46</v>
      </c>
      <c r="E24" s="21" t="n">
        <f aca="false">SUM(E16:E23)</f>
        <v>763.2</v>
      </c>
      <c r="F24" s="21" t="n">
        <f aca="false">SUM(F16:F23)</f>
        <v>864.55</v>
      </c>
    </row>
    <row r="25" customFormat="false" ht="15" hidden="false" customHeight="false" outlineLevel="0" collapsed="false">
      <c r="A25" s="4" t="s">
        <v>605</v>
      </c>
    </row>
    <row r="26" customFormat="false" ht="15" hidden="false" customHeight="false" outlineLevel="0" collapsed="false">
      <c r="A26" s="0" t="s">
        <v>606</v>
      </c>
      <c r="B26" s="0" t="s">
        <v>41</v>
      </c>
      <c r="C26" s="17" t="n">
        <f aca="false">(C6+C7+C8+C9)/C14</f>
        <v>0.5</v>
      </c>
      <c r="D26" s="17" t="n">
        <f aca="false">(D6+D7+D8+D9)/D14</f>
        <v>0.409282700421941</v>
      </c>
      <c r="E26" s="17" t="n">
        <f aca="false">(E6+E7+E8+E9)/E14</f>
        <v>0.358490566037736</v>
      </c>
      <c r="F26" s="17" t="n">
        <f aca="false">(F6+F7+F8+F9)/F14</f>
        <v>0.351575456053068</v>
      </c>
    </row>
    <row r="27" customFormat="false" ht="15" hidden="false" customHeight="false" outlineLevel="0" collapsed="false">
      <c r="A27" s="0" t="s">
        <v>607</v>
      </c>
      <c r="B27" s="0" t="s">
        <v>41</v>
      </c>
      <c r="C27" s="17" t="n">
        <f aca="false">(C10)/C14</f>
        <v>0.0493421052631579</v>
      </c>
      <c r="D27" s="17" t="n">
        <f aca="false">(D10)/D14</f>
        <v>0.0632911392405063</v>
      </c>
      <c r="E27" s="17" t="n">
        <f aca="false">(E10)/E14</f>
        <v>0.0754716981132075</v>
      </c>
      <c r="F27" s="17" t="n">
        <f aca="false">(F10)/F14</f>
        <v>0.0762852404643449</v>
      </c>
    </row>
    <row r="28" customFormat="false" ht="15" hidden="false" customHeight="false" outlineLevel="0" collapsed="false">
      <c r="A28" s="0" t="s">
        <v>600</v>
      </c>
      <c r="B28" s="0" t="s">
        <v>41</v>
      </c>
      <c r="C28" s="17" t="n">
        <f aca="false">(C11)/C14</f>
        <v>0.253289473684211</v>
      </c>
      <c r="D28" s="17" t="n">
        <f aca="false">(D11)/D14</f>
        <v>0.232067510548523</v>
      </c>
      <c r="E28" s="17" t="n">
        <f aca="false">(E11)/E14</f>
        <v>0.264150943396226</v>
      </c>
      <c r="F28" s="17" t="n">
        <f aca="false">(F11)/F14</f>
        <v>0.266998341625207</v>
      </c>
    </row>
    <row r="29" customFormat="false" ht="15" hidden="false" customHeight="false" outlineLevel="0" collapsed="false">
      <c r="A29" s="0" t="s">
        <v>601</v>
      </c>
      <c r="B29" s="0" t="s">
        <v>41</v>
      </c>
      <c r="C29" s="17" t="n">
        <f aca="false">(C12)/C14</f>
        <v>0.131578947368421</v>
      </c>
      <c r="D29" s="17" t="n">
        <f aca="false">(D12)/D14</f>
        <v>0.105485232067511</v>
      </c>
      <c r="E29" s="17" t="n">
        <f aca="false">(E12)/E14</f>
        <v>0.113207547169811</v>
      </c>
      <c r="F29" s="17" t="n">
        <f aca="false">(F12)/F14</f>
        <v>0.114427860696517</v>
      </c>
    </row>
    <row r="30" customFormat="false" ht="17.15" hidden="false" customHeight="false" outlineLevel="0" collapsed="false">
      <c r="A30" s="5" t="s">
        <v>608</v>
      </c>
      <c r="B30" s="0" t="s">
        <v>41</v>
      </c>
      <c r="C30" s="17" t="n">
        <f aca="false">(C13)/C14</f>
        <v>0.0657894736842105</v>
      </c>
      <c r="D30" s="17" t="n">
        <f aca="false">(D13)/D14</f>
        <v>0.189873417721519</v>
      </c>
      <c r="E30" s="17" t="n">
        <f aca="false">(E13)/E14</f>
        <v>0.188679245283019</v>
      </c>
      <c r="F30" s="17" t="n">
        <f aca="false">(F13)/F14</f>
        <v>0.190713101160862</v>
      </c>
    </row>
    <row r="31" customFormat="false" ht="15" hidden="false" customHeight="false" outlineLevel="0" collapsed="false">
      <c r="A31" s="4" t="s">
        <v>609</v>
      </c>
    </row>
    <row r="32" customFormat="false" ht="15" hidden="false" customHeight="false" outlineLevel="0" collapsed="false">
      <c r="A32" s="0" t="s">
        <v>606</v>
      </c>
      <c r="B32" s="0" t="s">
        <v>41</v>
      </c>
      <c r="C32" s="17" t="n">
        <f aca="false">(C16+C17+C18+C19)/C24</f>
        <v>0.778948874475391</v>
      </c>
      <c r="D32" s="17" t="n">
        <f aca="false">(D16+D17+D18+D19)/D24</f>
        <v>0.751288237571858</v>
      </c>
      <c r="E32" s="17" t="n">
        <f aca="false">(E16+E17+E18+E19)/E24</f>
        <v>0.727463312368973</v>
      </c>
      <c r="F32" s="17" t="n">
        <f aca="false">(F16+F17+F18+F19)/F24</f>
        <v>0.723324272743045</v>
      </c>
    </row>
    <row r="33" customFormat="false" ht="15" hidden="false" customHeight="false" outlineLevel="0" collapsed="false">
      <c r="A33" s="0" t="s">
        <v>607</v>
      </c>
      <c r="B33" s="0" t="s">
        <v>41</v>
      </c>
      <c r="C33" s="17" t="n">
        <f aca="false">(C20)/C24</f>
        <v>0.0536531858069439</v>
      </c>
      <c r="D33" s="17" t="n">
        <f aca="false">(D20)/D24</f>
        <v>0.0670181395764454</v>
      </c>
      <c r="E33" s="17" t="n">
        <f aca="false">(E20)/E24</f>
        <v>0.0786163522012579</v>
      </c>
      <c r="F33" s="17" t="n">
        <f aca="false">(F20)/F24</f>
        <v>0.0798103059395061</v>
      </c>
    </row>
    <row r="34" customFormat="false" ht="15" hidden="false" customHeight="false" outlineLevel="0" collapsed="false">
      <c r="A34" s="0" t="s">
        <v>600</v>
      </c>
      <c r="B34" s="0" t="s">
        <v>41</v>
      </c>
      <c r="C34" s="17" t="n">
        <f aca="false">(C21)/C24</f>
        <v>0.110167874856925</v>
      </c>
      <c r="D34" s="17" t="n">
        <f aca="false">(D21)/D24</f>
        <v>0.0982932713787865</v>
      </c>
      <c r="E34" s="17" t="n">
        <f aca="false">(E21)/E24</f>
        <v>0.110062893081761</v>
      </c>
      <c r="F34" s="17" t="n">
        <f aca="false">(F21)/F24</f>
        <v>0.111734428315309</v>
      </c>
    </row>
    <row r="35" customFormat="false" ht="15" hidden="false" customHeight="false" outlineLevel="0" collapsed="false">
      <c r="A35" s="0" t="s">
        <v>601</v>
      </c>
      <c r="B35" s="0" t="s">
        <v>41</v>
      </c>
      <c r="C35" s="17" t="n">
        <f aca="false">(C22)/C24</f>
        <v>0.0381533765738268</v>
      </c>
      <c r="D35" s="17" t="n">
        <f aca="false">(D22)/D24</f>
        <v>0.0297858398117535</v>
      </c>
      <c r="E35" s="17" t="n">
        <f aca="false">(E22)/E24</f>
        <v>0.0314465408805031</v>
      </c>
      <c r="F35" s="17" t="n">
        <f aca="false">(F22)/F24</f>
        <v>0.0319241223758024</v>
      </c>
    </row>
    <row r="36" customFormat="false" ht="17.15" hidden="false" customHeight="false" outlineLevel="0" collapsed="false">
      <c r="A36" s="5" t="s">
        <v>608</v>
      </c>
      <c r="B36" s="0" t="s">
        <v>41</v>
      </c>
      <c r="C36" s="17" t="n">
        <f aca="false">(C23)/C24</f>
        <v>0.0190766882869134</v>
      </c>
      <c r="D36" s="17" t="n">
        <f aca="false">(D23)/D24</f>
        <v>0.0536145116611563</v>
      </c>
      <c r="E36" s="17" t="n">
        <f aca="false">(E23)/E24</f>
        <v>0.0524109014675052</v>
      </c>
      <c r="F36" s="17" t="n">
        <f aca="false">(F23)/F24</f>
        <v>0.0532068706263374</v>
      </c>
    </row>
    <row r="38" customFormat="false" ht="17.15" hidden="false" customHeight="false" outlineLevel="0" collapsed="false">
      <c r="A38" s="4" t="s">
        <v>610</v>
      </c>
    </row>
    <row r="39" customFormat="false" ht="15" hidden="false" customHeight="false" outlineLevel="0" collapsed="false">
      <c r="A39" s="4" t="s">
        <v>594</v>
      </c>
    </row>
    <row r="40" customFormat="false" ht="17.15" hidden="false" customHeight="false" outlineLevel="0" collapsed="false">
      <c r="A40" s="0" t="s">
        <v>595</v>
      </c>
      <c r="B40" s="5" t="s">
        <v>30</v>
      </c>
      <c r="C40" s="20" t="n">
        <f aca="false">u_bw_26</f>
        <v>5.4</v>
      </c>
      <c r="D40" s="20" t="n">
        <f aca="false">u_bw_27</f>
        <v>2.4</v>
      </c>
      <c r="E40" s="20" t="n">
        <f aca="false">u_bw_28*um28_B</f>
        <v>0.4</v>
      </c>
      <c r="F40" s="20" t="n">
        <f aca="false">u_bw_28*(1+g29_bw)*um29_B</f>
        <v>0.2125</v>
      </c>
    </row>
    <row r="41" customFormat="false" ht="15" hidden="false" customHeight="false" outlineLevel="0" collapsed="false">
      <c r="A41" s="0" t="s">
        <v>596</v>
      </c>
      <c r="B41" s="5" t="s">
        <v>30</v>
      </c>
      <c r="C41" s="20" t="n">
        <f aca="false">u_rb_26</f>
        <v>1.7</v>
      </c>
      <c r="D41" s="20" t="n">
        <f aca="false">u_rb_27</f>
        <v>7</v>
      </c>
      <c r="E41" s="20" t="n">
        <f aca="false">u_rb_28*um28_B</f>
        <v>5.6</v>
      </c>
      <c r="F41" s="20" t="n">
        <f aca="false">u_rb_28*(1+g29_rb)*um29_B</f>
        <v>6.8425</v>
      </c>
    </row>
    <row r="42" customFormat="false" ht="15" hidden="false" customHeight="false" outlineLevel="0" collapsed="false">
      <c r="A42" s="0" t="s">
        <v>597</v>
      </c>
      <c r="B42" s="5" t="s">
        <v>30</v>
      </c>
      <c r="C42" s="20" t="n">
        <f aca="false">u_ru_26</f>
        <v>0</v>
      </c>
      <c r="D42" s="20" t="n">
        <f aca="false">u_ru_27</f>
        <v>0.3</v>
      </c>
      <c r="E42" s="20" t="n">
        <f aca="false">u_ru_28*um28_B</f>
        <v>1.6</v>
      </c>
      <c r="F42" s="20" t="n">
        <f aca="false">u_ru_28*(1+g29_ru)*um29_B</f>
        <v>1.955</v>
      </c>
    </row>
    <row r="43" customFormat="false" ht="17.15" hidden="false" customHeight="false" outlineLevel="0" collapsed="false">
      <c r="A43" s="0" t="s">
        <v>598</v>
      </c>
      <c r="B43" s="5" t="s">
        <v>30</v>
      </c>
      <c r="C43" s="20" t="n">
        <f aca="false">u_hp_26</f>
        <v>0.5</v>
      </c>
      <c r="D43" s="20" t="n">
        <f aca="false">u_hp_27</f>
        <v>0</v>
      </c>
      <c r="E43" s="20" t="n">
        <f aca="false">u_hp_28*um28_B</f>
        <v>0</v>
      </c>
      <c r="F43" s="20" t="n">
        <f aca="false">u_hp_28*(1+g29_hp)*um29_B</f>
        <v>0</v>
      </c>
    </row>
    <row r="44" customFormat="false" ht="15" hidden="false" customHeight="false" outlineLevel="0" collapsed="false">
      <c r="A44" s="0" t="s">
        <v>599</v>
      </c>
      <c r="B44" s="5" t="s">
        <v>30</v>
      </c>
      <c r="C44" s="20" t="n">
        <f aca="false">u_amd_26</f>
        <v>0.75</v>
      </c>
      <c r="D44" s="20" t="n">
        <f aca="false">u_amd_27</f>
        <v>1.5</v>
      </c>
      <c r="E44" s="20" t="n">
        <f aca="false">u_amd_28*um28_B</f>
        <v>1.6</v>
      </c>
      <c r="F44" s="20" t="n">
        <f aca="false">u_amd_28*(1+g29_amd)*um29_B</f>
        <v>1.955</v>
      </c>
    </row>
    <row r="45" customFormat="false" ht="15" hidden="false" customHeight="false" outlineLevel="0" collapsed="false">
      <c r="A45" s="0" t="s">
        <v>600</v>
      </c>
      <c r="B45" s="5" t="s">
        <v>30</v>
      </c>
      <c r="C45" s="20" t="n">
        <f aca="false">u_tpu_26</f>
        <v>3.85</v>
      </c>
      <c r="D45" s="20" t="n">
        <f aca="false">u_tpu_27</f>
        <v>5.5</v>
      </c>
      <c r="E45" s="20" t="n">
        <f aca="false">u_tpu_28*um28_B</f>
        <v>5.6</v>
      </c>
      <c r="F45" s="20" t="n">
        <f aca="false">u_tpu_28*(1+g29_tpu)*um29_B</f>
        <v>6.8425</v>
      </c>
    </row>
    <row r="46" customFormat="false" ht="15" hidden="false" customHeight="false" outlineLevel="0" collapsed="false">
      <c r="A46" s="0" t="s">
        <v>601</v>
      </c>
      <c r="B46" s="5" t="s">
        <v>30</v>
      </c>
      <c r="C46" s="20" t="n">
        <f aca="false">u_trn_26</f>
        <v>2</v>
      </c>
      <c r="D46" s="20" t="n">
        <f aca="false">u_trn_27</f>
        <v>2.5</v>
      </c>
      <c r="E46" s="20" t="n">
        <f aca="false">u_trn_28*um28_B</f>
        <v>2.4</v>
      </c>
      <c r="F46" s="20" t="n">
        <f aca="false">u_trn_28*(1+g29_trn)*um29_B</f>
        <v>2.9325</v>
      </c>
    </row>
    <row r="47" customFormat="false" ht="17.15" hidden="false" customHeight="false" outlineLevel="0" collapsed="false">
      <c r="A47" s="5" t="s">
        <v>602</v>
      </c>
      <c r="B47" s="5" t="s">
        <v>30</v>
      </c>
      <c r="C47" s="20" t="n">
        <f aca="false">u_oth_26</f>
        <v>1</v>
      </c>
      <c r="D47" s="20" t="n">
        <f aca="false">u_oth_27</f>
        <v>4.5</v>
      </c>
      <c r="E47" s="20" t="n">
        <f aca="false">u_oth_28*um28_B</f>
        <v>4</v>
      </c>
      <c r="F47" s="20" t="n">
        <f aca="false">u_oth_28*(1+g29_oth)*um29_B</f>
        <v>4.8875</v>
      </c>
    </row>
    <row r="48" customFormat="false" ht="15" hidden="false" customHeight="false" outlineLevel="0" collapsed="false">
      <c r="A48" s="4" t="s">
        <v>603</v>
      </c>
      <c r="B48" s="5" t="s">
        <v>30</v>
      </c>
      <c r="C48" s="20" t="n">
        <f aca="false">SUM(C40:C47)</f>
        <v>15.2</v>
      </c>
      <c r="D48" s="20" t="n">
        <f aca="false">SUM(D40:D47)</f>
        <v>23.7</v>
      </c>
      <c r="E48" s="20" t="n">
        <f aca="false">SUM(E40:E47)</f>
        <v>21.2</v>
      </c>
      <c r="F48" s="20" t="n">
        <f aca="false">SUM(F40:F47)</f>
        <v>25.6275</v>
      </c>
    </row>
    <row r="49" customFormat="false" ht="17.15" hidden="false" customHeight="false" outlineLevel="0" collapsed="false">
      <c r="A49" s="4" t="s">
        <v>604</v>
      </c>
    </row>
    <row r="50" customFormat="false" ht="17.15" hidden="false" customHeight="false" outlineLevel="0" collapsed="false">
      <c r="A50" s="0" t="s">
        <v>595</v>
      </c>
      <c r="B50" s="0" t="s">
        <v>309</v>
      </c>
      <c r="C50" s="21" t="n">
        <f aca="false">u_bw_26*(pm_bw)</f>
        <v>218.16</v>
      </c>
      <c r="D50" s="21" t="n">
        <f aca="false">u_bw_27*(pm_bw)</f>
        <v>96.96</v>
      </c>
      <c r="E50" s="21" t="n">
        <f aca="false">u_bw_28*um28_B*(pm_bw)</f>
        <v>16.16</v>
      </c>
      <c r="F50" s="21" t="n">
        <f aca="false">u_bw_28*(1+g29_bw)*um29_B*(pm_bw)</f>
        <v>8.585</v>
      </c>
    </row>
    <row r="51" customFormat="false" ht="15" hidden="false" customHeight="false" outlineLevel="0" collapsed="false">
      <c r="A51" s="0" t="s">
        <v>596</v>
      </c>
      <c r="B51" s="0" t="s">
        <v>309</v>
      </c>
      <c r="C51" s="21" t="n">
        <f aca="false">u_rb_26*(pm_rb)</f>
        <v>93.5</v>
      </c>
      <c r="D51" s="21" t="n">
        <f aca="false">u_rb_27*(pm_rb)</f>
        <v>385</v>
      </c>
      <c r="E51" s="21" t="n">
        <f aca="false">u_rb_28*um28_B*(pm_rb)</f>
        <v>308</v>
      </c>
      <c r="F51" s="21" t="n">
        <f aca="false">u_rb_28*(1+g29_rb)*um29_B*(pm_rb)</f>
        <v>376.3375</v>
      </c>
    </row>
    <row r="52" customFormat="false" ht="15" hidden="false" customHeight="false" outlineLevel="0" collapsed="false">
      <c r="A52" s="0" t="s">
        <v>597</v>
      </c>
      <c r="B52" s="0" t="s">
        <v>309</v>
      </c>
      <c r="C52" s="21" t="n">
        <f aca="false">u_ru_26*(pm_ru)</f>
        <v>0</v>
      </c>
      <c r="D52" s="21" t="n">
        <f aca="false">u_ru_27*(pm_ru)</f>
        <v>22.5</v>
      </c>
      <c r="E52" s="21" t="n">
        <f aca="false">u_ru_28*um28_B*(pm_ru)</f>
        <v>120</v>
      </c>
      <c r="F52" s="21" t="n">
        <f aca="false">u_ru_28*(1+g29_ru)*um29_B*(pm_ru)</f>
        <v>146.625</v>
      </c>
    </row>
    <row r="53" customFormat="false" ht="17.15" hidden="false" customHeight="false" outlineLevel="0" collapsed="false">
      <c r="A53" s="0" t="s">
        <v>598</v>
      </c>
      <c r="B53" s="0" t="s">
        <v>309</v>
      </c>
      <c r="C53" s="21" t="n">
        <f aca="false">u_hp_26*(pm_hp)</f>
        <v>15</v>
      </c>
      <c r="D53" s="21" t="n">
        <f aca="false">u_hp_27*(pm_hp)</f>
        <v>0</v>
      </c>
      <c r="E53" s="21" t="n">
        <f aca="false">u_hp_28*um28_B*(pm_hp)</f>
        <v>0</v>
      </c>
      <c r="F53" s="21" t="n">
        <f aca="false">u_hp_28*(1+g29_hp)*um29_B*(pm_hp)</f>
        <v>0</v>
      </c>
    </row>
    <row r="54" customFormat="false" ht="15" hidden="false" customHeight="false" outlineLevel="0" collapsed="false">
      <c r="A54" s="0" t="s">
        <v>599</v>
      </c>
      <c r="B54" s="0" t="s">
        <v>309</v>
      </c>
      <c r="C54" s="21" t="n">
        <f aca="false">u_amd_26*(pa_amd)</f>
        <v>22.5</v>
      </c>
      <c r="D54" s="21" t="n">
        <f aca="false">u_amd_27*(pa_amd)</f>
        <v>45</v>
      </c>
      <c r="E54" s="21" t="n">
        <f aca="false">u_amd_28*um28_B*(pa_amd)</f>
        <v>48</v>
      </c>
      <c r="F54" s="21" t="n">
        <f aca="false">u_amd_28*(1+g29_amd)*um29_B*(pa_amd)</f>
        <v>58.65</v>
      </c>
    </row>
    <row r="55" customFormat="false" ht="15" hidden="false" customHeight="false" outlineLevel="0" collapsed="false">
      <c r="A55" s="0" t="s">
        <v>600</v>
      </c>
      <c r="B55" s="0" t="s">
        <v>309</v>
      </c>
      <c r="C55" s="21" t="n">
        <f aca="false">u_tpu_26*(pa_tpu)</f>
        <v>46.2</v>
      </c>
      <c r="D55" s="21" t="n">
        <f aca="false">u_tpu_27*(pa_tpu)</f>
        <v>66</v>
      </c>
      <c r="E55" s="21" t="n">
        <f aca="false">u_tpu_28*um28_B*(pa_tpu)</f>
        <v>67.2</v>
      </c>
      <c r="F55" s="21" t="n">
        <f aca="false">u_tpu_28*(1+g29_tpu)*um29_B*(pa_tpu)</f>
        <v>82.11</v>
      </c>
    </row>
    <row r="56" customFormat="false" ht="15" hidden="false" customHeight="false" outlineLevel="0" collapsed="false">
      <c r="A56" s="0" t="s">
        <v>601</v>
      </c>
      <c r="B56" s="0" t="s">
        <v>309</v>
      </c>
      <c r="C56" s="21" t="n">
        <f aca="false">u_trn_26*(pa_trn)</f>
        <v>16</v>
      </c>
      <c r="D56" s="21" t="n">
        <f aca="false">u_trn_27*(pa_trn)</f>
        <v>20</v>
      </c>
      <c r="E56" s="21" t="n">
        <f aca="false">u_trn_28*um28_B*(pa_trn)</f>
        <v>19.2</v>
      </c>
      <c r="F56" s="21" t="n">
        <f aca="false">u_trn_28*(1+g29_trn)*um29_B*(pa_trn)</f>
        <v>23.46</v>
      </c>
    </row>
    <row r="57" customFormat="false" ht="17.15" hidden="false" customHeight="false" outlineLevel="0" collapsed="false">
      <c r="A57" s="5" t="s">
        <v>602</v>
      </c>
      <c r="B57" s="0" t="s">
        <v>309</v>
      </c>
      <c r="C57" s="21" t="n">
        <f aca="false">u_oth_26*(pa_oth)</f>
        <v>8</v>
      </c>
      <c r="D57" s="21" t="n">
        <f aca="false">u_oth_27*(pa_oth)</f>
        <v>36</v>
      </c>
      <c r="E57" s="21" t="n">
        <f aca="false">u_oth_28*um28_B*(pa_oth)</f>
        <v>32</v>
      </c>
      <c r="F57" s="21" t="n">
        <f aca="false">u_oth_28*(1+g29_oth)*um29_B*(pa_oth)</f>
        <v>39.1</v>
      </c>
    </row>
    <row r="58" customFormat="false" ht="15" hidden="false" customHeight="false" outlineLevel="0" collapsed="false">
      <c r="A58" s="4" t="s">
        <v>603</v>
      </c>
      <c r="B58" s="8" t="s">
        <v>309</v>
      </c>
      <c r="C58" s="21" t="n">
        <f aca="false">SUM(C50:C57)</f>
        <v>419.36</v>
      </c>
      <c r="D58" s="21" t="n">
        <f aca="false">SUM(D50:D57)</f>
        <v>671.46</v>
      </c>
      <c r="E58" s="21" t="n">
        <f aca="false">SUM(E50:E57)</f>
        <v>610.56</v>
      </c>
      <c r="F58" s="21" t="n">
        <f aca="false">SUM(F50:F57)</f>
        <v>734.8675</v>
      </c>
    </row>
    <row r="59" customFormat="false" ht="15" hidden="false" customHeight="false" outlineLevel="0" collapsed="false">
      <c r="A59" s="4" t="s">
        <v>605</v>
      </c>
    </row>
    <row r="60" customFormat="false" ht="15" hidden="false" customHeight="false" outlineLevel="0" collapsed="false">
      <c r="A60" s="0" t="s">
        <v>606</v>
      </c>
      <c r="B60" s="0" t="s">
        <v>41</v>
      </c>
      <c r="C60" s="17" t="n">
        <f aca="false">(C40+C41+C42+C43)/C48</f>
        <v>0.5</v>
      </c>
      <c r="D60" s="17" t="n">
        <f aca="false">(D40+D41+D42+D43)/D48</f>
        <v>0.409282700421941</v>
      </c>
      <c r="E60" s="17" t="n">
        <f aca="false">(E40+E41+E42+E43)/E48</f>
        <v>0.358490566037736</v>
      </c>
      <c r="F60" s="17" t="n">
        <f aca="false">(F40+F41+F42+F43)/F48</f>
        <v>0.351575456053068</v>
      </c>
    </row>
    <row r="61" customFormat="false" ht="15" hidden="false" customHeight="false" outlineLevel="0" collapsed="false">
      <c r="A61" s="0" t="s">
        <v>607</v>
      </c>
      <c r="B61" s="0" t="s">
        <v>41</v>
      </c>
      <c r="C61" s="17" t="n">
        <f aca="false">(C44)/C48</f>
        <v>0.0493421052631579</v>
      </c>
      <c r="D61" s="17" t="n">
        <f aca="false">(D44)/D48</f>
        <v>0.0632911392405063</v>
      </c>
      <c r="E61" s="17" t="n">
        <f aca="false">(E44)/E48</f>
        <v>0.0754716981132075</v>
      </c>
      <c r="F61" s="17" t="n">
        <f aca="false">(F44)/F48</f>
        <v>0.076285240464345</v>
      </c>
    </row>
    <row r="62" customFormat="false" ht="15" hidden="false" customHeight="false" outlineLevel="0" collapsed="false">
      <c r="A62" s="0" t="s">
        <v>600</v>
      </c>
      <c r="B62" s="0" t="s">
        <v>41</v>
      </c>
      <c r="C62" s="17" t="n">
        <f aca="false">(C45)/C48</f>
        <v>0.253289473684211</v>
      </c>
      <c r="D62" s="17" t="n">
        <f aca="false">(D45)/D48</f>
        <v>0.232067510548523</v>
      </c>
      <c r="E62" s="17" t="n">
        <f aca="false">(E45)/E48</f>
        <v>0.264150943396226</v>
      </c>
      <c r="F62" s="17" t="n">
        <f aca="false">(F45)/F48</f>
        <v>0.266998341625207</v>
      </c>
    </row>
    <row r="63" customFormat="false" ht="15" hidden="false" customHeight="false" outlineLevel="0" collapsed="false">
      <c r="A63" s="0" t="s">
        <v>601</v>
      </c>
      <c r="B63" s="0" t="s">
        <v>41</v>
      </c>
      <c r="C63" s="17" t="n">
        <f aca="false">(C46)/C48</f>
        <v>0.131578947368421</v>
      </c>
      <c r="D63" s="17" t="n">
        <f aca="false">(D46)/D48</f>
        <v>0.105485232067511</v>
      </c>
      <c r="E63" s="17" t="n">
        <f aca="false">(E46)/E48</f>
        <v>0.113207547169811</v>
      </c>
      <c r="F63" s="17" t="n">
        <f aca="false">(F46)/F48</f>
        <v>0.114427860696517</v>
      </c>
    </row>
    <row r="64" customFormat="false" ht="17.15" hidden="false" customHeight="false" outlineLevel="0" collapsed="false">
      <c r="A64" s="5" t="s">
        <v>608</v>
      </c>
      <c r="B64" s="0" t="s">
        <v>41</v>
      </c>
      <c r="C64" s="17" t="n">
        <f aca="false">(C47)/C48</f>
        <v>0.0657894736842105</v>
      </c>
      <c r="D64" s="17" t="n">
        <f aca="false">(D47)/D48</f>
        <v>0.189873417721519</v>
      </c>
      <c r="E64" s="17" t="n">
        <f aca="false">(E47)/E48</f>
        <v>0.188679245283019</v>
      </c>
      <c r="F64" s="17" t="n">
        <f aca="false">(F47)/F48</f>
        <v>0.190713101160862</v>
      </c>
    </row>
    <row r="65" customFormat="false" ht="15" hidden="false" customHeight="false" outlineLevel="0" collapsed="false">
      <c r="A65" s="4" t="s">
        <v>609</v>
      </c>
    </row>
    <row r="66" customFormat="false" ht="15" hidden="false" customHeight="false" outlineLevel="0" collapsed="false">
      <c r="A66" s="0" t="s">
        <v>606</v>
      </c>
      <c r="B66" s="0" t="s">
        <v>41</v>
      </c>
      <c r="C66" s="17" t="n">
        <f aca="false">(C50+C51+C52+C53)/C58</f>
        <v>0.778948874475391</v>
      </c>
      <c r="D66" s="17" t="n">
        <f aca="false">(D50+D51+D52+D53)/D58</f>
        <v>0.751288237571858</v>
      </c>
      <c r="E66" s="17" t="n">
        <f aca="false">(E50+E51+E52+E53)/E58</f>
        <v>0.727463312368973</v>
      </c>
      <c r="F66" s="17" t="n">
        <f aca="false">(F50+F51+F52+F53)/F58</f>
        <v>0.723324272743045</v>
      </c>
    </row>
    <row r="67" customFormat="false" ht="15" hidden="false" customHeight="false" outlineLevel="0" collapsed="false">
      <c r="A67" s="0" t="s">
        <v>607</v>
      </c>
      <c r="B67" s="0" t="s">
        <v>41</v>
      </c>
      <c r="C67" s="17" t="n">
        <f aca="false">(C54)/C58</f>
        <v>0.0536531858069439</v>
      </c>
      <c r="D67" s="17" t="n">
        <f aca="false">(D54)/D58</f>
        <v>0.0670181395764454</v>
      </c>
      <c r="E67" s="17" t="n">
        <f aca="false">(E54)/E58</f>
        <v>0.0786163522012579</v>
      </c>
      <c r="F67" s="17" t="n">
        <f aca="false">(F54)/F58</f>
        <v>0.0798103059395061</v>
      </c>
    </row>
    <row r="68" customFormat="false" ht="15" hidden="false" customHeight="false" outlineLevel="0" collapsed="false">
      <c r="A68" s="0" t="s">
        <v>600</v>
      </c>
      <c r="B68" s="0" t="s">
        <v>41</v>
      </c>
      <c r="C68" s="17" t="n">
        <f aca="false">(C55)/C58</f>
        <v>0.110167874856925</v>
      </c>
      <c r="D68" s="17" t="n">
        <f aca="false">(D55)/D58</f>
        <v>0.0982932713787865</v>
      </c>
      <c r="E68" s="17" t="n">
        <f aca="false">(E55)/E58</f>
        <v>0.110062893081761</v>
      </c>
      <c r="F68" s="17" t="n">
        <f aca="false">(F55)/F58</f>
        <v>0.111734428315309</v>
      </c>
    </row>
    <row r="69" customFormat="false" ht="15" hidden="false" customHeight="false" outlineLevel="0" collapsed="false">
      <c r="A69" s="0" t="s">
        <v>601</v>
      </c>
      <c r="B69" s="0" t="s">
        <v>41</v>
      </c>
      <c r="C69" s="17" t="n">
        <f aca="false">(C56)/C58</f>
        <v>0.0381533765738268</v>
      </c>
      <c r="D69" s="17" t="n">
        <f aca="false">(D56)/D58</f>
        <v>0.0297858398117535</v>
      </c>
      <c r="E69" s="17" t="n">
        <f aca="false">(E56)/E58</f>
        <v>0.0314465408805031</v>
      </c>
      <c r="F69" s="17" t="n">
        <f aca="false">(F56)/F58</f>
        <v>0.0319241223758024</v>
      </c>
    </row>
    <row r="70" customFormat="false" ht="17.15" hidden="false" customHeight="false" outlineLevel="0" collapsed="false">
      <c r="A70" s="5" t="s">
        <v>608</v>
      </c>
      <c r="B70" s="0" t="s">
        <v>41</v>
      </c>
      <c r="C70" s="17" t="n">
        <f aca="false">(C57)/C58</f>
        <v>0.0190766882869134</v>
      </c>
      <c r="D70" s="17" t="n">
        <f aca="false">(D57)/D58</f>
        <v>0.0536145116611563</v>
      </c>
      <c r="E70" s="17" t="n">
        <f aca="false">(E57)/E58</f>
        <v>0.0524109014675052</v>
      </c>
      <c r="F70" s="17" t="n">
        <f aca="false">(F57)/F58</f>
        <v>0.0532068706263374</v>
      </c>
    </row>
    <row r="72" customFormat="false" ht="17.15" hidden="false" customHeight="false" outlineLevel="0" collapsed="false">
      <c r="A72" s="4" t="s">
        <v>611</v>
      </c>
    </row>
    <row r="73" customFormat="false" ht="15" hidden="false" customHeight="false" outlineLevel="0" collapsed="false">
      <c r="A73" s="4" t="s">
        <v>594</v>
      </c>
    </row>
    <row r="74" customFormat="false" ht="17.15" hidden="false" customHeight="false" outlineLevel="0" collapsed="false">
      <c r="A74" s="0" t="s">
        <v>595</v>
      </c>
      <c r="B74" s="5" t="s">
        <v>30</v>
      </c>
      <c r="C74" s="20" t="n">
        <f aca="false">u_bw_26</f>
        <v>5.4</v>
      </c>
      <c r="D74" s="20" t="n">
        <f aca="false">u_bw_27</f>
        <v>2.4</v>
      </c>
      <c r="E74" s="20" t="n">
        <f aca="false">u_bw_28*um28_C</f>
        <v>0.3</v>
      </c>
      <c r="F74" s="20" t="n">
        <f aca="false">u_bw_28*(1+g29_bw)*um29_C</f>
        <v>0.15</v>
      </c>
    </row>
    <row r="75" customFormat="false" ht="15" hidden="false" customHeight="false" outlineLevel="0" collapsed="false">
      <c r="A75" s="0" t="s">
        <v>596</v>
      </c>
      <c r="B75" s="5" t="s">
        <v>30</v>
      </c>
      <c r="C75" s="20" t="n">
        <f aca="false">u_rb_26</f>
        <v>1.7</v>
      </c>
      <c r="D75" s="20" t="n">
        <f aca="false">u_rb_27</f>
        <v>7</v>
      </c>
      <c r="E75" s="20" t="n">
        <f aca="false">u_rb_28*um28_C</f>
        <v>4.2</v>
      </c>
      <c r="F75" s="20" t="n">
        <f aca="false">u_rb_28*(1+g29_rb)*um29_C</f>
        <v>4.83</v>
      </c>
    </row>
    <row r="76" customFormat="false" ht="15" hidden="false" customHeight="false" outlineLevel="0" collapsed="false">
      <c r="A76" s="0" t="s">
        <v>597</v>
      </c>
      <c r="B76" s="5" t="s">
        <v>30</v>
      </c>
      <c r="C76" s="20" t="n">
        <f aca="false">u_ru_26</f>
        <v>0</v>
      </c>
      <c r="D76" s="20" t="n">
        <f aca="false">u_ru_27</f>
        <v>0.3</v>
      </c>
      <c r="E76" s="20" t="n">
        <f aca="false">u_ru_28*um28_C</f>
        <v>1.2</v>
      </c>
      <c r="F76" s="20" t="n">
        <f aca="false">u_ru_28*(1+g29_ru)*um29_C</f>
        <v>1.38</v>
      </c>
    </row>
    <row r="77" customFormat="false" ht="17.15" hidden="false" customHeight="false" outlineLevel="0" collapsed="false">
      <c r="A77" s="0" t="s">
        <v>598</v>
      </c>
      <c r="B77" s="5" t="s">
        <v>30</v>
      </c>
      <c r="C77" s="20" t="n">
        <f aca="false">u_hp_26</f>
        <v>0.5</v>
      </c>
      <c r="D77" s="20" t="n">
        <f aca="false">u_hp_27</f>
        <v>0</v>
      </c>
      <c r="E77" s="20" t="n">
        <f aca="false">u_hp_28*um28_C</f>
        <v>0</v>
      </c>
      <c r="F77" s="20" t="n">
        <f aca="false">u_hp_28*(1+g29_hp)*um29_C</f>
        <v>0</v>
      </c>
    </row>
    <row r="78" customFormat="false" ht="15" hidden="false" customHeight="false" outlineLevel="0" collapsed="false">
      <c r="A78" s="0" t="s">
        <v>599</v>
      </c>
      <c r="B78" s="5" t="s">
        <v>30</v>
      </c>
      <c r="C78" s="20" t="n">
        <f aca="false">u_amd_26</f>
        <v>0.75</v>
      </c>
      <c r="D78" s="20" t="n">
        <f aca="false">u_amd_27</f>
        <v>1.5</v>
      </c>
      <c r="E78" s="20" t="n">
        <f aca="false">u_amd_28*um28_C</f>
        <v>1.2</v>
      </c>
      <c r="F78" s="20" t="n">
        <f aca="false">u_amd_28*(1+g29_amd)*um29_C</f>
        <v>1.38</v>
      </c>
    </row>
    <row r="79" customFormat="false" ht="15" hidden="false" customHeight="false" outlineLevel="0" collapsed="false">
      <c r="A79" s="0" t="s">
        <v>600</v>
      </c>
      <c r="B79" s="5" t="s">
        <v>30</v>
      </c>
      <c r="C79" s="20" t="n">
        <f aca="false">u_tpu_26</f>
        <v>3.85</v>
      </c>
      <c r="D79" s="20" t="n">
        <f aca="false">u_tpu_27</f>
        <v>5.5</v>
      </c>
      <c r="E79" s="20" t="n">
        <f aca="false">u_tpu_28*um28_C</f>
        <v>4.2</v>
      </c>
      <c r="F79" s="20" t="n">
        <f aca="false">u_tpu_28*(1+g29_tpu)*um29_C</f>
        <v>4.83</v>
      </c>
    </row>
    <row r="80" customFormat="false" ht="15" hidden="false" customHeight="false" outlineLevel="0" collapsed="false">
      <c r="A80" s="0" t="s">
        <v>601</v>
      </c>
      <c r="B80" s="5" t="s">
        <v>30</v>
      </c>
      <c r="C80" s="20" t="n">
        <f aca="false">u_trn_26</f>
        <v>2</v>
      </c>
      <c r="D80" s="20" t="n">
        <f aca="false">u_trn_27</f>
        <v>2.5</v>
      </c>
      <c r="E80" s="20" t="n">
        <f aca="false">u_trn_28*um28_C</f>
        <v>1.8</v>
      </c>
      <c r="F80" s="20" t="n">
        <f aca="false">u_trn_28*(1+g29_trn)*um29_C</f>
        <v>2.07</v>
      </c>
    </row>
    <row r="81" customFormat="false" ht="17.15" hidden="false" customHeight="false" outlineLevel="0" collapsed="false">
      <c r="A81" s="5" t="s">
        <v>602</v>
      </c>
      <c r="B81" s="5" t="s">
        <v>30</v>
      </c>
      <c r="C81" s="20" t="n">
        <f aca="false">u_oth_26</f>
        <v>1</v>
      </c>
      <c r="D81" s="20" t="n">
        <f aca="false">u_oth_27</f>
        <v>4.5</v>
      </c>
      <c r="E81" s="20" t="n">
        <f aca="false">u_oth_28*um28_C</f>
        <v>3</v>
      </c>
      <c r="F81" s="20" t="n">
        <f aca="false">u_oth_28*(1+g29_oth)*um29_C</f>
        <v>3.45</v>
      </c>
    </row>
    <row r="82" customFormat="false" ht="15" hidden="false" customHeight="false" outlineLevel="0" collapsed="false">
      <c r="A82" s="4" t="s">
        <v>603</v>
      </c>
      <c r="B82" s="5" t="s">
        <v>30</v>
      </c>
      <c r="C82" s="20" t="n">
        <f aca="false">SUM(C74:C81)</f>
        <v>15.2</v>
      </c>
      <c r="D82" s="20" t="n">
        <f aca="false">SUM(D74:D81)</f>
        <v>23.7</v>
      </c>
      <c r="E82" s="20" t="n">
        <f aca="false">SUM(E74:E81)</f>
        <v>15.9</v>
      </c>
      <c r="F82" s="20" t="n">
        <f aca="false">SUM(F74:F81)</f>
        <v>18.09</v>
      </c>
    </row>
    <row r="83" customFormat="false" ht="17.15" hidden="false" customHeight="false" outlineLevel="0" collapsed="false">
      <c r="A83" s="4" t="s">
        <v>604</v>
      </c>
    </row>
    <row r="84" customFormat="false" ht="17.15" hidden="false" customHeight="false" outlineLevel="0" collapsed="false">
      <c r="A84" s="0" t="s">
        <v>595</v>
      </c>
      <c r="B84" s="0" t="s">
        <v>309</v>
      </c>
      <c r="C84" s="21" t="n">
        <f aca="false">u_bw_26*(pm_bw)</f>
        <v>218.16</v>
      </c>
      <c r="D84" s="21" t="n">
        <f aca="false">u_bw_27*(pm_bw)</f>
        <v>96.96</v>
      </c>
      <c r="E84" s="21" t="n">
        <f aca="false">u_bw_28*um28_C*(pm_bw)</f>
        <v>12.12</v>
      </c>
      <c r="F84" s="21" t="n">
        <f aca="false">u_bw_28*(1+g29_bw)*um29_C*(pm_bw)</f>
        <v>6.06</v>
      </c>
    </row>
    <row r="85" customFormat="false" ht="15" hidden="false" customHeight="false" outlineLevel="0" collapsed="false">
      <c r="A85" s="0" t="s">
        <v>596</v>
      </c>
      <c r="B85" s="0" t="s">
        <v>309</v>
      </c>
      <c r="C85" s="21" t="n">
        <f aca="false">u_rb_26*(pm_rb)</f>
        <v>93.5</v>
      </c>
      <c r="D85" s="21" t="n">
        <f aca="false">u_rb_27*(pm_rb)</f>
        <v>385</v>
      </c>
      <c r="E85" s="21" t="n">
        <f aca="false">u_rb_28*um28_C*(pm_rb)</f>
        <v>231</v>
      </c>
      <c r="F85" s="21" t="n">
        <f aca="false">u_rb_28*(1+g29_rb)*um29_C*(pm_rb)</f>
        <v>265.65</v>
      </c>
    </row>
    <row r="86" customFormat="false" ht="15" hidden="false" customHeight="false" outlineLevel="0" collapsed="false">
      <c r="A86" s="0" t="s">
        <v>597</v>
      </c>
      <c r="B86" s="0" t="s">
        <v>309</v>
      </c>
      <c r="C86" s="21" t="n">
        <f aca="false">u_ru_26*(pm_ru)</f>
        <v>0</v>
      </c>
      <c r="D86" s="21" t="n">
        <f aca="false">u_ru_27*(pm_ru)</f>
        <v>22.5</v>
      </c>
      <c r="E86" s="21" t="n">
        <f aca="false">u_ru_28*um28_C*(pm_ru)</f>
        <v>90</v>
      </c>
      <c r="F86" s="21" t="n">
        <f aca="false">u_ru_28*(1+g29_ru)*um29_C*(pm_ru)</f>
        <v>103.5</v>
      </c>
    </row>
    <row r="87" customFormat="false" ht="17.15" hidden="false" customHeight="false" outlineLevel="0" collapsed="false">
      <c r="A87" s="0" t="s">
        <v>598</v>
      </c>
      <c r="B87" s="0" t="s">
        <v>309</v>
      </c>
      <c r="C87" s="21" t="n">
        <f aca="false">u_hp_26*(pm_hp)</f>
        <v>15</v>
      </c>
      <c r="D87" s="21" t="n">
        <f aca="false">u_hp_27*(pm_hp)</f>
        <v>0</v>
      </c>
      <c r="E87" s="21" t="n">
        <f aca="false">u_hp_28*um28_C*(pm_hp)</f>
        <v>0</v>
      </c>
      <c r="F87" s="21" t="n">
        <f aca="false">u_hp_28*(1+g29_hp)*um29_C*(pm_hp)</f>
        <v>0</v>
      </c>
    </row>
    <row r="88" customFormat="false" ht="15" hidden="false" customHeight="false" outlineLevel="0" collapsed="false">
      <c r="A88" s="0" t="s">
        <v>599</v>
      </c>
      <c r="B88" s="0" t="s">
        <v>309</v>
      </c>
      <c r="C88" s="21" t="n">
        <f aca="false">u_amd_26*(pa_amd)</f>
        <v>22.5</v>
      </c>
      <c r="D88" s="21" t="n">
        <f aca="false">u_amd_27*(pa_amd)</f>
        <v>45</v>
      </c>
      <c r="E88" s="21" t="n">
        <f aca="false">u_amd_28*um28_C*(pa_amd)</f>
        <v>36</v>
      </c>
      <c r="F88" s="21" t="n">
        <f aca="false">u_amd_28*(1+g29_amd)*um29_C*(pa_amd)</f>
        <v>41.4</v>
      </c>
    </row>
    <row r="89" customFormat="false" ht="15" hidden="false" customHeight="false" outlineLevel="0" collapsed="false">
      <c r="A89" s="0" t="s">
        <v>600</v>
      </c>
      <c r="B89" s="0" t="s">
        <v>309</v>
      </c>
      <c r="C89" s="21" t="n">
        <f aca="false">u_tpu_26*(pa_tpu)</f>
        <v>46.2</v>
      </c>
      <c r="D89" s="21" t="n">
        <f aca="false">u_tpu_27*(pa_tpu)</f>
        <v>66</v>
      </c>
      <c r="E89" s="21" t="n">
        <f aca="false">u_tpu_28*um28_C*(pa_tpu)</f>
        <v>50.4</v>
      </c>
      <c r="F89" s="21" t="n">
        <f aca="false">u_tpu_28*(1+g29_tpu)*um29_C*(pa_tpu)</f>
        <v>57.96</v>
      </c>
    </row>
    <row r="90" customFormat="false" ht="15" hidden="false" customHeight="false" outlineLevel="0" collapsed="false">
      <c r="A90" s="0" t="s">
        <v>601</v>
      </c>
      <c r="B90" s="0" t="s">
        <v>309</v>
      </c>
      <c r="C90" s="21" t="n">
        <f aca="false">u_trn_26*(pa_trn)</f>
        <v>16</v>
      </c>
      <c r="D90" s="21" t="n">
        <f aca="false">u_trn_27*(pa_trn)</f>
        <v>20</v>
      </c>
      <c r="E90" s="21" t="n">
        <f aca="false">u_trn_28*um28_C*(pa_trn)</f>
        <v>14.4</v>
      </c>
      <c r="F90" s="21" t="n">
        <f aca="false">u_trn_28*(1+g29_trn)*um29_C*(pa_trn)</f>
        <v>16.56</v>
      </c>
    </row>
    <row r="91" customFormat="false" ht="17.15" hidden="false" customHeight="false" outlineLevel="0" collapsed="false">
      <c r="A91" s="5" t="s">
        <v>602</v>
      </c>
      <c r="B91" s="0" t="s">
        <v>309</v>
      </c>
      <c r="C91" s="21" t="n">
        <f aca="false">u_oth_26*(pa_oth)</f>
        <v>8</v>
      </c>
      <c r="D91" s="21" t="n">
        <f aca="false">u_oth_27*(pa_oth)</f>
        <v>36</v>
      </c>
      <c r="E91" s="21" t="n">
        <f aca="false">u_oth_28*um28_C*(pa_oth)</f>
        <v>24</v>
      </c>
      <c r="F91" s="21" t="n">
        <f aca="false">u_oth_28*(1+g29_oth)*um29_C*(pa_oth)</f>
        <v>27.6</v>
      </c>
    </row>
    <row r="92" customFormat="false" ht="15" hidden="false" customHeight="false" outlineLevel="0" collapsed="false">
      <c r="A92" s="4" t="s">
        <v>603</v>
      </c>
      <c r="B92" s="8" t="s">
        <v>309</v>
      </c>
      <c r="C92" s="21" t="n">
        <f aca="false">SUM(C84:C91)</f>
        <v>419.36</v>
      </c>
      <c r="D92" s="21" t="n">
        <f aca="false">SUM(D84:D91)</f>
        <v>671.46</v>
      </c>
      <c r="E92" s="21" t="n">
        <f aca="false">SUM(E84:E91)</f>
        <v>457.92</v>
      </c>
      <c r="F92" s="21" t="n">
        <f aca="false">SUM(F84:F91)</f>
        <v>518.73</v>
      </c>
    </row>
    <row r="93" customFormat="false" ht="15" hidden="false" customHeight="false" outlineLevel="0" collapsed="false">
      <c r="A93" s="4" t="s">
        <v>605</v>
      </c>
    </row>
    <row r="94" customFormat="false" ht="15" hidden="false" customHeight="false" outlineLevel="0" collapsed="false">
      <c r="A94" s="0" t="s">
        <v>606</v>
      </c>
      <c r="B94" s="0" t="s">
        <v>41</v>
      </c>
      <c r="C94" s="17" t="n">
        <f aca="false">(C74+C75+C76+C77)/C82</f>
        <v>0.5</v>
      </c>
      <c r="D94" s="17" t="n">
        <f aca="false">(D74+D75+D76+D77)/D82</f>
        <v>0.409282700421941</v>
      </c>
      <c r="E94" s="17" t="n">
        <f aca="false">(E74+E75+E76+E77)/E82</f>
        <v>0.358490566037736</v>
      </c>
      <c r="F94" s="17" t="n">
        <f aca="false">(F74+F75+F76+F77)/F82</f>
        <v>0.351575456053068</v>
      </c>
    </row>
    <row r="95" customFormat="false" ht="15" hidden="false" customHeight="false" outlineLevel="0" collapsed="false">
      <c r="A95" s="0" t="s">
        <v>607</v>
      </c>
      <c r="B95" s="0" t="s">
        <v>41</v>
      </c>
      <c r="C95" s="17" t="n">
        <f aca="false">(C78)/C82</f>
        <v>0.0493421052631579</v>
      </c>
      <c r="D95" s="17" t="n">
        <f aca="false">(D78)/D82</f>
        <v>0.0632911392405063</v>
      </c>
      <c r="E95" s="17" t="n">
        <f aca="false">(E78)/E82</f>
        <v>0.0754716981132075</v>
      </c>
      <c r="F95" s="17" t="n">
        <f aca="false">(F78)/F82</f>
        <v>0.0762852404643449</v>
      </c>
    </row>
    <row r="96" customFormat="false" ht="15" hidden="false" customHeight="false" outlineLevel="0" collapsed="false">
      <c r="A96" s="0" t="s">
        <v>600</v>
      </c>
      <c r="B96" s="0" t="s">
        <v>41</v>
      </c>
      <c r="C96" s="17" t="n">
        <f aca="false">(C79)/C82</f>
        <v>0.253289473684211</v>
      </c>
      <c r="D96" s="17" t="n">
        <f aca="false">(D79)/D82</f>
        <v>0.232067510548523</v>
      </c>
      <c r="E96" s="17" t="n">
        <f aca="false">(E79)/E82</f>
        <v>0.264150943396226</v>
      </c>
      <c r="F96" s="17" t="n">
        <f aca="false">(F79)/F82</f>
        <v>0.266998341625207</v>
      </c>
    </row>
    <row r="97" customFormat="false" ht="15" hidden="false" customHeight="false" outlineLevel="0" collapsed="false">
      <c r="A97" s="0" t="s">
        <v>601</v>
      </c>
      <c r="B97" s="0" t="s">
        <v>41</v>
      </c>
      <c r="C97" s="17" t="n">
        <f aca="false">(C80)/C82</f>
        <v>0.131578947368421</v>
      </c>
      <c r="D97" s="17" t="n">
        <f aca="false">(D80)/D82</f>
        <v>0.105485232067511</v>
      </c>
      <c r="E97" s="17" t="n">
        <f aca="false">(E80)/E82</f>
        <v>0.113207547169811</v>
      </c>
      <c r="F97" s="17" t="n">
        <f aca="false">(F80)/F82</f>
        <v>0.114427860696517</v>
      </c>
    </row>
    <row r="98" customFormat="false" ht="17.15" hidden="false" customHeight="false" outlineLevel="0" collapsed="false">
      <c r="A98" s="5" t="s">
        <v>608</v>
      </c>
      <c r="B98" s="0" t="s">
        <v>41</v>
      </c>
      <c r="C98" s="17" t="n">
        <f aca="false">(C81)/C82</f>
        <v>0.0657894736842105</v>
      </c>
      <c r="D98" s="17" t="n">
        <f aca="false">(D81)/D82</f>
        <v>0.189873417721519</v>
      </c>
      <c r="E98" s="17" t="n">
        <f aca="false">(E81)/E82</f>
        <v>0.188679245283019</v>
      </c>
      <c r="F98" s="17" t="n">
        <f aca="false">(F81)/F82</f>
        <v>0.190713101160862</v>
      </c>
    </row>
    <row r="99" customFormat="false" ht="15" hidden="false" customHeight="false" outlineLevel="0" collapsed="false">
      <c r="A99" s="4" t="s">
        <v>609</v>
      </c>
    </row>
    <row r="100" customFormat="false" ht="15" hidden="false" customHeight="false" outlineLevel="0" collapsed="false">
      <c r="A100" s="0" t="s">
        <v>606</v>
      </c>
      <c r="B100" s="0" t="s">
        <v>41</v>
      </c>
      <c r="C100" s="17" t="n">
        <f aca="false">(C84+C85+C86+C87)/C92</f>
        <v>0.778948874475391</v>
      </c>
      <c r="D100" s="17" t="n">
        <f aca="false">(D84+D85+D86+D87)/D92</f>
        <v>0.751288237571858</v>
      </c>
      <c r="E100" s="17" t="n">
        <f aca="false">(E84+E85+E86+E87)/E92</f>
        <v>0.727463312368973</v>
      </c>
      <c r="F100" s="17" t="n">
        <f aca="false">(F84+F85+F86+F87)/F92</f>
        <v>0.723324272743046</v>
      </c>
    </row>
    <row r="101" customFormat="false" ht="15" hidden="false" customHeight="false" outlineLevel="0" collapsed="false">
      <c r="A101" s="0" t="s">
        <v>607</v>
      </c>
      <c r="B101" s="0" t="s">
        <v>41</v>
      </c>
      <c r="C101" s="17" t="n">
        <f aca="false">(C88)/C92</f>
        <v>0.0536531858069439</v>
      </c>
      <c r="D101" s="17" t="n">
        <f aca="false">(D88)/D92</f>
        <v>0.0670181395764454</v>
      </c>
      <c r="E101" s="17" t="n">
        <f aca="false">(E88)/E92</f>
        <v>0.0786163522012579</v>
      </c>
      <c r="F101" s="17" t="n">
        <f aca="false">(F88)/F92</f>
        <v>0.0798103059395061</v>
      </c>
    </row>
    <row r="102" customFormat="false" ht="15" hidden="false" customHeight="false" outlineLevel="0" collapsed="false">
      <c r="A102" s="0" t="s">
        <v>600</v>
      </c>
      <c r="B102" s="0" t="s">
        <v>41</v>
      </c>
      <c r="C102" s="17" t="n">
        <f aca="false">(C89)/C92</f>
        <v>0.110167874856925</v>
      </c>
      <c r="D102" s="17" t="n">
        <f aca="false">(D89)/D92</f>
        <v>0.0982932713787865</v>
      </c>
      <c r="E102" s="17" t="n">
        <f aca="false">(E89)/E92</f>
        <v>0.110062893081761</v>
      </c>
      <c r="F102" s="17" t="n">
        <f aca="false">(F89)/F92</f>
        <v>0.111734428315309</v>
      </c>
    </row>
    <row r="103" customFormat="false" ht="15" hidden="false" customHeight="false" outlineLevel="0" collapsed="false">
      <c r="A103" s="0" t="s">
        <v>601</v>
      </c>
      <c r="B103" s="0" t="s">
        <v>41</v>
      </c>
      <c r="C103" s="17" t="n">
        <f aca="false">(C90)/C92</f>
        <v>0.0381533765738268</v>
      </c>
      <c r="D103" s="17" t="n">
        <f aca="false">(D90)/D92</f>
        <v>0.0297858398117535</v>
      </c>
      <c r="E103" s="17" t="n">
        <f aca="false">(E90)/E92</f>
        <v>0.0314465408805031</v>
      </c>
      <c r="F103" s="17" t="n">
        <f aca="false">(F90)/F92</f>
        <v>0.0319241223758024</v>
      </c>
    </row>
    <row r="104" customFormat="false" ht="17.15" hidden="false" customHeight="false" outlineLevel="0" collapsed="false">
      <c r="A104" s="5" t="s">
        <v>608</v>
      </c>
      <c r="B104" s="0" t="s">
        <v>41</v>
      </c>
      <c r="C104" s="17" t="n">
        <f aca="false">(C91)/C92</f>
        <v>0.0190766882869134</v>
      </c>
      <c r="D104" s="17" t="n">
        <f aca="false">(D91)/D92</f>
        <v>0.0536145116611563</v>
      </c>
      <c r="E104" s="17" t="n">
        <f aca="false">(E91)/E92</f>
        <v>0.0524109014675052</v>
      </c>
      <c r="F104" s="17" t="n">
        <f aca="false">(F91)/F92</f>
        <v>0.0532068706263374</v>
      </c>
    </row>
    <row r="106" customFormat="false" ht="17.15" hidden="false" customHeight="false" outlineLevel="0" collapsed="false">
      <c r="A106" s="4" t="s">
        <v>612</v>
      </c>
    </row>
    <row r="108" customFormat="false" ht="17.15" hidden="false" customHeight="false" outlineLevel="0" collapsed="false">
      <c r="A108" s="4" t="s">
        <v>613</v>
      </c>
    </row>
    <row r="109" customFormat="false" ht="17.15" hidden="false" customHeight="false" outlineLevel="0" collapsed="false">
      <c r="A109" s="6" t="s">
        <v>614</v>
      </c>
      <c r="B109" s="6" t="s">
        <v>20</v>
      </c>
      <c r="C109" s="6" t="s">
        <v>615</v>
      </c>
      <c r="D109" s="12" t="s">
        <v>616</v>
      </c>
      <c r="E109" s="12" t="s">
        <v>617</v>
      </c>
      <c r="F109" s="6" t="s">
        <v>618</v>
      </c>
      <c r="G109" s="6" t="s">
        <v>619</v>
      </c>
    </row>
    <row r="110" customFormat="false" ht="17.15" hidden="false" customHeight="false" outlineLevel="0" collapsed="false">
      <c r="A110" s="0" t="s">
        <v>620</v>
      </c>
      <c r="B110" s="0" t="s">
        <v>174</v>
      </c>
      <c r="C110" s="20" t="n">
        <f aca="false">pm_bw</f>
        <v>40.4</v>
      </c>
      <c r="D110" s="20" t="n">
        <f aca="false">pcpu_bw</f>
        <v>2</v>
      </c>
      <c r="E110" s="20" t="n">
        <f aca="false">plp_bw</f>
        <v>3.069444</v>
      </c>
      <c r="F110" s="20" t="n">
        <f aca="false">k_tray*pres_bw</f>
        <v>1.536111</v>
      </c>
      <c r="G110" s="20" t="n">
        <f aca="false">SUM(C110:F110)</f>
        <v>47.005555</v>
      </c>
    </row>
    <row r="111" customFormat="false" ht="15" hidden="false" customHeight="false" outlineLevel="0" collapsed="false">
      <c r="A111" s="0" t="s">
        <v>621</v>
      </c>
      <c r="B111" s="0" t="s">
        <v>174</v>
      </c>
      <c r="C111" s="20" t="n">
        <f aca="false">pm_rb</f>
        <v>55</v>
      </c>
      <c r="D111" s="20" t="n">
        <f aca="false">pcpu_rb</f>
        <v>2.5</v>
      </c>
      <c r="E111" s="20" t="n">
        <f aca="false">plp_rb</f>
        <v>5.055556</v>
      </c>
      <c r="F111" s="20" t="n">
        <f aca="false">k_tray*pres_rb</f>
        <v>9.611111</v>
      </c>
      <c r="G111" s="20" t="n">
        <f aca="false">SUM(C111:F111)</f>
        <v>72.166667</v>
      </c>
    </row>
    <row r="112" customFormat="false" ht="15" hidden="false" customHeight="false" outlineLevel="0" collapsed="false">
      <c r="A112" s="0" t="s">
        <v>622</v>
      </c>
      <c r="B112" s="0" t="s">
        <v>174</v>
      </c>
      <c r="C112" s="20" t="n">
        <f aca="false">pm_ru</f>
        <v>75</v>
      </c>
      <c r="D112" s="20" t="n">
        <f aca="false">pcpu_ru</f>
        <v>2.5</v>
      </c>
      <c r="E112" s="20" t="n">
        <f aca="false">plp_ru</f>
        <v>5.055556</v>
      </c>
      <c r="F112" s="20" t="n">
        <f aca="false">k_tray*pres_ru</f>
        <v>9.611111</v>
      </c>
      <c r="G112" s="20" t="n">
        <f aca="false">SUM(C112:F112)</f>
        <v>92.166667</v>
      </c>
    </row>
    <row r="113" customFormat="false" ht="17.15" hidden="false" customHeight="false" outlineLevel="0" collapsed="false">
      <c r="A113" s="0" t="s">
        <v>623</v>
      </c>
      <c r="B113" s="0" t="s">
        <v>174</v>
      </c>
      <c r="C113" s="20" t="n">
        <f aca="false">pm_hp</f>
        <v>30</v>
      </c>
      <c r="D113" s="20" t="n">
        <f aca="false">pcpu_hp</f>
        <v>0</v>
      </c>
      <c r="E113" s="20" t="n">
        <f aca="false">plp_hp</f>
        <v>0</v>
      </c>
      <c r="F113" s="20" t="n">
        <f aca="false">k_tray*pres_hp</f>
        <v>0</v>
      </c>
      <c r="G113" s="20" t="n">
        <f aca="false">SUM(C113:F113)</f>
        <v>30</v>
      </c>
    </row>
    <row r="115" customFormat="false" ht="17.15" hidden="false" customHeight="false" outlineLevel="0" collapsed="false">
      <c r="A115" s="4" t="s">
        <v>624</v>
      </c>
    </row>
    <row r="116" customFormat="false" ht="17.15" hidden="false" customHeight="false" outlineLevel="0" collapsed="false">
      <c r="A116" s="0" t="s">
        <v>625</v>
      </c>
      <c r="B116" s="0" t="s">
        <v>126</v>
      </c>
      <c r="C116" s="22" t="n">
        <f aca="false">a27_dc/(u_bw_26*(pm_bw+pcpu_bw+plp_bw+k_tray*pres_bw)+u_rb_26*(pm_rb+pcpu_rb+plp_rb+k_tray*pres_rb)+u_ru_26*(pm_ru+pcpu_ru+plp_ru+k_tray*pres_ru)+u_hp_26*(pm_hp+pcpu_hp+plp_hp+k_tray*pres_hp)+net_26)</f>
        <v>0.828370921864097</v>
      </c>
      <c r="D116" s="8" t="s">
        <v>175</v>
      </c>
      <c r="G116" s="8" t="s">
        <v>626</v>
      </c>
    </row>
    <row r="117" customFormat="false" ht="17.15" hidden="false" customHeight="false" outlineLevel="0" collapsed="false">
      <c r="A117" s="5" t="s">
        <v>627</v>
      </c>
      <c r="B117" s="0" t="s">
        <v>126</v>
      </c>
      <c r="C117" s="22" t="n">
        <f aca="false">((1-a27_gp/a27_rev)*PL!D104-PL!D97-PL!D101-PL!D103)/(PL!D74*(pm_bw+pcpu_bw+plp_bw+k_tray*pres_bw)+PL!D75*(pm_rb+pcpu_rb+plp_rb+k_tray*pres_rb)+PL!D76*(pm_ru+pcpu_ru+plp_ru+k_tray*pres_ru)+PL!D77*(pm_hp+pcpu_hp+plp_hp+k_tray*pres_hp))</f>
        <v>0.165752374016515</v>
      </c>
      <c r="G117" s="8" t="s">
        <v>628</v>
      </c>
    </row>
    <row r="118" customFormat="false" ht="17.15" hidden="false" customHeight="false" outlineLevel="0" collapsed="false">
      <c r="A118" s="0" t="s">
        <v>629</v>
      </c>
      <c r="B118" s="0" t="s">
        <v>126</v>
      </c>
      <c r="C118" s="22" t="n">
        <f aca="false">((1-a27_gp/a27_rev)*PL!D275-PL!D268-PL!D272-PL!D274)/(PL!D245*(pm_bw+pcpu_bw+plp_bw+k_tray*pres_bw)+PL!D246*(pm_rb+pcpu_rb+plp_rb+k_tray*pres_rb)+PL!D247*(pm_ru+pcpu_ru+plp_ru+k_tray*pres_ru)+PL!D248*(pm_hp+pcpu_hp+plp_hp+k_tray*pres_hp))</f>
        <v>0.167865749257974</v>
      </c>
      <c r="G118" s="8" t="s">
        <v>630</v>
      </c>
    </row>
    <row r="119" customFormat="false" ht="17.15" hidden="false" customHeight="false" outlineLevel="0" collapsed="false">
      <c r="A119" s="0" t="s">
        <v>631</v>
      </c>
      <c r="B119" s="0" t="s">
        <v>309</v>
      </c>
      <c r="C119" s="21" t="n">
        <f aca="false">PL!D266+PL!D271</f>
        <v>453.2471959</v>
      </c>
    </row>
    <row r="120" customFormat="false" ht="17.15" hidden="false" customHeight="false" outlineLevel="0" collapsed="false">
      <c r="A120" s="0" t="s">
        <v>632</v>
      </c>
      <c r="B120" s="0" t="s">
        <v>309</v>
      </c>
      <c r="C120" s="21" t="n">
        <f aca="false">a27_dc</f>
        <v>375.4567975</v>
      </c>
    </row>
    <row r="121" customFormat="false" ht="17.15" hidden="false" customHeight="false" outlineLevel="0" collapsed="false">
      <c r="A121" s="5" t="s">
        <v>633</v>
      </c>
      <c r="B121" s="0" t="s">
        <v>41</v>
      </c>
      <c r="C121" s="17" t="n">
        <f aca="false">C119/C120-1</f>
        <v>0.207188680343442</v>
      </c>
      <c r="G121" s="5" t="s">
        <v>634</v>
      </c>
    </row>
    <row r="122" customFormat="false" ht="17.15" hidden="false" customHeight="false" outlineLevel="0" collapsed="false">
      <c r="A122" s="0" t="s">
        <v>635</v>
      </c>
      <c r="B122" s="0" t="s">
        <v>309</v>
      </c>
      <c r="C122" s="21" t="n">
        <f aca="false">PL!D95+PL!D100</f>
        <v>375.4567975</v>
      </c>
    </row>
    <row r="123" customFormat="false" ht="17.15" hidden="false" customHeight="false" outlineLevel="0" collapsed="false">
      <c r="A123" s="5" t="s">
        <v>636</v>
      </c>
      <c r="B123" s="0" t="s">
        <v>126</v>
      </c>
      <c r="C123" s="18" t="n">
        <f aca="false">(a27_dc-PL!D271)/PL!D266</f>
        <v>0.801308429980717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4"/>
    <col collapsed="false" customWidth="true" hidden="false" outlineLevel="0" max="7" min="3" style="0" width="13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637</v>
      </c>
    </row>
    <row r="3" customFormat="false" ht="15" hidden="false" customHeight="false" outlineLevel="0" collapsed="false">
      <c r="A3" s="6" t="s">
        <v>638</v>
      </c>
      <c r="B3" s="6" t="s">
        <v>20</v>
      </c>
      <c r="C3" s="12" t="s">
        <v>639</v>
      </c>
      <c r="D3" s="12" t="s">
        <v>640</v>
      </c>
      <c r="E3" s="12" t="s">
        <v>641</v>
      </c>
      <c r="F3" s="12" t="s">
        <v>642</v>
      </c>
      <c r="G3" s="12" t="s">
        <v>643</v>
      </c>
      <c r="H3" s="6" t="s">
        <v>592</v>
      </c>
    </row>
    <row r="4" customFormat="false" ht="17.15" hidden="false" customHeight="false" outlineLevel="0" collapsed="false">
      <c r="A4" s="4" t="s">
        <v>644</v>
      </c>
    </row>
    <row r="5" customFormat="false" ht="15" hidden="false" customHeight="false" outlineLevel="0" collapsed="false">
      <c r="A5" s="5" t="s">
        <v>527</v>
      </c>
      <c r="B5" s="0" t="s">
        <v>309</v>
      </c>
      <c r="C5" s="16" t="n">
        <f aca="false">C109</f>
        <v>215.938</v>
      </c>
      <c r="D5" s="16" t="n">
        <f aca="false">D109</f>
        <v>404.636</v>
      </c>
      <c r="E5" s="16" t="n">
        <f aca="false">E109</f>
        <v>689.427679335883</v>
      </c>
      <c r="F5" s="16" t="n">
        <f aca="false">F109</f>
        <v>771.177530905179</v>
      </c>
      <c r="G5" s="16" t="n">
        <f aca="false">G109</f>
        <v>863.695294904439</v>
      </c>
    </row>
    <row r="6" customFormat="false" ht="15" hidden="false" customHeight="false" outlineLevel="0" collapsed="false">
      <c r="A6" s="5" t="s">
        <v>645</v>
      </c>
      <c r="B6" s="0" t="s">
        <v>41</v>
      </c>
      <c r="D6" s="17" t="n">
        <f aca="false">D112</f>
        <v>0.873852679935908</v>
      </c>
      <c r="E6" s="17" t="n">
        <f aca="false">E112</f>
        <v>0.70382190248985</v>
      </c>
      <c r="F6" s="17" t="n">
        <f aca="false">F112</f>
        <v>0.118576398974936</v>
      </c>
      <c r="G6" s="17" t="n">
        <f aca="false">G112</f>
        <v>0.119969475628609</v>
      </c>
    </row>
    <row r="7" customFormat="false" ht="15" hidden="false" customHeight="false" outlineLevel="0" collapsed="false">
      <c r="A7" s="0" t="s">
        <v>646</v>
      </c>
      <c r="B7" s="0" t="s">
        <v>309</v>
      </c>
      <c r="C7" s="16" t="n">
        <f aca="false">C110</f>
        <v>193.7</v>
      </c>
      <c r="D7" s="16" t="n">
        <f aca="false">D110</f>
        <v>375.4567975</v>
      </c>
      <c r="E7" s="16" t="n">
        <f aca="false">E110</f>
        <v>657.914140635883</v>
      </c>
      <c r="F7" s="16" t="n">
        <f aca="false">F110</f>
        <v>737.142909109179</v>
      </c>
      <c r="G7" s="16" t="n">
        <f aca="false">G110</f>
        <v>826.937903364759</v>
      </c>
    </row>
    <row r="8" customFormat="false" ht="15" hidden="false" customHeight="false" outlineLevel="0" collapsed="false">
      <c r="A8" s="0" t="s">
        <v>647</v>
      </c>
      <c r="B8" s="0" t="s">
        <v>309</v>
      </c>
      <c r="C8" s="16" t="n">
        <f aca="false">C111</f>
        <v>22.238</v>
      </c>
      <c r="D8" s="16" t="n">
        <f aca="false">D111</f>
        <v>29.1792025</v>
      </c>
      <c r="E8" s="16" t="n">
        <f aca="false">E111</f>
        <v>31.5135387</v>
      </c>
      <c r="F8" s="16" t="n">
        <f aca="false">F111</f>
        <v>34.034621796</v>
      </c>
      <c r="G8" s="16" t="n">
        <f aca="false">G111</f>
        <v>36.75739153968</v>
      </c>
    </row>
    <row r="9" customFormat="false" ht="15" hidden="false" customHeight="false" outlineLevel="0" collapsed="false">
      <c r="A9" s="5" t="s">
        <v>543</v>
      </c>
      <c r="B9" s="0" t="s">
        <v>41</v>
      </c>
      <c r="C9" s="17" t="n">
        <f aca="false">C114</f>
        <v>0.710680843575471</v>
      </c>
      <c r="D9" s="17" t="n">
        <f aca="false">D114</f>
        <v>0.736862266333198</v>
      </c>
      <c r="E9" s="17" t="n">
        <f aca="false">E114</f>
        <v>0.687110221385273</v>
      </c>
      <c r="F9" s="17" t="n">
        <f aca="false">F114</f>
        <v>0.653255421873904</v>
      </c>
      <c r="G9" s="17" t="n">
        <f aca="false">G114</f>
        <v>0.664248280082953</v>
      </c>
    </row>
    <row r="10" customFormat="false" ht="15" hidden="false" customHeight="false" outlineLevel="0" collapsed="false">
      <c r="A10" s="5" t="s">
        <v>546</v>
      </c>
      <c r="B10" s="0" t="s">
        <v>309</v>
      </c>
      <c r="C10" s="16" t="n">
        <f aca="false">C117</f>
        <v>130.387</v>
      </c>
      <c r="D10" s="16" t="n">
        <f aca="false">D117</f>
        <v>262.996</v>
      </c>
      <c r="E10" s="16" t="n">
        <f aca="false">E117</f>
        <v>423.69786705698</v>
      </c>
      <c r="F10" s="16" t="n">
        <f aca="false">F117</f>
        <v>450.202610201896</v>
      </c>
      <c r="G10" s="16" t="n">
        <f aca="false">G117</f>
        <v>516.278525139002</v>
      </c>
    </row>
    <row r="11" customFormat="false" ht="15" hidden="false" customHeight="false" outlineLevel="0" collapsed="false">
      <c r="A11" s="5" t="s">
        <v>648</v>
      </c>
      <c r="B11" s="0" t="s">
        <v>41</v>
      </c>
      <c r="C11" s="17" t="n">
        <f aca="false">C118</f>
        <v>0.603816836314127</v>
      </c>
      <c r="D11" s="17" t="n">
        <f aca="false">D118</f>
        <v>0.649956998388675</v>
      </c>
      <c r="E11" s="17" t="n">
        <f aca="false">E118</f>
        <v>0.614564630571728</v>
      </c>
      <c r="F11" s="17" t="n">
        <f aca="false">F118</f>
        <v>0.583785953506018</v>
      </c>
      <c r="G11" s="17" t="n">
        <f aca="false">G118</f>
        <v>0.597755398443064</v>
      </c>
    </row>
    <row r="12" customFormat="false" ht="15" hidden="false" customHeight="false" outlineLevel="0" collapsed="false">
      <c r="A12" s="5" t="s">
        <v>649</v>
      </c>
      <c r="B12" s="0" t="s">
        <v>309</v>
      </c>
      <c r="C12" s="16" t="n">
        <f aca="false">C121</f>
        <v>112.494809527772</v>
      </c>
      <c r="D12" s="16" t="n">
        <f aca="false">D121</f>
        <v>219.760389832454</v>
      </c>
      <c r="E12" s="16" t="n">
        <f aca="false">E121</f>
        <v>352.665229657294</v>
      </c>
      <c r="F12" s="16" t="n">
        <f aca="false">F121</f>
        <v>374.664166467574</v>
      </c>
      <c r="G12" s="16" t="n">
        <f aca="false">G121</f>
        <v>429.507175865372</v>
      </c>
    </row>
    <row r="13" customFormat="false" ht="17.15" hidden="false" customHeight="false" outlineLevel="0" collapsed="false">
      <c r="A13" s="0" t="s">
        <v>650</v>
      </c>
      <c r="B13" s="0" t="s">
        <v>420</v>
      </c>
      <c r="C13" s="20" t="n">
        <f aca="false">C123</f>
        <v>4.58890899376988</v>
      </c>
      <c r="D13" s="20" t="n">
        <f aca="false">D123</f>
        <v>9.05970130196888</v>
      </c>
      <c r="E13" s="20" t="n">
        <f aca="false">E123</f>
        <v>14.7153352636455</v>
      </c>
      <c r="F13" s="20" t="n">
        <f aca="false">F123</f>
        <v>15.8231422227187</v>
      </c>
      <c r="G13" s="20" t="n">
        <f aca="false">G123</f>
        <v>18.3596354149445</v>
      </c>
    </row>
    <row r="14" customFormat="false" ht="17.15" hidden="false" customHeight="false" outlineLevel="0" collapsed="false">
      <c r="A14" s="0" t="s">
        <v>651</v>
      </c>
      <c r="B14" s="0" t="s">
        <v>41</v>
      </c>
      <c r="D14" s="17" t="n">
        <f aca="false">D124</f>
        <v>0.974260399207908</v>
      </c>
      <c r="E14" s="17" t="n">
        <f aca="false">E124</f>
        <v>0.624262740367334</v>
      </c>
      <c r="F14" s="17" t="n">
        <f aca="false">F124</f>
        <v>0.0752824817936788</v>
      </c>
      <c r="G14" s="17" t="n">
        <f aca="false">G124</f>
        <v>0.1603027487539</v>
      </c>
    </row>
    <row r="16" customFormat="false" ht="17.15" hidden="false" customHeight="false" outlineLevel="0" collapsed="false">
      <c r="A16" s="4" t="s">
        <v>652</v>
      </c>
    </row>
    <row r="17" customFormat="false" ht="15" hidden="false" customHeight="false" outlineLevel="0" collapsed="false">
      <c r="A17" s="5" t="s">
        <v>527</v>
      </c>
      <c r="B17" s="0" t="s">
        <v>309</v>
      </c>
      <c r="C17" s="16" t="n">
        <f aca="false">C166</f>
        <v>215.938</v>
      </c>
      <c r="D17" s="16" t="n">
        <f aca="false">D166</f>
        <v>404.636</v>
      </c>
      <c r="E17" s="16" t="n">
        <f aca="false">E166</f>
        <v>688.816003221952</v>
      </c>
      <c r="F17" s="16" t="n">
        <f aca="false">F166</f>
        <v>601.37015377641</v>
      </c>
      <c r="G17" s="16" t="n">
        <f aca="false">G166</f>
        <v>717.283933604944</v>
      </c>
    </row>
    <row r="18" customFormat="false" ht="15" hidden="false" customHeight="false" outlineLevel="0" collapsed="false">
      <c r="A18" s="5" t="s">
        <v>645</v>
      </c>
      <c r="B18" s="0" t="s">
        <v>41</v>
      </c>
      <c r="D18" s="17" t="n">
        <f aca="false">D169</f>
        <v>0.873852679935908</v>
      </c>
      <c r="E18" s="17" t="n">
        <f aca="false">E169</f>
        <v>0.702310232460661</v>
      </c>
      <c r="F18" s="17" t="n">
        <f aca="false">F169</f>
        <v>-0.126950955025017</v>
      </c>
      <c r="G18" s="17" t="n">
        <f aca="false">G169</f>
        <v>0.192749472351817</v>
      </c>
    </row>
    <row r="19" customFormat="false" ht="15" hidden="false" customHeight="false" outlineLevel="0" collapsed="false">
      <c r="A19" s="0" t="s">
        <v>646</v>
      </c>
      <c r="B19" s="0" t="s">
        <v>309</v>
      </c>
      <c r="C19" s="16" t="n">
        <f aca="false">C167</f>
        <v>193.7</v>
      </c>
      <c r="D19" s="16" t="n">
        <f aca="false">D167</f>
        <v>375.4567975</v>
      </c>
      <c r="E19" s="16" t="n">
        <f aca="false">E167</f>
        <v>657.302464521952</v>
      </c>
      <c r="F19" s="16" t="n">
        <f aca="false">F167</f>
        <v>567.33553198041</v>
      </c>
      <c r="G19" s="16" t="n">
        <f aca="false">G167</f>
        <v>680.526542065264</v>
      </c>
    </row>
    <row r="20" customFormat="false" ht="15" hidden="false" customHeight="false" outlineLevel="0" collapsed="false">
      <c r="A20" s="0" t="s">
        <v>647</v>
      </c>
      <c r="B20" s="0" t="s">
        <v>309</v>
      </c>
      <c r="C20" s="16" t="n">
        <f aca="false">C168</f>
        <v>22.238</v>
      </c>
      <c r="D20" s="16" t="n">
        <f aca="false">D168</f>
        <v>29.1792025</v>
      </c>
      <c r="E20" s="16" t="n">
        <f aca="false">E168</f>
        <v>31.5135387</v>
      </c>
      <c r="F20" s="16" t="n">
        <f aca="false">F168</f>
        <v>34.034621796</v>
      </c>
      <c r="G20" s="16" t="n">
        <f aca="false">G168</f>
        <v>36.75739153968</v>
      </c>
    </row>
    <row r="21" customFormat="false" ht="15" hidden="false" customHeight="false" outlineLevel="0" collapsed="false">
      <c r="A21" s="5" t="s">
        <v>543</v>
      </c>
      <c r="B21" s="0" t="s">
        <v>41</v>
      </c>
      <c r="C21" s="17" t="n">
        <f aca="false">C171</f>
        <v>0.710680843575471</v>
      </c>
      <c r="D21" s="17" t="n">
        <f aca="false">D171</f>
        <v>0.736862266333198</v>
      </c>
      <c r="E21" s="17" t="n">
        <f aca="false">E171</f>
        <v>0.688608393639058</v>
      </c>
      <c r="F21" s="17" t="n">
        <f aca="false">F171</f>
        <v>0.714175237760545</v>
      </c>
      <c r="G21" s="17" t="n">
        <f aca="false">G171</f>
        <v>0.715659049389343</v>
      </c>
    </row>
    <row r="22" customFormat="false" ht="15" hidden="false" customHeight="false" outlineLevel="0" collapsed="false">
      <c r="A22" s="5" t="s">
        <v>546</v>
      </c>
      <c r="B22" s="0" t="s">
        <v>309</v>
      </c>
      <c r="C22" s="16" t="n">
        <f aca="false">C174</f>
        <v>130.387</v>
      </c>
      <c r="D22" s="16" t="n">
        <f aca="false">D174</f>
        <v>262.996</v>
      </c>
      <c r="E22" s="16" t="n">
        <f aca="false">E174</f>
        <v>424.341437896857</v>
      </c>
      <c r="F22" s="16" t="n">
        <f aca="false">F174</f>
        <v>377.001476780941</v>
      </c>
      <c r="G22" s="16" t="n">
        <f aca="false">G174</f>
        <v>454.77899296551</v>
      </c>
    </row>
    <row r="23" customFormat="false" ht="15" hidden="false" customHeight="false" outlineLevel="0" collapsed="false">
      <c r="A23" s="5" t="s">
        <v>648</v>
      </c>
      <c r="B23" s="0" t="s">
        <v>41</v>
      </c>
      <c r="C23" s="17" t="n">
        <f aca="false">C175</f>
        <v>0.603816836314127</v>
      </c>
      <c r="D23" s="17" t="n">
        <f aca="false">D175</f>
        <v>0.649956998388675</v>
      </c>
      <c r="E23" s="17" t="n">
        <f aca="false">E175</f>
        <v>0.616044685245393</v>
      </c>
      <c r="F23" s="17" t="n">
        <f aca="false">F175</f>
        <v>0.626904202700274</v>
      </c>
      <c r="G23" s="17" t="n">
        <f aca="false">G175</f>
        <v>0.634029247915634</v>
      </c>
    </row>
    <row r="24" customFormat="false" ht="15" hidden="false" customHeight="false" outlineLevel="0" collapsed="false">
      <c r="A24" s="5" t="s">
        <v>649</v>
      </c>
      <c r="B24" s="0" t="s">
        <v>309</v>
      </c>
      <c r="C24" s="16" t="n">
        <f aca="false">C178</f>
        <v>112.494809527772</v>
      </c>
      <c r="D24" s="16" t="n">
        <f aca="false">D178</f>
        <v>219.760389832454</v>
      </c>
      <c r="E24" s="16" t="n">
        <f aca="false">E178</f>
        <v>353.199393454392</v>
      </c>
      <c r="F24" s="16" t="n">
        <f aca="false">F178</f>
        <v>313.907225728181</v>
      </c>
      <c r="G24" s="16" t="n">
        <f aca="false">G178</f>
        <v>378.462564161373</v>
      </c>
    </row>
    <row r="25" customFormat="false" ht="17.15" hidden="false" customHeight="false" outlineLevel="0" collapsed="false">
      <c r="A25" s="0" t="s">
        <v>650</v>
      </c>
      <c r="B25" s="0" t="s">
        <v>420</v>
      </c>
      <c r="C25" s="20" t="n">
        <f aca="false">C180</f>
        <v>4.58890899376988</v>
      </c>
      <c r="D25" s="20" t="n">
        <f aca="false">D180</f>
        <v>9.05970130196888</v>
      </c>
      <c r="E25" s="20" t="n">
        <f aca="false">E180</f>
        <v>14.7376238214589</v>
      </c>
      <c r="F25" s="20" t="n">
        <f aca="false">F180</f>
        <v>13.2572023747725</v>
      </c>
      <c r="G25" s="20" t="n">
        <f aca="false">G180</f>
        <v>16.1776917515013</v>
      </c>
    </row>
    <row r="26" customFormat="false" ht="17.15" hidden="false" customHeight="false" outlineLevel="0" collapsed="false">
      <c r="A26" s="0" t="s">
        <v>651</v>
      </c>
      <c r="B26" s="0" t="s">
        <v>41</v>
      </c>
      <c r="D26" s="17" t="n">
        <f aca="false">D181</f>
        <v>0.974260399207908</v>
      </c>
      <c r="E26" s="17" t="n">
        <f aca="false">E181</f>
        <v>0.626722927195852</v>
      </c>
      <c r="F26" s="17" t="n">
        <f aca="false">F181</f>
        <v>-0.100451841125892</v>
      </c>
      <c r="G26" s="17" t="n">
        <f aca="false">G181</f>
        <v>0.220294545875399</v>
      </c>
    </row>
    <row r="28" customFormat="false" ht="17.15" hidden="false" customHeight="false" outlineLevel="0" collapsed="false">
      <c r="A28" s="4" t="s">
        <v>653</v>
      </c>
    </row>
    <row r="29" customFormat="false" ht="15" hidden="false" customHeight="false" outlineLevel="0" collapsed="false">
      <c r="A29" s="5" t="s">
        <v>527</v>
      </c>
      <c r="B29" s="0" t="s">
        <v>309</v>
      </c>
      <c r="C29" s="16" t="n">
        <f aca="false">C223</f>
        <v>215.938</v>
      </c>
      <c r="D29" s="16" t="n">
        <f aca="false">D223</f>
        <v>404.636</v>
      </c>
      <c r="E29" s="16" t="n">
        <f aca="false">E223</f>
        <v>688.816003221952</v>
      </c>
      <c r="F29" s="16" t="n">
        <f aca="false">F223</f>
        <v>452.377266097758</v>
      </c>
      <c r="G29" s="16" t="n">
        <f aca="false">G223</f>
        <v>508.58356148877</v>
      </c>
    </row>
    <row r="30" customFormat="false" ht="15" hidden="false" customHeight="false" outlineLevel="0" collapsed="false">
      <c r="A30" s="5" t="s">
        <v>645</v>
      </c>
      <c r="B30" s="0" t="s">
        <v>41</v>
      </c>
      <c r="D30" s="17" t="n">
        <f aca="false">D226</f>
        <v>0.873852679935908</v>
      </c>
      <c r="E30" s="17" t="n">
        <f aca="false">E226</f>
        <v>0.702310232460661</v>
      </c>
      <c r="F30" s="17" t="n">
        <f aca="false">F226</f>
        <v>-0.343253838497141</v>
      </c>
      <c r="G30" s="17" t="n">
        <f aca="false">G226</f>
        <v>0.124246507513193</v>
      </c>
    </row>
    <row r="31" customFormat="false" ht="15" hidden="false" customHeight="false" outlineLevel="0" collapsed="false">
      <c r="A31" s="0" t="s">
        <v>646</v>
      </c>
      <c r="B31" s="0" t="s">
        <v>309</v>
      </c>
      <c r="C31" s="16" t="n">
        <f aca="false">C224</f>
        <v>193.7</v>
      </c>
      <c r="D31" s="16" t="n">
        <f aca="false">D224</f>
        <v>375.4567975</v>
      </c>
      <c r="E31" s="16" t="n">
        <f aca="false">E224</f>
        <v>657.302464521952</v>
      </c>
      <c r="F31" s="16" t="n">
        <f aca="false">F224</f>
        <v>418.342644301758</v>
      </c>
      <c r="G31" s="16" t="n">
        <f aca="false">G224</f>
        <v>471.82616994909</v>
      </c>
    </row>
    <row r="32" customFormat="false" ht="15" hidden="false" customHeight="false" outlineLevel="0" collapsed="false">
      <c r="A32" s="0" t="s">
        <v>647</v>
      </c>
      <c r="B32" s="0" t="s">
        <v>309</v>
      </c>
      <c r="C32" s="16" t="n">
        <f aca="false">C225</f>
        <v>22.238</v>
      </c>
      <c r="D32" s="16" t="n">
        <f aca="false">D225</f>
        <v>29.1792025</v>
      </c>
      <c r="E32" s="16" t="n">
        <f aca="false">E225</f>
        <v>31.5135387</v>
      </c>
      <c r="F32" s="16" t="n">
        <f aca="false">F225</f>
        <v>34.034621796</v>
      </c>
      <c r="G32" s="16" t="n">
        <f aca="false">G225</f>
        <v>36.75739153968</v>
      </c>
    </row>
    <row r="33" customFormat="false" ht="15" hidden="false" customHeight="false" outlineLevel="0" collapsed="false">
      <c r="A33" s="5" t="s">
        <v>543</v>
      </c>
      <c r="B33" s="0" t="s">
        <v>41</v>
      </c>
      <c r="C33" s="17" t="n">
        <f aca="false">C228</f>
        <v>0.710680843575471</v>
      </c>
      <c r="D33" s="17" t="n">
        <f aca="false">D228</f>
        <v>0.736862266333198</v>
      </c>
      <c r="E33" s="17" t="n">
        <f aca="false">E228</f>
        <v>0.688608393639058</v>
      </c>
      <c r="F33" s="17" t="n">
        <f aca="false">F228</f>
        <v>0.739155075704476</v>
      </c>
      <c r="G33" s="17" t="n">
        <f aca="false">G228</f>
        <v>0.742027944096711</v>
      </c>
    </row>
    <row r="34" customFormat="false" ht="15" hidden="false" customHeight="false" outlineLevel="0" collapsed="false">
      <c r="A34" s="5" t="s">
        <v>546</v>
      </c>
      <c r="B34" s="0" t="s">
        <v>309</v>
      </c>
      <c r="C34" s="16" t="n">
        <f aca="false">C231</f>
        <v>130.387</v>
      </c>
      <c r="D34" s="16" t="n">
        <f aca="false">D231</f>
        <v>262.996</v>
      </c>
      <c r="E34" s="16" t="n">
        <f aca="false">E231</f>
        <v>424.341437896857</v>
      </c>
      <c r="F34" s="16" t="n">
        <f aca="false">F231</f>
        <v>281.89475659505</v>
      </c>
      <c r="G34" s="16" t="n">
        <f aca="false">G231</f>
        <v>320.988581039516</v>
      </c>
    </row>
    <row r="35" customFormat="false" ht="15" hidden="false" customHeight="false" outlineLevel="0" collapsed="false">
      <c r="A35" s="5" t="s">
        <v>648</v>
      </c>
      <c r="B35" s="0" t="s">
        <v>41</v>
      </c>
      <c r="C35" s="17" t="n">
        <f aca="false">C232</f>
        <v>0.603816836314127</v>
      </c>
      <c r="D35" s="17" t="n">
        <f aca="false">D232</f>
        <v>0.649956998388675</v>
      </c>
      <c r="E35" s="17" t="n">
        <f aca="false">E232</f>
        <v>0.616044685245393</v>
      </c>
      <c r="F35" s="17" t="n">
        <f aca="false">F232</f>
        <v>0.623140855478209</v>
      </c>
      <c r="G35" s="17" t="n">
        <f aca="false">G232</f>
        <v>0.631142265196088</v>
      </c>
    </row>
    <row r="36" customFormat="false" ht="15" hidden="false" customHeight="false" outlineLevel="0" collapsed="false">
      <c r="A36" s="5" t="s">
        <v>649</v>
      </c>
      <c r="B36" s="0" t="s">
        <v>309</v>
      </c>
      <c r="C36" s="16" t="n">
        <f aca="false">C235</f>
        <v>112.494809527772</v>
      </c>
      <c r="D36" s="16" t="n">
        <f aca="false">D235</f>
        <v>219.760389832454</v>
      </c>
      <c r="E36" s="16" t="n">
        <f aca="false">E235</f>
        <v>353.199393454392</v>
      </c>
      <c r="F36" s="16" t="n">
        <f aca="false">F235</f>
        <v>234.968647973892</v>
      </c>
      <c r="G36" s="16" t="n">
        <f aca="false">G235</f>
        <v>267.416522262799</v>
      </c>
    </row>
    <row r="37" customFormat="false" ht="17.15" hidden="false" customHeight="false" outlineLevel="0" collapsed="false">
      <c r="A37" s="0" t="s">
        <v>650</v>
      </c>
      <c r="B37" s="0" t="s">
        <v>420</v>
      </c>
      <c r="C37" s="20" t="n">
        <f aca="false">C237</f>
        <v>4.58890899376988</v>
      </c>
      <c r="D37" s="20" t="n">
        <f aca="false">D237</f>
        <v>9.05970130196888</v>
      </c>
      <c r="E37" s="20" t="n">
        <f aca="false">E237</f>
        <v>14.7376238214589</v>
      </c>
      <c r="F37" s="20" t="n">
        <f aca="false">F237</f>
        <v>9.9233998538598</v>
      </c>
      <c r="G37" s="20" t="n">
        <f aca="false">G237</f>
        <v>11.4309378947752</v>
      </c>
    </row>
    <row r="38" customFormat="false" ht="17.15" hidden="false" customHeight="false" outlineLevel="0" collapsed="false">
      <c r="A38" s="0" t="s">
        <v>651</v>
      </c>
      <c r="B38" s="0" t="s">
        <v>41</v>
      </c>
      <c r="D38" s="17" t="n">
        <f aca="false">D238</f>
        <v>0.974260399207908</v>
      </c>
      <c r="E38" s="17" t="n">
        <f aca="false">E238</f>
        <v>0.626722927195852</v>
      </c>
      <c r="F38" s="17" t="n">
        <f aca="false">F238</f>
        <v>-0.326662155712598</v>
      </c>
      <c r="G38" s="17" t="n">
        <f aca="false">G238</f>
        <v>0.151917494318144</v>
      </c>
    </row>
    <row r="40" customFormat="false" ht="17.15" hidden="false" customHeight="false" outlineLevel="0" collapsed="false">
      <c r="A40" s="4" t="s">
        <v>654</v>
      </c>
    </row>
    <row r="41" customFormat="false" ht="17.15" hidden="false" customHeight="false" outlineLevel="0" collapsed="false">
      <c r="A41" s="5" t="s">
        <v>655</v>
      </c>
      <c r="D41" s="22" t="n">
        <f aca="false">D106-D114</f>
        <v>0</v>
      </c>
    </row>
    <row r="42" customFormat="false" ht="17.15" hidden="false" customHeight="false" outlineLevel="0" collapsed="false">
      <c r="A42" s="5" t="s">
        <v>656</v>
      </c>
      <c r="D42" s="22" t="n">
        <f aca="false">D104-a27_rev</f>
        <v>0</v>
      </c>
    </row>
    <row r="70" customFormat="false" ht="17.15" hidden="false" customHeight="false" outlineLevel="0" collapsed="false">
      <c r="A70" s="4" t="s">
        <v>657</v>
      </c>
    </row>
    <row r="71" customFormat="false" ht="15" hidden="false" customHeight="false" outlineLevel="0" collapsed="false">
      <c r="A71" s="6" t="s">
        <v>19</v>
      </c>
      <c r="B71" s="6" t="s">
        <v>20</v>
      </c>
      <c r="C71" s="12" t="s">
        <v>639</v>
      </c>
      <c r="D71" s="12" t="s">
        <v>640</v>
      </c>
      <c r="E71" s="12" t="s">
        <v>641</v>
      </c>
      <c r="F71" s="12" t="s">
        <v>642</v>
      </c>
      <c r="G71" s="12" t="s">
        <v>643</v>
      </c>
      <c r="H71" s="6" t="s">
        <v>592</v>
      </c>
    </row>
    <row r="72" customFormat="false" ht="17.15" hidden="false" customHeight="false" outlineLevel="0" collapsed="false">
      <c r="A72" s="1" t="s">
        <v>658</v>
      </c>
    </row>
    <row r="73" customFormat="false" ht="17.15" hidden="false" customHeight="false" outlineLevel="0" collapsed="false">
      <c r="A73" s="0" t="s">
        <v>659</v>
      </c>
      <c r="B73" s="0" t="s">
        <v>126</v>
      </c>
      <c r="D73" s="18" t="n">
        <f aca="false">k_rec</f>
        <v>0.828370921864097</v>
      </c>
      <c r="E73" s="18" t="n">
        <f aca="false">k_rec*1</f>
        <v>0.828370921864097</v>
      </c>
      <c r="F73" s="18" t="n">
        <f aca="false">k_rec*1</f>
        <v>0.828370921864097</v>
      </c>
      <c r="G73" s="18" t="n">
        <f aca="false">k_rec*1</f>
        <v>0.828370921864097</v>
      </c>
    </row>
    <row r="74" customFormat="false" ht="17.15" hidden="false" customHeight="false" outlineLevel="0" collapsed="false">
      <c r="A74" s="0" t="s">
        <v>660</v>
      </c>
      <c r="B74" s="5" t="s">
        <v>30</v>
      </c>
      <c r="D74" s="20" t="n">
        <f aca="false">(u_bw_26)*D73</f>
        <v>4.47320297806612</v>
      </c>
      <c r="E74" s="20" t="n">
        <f aca="false">(u_bw_27)*E73</f>
        <v>1.98809021247383</v>
      </c>
      <c r="F74" s="20" t="n">
        <f aca="false">(u_bw_28*um28_A)*F73</f>
        <v>0.414185460932049</v>
      </c>
      <c r="G74" s="20" t="n">
        <f aca="false">(u_bw_28*(1+g29_bw)*um29_A)*G73</f>
        <v>0.207092730466024</v>
      </c>
    </row>
    <row r="75" customFormat="false" ht="17.15" hidden="false" customHeight="false" outlineLevel="0" collapsed="false">
      <c r="A75" s="0" t="s">
        <v>661</v>
      </c>
      <c r="B75" s="5" t="s">
        <v>30</v>
      </c>
      <c r="D75" s="20" t="n">
        <f aca="false">(u_rb_26)*D73</f>
        <v>1.40823056716896</v>
      </c>
      <c r="E75" s="20" t="n">
        <f aca="false">(u_rb_27)*E73</f>
        <v>5.79859645304868</v>
      </c>
      <c r="F75" s="20" t="n">
        <f aca="false">(u_rb_28*um28_A)*F73</f>
        <v>5.79859645304868</v>
      </c>
      <c r="G75" s="20" t="n">
        <f aca="false">(u_rb_28*(1+g29_rb)*um29_A)*G73</f>
        <v>6.66838592100598</v>
      </c>
    </row>
    <row r="76" customFormat="false" ht="17.15" hidden="false" customHeight="false" outlineLevel="0" collapsed="false">
      <c r="A76" s="0" t="s">
        <v>662</v>
      </c>
      <c r="B76" s="5" t="s">
        <v>30</v>
      </c>
      <c r="D76" s="20" t="n">
        <f aca="false">(u_ru_26)*D73</f>
        <v>0</v>
      </c>
      <c r="E76" s="20" t="n">
        <f aca="false">(u_ru_27)*E73</f>
        <v>0.248511276559229</v>
      </c>
      <c r="F76" s="20" t="n">
        <f aca="false">(u_ru_28*um28_A)*F73</f>
        <v>1.65674184372819</v>
      </c>
      <c r="G76" s="20" t="n">
        <f aca="false">(u_ru_28*(1+g29_ru)*um29_A)*G73</f>
        <v>1.90525312028742</v>
      </c>
    </row>
    <row r="77" customFormat="false" ht="17.15" hidden="false" customHeight="false" outlineLevel="0" collapsed="false">
      <c r="A77" s="0" t="s">
        <v>663</v>
      </c>
      <c r="B77" s="5" t="s">
        <v>30</v>
      </c>
      <c r="D77" s="20" t="n">
        <f aca="false">(u_hp_26)*D73</f>
        <v>0.414185460932049</v>
      </c>
      <c r="E77" s="20" t="n">
        <f aca="false">(u_hp_27)*E73</f>
        <v>0</v>
      </c>
      <c r="F77" s="20" t="n">
        <f aca="false">(u_hp_28*um28_A)*F73</f>
        <v>0</v>
      </c>
      <c r="G77" s="20" t="n">
        <f aca="false">(u_hp_28*(1+g29_hp)*um29_A)*G73</f>
        <v>0</v>
      </c>
    </row>
    <row r="78" customFormat="false" ht="17.15" hidden="false" customHeight="false" outlineLevel="0" collapsed="false">
      <c r="A78" s="0" t="s">
        <v>664</v>
      </c>
      <c r="B78" s="5" t="s">
        <v>30</v>
      </c>
      <c r="D78" s="20" t="n">
        <f aca="false">SUM(D74:D77)</f>
        <v>6.29561900616714</v>
      </c>
      <c r="E78" s="20" t="n">
        <f aca="false">SUM(E74:E77)</f>
        <v>8.03519794208174</v>
      </c>
      <c r="F78" s="20" t="n">
        <f aca="false">SUM(F74:F77)</f>
        <v>7.86952375770892</v>
      </c>
      <c r="G78" s="20" t="n">
        <f aca="false">SUM(G74:G77)</f>
        <v>8.78073177175943</v>
      </c>
      <c r="H78" s="8" t="s">
        <v>665</v>
      </c>
    </row>
    <row r="79" customFormat="false" ht="17.15" hidden="false" customHeight="false" outlineLevel="0" collapsed="false">
      <c r="A79" s="0" t="s">
        <v>666</v>
      </c>
      <c r="B79" s="0" t="s">
        <v>174</v>
      </c>
      <c r="D79" s="20" t="n">
        <f aca="false">1*(pm_bw+pcpu_bw+plp_bw+k_tray*pres_bw)+(1-abs_mem)*(gb_bw_26*hpx_bw*(hbm_A_26/hbm_A_26-1)/1000+plp_bw*(cdx_A_26/cdx_A_26-1))</f>
        <v>47.005555</v>
      </c>
      <c r="E79" s="20" t="n">
        <f aca="false">1*(pm_bw+pcpu_bw+plp_bw+k_tray*pres_bw)+(1-abs_mem)*(gb_bw_27*hpx_bw*(hbm_A_27/hbm_A_26-1)/1000+plp_bw*(cdx_A_27/cdx_A_26-1))</f>
        <v>49.1868731800491</v>
      </c>
      <c r="F79" s="20" t="n">
        <f aca="false">1*(pm_bw+pcpu_bw+plp_bw+k_tray*pres_bw)+(1-abs_mem)*(gb_bw_28*hpx_bw*(hbm_A_28/hbm_A_26-1)/1000+plp_bw*(cdx_A_28/cdx_A_26-1))</f>
        <v>49.4475301208957</v>
      </c>
      <c r="G79" s="20" t="n">
        <f aca="false">1*(pm_bw+pcpu_bw+plp_bw+k_tray*pres_bw)+(1-abs_mem)*(gb_bw_28*hpx_bw*(hbm_A_29/hbm_A_26-1)/1000+plp_bw*(cdx_A_29/cdx_A_26-1))</f>
        <v>49.0541422400875</v>
      </c>
      <c r="H79" s="5" t="s">
        <v>667</v>
      </c>
    </row>
    <row r="80" customFormat="false" ht="17.15" hidden="false" customHeight="false" outlineLevel="0" collapsed="false">
      <c r="A80" s="0" t="s">
        <v>668</v>
      </c>
      <c r="B80" s="0" t="s">
        <v>174</v>
      </c>
      <c r="D80" s="20" t="n">
        <f aca="false">1*(pm_rb+pcpu_rb+plp_rb+k_tray*pres_rb)+(1-abs_mem)*(gb_rb_26*hpx_rb*(hbm_A_26/hbm_A_26-1)/1000+plp_rb*(cdx_A_26/cdx_A_26-1))</f>
        <v>72.166667</v>
      </c>
      <c r="E80" s="20" t="n">
        <f aca="false">1*(pm_rb+pcpu_rb+plp_rb+k_tray*pres_rb)+(1-abs_mem)*(gb_rb_27*hpx_rb*(hbm_A_27/hbm_A_26-1)/1000+plp_rb*(cdx_A_27/cdx_A_26-1))</f>
        <v>74.8239724084115</v>
      </c>
      <c r="F80" s="20" t="n">
        <f aca="false">1*(pm_rb+pcpu_rb+plp_rb+k_tray*pres_rb)+(1-abs_mem)*(gb_rb_28*hpx_rb*(hbm_A_28/hbm_A_26-1)/1000+plp_rb*(cdx_A_28/cdx_A_26-1))</f>
        <v>74.9427371790653</v>
      </c>
      <c r="G80" s="20" t="n">
        <f aca="false">1*(pm_rb+pcpu_rb+plp_rb+k_tray*pres_rb)+(1-abs_mem)*(gb_rb_28*hpx_rb*(hbm_A_29/hbm_A_26-1)/1000+plp_rb*(cdx_A_29/cdx_A_26-1))</f>
        <v>74.4206762269425</v>
      </c>
    </row>
    <row r="81" customFormat="false" ht="17.15" hidden="false" customHeight="false" outlineLevel="0" collapsed="false">
      <c r="A81" s="0" t="s">
        <v>669</v>
      </c>
      <c r="B81" s="0" t="s">
        <v>174</v>
      </c>
      <c r="D81" s="20" t="n">
        <f aca="false">1*(pm_ru+pcpu_ru+plp_ru+k_tray*pres_ru)+(1-abs_mem)*(gb_ru_26*hpx_ru*(hbm_A_26/hbm_A_26-1)/1000+plp_ru*(cdx_A_26/cdx_A_26-1))</f>
        <v>92.166667</v>
      </c>
      <c r="E81" s="20" t="n">
        <f aca="false">1*(pm_ru+pcpu_ru+plp_ru+k_tray*pres_ru)+(1-abs_mem)*(gb_ru_27*hpx_ru*(hbm_A_27/hbm_A_26-1)/1000+plp_ru*(cdx_A_27/cdx_A_26-1))</f>
        <v>99.7404524084115</v>
      </c>
      <c r="F81" s="20" t="n">
        <f aca="false">1*(pm_ru+pcpu_ru+plp_ru+k_tray*pres_ru)+(1-abs_mem)*(gb_ru_28*hpx_ru*(hbm_A_28/hbm_A_26-1)/1000+plp_ru*(cdx_A_28/cdx_A_26-1))</f>
        <v>100.965425179065</v>
      </c>
      <c r="G81" s="20" t="n">
        <f aca="false">1*(pm_ru+pcpu_ru+plp_ru+k_tray*pres_ru)+(1-abs_mem)*(gb_ru_28*hpx_ru*(hbm_A_29/hbm_A_26-1)/1000+plp_ru*(cdx_A_29/cdx_A_26-1))</f>
        <v>99.8349498269425</v>
      </c>
    </row>
    <row r="82" customFormat="false" ht="17.15" hidden="false" customHeight="false" outlineLevel="0" collapsed="false">
      <c r="A82" s="0" t="s">
        <v>670</v>
      </c>
      <c r="B82" s="0" t="s">
        <v>174</v>
      </c>
      <c r="D82" s="20" t="n">
        <f aca="false">1*(pm_hp+pcpu_hp+plp_hp+k_tray*pres_hp)+(1-abs_mem)*(gb_hp_26*hpx_hp*(hbm_A_26/hbm_A_26-1)/1000+plp_hp*(cdx_A_26/cdx_A_26-1))</f>
        <v>30</v>
      </c>
      <c r="E82" s="20" t="n">
        <f aca="false">1*(pm_hp+pcpu_hp+plp_hp+k_tray*pres_hp)+(1-abs_mem)*(gb_hp_27*hpx_hp*(hbm_A_27/hbm_A_26-1)/1000+plp_hp*(cdx_A_27/cdx_A_26-1))</f>
        <v>30.8742</v>
      </c>
      <c r="F82" s="20" t="n">
        <f aca="false">1*(pm_hp+pcpu_hp+plp_hp+k_tray*pres_hp)+(1-abs_mem)*(gb_hp_28*hpx_hp*(hbm_A_28/hbm_A_26-1)/1000+plp_hp*(cdx_A_28/cdx_A_26-1))</f>
        <v>31.070895</v>
      </c>
      <c r="G82" s="20" t="n">
        <f aca="false">1*(pm_hp+pcpu_hp+plp_hp+k_tray*pres_hp)+(1-abs_mem)*(gb_hp_28*hpx_hp*(hbm_A_29/hbm_A_26-1)/1000+plp_hp*(cdx_A_29/cdx_A_26-1))</f>
        <v>30.96271275</v>
      </c>
    </row>
    <row r="83" customFormat="false" ht="17.15" hidden="false" customHeight="false" outlineLevel="0" collapsed="false">
      <c r="A83" s="0" t="s">
        <v>671</v>
      </c>
      <c r="B83" s="0" t="s">
        <v>174</v>
      </c>
      <c r="D83" s="20" t="n">
        <f aca="false">gb_bw_26*hpx_bw*hbm_A_26/hbm_A_26/1000</f>
        <v>4.03</v>
      </c>
      <c r="E83" s="20" t="n">
        <f aca="false">gb_bw_27*hpx_bw*hbm_A_27/hbm_A_26/1000</f>
        <v>7.812</v>
      </c>
      <c r="F83" s="20" t="n">
        <f aca="false">gb_bw_28*hpx_bw*hbm_A_28/hbm_A_26/1000</f>
        <v>8.83872</v>
      </c>
      <c r="G83" s="20" t="n">
        <f aca="false">gb_bw_28*hpx_bw*hbm_A_29/hbm_A_26/1000</f>
        <v>8.396784</v>
      </c>
      <c r="H83" s="5" t="s">
        <v>672</v>
      </c>
    </row>
    <row r="84" customFormat="false" ht="17.15" hidden="false" customHeight="false" outlineLevel="0" collapsed="false">
      <c r="A84" s="0" t="s">
        <v>673</v>
      </c>
      <c r="B84" s="0" t="s">
        <v>174</v>
      </c>
      <c r="D84" s="20" t="n">
        <f aca="false">gb_rb_26*hpx_rb*hbm_A_26/hbm_A_26/1000</f>
        <v>4.8096</v>
      </c>
      <c r="E84" s="20" t="n">
        <f aca="false">gb_rb_27*hpx_rb*hbm_A_27/hbm_A_26/1000</f>
        <v>8.65728</v>
      </c>
      <c r="F84" s="20" t="n">
        <f aca="false">gb_rb_28*hpx_rb*hbm_A_28/hbm_A_26/1000</f>
        <v>9.523008</v>
      </c>
      <c r="G84" s="20" t="n">
        <f aca="false">gb_rb_28*hpx_rb*hbm_A_29/hbm_A_26/1000</f>
        <v>9.0468576</v>
      </c>
    </row>
    <row r="85" customFormat="false" ht="17.15" hidden="false" customHeight="false" outlineLevel="0" collapsed="false">
      <c r="A85" s="0" t="s">
        <v>674</v>
      </c>
      <c r="B85" s="0" t="s">
        <v>174</v>
      </c>
      <c r="D85" s="20" t="n">
        <f aca="false">gb_ru_26*hpx_ru*hbm_A_26/hbm_A_26/1000</f>
        <v>17.1008</v>
      </c>
      <c r="E85" s="20" t="n">
        <f aca="false">gb_ru_27*hpx_ru*hbm_A_27/hbm_A_26/1000</f>
        <v>30.78144</v>
      </c>
      <c r="F85" s="20" t="n">
        <f aca="false">gb_ru_28*hpx_ru*hbm_A_28/hbm_A_26/1000</f>
        <v>33.859584</v>
      </c>
      <c r="G85" s="20" t="n">
        <f aca="false">gb_ru_28*hpx_ru*hbm_A_29/hbm_A_26/1000</f>
        <v>32.1666048</v>
      </c>
    </row>
    <row r="86" customFormat="false" ht="17.15" hidden="false" customHeight="false" outlineLevel="0" collapsed="false">
      <c r="A86" s="0" t="s">
        <v>675</v>
      </c>
      <c r="B86" s="0" t="s">
        <v>174</v>
      </c>
      <c r="D86" s="20" t="n">
        <f aca="false">gb_hp_26*hpx_hp*hbm_A_26/hbm_A_26/1000</f>
        <v>2.1855</v>
      </c>
      <c r="E86" s="20" t="n">
        <f aca="false">gb_hp_27*hpx_hp*hbm_A_27/hbm_A_26/1000</f>
        <v>3.9339</v>
      </c>
      <c r="F86" s="20" t="n">
        <f aca="false">gb_hp_28*hpx_hp*hbm_A_28/hbm_A_26/1000</f>
        <v>4.32729</v>
      </c>
      <c r="G86" s="20" t="n">
        <f aca="false">gb_hp_28*hpx_hp*hbm_A_29/hbm_A_26/1000</f>
        <v>4.1109255</v>
      </c>
    </row>
    <row r="87" customFormat="false" ht="17.15" hidden="false" customHeight="false" outlineLevel="0" collapsed="false">
      <c r="A87" s="0" t="s">
        <v>676</v>
      </c>
      <c r="B87" s="0" t="s">
        <v>174</v>
      </c>
      <c r="D87" s="20" t="n">
        <f aca="false">1*c_nh*(pm_bw+pcpu_bw+plp_bw+k_tray*pres_bw)+D83+plp_bw*(cdx_A_26/cdx_A_26-1)</f>
        <v>11.8212823332139</v>
      </c>
      <c r="E87" s="20" t="n">
        <f aca="false">1*c_nh*(pm_bw+pcpu_bw+plp_bw+k_tray*pres_bw)+E83+plp_bw*(cdx_A_27/cdx_A_26-1)</f>
        <v>16.493918693312</v>
      </c>
      <c r="F87" s="20" t="n">
        <f aca="false">1*c_nh*(pm_bw+pcpu_bw+plp_bw+k_tray*pres_bw)+F83+plp_bw*(cdx_A_28/cdx_A_26-1)</f>
        <v>17.1392325750052</v>
      </c>
      <c r="G87" s="20" t="n">
        <f aca="false">1*c_nh*(pm_bw+pcpu_bw+plp_bw+k_tray*pres_bw)+G83+plp_bw*(cdx_A_29/cdx_A_26-1)</f>
        <v>16.3524568133889</v>
      </c>
      <c r="H87" s="5" t="s">
        <v>677</v>
      </c>
    </row>
    <row r="88" customFormat="false" ht="17.15" hidden="false" customHeight="false" outlineLevel="0" collapsed="false">
      <c r="A88" s="0" t="s">
        <v>678</v>
      </c>
      <c r="B88" s="0" t="s">
        <v>174</v>
      </c>
      <c r="D88" s="20" t="n">
        <f aca="false">1*c_nh*(pm_rb+pcpu_rb+plp_rb+k_tray*pres_rb)+D84+plp_rb*(cdx_A_26/cdx_A_26-1)</f>
        <v>16.7713963801093</v>
      </c>
      <c r="E88" s="20" t="n">
        <f aca="false">1*c_nh*(pm_rb+pcpu_rb+plp_rb+k_tray*pres_rb)+E84+plp_rb*(cdx_A_27/cdx_A_26-1)</f>
        <v>22.0860071969322</v>
      </c>
      <c r="F88" s="20" t="n">
        <f aca="false">1*c_nh*(pm_rb+pcpu_rb+plp_rb+k_tray*pres_rb)+F84+plp_rb*(cdx_A_28/cdx_A_26-1)</f>
        <v>22.3235367382399</v>
      </c>
      <c r="G88" s="20" t="n">
        <f aca="false">1*c_nh*(pm_rb+pcpu_rb+plp_rb+k_tray*pres_rb)+G84+plp_rb*(cdx_A_29/cdx_A_26-1)</f>
        <v>21.2794148339942</v>
      </c>
    </row>
    <row r="89" customFormat="false" ht="17.15" hidden="false" customHeight="false" outlineLevel="0" collapsed="false">
      <c r="A89" s="0" t="s">
        <v>679</v>
      </c>
      <c r="B89" s="0" t="s">
        <v>174</v>
      </c>
      <c r="D89" s="20" t="n">
        <f aca="false">1*c_nh*(pm_ru+pcpu_ru+plp_ru+k_tray*pres_ru)+D85+plp_ru*(cdx_A_26/cdx_A_26-1)</f>
        <v>32.3776438604396</v>
      </c>
      <c r="E89" s="20" t="n">
        <f aca="false">1*c_nh*(pm_ru+pcpu_ru+plp_ru+k_tray*pres_ru)+E85+plp_ru*(cdx_A_27/cdx_A_26-1)</f>
        <v>47.5252146772625</v>
      </c>
      <c r="F89" s="20" t="n">
        <f aca="false">1*c_nh*(pm_ru+pcpu_ru+plp_ru+k_tray*pres_ru)+F85+plp_ru*(cdx_A_28/cdx_A_26-1)</f>
        <v>49.9751602185702</v>
      </c>
      <c r="G89" s="20" t="n">
        <f aca="false">1*c_nh*(pm_ru+pcpu_ru+plp_ru+k_tray*pres_ru)+G85+plp_ru*(cdx_A_29/cdx_A_26-1)</f>
        <v>47.7142095143245</v>
      </c>
    </row>
    <row r="90" customFormat="false" ht="17.15" hidden="false" customHeight="false" outlineLevel="0" collapsed="false">
      <c r="A90" s="0" t="s">
        <v>680</v>
      </c>
      <c r="B90" s="0" t="s">
        <v>174</v>
      </c>
      <c r="D90" s="20" t="n">
        <f aca="false">1*c_nh*(pm_hp+pcpu_hp+plp_hp+k_tray*pres_hp)+D86+plp_hp*(cdx_A_26/cdx_A_26-1)</f>
        <v>7.15807122049545</v>
      </c>
      <c r="E90" s="20" t="n">
        <f aca="false">1*c_nh*(pm_hp+pcpu_hp+plp_hp+k_tray*pres_hp)+E86+plp_hp*(cdx_A_27/cdx_A_26-1)</f>
        <v>8.90647122049545</v>
      </c>
      <c r="F90" s="20" t="n">
        <f aca="false">1*c_nh*(pm_hp+pcpu_hp+plp_hp+k_tray*pres_hp)+F86+plp_hp*(cdx_A_28/cdx_A_26-1)</f>
        <v>9.29986122049545</v>
      </c>
      <c r="G90" s="20" t="n">
        <f aca="false">1*c_nh*(pm_hp+pcpu_hp+plp_hp+k_tray*pres_hp)+G86+plp_hp*(cdx_A_29/cdx_A_26-1)</f>
        <v>9.08349672049545</v>
      </c>
    </row>
    <row r="91" customFormat="false" ht="17.15" hidden="false" customHeight="false" outlineLevel="0" collapsed="false">
      <c r="A91" s="0" t="s">
        <v>681</v>
      </c>
      <c r="B91" s="0" t="s">
        <v>309</v>
      </c>
      <c r="D91" s="16" t="n">
        <f aca="false">D74*D79</f>
        <v>210.265388611651</v>
      </c>
      <c r="E91" s="16" t="n">
        <f aca="false">E74*E79</f>
        <v>97.7879411514472</v>
      </c>
      <c r="F91" s="16" t="n">
        <f aca="false">F74*F79</f>
        <v>20.4804480550745</v>
      </c>
      <c r="G91" s="16" t="n">
        <f aca="false">G74*G79</f>
        <v>10.1587562571685</v>
      </c>
    </row>
    <row r="92" customFormat="false" ht="17.15" hidden="false" customHeight="false" outlineLevel="0" collapsed="false">
      <c r="A92" s="0" t="s">
        <v>682</v>
      </c>
      <c r="B92" s="0" t="s">
        <v>309</v>
      </c>
      <c r="D92" s="16" t="n">
        <f aca="false">D75*D80</f>
        <v>101.627306400104</v>
      </c>
      <c r="E92" s="16" t="n">
        <f aca="false">E75*E80</f>
        <v>433.874021010427</v>
      </c>
      <c r="F92" s="16" t="n">
        <f aca="false">F75*F80</f>
        <v>434.562689988287</v>
      </c>
      <c r="G92" s="16" t="n">
        <f aca="false">G75*G80</f>
        <v>496.265789583488</v>
      </c>
    </row>
    <row r="93" customFormat="false" ht="17.15" hidden="false" customHeight="false" outlineLevel="0" collapsed="false">
      <c r="A93" s="0" t="s">
        <v>683</v>
      </c>
      <c r="B93" s="0" t="s">
        <v>309</v>
      </c>
      <c r="D93" s="16" t="n">
        <f aca="false">D76*D81</f>
        <v>0</v>
      </c>
      <c r="E93" s="16" t="n">
        <f aca="false">E76*E81</f>
        <v>24.7866271526094</v>
      </c>
      <c r="F93" s="16" t="n">
        <f aca="false">F76*F81</f>
        <v>167.273644663966</v>
      </c>
      <c r="G93" s="16" t="n">
        <f aca="false">G76*G81</f>
        <v>190.21084967152</v>
      </c>
    </row>
    <row r="94" customFormat="false" ht="17.15" hidden="false" customHeight="false" outlineLevel="0" collapsed="false">
      <c r="A94" s="0" t="s">
        <v>684</v>
      </c>
      <c r="B94" s="0" t="s">
        <v>309</v>
      </c>
      <c r="D94" s="16" t="n">
        <f aca="false">D77*D82</f>
        <v>12.4255638279615</v>
      </c>
      <c r="E94" s="16" t="n">
        <f aca="false">E77*E82</f>
        <v>0</v>
      </c>
      <c r="F94" s="16" t="n">
        <f aca="false">F77*F82</f>
        <v>0</v>
      </c>
      <c r="G94" s="16" t="n">
        <f aca="false">G77*G82</f>
        <v>0</v>
      </c>
    </row>
    <row r="95" customFormat="false" ht="17.15" hidden="false" customHeight="false" outlineLevel="0" collapsed="false">
      <c r="A95" s="5" t="s">
        <v>685</v>
      </c>
      <c r="B95" s="0" t="s">
        <v>309</v>
      </c>
      <c r="D95" s="16" t="n">
        <f aca="false">SUM(D91:D94)</f>
        <v>324.318258839716</v>
      </c>
      <c r="E95" s="16" t="n">
        <f aca="false">SUM(E91:E94)</f>
        <v>556.448589314484</v>
      </c>
      <c r="F95" s="16" t="n">
        <f aca="false">SUM(F91:F94)</f>
        <v>622.316782707328</v>
      </c>
      <c r="G95" s="16" t="n">
        <f aca="false">SUM(G91:G94)</f>
        <v>696.635395512176</v>
      </c>
    </row>
    <row r="96" customFormat="false" ht="15" hidden="false" customHeight="false" outlineLevel="0" collapsed="false">
      <c r="A96" s="5" t="s">
        <v>686</v>
      </c>
      <c r="B96" s="0" t="s">
        <v>309</v>
      </c>
      <c r="D96" s="16" t="n">
        <f aca="false">D74*D87+D75*D88+D76*D89+D77*D90</f>
        <v>79.4617574019149</v>
      </c>
      <c r="E96" s="16" t="n">
        <f aca="false">E74*E87+E75*E88+E76*E89+E77*E90</f>
        <v>172.669793081849</v>
      </c>
      <c r="F96" s="16" t="n">
        <f aca="false">F74*F87+F75*F88+F76*F89+F77*F90</f>
        <v>219.339940975085</v>
      </c>
      <c r="G96" s="16" t="n">
        <f aca="false">G74*G87+G75*G88+G76*G89+G77*G90</f>
        <v>236.19347177678</v>
      </c>
    </row>
    <row r="97" customFormat="false" ht="17.15" hidden="false" customHeight="false" outlineLevel="0" collapsed="false">
      <c r="A97" s="5" t="s">
        <v>687</v>
      </c>
      <c r="B97" s="0" t="s">
        <v>309</v>
      </c>
      <c r="D97" s="16" t="n">
        <f aca="false">D74*D83+D75*D84+D76*D85+D77*D86</f>
        <v>25.7052360623293</v>
      </c>
      <c r="E97" s="16" t="n">
        <f aca="false">E74*E83+E75*E84+E76*E85+E77*E86</f>
        <v>73.3805687896262</v>
      </c>
      <c r="F97" s="16" t="n">
        <f aca="false">F74*F83+F75*F84+F76*F85+F77*F86</f>
        <v>114.977539352433</v>
      </c>
      <c r="G97" s="16" t="n">
        <f aca="false">G74*G83+G75*G84+G76*G85+G77*G86</f>
        <v>123.352374939132</v>
      </c>
    </row>
    <row r="98" customFormat="false" ht="17.15" hidden="false" customHeight="false" outlineLevel="0" collapsed="false">
      <c r="A98" s="5" t="s">
        <v>688</v>
      </c>
      <c r="B98" s="0" t="s">
        <v>309</v>
      </c>
      <c r="D98" s="16" t="n">
        <f aca="false">0</f>
        <v>0</v>
      </c>
      <c r="E98" s="16" t="n">
        <f aca="false">0</f>
        <v>0</v>
      </c>
      <c r="F98" s="16" t="n">
        <f aca="false">0</f>
        <v>0</v>
      </c>
      <c r="G98" s="16" t="n">
        <f aca="false">0</f>
        <v>0</v>
      </c>
    </row>
    <row r="99" customFormat="false" ht="15" hidden="false" customHeight="false" outlineLevel="0" collapsed="false">
      <c r="A99" s="5" t="s">
        <v>689</v>
      </c>
      <c r="B99" s="0" t="s">
        <v>309</v>
      </c>
      <c r="D99" s="16" t="n">
        <f aca="false">D98*D96/D95</f>
        <v>0</v>
      </c>
      <c r="E99" s="16" t="n">
        <f aca="false">E98*E96/E95</f>
        <v>0</v>
      </c>
      <c r="F99" s="16" t="n">
        <f aca="false">F98*F96/F95</f>
        <v>0</v>
      </c>
      <c r="G99" s="16" t="n">
        <f aca="false">G98*G96/G95</f>
        <v>0</v>
      </c>
    </row>
    <row r="100" customFormat="false" ht="17.15" hidden="false" customHeight="false" outlineLevel="0" collapsed="false">
      <c r="A100" s="0" t="s">
        <v>690</v>
      </c>
      <c r="B100" s="0" t="s">
        <v>309</v>
      </c>
      <c r="D100" s="16" t="n">
        <f aca="false">net_26*1*D73</f>
        <v>51.1385386602837</v>
      </c>
      <c r="E100" s="16" t="n">
        <f aca="false">net_27*1*E73</f>
        <v>101.465551321399</v>
      </c>
      <c r="F100" s="16" t="n">
        <f aca="false">net_28*um28_A*F73</f>
        <v>114.826126401851</v>
      </c>
      <c r="G100" s="16" t="n">
        <f aca="false">net_29*um29_A*G73</f>
        <v>130.302507852582</v>
      </c>
      <c r="H100" s="8" t="s">
        <v>691</v>
      </c>
    </row>
    <row r="101" customFormat="false" ht="17.15" hidden="false" customHeight="false" outlineLevel="0" collapsed="false">
      <c r="A101" s="5" t="s">
        <v>692</v>
      </c>
      <c r="B101" s="0" t="s">
        <v>309</v>
      </c>
      <c r="D101" s="16" t="n">
        <f aca="false">c_net*D100</f>
        <v>15.3415615980851</v>
      </c>
      <c r="E101" s="16" t="n">
        <f aca="false">c_net*E100</f>
        <v>30.4396653964198</v>
      </c>
      <c r="F101" s="16" t="n">
        <f aca="false">c_net*F100</f>
        <v>34.4478379205554</v>
      </c>
      <c r="G101" s="16" t="n">
        <f aca="false">c_net*G100</f>
        <v>39.0907523557747</v>
      </c>
    </row>
    <row r="102" customFormat="false" ht="17.15" hidden="false" customHeight="false" outlineLevel="0" collapsed="false">
      <c r="A102" s="0" t="s">
        <v>693</v>
      </c>
      <c r="B102" s="0" t="s">
        <v>309</v>
      </c>
      <c r="D102" s="16" t="n">
        <f aca="false">a27_edge</f>
        <v>29.1792025</v>
      </c>
      <c r="E102" s="16" t="n">
        <f aca="false">D102*(1+eg)</f>
        <v>31.5135387</v>
      </c>
      <c r="F102" s="16" t="n">
        <f aca="false">E102*(1+eg)</f>
        <v>34.034621796</v>
      </c>
      <c r="G102" s="16" t="n">
        <f aca="false">F102*(1+eg)</f>
        <v>36.75739153968</v>
      </c>
    </row>
    <row r="103" customFormat="false" ht="17.15" hidden="false" customHeight="false" outlineLevel="0" collapsed="false">
      <c r="A103" s="0" t="s">
        <v>694</v>
      </c>
      <c r="B103" s="0" t="s">
        <v>309</v>
      </c>
      <c r="D103" s="16" t="n">
        <f aca="false">(1-gm_edge)*D102</f>
        <v>11.671681</v>
      </c>
      <c r="E103" s="16" t="n">
        <f aca="false">(1-gm_edge)*E102</f>
        <v>12.60541548</v>
      </c>
      <c r="F103" s="16" t="n">
        <f aca="false">(1-gm_edge)*F102</f>
        <v>13.6138487184</v>
      </c>
      <c r="G103" s="16" t="n">
        <f aca="false">(1-gm_edge)*G102</f>
        <v>14.702956615872</v>
      </c>
    </row>
    <row r="104" customFormat="false" ht="15" hidden="false" customHeight="false" outlineLevel="0" collapsed="false">
      <c r="A104" s="5" t="s">
        <v>695</v>
      </c>
      <c r="B104" s="0" t="s">
        <v>309</v>
      </c>
      <c r="D104" s="16" t="n">
        <f aca="false">D95+D98+D100+D102</f>
        <v>404.636</v>
      </c>
      <c r="E104" s="16" t="n">
        <f aca="false">E95+E98+E100+E102</f>
        <v>689.427679335883</v>
      </c>
      <c r="F104" s="16" t="n">
        <f aca="false">F95+F98+F100+F102</f>
        <v>771.177530905179</v>
      </c>
      <c r="G104" s="16" t="n">
        <f aca="false">G95+G98+G100+G102</f>
        <v>863.695294904439</v>
      </c>
    </row>
    <row r="105" customFormat="false" ht="15" hidden="false" customHeight="false" outlineLevel="0" collapsed="false">
      <c r="A105" s="5" t="s">
        <v>696</v>
      </c>
      <c r="B105" s="0" t="s">
        <v>309</v>
      </c>
      <c r="D105" s="16" t="n">
        <f aca="false">D96+D99+D101+D103</f>
        <v>106.475</v>
      </c>
      <c r="E105" s="16" t="n">
        <f aca="false">E96+E99+E101+E103</f>
        <v>215.714873958269</v>
      </c>
      <c r="F105" s="16" t="n">
        <f aca="false">F96+F99+F101+F103</f>
        <v>267.401627614041</v>
      </c>
      <c r="G105" s="16" t="n">
        <f aca="false">G96+G99+G101+G103</f>
        <v>289.987180748426</v>
      </c>
    </row>
    <row r="106" customFormat="false" ht="17.15" hidden="false" customHeight="false" outlineLevel="0" collapsed="false">
      <c r="A106" s="5" t="s">
        <v>697</v>
      </c>
      <c r="B106" s="0" t="s">
        <v>41</v>
      </c>
      <c r="D106" s="17" t="n">
        <f aca="false">1-D105/D104</f>
        <v>0.736862266333198</v>
      </c>
      <c r="E106" s="17" t="n">
        <f aca="false">1-E105/E104</f>
        <v>0.687110221385273</v>
      </c>
      <c r="F106" s="17" t="n">
        <f aca="false">1-F105/F104</f>
        <v>0.653255421873904</v>
      </c>
      <c r="G106" s="17" t="n">
        <f aca="false">1-G105/G104</f>
        <v>0.664248280082953</v>
      </c>
      <c r="H106" s="8" t="s">
        <v>698</v>
      </c>
    </row>
    <row r="107" customFormat="false" ht="17.15" hidden="false" customHeight="false" outlineLevel="0" collapsed="false">
      <c r="A107" s="0" t="s">
        <v>699</v>
      </c>
      <c r="B107" s="0" t="s">
        <v>41</v>
      </c>
      <c r="D107" s="17" t="n">
        <f aca="false">D97/D104</f>
        <v>0.0635268143771917</v>
      </c>
      <c r="E107" s="17" t="n">
        <f aca="false">E97/E104</f>
        <v>0.106436934560435</v>
      </c>
      <c r="F107" s="17" t="n">
        <f aca="false">F97/F104</f>
        <v>0.149093476851532</v>
      </c>
      <c r="G107" s="17" t="n">
        <f aca="false">G97/G104</f>
        <v>0.142819320270559</v>
      </c>
    </row>
    <row r="108" customFormat="false" ht="17.15" hidden="false" customHeight="false" outlineLevel="0" collapsed="false">
      <c r="A108" s="1" t="s">
        <v>700</v>
      </c>
    </row>
    <row r="109" customFormat="false" ht="15" hidden="false" customHeight="false" outlineLevel="0" collapsed="false">
      <c r="A109" s="5" t="s">
        <v>527</v>
      </c>
      <c r="B109" s="0" t="s">
        <v>309</v>
      </c>
      <c r="C109" s="16" t="n">
        <f aca="false">a26_rev</f>
        <v>215.938</v>
      </c>
      <c r="D109" s="16" t="n">
        <f aca="false">a27_rev</f>
        <v>404.636</v>
      </c>
      <c r="E109" s="16" t="n">
        <f aca="false">E104</f>
        <v>689.427679335883</v>
      </c>
      <c r="F109" s="16" t="n">
        <f aca="false">F104</f>
        <v>771.177530905179</v>
      </c>
      <c r="G109" s="16" t="n">
        <f aca="false">G104</f>
        <v>863.695294904439</v>
      </c>
    </row>
    <row r="110" customFormat="false" ht="17.15" hidden="false" customHeight="false" outlineLevel="0" collapsed="false">
      <c r="A110" s="0" t="s">
        <v>701</v>
      </c>
      <c r="B110" s="0" t="s">
        <v>309</v>
      </c>
      <c r="C110" s="16" t="n">
        <f aca="false">a26_dc</f>
        <v>193.7</v>
      </c>
      <c r="D110" s="16" t="n">
        <f aca="false">a27_dc</f>
        <v>375.4567975</v>
      </c>
      <c r="E110" s="16" t="n">
        <f aca="false">E95+E98+E100</f>
        <v>657.914140635883</v>
      </c>
      <c r="F110" s="16" t="n">
        <f aca="false">F95+F98+F100</f>
        <v>737.142909109179</v>
      </c>
      <c r="G110" s="16" t="n">
        <f aca="false">G95+G98+G100</f>
        <v>826.937903364759</v>
      </c>
    </row>
    <row r="111" customFormat="false" ht="15" hidden="false" customHeight="false" outlineLevel="0" collapsed="false">
      <c r="A111" s="0" t="s">
        <v>647</v>
      </c>
      <c r="B111" s="0" t="s">
        <v>309</v>
      </c>
      <c r="C111" s="16" t="n">
        <f aca="false">a26_edge</f>
        <v>22.238</v>
      </c>
      <c r="D111" s="16" t="n">
        <f aca="false">a27_edge</f>
        <v>29.1792025</v>
      </c>
      <c r="E111" s="16" t="n">
        <f aca="false">E102</f>
        <v>31.5135387</v>
      </c>
      <c r="F111" s="16" t="n">
        <f aca="false">F102</f>
        <v>34.034621796</v>
      </c>
      <c r="G111" s="16" t="n">
        <f aca="false">G102</f>
        <v>36.75739153968</v>
      </c>
    </row>
    <row r="112" customFormat="false" ht="15" hidden="false" customHeight="false" outlineLevel="0" collapsed="false">
      <c r="A112" s="5" t="s">
        <v>702</v>
      </c>
      <c r="B112" s="0" t="s">
        <v>41</v>
      </c>
      <c r="D112" s="17" t="n">
        <f aca="false">D109/C109-1</f>
        <v>0.873852679935908</v>
      </c>
      <c r="E112" s="17" t="n">
        <f aca="false">E109/D109-1</f>
        <v>0.70382190248985</v>
      </c>
      <c r="F112" s="17" t="n">
        <f aca="false">F109/E109-1</f>
        <v>0.118576398974936</v>
      </c>
      <c r="G112" s="17" t="n">
        <f aca="false">G109/F109-1</f>
        <v>0.119969475628609</v>
      </c>
    </row>
    <row r="113" customFormat="false" ht="15" hidden="false" customHeight="false" outlineLevel="0" collapsed="false">
      <c r="A113" s="5" t="s">
        <v>703</v>
      </c>
      <c r="B113" s="0" t="s">
        <v>309</v>
      </c>
      <c r="C113" s="16" t="n">
        <f aca="false">a26_gp</f>
        <v>153.463</v>
      </c>
      <c r="D113" s="16" t="n">
        <f aca="false">a27_gp</f>
        <v>298.161</v>
      </c>
      <c r="E113" s="16" t="n">
        <f aca="false">E109-E105</f>
        <v>473.712805377614</v>
      </c>
      <c r="F113" s="16" t="n">
        <f aca="false">F109-F105</f>
        <v>503.775903291138</v>
      </c>
      <c r="G113" s="16" t="n">
        <f aca="false">G109-G105</f>
        <v>573.708114156012</v>
      </c>
    </row>
    <row r="114" customFormat="false" ht="15" hidden="false" customHeight="false" outlineLevel="0" collapsed="false">
      <c r="A114" s="5" t="s">
        <v>543</v>
      </c>
      <c r="B114" s="0" t="s">
        <v>41</v>
      </c>
      <c r="C114" s="17" t="n">
        <f aca="false">C113/C109</f>
        <v>0.710680843575471</v>
      </c>
      <c r="D114" s="17" t="n">
        <f aca="false">D113/D109</f>
        <v>0.736862266333198</v>
      </c>
      <c r="E114" s="17" t="n">
        <f aca="false">E113/E109</f>
        <v>0.687110221385273</v>
      </c>
      <c r="F114" s="17" t="n">
        <f aca="false">F113/F109</f>
        <v>0.653255421873904</v>
      </c>
      <c r="G114" s="17" t="n">
        <f aca="false">G113/G109</f>
        <v>0.664248280082953</v>
      </c>
    </row>
    <row r="115" customFormat="false" ht="17.15" hidden="false" customHeight="false" outlineLevel="0" collapsed="false">
      <c r="A115" s="5" t="s">
        <v>704</v>
      </c>
      <c r="B115" s="0" t="s">
        <v>309</v>
      </c>
      <c r="C115" s="16" t="n">
        <f aca="false">a26_opx</f>
        <v>23.076</v>
      </c>
      <c r="D115" s="16" t="n">
        <f aca="false">a27_opx</f>
        <v>35.165</v>
      </c>
      <c r="E115" s="16" t="n">
        <f aca="false">D115*(1+MAX(g_opx_min,phi*E112))</f>
        <v>50.0149383206333</v>
      </c>
      <c r="F115" s="16" t="n">
        <f aca="false">E115*(1+MAX(g_opx_min,phi*F112))</f>
        <v>53.5732930892419</v>
      </c>
      <c r="G115" s="16" t="n">
        <f aca="false">F115*(1+MAX(g_opx_min,phi*G112))</f>
        <v>57.4295890170104</v>
      </c>
      <c r="H115" s="5" t="s">
        <v>705</v>
      </c>
    </row>
    <row r="116" customFormat="false" ht="15" hidden="false" customHeight="false" outlineLevel="0" collapsed="false">
      <c r="A116" s="5" t="s">
        <v>706</v>
      </c>
      <c r="B116" s="0" t="s">
        <v>309</v>
      </c>
      <c r="C116" s="16" t="n">
        <f aca="false">C115</f>
        <v>23.076</v>
      </c>
      <c r="D116" s="16" t="n">
        <f aca="false">D115</f>
        <v>35.165</v>
      </c>
      <c r="E116" s="16" t="n">
        <f aca="false">E115+0*E109</f>
        <v>50.0149383206333</v>
      </c>
      <c r="F116" s="16" t="n">
        <f aca="false">F115+0*F109</f>
        <v>53.5732930892419</v>
      </c>
      <c r="G116" s="16" t="n">
        <f aca="false">G115+0*G109</f>
        <v>57.4295890170104</v>
      </c>
    </row>
    <row r="117" customFormat="false" ht="15" hidden="false" customHeight="false" outlineLevel="0" collapsed="false">
      <c r="A117" s="5" t="s">
        <v>546</v>
      </c>
      <c r="B117" s="0" t="s">
        <v>309</v>
      </c>
      <c r="C117" s="16" t="n">
        <f aca="false">C113-C116</f>
        <v>130.387</v>
      </c>
      <c r="D117" s="16" t="n">
        <f aca="false">D113-D116</f>
        <v>262.996</v>
      </c>
      <c r="E117" s="16" t="n">
        <f aca="false">E113-E116</f>
        <v>423.69786705698</v>
      </c>
      <c r="F117" s="16" t="n">
        <f aca="false">F113-F116</f>
        <v>450.202610201896</v>
      </c>
      <c r="G117" s="16" t="n">
        <f aca="false">G113-G116</f>
        <v>516.278525139002</v>
      </c>
    </row>
    <row r="118" customFormat="false" ht="15" hidden="false" customHeight="false" outlineLevel="0" collapsed="false">
      <c r="A118" s="5" t="s">
        <v>648</v>
      </c>
      <c r="B118" s="0" t="s">
        <v>41</v>
      </c>
      <c r="C118" s="17" t="n">
        <f aca="false">C117/C109</f>
        <v>0.603816836314127</v>
      </c>
      <c r="D118" s="17" t="n">
        <f aca="false">D117/D109</f>
        <v>0.649956998388675</v>
      </c>
      <c r="E118" s="17" t="n">
        <f aca="false">E117/E109</f>
        <v>0.614564630571728</v>
      </c>
      <c r="F118" s="17" t="n">
        <f aca="false">F117/F109</f>
        <v>0.583785953506018</v>
      </c>
      <c r="G118" s="17" t="n">
        <f aca="false">G117/G109</f>
        <v>0.597755398443064</v>
      </c>
    </row>
    <row r="119" customFormat="false" ht="15" hidden="false" customHeight="false" outlineLevel="0" collapsed="false">
      <c r="A119" s="5" t="s">
        <v>551</v>
      </c>
      <c r="B119" s="0" t="s">
        <v>309</v>
      </c>
      <c r="C119" s="20" t="n">
        <f aca="false">a26_oth</f>
        <v>2.145</v>
      </c>
      <c r="D119" s="20" t="n">
        <f aca="false">a27_oth</f>
        <v>1.133</v>
      </c>
      <c r="E119" s="20" t="n">
        <f aca="false">oth_f</f>
        <v>1.2</v>
      </c>
      <c r="F119" s="20" t="n">
        <f aca="false">oth_f</f>
        <v>1.2</v>
      </c>
      <c r="G119" s="20" t="n">
        <f aca="false">oth_f</f>
        <v>1.2</v>
      </c>
    </row>
    <row r="120" customFormat="false" ht="15" hidden="false" customHeight="false" outlineLevel="0" collapsed="false">
      <c r="A120" s="5" t="s">
        <v>560</v>
      </c>
      <c r="B120" s="0" t="s">
        <v>41</v>
      </c>
      <c r="C120" s="17" t="n">
        <f aca="false">1-a26_ni/(a26_oi+a26_oth)</f>
        <v>0.151187565812244</v>
      </c>
      <c r="D120" s="17" t="n">
        <f aca="false">a27_etr</f>
        <v>0.167980835756566</v>
      </c>
      <c r="E120" s="17" t="n">
        <f aca="false">tx_f</f>
        <v>0.17</v>
      </c>
      <c r="F120" s="17" t="n">
        <f aca="false">tx_f</f>
        <v>0.17</v>
      </c>
      <c r="G120" s="17" t="n">
        <f aca="false">tx_f</f>
        <v>0.17</v>
      </c>
    </row>
    <row r="121" customFormat="false" ht="15" hidden="false" customHeight="false" outlineLevel="0" collapsed="false">
      <c r="A121" s="5" t="s">
        <v>649</v>
      </c>
      <c r="B121" s="0" t="s">
        <v>309</v>
      </c>
      <c r="C121" s="16" t="n">
        <f aca="false">a26_ni</f>
        <v>112.494809527772</v>
      </c>
      <c r="D121" s="16" t="n">
        <f aca="false">a27_ni</f>
        <v>219.760389832454</v>
      </c>
      <c r="E121" s="16" t="n">
        <f aca="false">(E117+E119)*(1-E120)</f>
        <v>352.665229657294</v>
      </c>
      <c r="F121" s="16" t="n">
        <f aca="false">(F117+F119)*(1-F120)</f>
        <v>374.664166467574</v>
      </c>
      <c r="G121" s="16" t="n">
        <f aca="false">(G117+G119)*(1-G120)</f>
        <v>429.507175865372</v>
      </c>
    </row>
    <row r="122" customFormat="false" ht="15" hidden="false" customHeight="false" outlineLevel="0" collapsed="false">
      <c r="A122" s="5" t="s">
        <v>707</v>
      </c>
      <c r="B122" s="5" t="s">
        <v>708</v>
      </c>
      <c r="C122" s="18" t="n">
        <f aca="false">a26_sh</f>
        <v>24.5145</v>
      </c>
      <c r="D122" s="18" t="n">
        <f aca="false">a27_sh</f>
        <v>24.25691339125</v>
      </c>
      <c r="E122" s="18" t="n">
        <f aca="false">D122*(1+sh_g)</f>
        <v>23.965830430555</v>
      </c>
      <c r="F122" s="18" t="n">
        <f aca="false">E122*(1+sh_g)</f>
        <v>23.6782404653883</v>
      </c>
      <c r="G122" s="18" t="n">
        <f aca="false">F122*(1+sh_g)</f>
        <v>23.3941015798037</v>
      </c>
    </row>
    <row r="123" customFormat="false" ht="17.15" hidden="false" customHeight="false" outlineLevel="0" collapsed="false">
      <c r="A123" s="0" t="s">
        <v>650</v>
      </c>
      <c r="B123" s="0" t="s">
        <v>420</v>
      </c>
      <c r="C123" s="20" t="n">
        <f aca="false">C121/C122</f>
        <v>4.58890899376988</v>
      </c>
      <c r="D123" s="20" t="n">
        <f aca="false">D121/D122</f>
        <v>9.05970130196888</v>
      </c>
      <c r="E123" s="20" t="n">
        <f aca="false">E121/E122</f>
        <v>14.7153352636455</v>
      </c>
      <c r="F123" s="20" t="n">
        <f aca="false">F121/F122</f>
        <v>15.8231422227187</v>
      </c>
      <c r="G123" s="20" t="n">
        <f aca="false">G121/G122</f>
        <v>18.3596354149445</v>
      </c>
    </row>
    <row r="124" customFormat="false" ht="17.15" hidden="false" customHeight="false" outlineLevel="0" collapsed="false">
      <c r="A124" s="0" t="s">
        <v>709</v>
      </c>
      <c r="B124" s="0" t="s">
        <v>41</v>
      </c>
      <c r="D124" s="17" t="n">
        <f aca="false">D123/C123-1</f>
        <v>0.974260399207908</v>
      </c>
      <c r="E124" s="17" t="n">
        <f aca="false">E123/D123-1</f>
        <v>0.624262740367334</v>
      </c>
      <c r="F124" s="17" t="n">
        <f aca="false">F123/E123-1</f>
        <v>0.0752824817936788</v>
      </c>
      <c r="G124" s="17" t="n">
        <f aca="false">G123/F123-1</f>
        <v>0.1603027487539</v>
      </c>
    </row>
    <row r="127" customFormat="false" ht="17.15" hidden="false" customHeight="false" outlineLevel="0" collapsed="false">
      <c r="A127" s="4" t="s">
        <v>710</v>
      </c>
    </row>
    <row r="128" customFormat="false" ht="15" hidden="false" customHeight="false" outlineLevel="0" collapsed="false">
      <c r="A128" s="6" t="s">
        <v>19</v>
      </c>
      <c r="B128" s="6" t="s">
        <v>20</v>
      </c>
      <c r="C128" s="12" t="s">
        <v>639</v>
      </c>
      <c r="D128" s="12" t="s">
        <v>640</v>
      </c>
      <c r="E128" s="12" t="s">
        <v>641</v>
      </c>
      <c r="F128" s="12" t="s">
        <v>642</v>
      </c>
      <c r="G128" s="12" t="s">
        <v>643</v>
      </c>
      <c r="H128" s="6" t="s">
        <v>592</v>
      </c>
    </row>
    <row r="129" customFormat="false" ht="17.15" hidden="false" customHeight="false" outlineLevel="0" collapsed="false">
      <c r="A129" s="1" t="s">
        <v>658</v>
      </c>
    </row>
    <row r="130" customFormat="false" ht="17.15" hidden="false" customHeight="false" outlineLevel="0" collapsed="false">
      <c r="A130" s="0" t="s">
        <v>659</v>
      </c>
      <c r="B130" s="0" t="s">
        <v>126</v>
      </c>
      <c r="D130" s="18" t="n">
        <f aca="false">k_rec</f>
        <v>0.828370921864097</v>
      </c>
      <c r="E130" s="18" t="n">
        <f aca="false">k_rec*1</f>
        <v>0.828370921864097</v>
      </c>
      <c r="F130" s="18" t="n">
        <f aca="false">k_rec*1</f>
        <v>0.828370921864097</v>
      </c>
      <c r="G130" s="18" t="n">
        <f aca="false">k_rec*1</f>
        <v>0.828370921864097</v>
      </c>
    </row>
    <row r="131" customFormat="false" ht="17.15" hidden="false" customHeight="false" outlineLevel="0" collapsed="false">
      <c r="A131" s="0" t="s">
        <v>660</v>
      </c>
      <c r="B131" s="5" t="s">
        <v>30</v>
      </c>
      <c r="D131" s="20" t="n">
        <f aca="false">(u_bw_26)*D130</f>
        <v>4.47320297806612</v>
      </c>
      <c r="E131" s="20" t="n">
        <f aca="false">(u_bw_27)*E130</f>
        <v>1.98809021247383</v>
      </c>
      <c r="F131" s="20" t="n">
        <f aca="false">(u_bw_28*um28_B)*F130</f>
        <v>0.331348368745639</v>
      </c>
      <c r="G131" s="20" t="n">
        <f aca="false">(u_bw_28*(1+g29_bw)*um29_B)*G130</f>
        <v>0.176028820896121</v>
      </c>
    </row>
    <row r="132" customFormat="false" ht="17.15" hidden="false" customHeight="false" outlineLevel="0" collapsed="false">
      <c r="A132" s="0" t="s">
        <v>661</v>
      </c>
      <c r="B132" s="5" t="s">
        <v>30</v>
      </c>
      <c r="D132" s="20" t="n">
        <f aca="false">(u_rb_26)*D130</f>
        <v>1.40823056716896</v>
      </c>
      <c r="E132" s="20" t="n">
        <f aca="false">(u_rb_27)*E130</f>
        <v>5.79859645304868</v>
      </c>
      <c r="F132" s="20" t="n">
        <f aca="false">(u_rb_28*um28_B)*F130</f>
        <v>4.63887716243894</v>
      </c>
      <c r="G132" s="20" t="n">
        <f aca="false">(u_rb_28*(1+g29_rb)*um29_B)*G130</f>
        <v>5.66812803285508</v>
      </c>
    </row>
    <row r="133" customFormat="false" ht="17.15" hidden="false" customHeight="false" outlineLevel="0" collapsed="false">
      <c r="A133" s="0" t="s">
        <v>662</v>
      </c>
      <c r="B133" s="5" t="s">
        <v>30</v>
      </c>
      <c r="D133" s="20" t="n">
        <f aca="false">(u_ru_26)*D130</f>
        <v>0</v>
      </c>
      <c r="E133" s="20" t="n">
        <f aca="false">(u_ru_27)*E130</f>
        <v>0.248511276559229</v>
      </c>
      <c r="F133" s="20" t="n">
        <f aca="false">(u_ru_28*um28_B)*F130</f>
        <v>1.32539347498256</v>
      </c>
      <c r="G133" s="20" t="n">
        <f aca="false">(u_ru_28*(1+g29_ru)*um29_B)*G130</f>
        <v>1.61946515224431</v>
      </c>
    </row>
    <row r="134" customFormat="false" ht="17.15" hidden="false" customHeight="false" outlineLevel="0" collapsed="false">
      <c r="A134" s="0" t="s">
        <v>663</v>
      </c>
      <c r="B134" s="5" t="s">
        <v>30</v>
      </c>
      <c r="D134" s="20" t="n">
        <f aca="false">(u_hp_26)*D130</f>
        <v>0.414185460932049</v>
      </c>
      <c r="E134" s="20" t="n">
        <f aca="false">(u_hp_27)*E130</f>
        <v>0</v>
      </c>
      <c r="F134" s="20" t="n">
        <f aca="false">(u_hp_28*um28_B)*F130</f>
        <v>0</v>
      </c>
      <c r="G134" s="20" t="n">
        <f aca="false">(u_hp_28*(1+g29_hp)*um29_B)*G130</f>
        <v>0</v>
      </c>
    </row>
    <row r="135" customFormat="false" ht="17.15" hidden="false" customHeight="false" outlineLevel="0" collapsed="false">
      <c r="A135" s="0" t="s">
        <v>664</v>
      </c>
      <c r="B135" s="5" t="s">
        <v>30</v>
      </c>
      <c r="D135" s="20" t="n">
        <f aca="false">SUM(D131:D134)</f>
        <v>6.29561900616714</v>
      </c>
      <c r="E135" s="20" t="n">
        <f aca="false">SUM(E131:E134)</f>
        <v>8.03519794208174</v>
      </c>
      <c r="F135" s="20" t="n">
        <f aca="false">SUM(F131:F134)</f>
        <v>6.29561900616714</v>
      </c>
      <c r="G135" s="20" t="n">
        <f aca="false">SUM(G131:G134)</f>
        <v>7.46362200599551</v>
      </c>
      <c r="H135" s="8" t="s">
        <v>665</v>
      </c>
    </row>
    <row r="136" customFormat="false" ht="17.15" hidden="false" customHeight="false" outlineLevel="0" collapsed="false">
      <c r="A136" s="0" t="s">
        <v>666</v>
      </c>
      <c r="B136" s="0" t="s">
        <v>174</v>
      </c>
      <c r="D136" s="20" t="n">
        <f aca="false">1*(pm_bw+pcpu_bw+plp_bw+k_tray*pres_bw)+(1-abs_mem)*(gb_bw_26*hpx_bw*(hbm_B_26/hbm_B_26-1)/1000+plp_bw*(cdx_B_26/cdx_B_26-1))</f>
        <v>47.005555</v>
      </c>
      <c r="E136" s="20" t="n">
        <f aca="false">1*(pm_bw+pcpu_bw+plp_bw+k_tray*pres_bw)+(1-abs_mem)*(gb_bw_27*hpx_bw*(hbm_B_27/hbm_B_26-1)/1000+plp_bw*(cdx_B_27/cdx_B_26-1))</f>
        <v>49.1356784747552</v>
      </c>
      <c r="F136" s="20" t="n">
        <f aca="false">1*(pm_bw+pcpu_bw+plp_bw+k_tray*pres_bw)+(1-abs_mem)*(gb_bw_28*hpx_bw*(hbm_B_28/hbm_B_26-1)/1000+plp_bw*(cdx_B_28/cdx_B_26-1))</f>
        <v>47.278652177613</v>
      </c>
      <c r="G136" s="20" t="n">
        <f aca="false">1*(pm_bw+pcpu_bw+plp_bw+k_tray*pres_bw)+(1-abs_mem)*(gb_bw_28*hpx_bw*(hbm_B_29/hbm_B_26-1)/1000+plp_bw*(cdx_B_29/cdx_B_26-1))</f>
        <v>47.2472848063946</v>
      </c>
      <c r="H136" s="5" t="s">
        <v>667</v>
      </c>
    </row>
    <row r="137" customFormat="false" ht="17.15" hidden="false" customHeight="false" outlineLevel="0" collapsed="false">
      <c r="A137" s="0" t="s">
        <v>668</v>
      </c>
      <c r="B137" s="0" t="s">
        <v>174</v>
      </c>
      <c r="D137" s="20" t="n">
        <f aca="false">1*(pm_rb+pcpu_rb+plp_rb+k_tray*pres_rb)+(1-abs_mem)*(gb_rb_26*hpx_rb*(hbm_B_26/hbm_B_26-1)/1000+plp_rb*(cdx_B_26/cdx_B_26-1))</f>
        <v>72.166667</v>
      </c>
      <c r="E137" s="20" t="n">
        <f aca="false">1*(pm_rb+pcpu_rb+plp_rb+k_tray*pres_rb)+(1-abs_mem)*(gb_rb_27*hpx_rb*(hbm_B_27/hbm_B_26-1)/1000+plp_rb*(cdx_B_27/cdx_B_26-1))</f>
        <v>74.7396516977171</v>
      </c>
      <c r="F137" s="20" t="n">
        <f aca="false">1*(pm_rb+pcpu_rb+plp_rb+k_tray*pres_rb)+(1-abs_mem)*(gb_rb_28*hpx_rb*(hbm_B_28/hbm_B_26-1)/1000+plp_rb*(cdx_B_28/cdx_B_26-1))</f>
        <v>72.1714715683793</v>
      </c>
      <c r="G137" s="20" t="n">
        <f aca="false">1*(pm_rb+pcpu_rb+plp_rb+k_tray*pres_rb)+(1-abs_mem)*(gb_rb_28*hpx_rb*(hbm_B_29/hbm_B_26-1)/1000+plp_rb*(cdx_B_29/cdx_B_26-1))</f>
        <v>72.1198076508205</v>
      </c>
    </row>
    <row r="138" customFormat="false" ht="17.15" hidden="false" customHeight="false" outlineLevel="0" collapsed="false">
      <c r="A138" s="0" t="s">
        <v>669</v>
      </c>
      <c r="B138" s="0" t="s">
        <v>174</v>
      </c>
      <c r="D138" s="20" t="n">
        <f aca="false">1*(pm_ru+pcpu_ru+plp_ru+k_tray*pres_ru)+(1-abs_mem)*(gb_ru_26*hpx_ru*(hbm_B_26/hbm_B_26-1)/1000+plp_ru*(cdx_B_26/cdx_B_26-1))</f>
        <v>92.166667</v>
      </c>
      <c r="E138" s="20" t="n">
        <f aca="false">1*(pm_ru+pcpu_ru+plp_ru+k_tray*pres_ru)+(1-abs_mem)*(gb_ru_27*hpx_ru*(hbm_B_27/hbm_B_26-1)/1000+plp_ru*(cdx_B_27/cdx_B_26-1))</f>
        <v>99.6561316977171</v>
      </c>
      <c r="F138" s="20" t="n">
        <f aca="false">1*(pm_ru+pcpu_ru+plp_ru+k_tray*pres_ru)+(1-abs_mem)*(gb_ru_28*hpx_ru*(hbm_B_28/hbm_B_26-1)/1000+plp_ru*(cdx_B_28/cdx_B_26-1))</f>
        <v>94.3224315683793</v>
      </c>
      <c r="G138" s="20" t="n">
        <f aca="false">1*(pm_ru+pcpu_ru+plp_ru+k_tray*pres_ru)+(1-abs_mem)*(gb_ru_28*hpx_ru*(hbm_B_29/hbm_B_26-1)/1000+plp_ru*(cdx_B_29/cdx_B_26-1))</f>
        <v>94.2707676508205</v>
      </c>
    </row>
    <row r="139" customFormat="false" ht="17.15" hidden="false" customHeight="false" outlineLevel="0" collapsed="false">
      <c r="A139" s="0" t="s">
        <v>670</v>
      </c>
      <c r="B139" s="0" t="s">
        <v>174</v>
      </c>
      <c r="D139" s="20" t="n">
        <f aca="false">1*(pm_hp+pcpu_hp+plp_hp+k_tray*pres_hp)+(1-abs_mem)*(gb_hp_26*hpx_hp*(hbm_B_26/hbm_B_26-1)/1000+plp_hp*(cdx_B_26/cdx_B_26-1))</f>
        <v>30</v>
      </c>
      <c r="E139" s="20" t="n">
        <f aca="false">1*(pm_hp+pcpu_hp+plp_hp+k_tray*pres_hp)+(1-abs_mem)*(gb_hp_27*hpx_hp*(hbm_B_27/hbm_B_26-1)/1000+plp_hp*(cdx_B_27/cdx_B_26-1))</f>
        <v>30.8742</v>
      </c>
      <c r="F139" s="20" t="n">
        <f aca="false">1*(pm_hp+pcpu_hp+plp_hp+k_tray*pres_hp)+(1-abs_mem)*(gb_hp_28*hpx_hp*(hbm_B_28/hbm_B_26-1)/1000+plp_hp*(cdx_B_28/cdx_B_26-1))</f>
        <v>30.3824625</v>
      </c>
      <c r="G139" s="20" t="n">
        <f aca="false">1*(pm_hp+pcpu_hp+plp_hp+k_tray*pres_hp)+(1-abs_mem)*(gb_hp_28*hpx_hp*(hbm_B_29/hbm_B_26-1)/1000+plp_hp*(cdx_B_29/cdx_B_26-1))</f>
        <v>30.3824625</v>
      </c>
    </row>
    <row r="140" customFormat="false" ht="17.15" hidden="false" customHeight="false" outlineLevel="0" collapsed="false">
      <c r="A140" s="0" t="s">
        <v>671</v>
      </c>
      <c r="B140" s="0" t="s">
        <v>174</v>
      </c>
      <c r="D140" s="20" t="n">
        <f aca="false">gb_bw_26*hpx_bw*hbm_B_26/hbm_B_26/1000</f>
        <v>4.03</v>
      </c>
      <c r="E140" s="20" t="n">
        <f aca="false">gb_bw_27*hpx_bw*hbm_B_27/hbm_B_26/1000</f>
        <v>7.812</v>
      </c>
      <c r="F140" s="20" t="n">
        <f aca="false">gb_bw_28*hpx_bw*hbm_B_28/hbm_B_26/1000</f>
        <v>6.0264</v>
      </c>
      <c r="G140" s="20" t="n">
        <f aca="false">gb_bw_28*hpx_bw*hbm_B_29/hbm_B_26/1000</f>
        <v>6.0264</v>
      </c>
      <c r="H140" s="5" t="s">
        <v>672</v>
      </c>
    </row>
    <row r="141" customFormat="false" ht="17.15" hidden="false" customHeight="false" outlineLevel="0" collapsed="false">
      <c r="A141" s="0" t="s">
        <v>673</v>
      </c>
      <c r="B141" s="0" t="s">
        <v>174</v>
      </c>
      <c r="D141" s="20" t="n">
        <f aca="false">gb_rb_26*hpx_rb*hbm_B_26/hbm_B_26/1000</f>
        <v>4.8096</v>
      </c>
      <c r="E141" s="20" t="n">
        <f aca="false">gb_rb_27*hpx_rb*hbm_B_27/hbm_B_26/1000</f>
        <v>8.65728</v>
      </c>
      <c r="F141" s="20" t="n">
        <f aca="false">gb_rb_28*hpx_rb*hbm_B_28/hbm_B_26/1000</f>
        <v>6.49296</v>
      </c>
      <c r="G141" s="20" t="n">
        <f aca="false">gb_rb_28*hpx_rb*hbm_B_29/hbm_B_26/1000</f>
        <v>6.49296</v>
      </c>
    </row>
    <row r="142" customFormat="false" ht="17.15" hidden="false" customHeight="false" outlineLevel="0" collapsed="false">
      <c r="A142" s="0" t="s">
        <v>674</v>
      </c>
      <c r="B142" s="0" t="s">
        <v>174</v>
      </c>
      <c r="D142" s="20" t="n">
        <f aca="false">gb_ru_26*hpx_ru*hbm_B_26/hbm_B_26/1000</f>
        <v>17.1008</v>
      </c>
      <c r="E142" s="20" t="n">
        <f aca="false">gb_ru_27*hpx_ru*hbm_B_27/hbm_B_26/1000</f>
        <v>30.78144</v>
      </c>
      <c r="F142" s="20" t="n">
        <f aca="false">gb_ru_28*hpx_ru*hbm_B_28/hbm_B_26/1000</f>
        <v>23.08608</v>
      </c>
      <c r="G142" s="20" t="n">
        <f aca="false">gb_ru_28*hpx_ru*hbm_B_29/hbm_B_26/1000</f>
        <v>23.08608</v>
      </c>
    </row>
    <row r="143" customFormat="false" ht="17.15" hidden="false" customHeight="false" outlineLevel="0" collapsed="false">
      <c r="A143" s="0" t="s">
        <v>675</v>
      </c>
      <c r="B143" s="0" t="s">
        <v>174</v>
      </c>
      <c r="D143" s="20" t="n">
        <f aca="false">gb_hp_26*hpx_hp*hbm_B_26/hbm_B_26/1000</f>
        <v>2.1855</v>
      </c>
      <c r="E143" s="20" t="n">
        <f aca="false">gb_hp_27*hpx_hp*hbm_B_27/hbm_B_26/1000</f>
        <v>3.9339</v>
      </c>
      <c r="F143" s="20" t="n">
        <f aca="false">gb_hp_28*hpx_hp*hbm_B_28/hbm_B_26/1000</f>
        <v>2.950425</v>
      </c>
      <c r="G143" s="20" t="n">
        <f aca="false">gb_hp_28*hpx_hp*hbm_B_29/hbm_B_26/1000</f>
        <v>2.950425</v>
      </c>
    </row>
    <row r="144" customFormat="false" ht="17.15" hidden="false" customHeight="false" outlineLevel="0" collapsed="false">
      <c r="A144" s="0" t="s">
        <v>676</v>
      </c>
      <c r="B144" s="0" t="s">
        <v>174</v>
      </c>
      <c r="D144" s="20" t="n">
        <f aca="false">1*c_nh*(pm_bw+pcpu_bw+plp_bw+k_tray*pres_bw)+D140+plp_bw*(cdx_B_26/cdx_B_26-1)</f>
        <v>11.8212823332139</v>
      </c>
      <c r="E144" s="20" t="n">
        <f aca="false">1*c_nh*(pm_bw+pcpu_bw+plp_bw+k_tray*pres_bw)+E140+plp_bw*(cdx_B_27/cdx_B_26-1)</f>
        <v>16.3915292827243</v>
      </c>
      <c r="F144" s="20" t="n">
        <f aca="false">1*c_nh*(pm_bw+pcpu_bw+plp_bw+k_tray*pres_bw)+F140+plp_bw*(cdx_B_28/cdx_B_26-1)</f>
        <v>12.8014766884398</v>
      </c>
      <c r="G144" s="20" t="n">
        <f aca="false">1*c_nh*(pm_bw+pcpu_bw+plp_bw+k_tray*pres_bw)+G140+plp_bw*(cdx_B_29/cdx_B_26-1)</f>
        <v>12.738741946003</v>
      </c>
      <c r="H144" s="5" t="s">
        <v>677</v>
      </c>
    </row>
    <row r="145" customFormat="false" ht="17.15" hidden="false" customHeight="false" outlineLevel="0" collapsed="false">
      <c r="A145" s="0" t="s">
        <v>678</v>
      </c>
      <c r="B145" s="0" t="s">
        <v>174</v>
      </c>
      <c r="D145" s="20" t="n">
        <f aca="false">1*c_nh*(pm_rb+pcpu_rb+plp_rb+k_tray*pres_rb)+D141+plp_rb*(cdx_B_26/cdx_B_26-1)</f>
        <v>16.7713963801093</v>
      </c>
      <c r="E145" s="20" t="n">
        <f aca="false">1*c_nh*(pm_rb+pcpu_rb+plp_rb+k_tray*pres_rb)+E141+plp_rb*(cdx_B_27/cdx_B_26-1)</f>
        <v>21.9173657755435</v>
      </c>
      <c r="F145" s="20" t="n">
        <f aca="false">1*c_nh*(pm_rb+pcpu_rb+plp_rb+k_tray*pres_rb)+F141+plp_rb*(cdx_B_28/cdx_B_26-1)</f>
        <v>16.7810055168678</v>
      </c>
      <c r="G145" s="20" t="n">
        <f aca="false">1*c_nh*(pm_rb+pcpu_rb+plp_rb+k_tray*pres_rb)+G141+plp_rb*(cdx_B_29/cdx_B_26-1)</f>
        <v>16.6776776817502</v>
      </c>
    </row>
    <row r="146" customFormat="false" ht="17.15" hidden="false" customHeight="false" outlineLevel="0" collapsed="false">
      <c r="A146" s="0" t="s">
        <v>679</v>
      </c>
      <c r="B146" s="0" t="s">
        <v>174</v>
      </c>
      <c r="D146" s="20" t="n">
        <f aca="false">1*c_nh*(pm_ru+pcpu_ru+plp_ru+k_tray*pres_ru)+D142+plp_ru*(cdx_B_26/cdx_B_26-1)</f>
        <v>32.3776438604396</v>
      </c>
      <c r="E146" s="20" t="n">
        <f aca="false">1*c_nh*(pm_ru+pcpu_ru+plp_ru+k_tray*pres_ru)+E142+plp_ru*(cdx_B_27/cdx_B_26-1)</f>
        <v>47.3565732558738</v>
      </c>
      <c r="F146" s="20" t="n">
        <f aca="false">1*c_nh*(pm_ru+pcpu_ru+plp_ru+k_tray*pres_ru)+F142+plp_ru*(cdx_B_28/cdx_B_26-1)</f>
        <v>36.6891729971981</v>
      </c>
      <c r="G146" s="20" t="n">
        <f aca="false">1*c_nh*(pm_ru+pcpu_ru+plp_ru+k_tray*pres_ru)+G142+plp_ru*(cdx_B_29/cdx_B_26-1)</f>
        <v>36.5858451620805</v>
      </c>
    </row>
    <row r="147" customFormat="false" ht="17.15" hidden="false" customHeight="false" outlineLevel="0" collapsed="false">
      <c r="A147" s="0" t="s">
        <v>680</v>
      </c>
      <c r="B147" s="0" t="s">
        <v>174</v>
      </c>
      <c r="D147" s="20" t="n">
        <f aca="false">1*c_nh*(pm_hp+pcpu_hp+plp_hp+k_tray*pres_hp)+D143+plp_hp*(cdx_B_26/cdx_B_26-1)</f>
        <v>7.15807122049545</v>
      </c>
      <c r="E147" s="20" t="n">
        <f aca="false">1*c_nh*(pm_hp+pcpu_hp+plp_hp+k_tray*pres_hp)+E143+plp_hp*(cdx_B_27/cdx_B_26-1)</f>
        <v>8.90647122049545</v>
      </c>
      <c r="F147" s="20" t="n">
        <f aca="false">1*c_nh*(pm_hp+pcpu_hp+plp_hp+k_tray*pres_hp)+F143+plp_hp*(cdx_B_28/cdx_B_26-1)</f>
        <v>7.92299622049545</v>
      </c>
      <c r="G147" s="20" t="n">
        <f aca="false">1*c_nh*(pm_hp+pcpu_hp+plp_hp+k_tray*pres_hp)+G143+plp_hp*(cdx_B_29/cdx_B_26-1)</f>
        <v>7.92299622049545</v>
      </c>
    </row>
    <row r="148" customFormat="false" ht="17.15" hidden="false" customHeight="false" outlineLevel="0" collapsed="false">
      <c r="A148" s="0" t="s">
        <v>681</v>
      </c>
      <c r="B148" s="0" t="s">
        <v>309</v>
      </c>
      <c r="D148" s="16" t="n">
        <f aca="false">D131*D136</f>
        <v>210.265388611651</v>
      </c>
      <c r="E148" s="16" t="n">
        <f aca="false">E131*E136</f>
        <v>97.686161458922</v>
      </c>
      <c r="F148" s="16" t="n">
        <f aca="false">F131*F136</f>
        <v>15.6657042755445</v>
      </c>
      <c r="G148" s="16" t="n">
        <f aca="false">G131*G136</f>
        <v>8.31688383501283</v>
      </c>
    </row>
    <row r="149" customFormat="false" ht="17.15" hidden="false" customHeight="false" outlineLevel="0" collapsed="false">
      <c r="A149" s="0" t="s">
        <v>682</v>
      </c>
      <c r="B149" s="0" t="s">
        <v>309</v>
      </c>
      <c r="D149" s="16" t="n">
        <f aca="false">D132*D137</f>
        <v>101.627306400104</v>
      </c>
      <c r="E149" s="16" t="n">
        <f aca="false">E132*E137</f>
        <v>433.385079236476</v>
      </c>
      <c r="F149" s="16" t="n">
        <f aca="false">F132*F137</f>
        <v>334.794591238166</v>
      </c>
      <c r="G149" s="16" t="n">
        <f aca="false">G132*G137</f>
        <v>408.784303469732</v>
      </c>
    </row>
    <row r="150" customFormat="false" ht="17.15" hidden="false" customHeight="false" outlineLevel="0" collapsed="false">
      <c r="A150" s="0" t="s">
        <v>683</v>
      </c>
      <c r="B150" s="0" t="s">
        <v>309</v>
      </c>
      <c r="D150" s="16" t="n">
        <f aca="false">D133*D138</f>
        <v>0</v>
      </c>
      <c r="E150" s="16" t="n">
        <f aca="false">E133*E138</f>
        <v>24.7656725051543</v>
      </c>
      <c r="F150" s="16" t="n">
        <f aca="false">F133*F138</f>
        <v>125.014335345218</v>
      </c>
      <c r="G150" s="16" t="n">
        <f aca="false">G133*G138</f>
        <v>152.668223085824</v>
      </c>
    </row>
    <row r="151" customFormat="false" ht="17.15" hidden="false" customHeight="false" outlineLevel="0" collapsed="false">
      <c r="A151" s="0" t="s">
        <v>684</v>
      </c>
      <c r="B151" s="0" t="s">
        <v>309</v>
      </c>
      <c r="D151" s="16" t="n">
        <f aca="false">D134*D139</f>
        <v>12.4255638279615</v>
      </c>
      <c r="E151" s="16" t="n">
        <f aca="false">E134*E139</f>
        <v>0</v>
      </c>
      <c r="F151" s="16" t="n">
        <f aca="false">F134*F139</f>
        <v>0</v>
      </c>
      <c r="G151" s="16" t="n">
        <f aca="false">G134*G139</f>
        <v>0</v>
      </c>
    </row>
    <row r="152" customFormat="false" ht="17.15" hidden="false" customHeight="false" outlineLevel="0" collapsed="false">
      <c r="A152" s="5" t="s">
        <v>685</v>
      </c>
      <c r="B152" s="0" t="s">
        <v>309</v>
      </c>
      <c r="D152" s="16" t="n">
        <f aca="false">SUM(D148:D151)</f>
        <v>324.318258839716</v>
      </c>
      <c r="E152" s="16" t="n">
        <f aca="false">SUM(E148:E151)</f>
        <v>555.836913200553</v>
      </c>
      <c r="F152" s="16" t="n">
        <f aca="false">SUM(F148:F151)</f>
        <v>475.474630858929</v>
      </c>
      <c r="G152" s="16" t="n">
        <f aca="false">SUM(G148:G151)</f>
        <v>569.769410390569</v>
      </c>
    </row>
    <row r="153" customFormat="false" ht="15" hidden="false" customHeight="false" outlineLevel="0" collapsed="false">
      <c r="A153" s="5" t="s">
        <v>686</v>
      </c>
      <c r="B153" s="0" t="s">
        <v>309</v>
      </c>
      <c r="D153" s="16" t="n">
        <f aca="false">D131*D144+D132*D145+D133*D146+D134*D147</f>
        <v>79.4617574019149</v>
      </c>
      <c r="E153" s="16" t="n">
        <f aca="false">E131*E144+E132*E145+E133*E146+E134*E147</f>
        <v>171.446440853987</v>
      </c>
      <c r="F153" s="16" t="n">
        <f aca="false">F131*F144+F132*F145+F133*F146+F134*F147</f>
        <v>130.714362166203</v>
      </c>
      <c r="G153" s="16" t="n">
        <f aca="false">G131*G144+G132*G145+G133*G146+G134*G147</f>
        <v>156.0230994207</v>
      </c>
    </row>
    <row r="154" customFormat="false" ht="17.15" hidden="false" customHeight="false" outlineLevel="0" collapsed="false">
      <c r="A154" s="5" t="s">
        <v>687</v>
      </c>
      <c r="B154" s="0" t="s">
        <v>309</v>
      </c>
      <c r="D154" s="16" t="n">
        <f aca="false">D131*D140+D132*D141+D133*D142+D134*D143</f>
        <v>25.7052360623293</v>
      </c>
      <c r="E154" s="16" t="n">
        <f aca="false">E131*E140+E132*E141+E133*E142+E134*E143</f>
        <v>73.3805687896262</v>
      </c>
      <c r="F154" s="16" t="n">
        <f aca="false">F131*F140+F132*F141+F133*F142+F134*F143</f>
        <v>62.7150214649636</v>
      </c>
      <c r="G154" s="16" t="n">
        <f aca="false">G131*G140+G132*G141+G133*G142+G134*G143</f>
        <v>75.2508507403794</v>
      </c>
    </row>
    <row r="155" customFormat="false" ht="17.15" hidden="false" customHeight="false" outlineLevel="0" collapsed="false">
      <c r="A155" s="5" t="s">
        <v>688</v>
      </c>
      <c r="B155" s="0" t="s">
        <v>309</v>
      </c>
      <c r="D155" s="16" t="n">
        <f aca="false">0</f>
        <v>0</v>
      </c>
      <c r="E155" s="16" t="n">
        <f aca="false">0</f>
        <v>0</v>
      </c>
      <c r="F155" s="16" t="n">
        <f aca="false">0</f>
        <v>0</v>
      </c>
      <c r="G155" s="16" t="n">
        <f aca="false">0</f>
        <v>0</v>
      </c>
    </row>
    <row r="156" customFormat="false" ht="15" hidden="false" customHeight="false" outlineLevel="0" collapsed="false">
      <c r="A156" s="5" t="s">
        <v>689</v>
      </c>
      <c r="B156" s="0" t="s">
        <v>309</v>
      </c>
      <c r="D156" s="16" t="n">
        <f aca="false">D155*D153/D152</f>
        <v>0</v>
      </c>
      <c r="E156" s="16" t="n">
        <f aca="false">E155*E153/E152</f>
        <v>0</v>
      </c>
      <c r="F156" s="16" t="n">
        <f aca="false">F155*F153/F152</f>
        <v>0</v>
      </c>
      <c r="G156" s="16" t="n">
        <f aca="false">G155*G153/G152</f>
        <v>0</v>
      </c>
    </row>
    <row r="157" customFormat="false" ht="17.15" hidden="false" customHeight="false" outlineLevel="0" collapsed="false">
      <c r="A157" s="0" t="s">
        <v>690</v>
      </c>
      <c r="B157" s="0" t="s">
        <v>309</v>
      </c>
      <c r="D157" s="16" t="n">
        <f aca="false">net_26*1*D130</f>
        <v>51.1385386602837</v>
      </c>
      <c r="E157" s="16" t="n">
        <f aca="false">net_27*1*E130</f>
        <v>101.465551321399</v>
      </c>
      <c r="F157" s="16" t="n">
        <f aca="false">net_28*um28_B*F130</f>
        <v>91.8609011214809</v>
      </c>
      <c r="G157" s="16" t="n">
        <f aca="false">net_29*um29_B*G130</f>
        <v>110.757131674695</v>
      </c>
      <c r="H157" s="8" t="s">
        <v>691</v>
      </c>
    </row>
    <row r="158" customFormat="false" ht="17.15" hidden="false" customHeight="false" outlineLevel="0" collapsed="false">
      <c r="A158" s="5" t="s">
        <v>692</v>
      </c>
      <c r="B158" s="0" t="s">
        <v>309</v>
      </c>
      <c r="D158" s="16" t="n">
        <f aca="false">c_net*D157</f>
        <v>15.3415615980851</v>
      </c>
      <c r="E158" s="16" t="n">
        <f aca="false">c_net*E157</f>
        <v>30.4396653964198</v>
      </c>
      <c r="F158" s="16" t="n">
        <f aca="false">c_net*F157</f>
        <v>27.5582703364443</v>
      </c>
      <c r="G158" s="16" t="n">
        <f aca="false">c_net*G157</f>
        <v>33.2271395024085</v>
      </c>
    </row>
    <row r="159" customFormat="false" ht="17.15" hidden="false" customHeight="false" outlineLevel="0" collapsed="false">
      <c r="A159" s="0" t="s">
        <v>693</v>
      </c>
      <c r="B159" s="0" t="s">
        <v>309</v>
      </c>
      <c r="D159" s="16" t="n">
        <f aca="false">a27_edge</f>
        <v>29.1792025</v>
      </c>
      <c r="E159" s="16" t="n">
        <f aca="false">D159*(1+eg)</f>
        <v>31.5135387</v>
      </c>
      <c r="F159" s="16" t="n">
        <f aca="false">E159*(1+eg)</f>
        <v>34.034621796</v>
      </c>
      <c r="G159" s="16" t="n">
        <f aca="false">F159*(1+eg)</f>
        <v>36.75739153968</v>
      </c>
    </row>
    <row r="160" customFormat="false" ht="17.15" hidden="false" customHeight="false" outlineLevel="0" collapsed="false">
      <c r="A160" s="0" t="s">
        <v>694</v>
      </c>
      <c r="B160" s="0" t="s">
        <v>309</v>
      </c>
      <c r="D160" s="16" t="n">
        <f aca="false">(1-gm_edge)*D159</f>
        <v>11.671681</v>
      </c>
      <c r="E160" s="16" t="n">
        <f aca="false">(1-gm_edge)*E159</f>
        <v>12.60541548</v>
      </c>
      <c r="F160" s="16" t="n">
        <f aca="false">(1-gm_edge)*F159</f>
        <v>13.6138487184</v>
      </c>
      <c r="G160" s="16" t="n">
        <f aca="false">(1-gm_edge)*G159</f>
        <v>14.702956615872</v>
      </c>
    </row>
    <row r="161" customFormat="false" ht="15" hidden="false" customHeight="false" outlineLevel="0" collapsed="false">
      <c r="A161" s="5" t="s">
        <v>695</v>
      </c>
      <c r="B161" s="0" t="s">
        <v>309</v>
      </c>
      <c r="D161" s="16" t="n">
        <f aca="false">D152+D155+D157+D159</f>
        <v>404.636</v>
      </c>
      <c r="E161" s="16" t="n">
        <f aca="false">E152+E155+E157+E159</f>
        <v>688.816003221952</v>
      </c>
      <c r="F161" s="16" t="n">
        <f aca="false">F152+F155+F157+F159</f>
        <v>601.37015377641</v>
      </c>
      <c r="G161" s="16" t="n">
        <f aca="false">G152+G155+G157+G159</f>
        <v>717.283933604944</v>
      </c>
    </row>
    <row r="162" customFormat="false" ht="15" hidden="false" customHeight="false" outlineLevel="0" collapsed="false">
      <c r="A162" s="5" t="s">
        <v>696</v>
      </c>
      <c r="B162" s="0" t="s">
        <v>309</v>
      </c>
      <c r="D162" s="16" t="n">
        <f aca="false">D153+D156+D158+D160</f>
        <v>106.475</v>
      </c>
      <c r="E162" s="16" t="n">
        <f aca="false">E153+E156+E158+E160</f>
        <v>214.491521730407</v>
      </c>
      <c r="F162" s="16" t="n">
        <f aca="false">F153+F156+F158+F160</f>
        <v>171.886481221047</v>
      </c>
      <c r="G162" s="16" t="n">
        <f aca="false">G153+G156+G158+G160</f>
        <v>203.953195538981</v>
      </c>
    </row>
    <row r="163" customFormat="false" ht="17.15" hidden="false" customHeight="false" outlineLevel="0" collapsed="false">
      <c r="A163" s="5" t="s">
        <v>697</v>
      </c>
      <c r="B163" s="0" t="s">
        <v>41</v>
      </c>
      <c r="D163" s="17" t="n">
        <f aca="false">1-D162/D161</f>
        <v>0.736862266333198</v>
      </c>
      <c r="E163" s="17" t="n">
        <f aca="false">1-E162/E161</f>
        <v>0.688608393639058</v>
      </c>
      <c r="F163" s="17" t="n">
        <f aca="false">1-F162/F161</f>
        <v>0.714175237760545</v>
      </c>
      <c r="G163" s="17" t="n">
        <f aca="false">1-G162/G161</f>
        <v>0.715659049389343</v>
      </c>
      <c r="H163" s="8" t="s">
        <v>698</v>
      </c>
    </row>
    <row r="164" customFormat="false" ht="17.15" hidden="false" customHeight="false" outlineLevel="0" collapsed="false">
      <c r="A164" s="0" t="s">
        <v>699</v>
      </c>
      <c r="B164" s="0" t="s">
        <v>41</v>
      </c>
      <c r="D164" s="17" t="n">
        <f aca="false">D154/D161</f>
        <v>0.0635268143771917</v>
      </c>
      <c r="E164" s="17" t="n">
        <f aca="false">E154/E161</f>
        <v>0.106531451717711</v>
      </c>
      <c r="F164" s="17" t="n">
        <f aca="false">F154/F161</f>
        <v>0.104286887320785</v>
      </c>
      <c r="G164" s="17" t="n">
        <f aca="false">G154/G161</f>
        <v>0.104910827100479</v>
      </c>
    </row>
    <row r="165" customFormat="false" ht="17.15" hidden="false" customHeight="false" outlineLevel="0" collapsed="false">
      <c r="A165" s="1" t="s">
        <v>700</v>
      </c>
    </row>
    <row r="166" customFormat="false" ht="15" hidden="false" customHeight="false" outlineLevel="0" collapsed="false">
      <c r="A166" s="5" t="s">
        <v>527</v>
      </c>
      <c r="B166" s="0" t="s">
        <v>309</v>
      </c>
      <c r="C166" s="16" t="n">
        <f aca="false">a26_rev</f>
        <v>215.938</v>
      </c>
      <c r="D166" s="16" t="n">
        <f aca="false">a27_rev</f>
        <v>404.636</v>
      </c>
      <c r="E166" s="16" t="n">
        <f aca="false">E161</f>
        <v>688.816003221952</v>
      </c>
      <c r="F166" s="16" t="n">
        <f aca="false">F161</f>
        <v>601.37015377641</v>
      </c>
      <c r="G166" s="16" t="n">
        <f aca="false">G161</f>
        <v>717.283933604944</v>
      </c>
    </row>
    <row r="167" customFormat="false" ht="17.15" hidden="false" customHeight="false" outlineLevel="0" collapsed="false">
      <c r="A167" s="0" t="s">
        <v>701</v>
      </c>
      <c r="B167" s="0" t="s">
        <v>309</v>
      </c>
      <c r="C167" s="16" t="n">
        <f aca="false">a26_dc</f>
        <v>193.7</v>
      </c>
      <c r="D167" s="16" t="n">
        <f aca="false">a27_dc</f>
        <v>375.4567975</v>
      </c>
      <c r="E167" s="16" t="n">
        <f aca="false">E152+E155+E157</f>
        <v>657.302464521952</v>
      </c>
      <c r="F167" s="16" t="n">
        <f aca="false">F152+F155+F157</f>
        <v>567.33553198041</v>
      </c>
      <c r="G167" s="16" t="n">
        <f aca="false">G152+G155+G157</f>
        <v>680.526542065264</v>
      </c>
    </row>
    <row r="168" customFormat="false" ht="15" hidden="false" customHeight="false" outlineLevel="0" collapsed="false">
      <c r="A168" s="0" t="s">
        <v>647</v>
      </c>
      <c r="B168" s="0" t="s">
        <v>309</v>
      </c>
      <c r="C168" s="16" t="n">
        <f aca="false">a26_edge</f>
        <v>22.238</v>
      </c>
      <c r="D168" s="16" t="n">
        <f aca="false">a27_edge</f>
        <v>29.1792025</v>
      </c>
      <c r="E168" s="16" t="n">
        <f aca="false">E159</f>
        <v>31.5135387</v>
      </c>
      <c r="F168" s="16" t="n">
        <f aca="false">F159</f>
        <v>34.034621796</v>
      </c>
      <c r="G168" s="16" t="n">
        <f aca="false">G159</f>
        <v>36.75739153968</v>
      </c>
    </row>
    <row r="169" customFormat="false" ht="15" hidden="false" customHeight="false" outlineLevel="0" collapsed="false">
      <c r="A169" s="5" t="s">
        <v>702</v>
      </c>
      <c r="B169" s="0" t="s">
        <v>41</v>
      </c>
      <c r="D169" s="17" t="n">
        <f aca="false">D166/C166-1</f>
        <v>0.873852679935908</v>
      </c>
      <c r="E169" s="17" t="n">
        <f aca="false">E166/D166-1</f>
        <v>0.702310232460661</v>
      </c>
      <c r="F169" s="17" t="n">
        <f aca="false">F166/E166-1</f>
        <v>-0.126950955025017</v>
      </c>
      <c r="G169" s="17" t="n">
        <f aca="false">G166/F166-1</f>
        <v>0.192749472351817</v>
      </c>
    </row>
    <row r="170" customFormat="false" ht="15" hidden="false" customHeight="false" outlineLevel="0" collapsed="false">
      <c r="A170" s="5" t="s">
        <v>703</v>
      </c>
      <c r="B170" s="0" t="s">
        <v>309</v>
      </c>
      <c r="C170" s="16" t="n">
        <f aca="false">a26_gp</f>
        <v>153.463</v>
      </c>
      <c r="D170" s="16" t="n">
        <f aca="false">a27_gp</f>
        <v>298.161</v>
      </c>
      <c r="E170" s="16" t="n">
        <f aca="false">E166-E162</f>
        <v>474.324481491545</v>
      </c>
      <c r="F170" s="16" t="n">
        <f aca="false">F166-F162</f>
        <v>429.483672555363</v>
      </c>
      <c r="G170" s="16" t="n">
        <f aca="false">G166-G162</f>
        <v>513.330738065963</v>
      </c>
    </row>
    <row r="171" customFormat="false" ht="15" hidden="false" customHeight="false" outlineLevel="0" collapsed="false">
      <c r="A171" s="5" t="s">
        <v>543</v>
      </c>
      <c r="B171" s="0" t="s">
        <v>41</v>
      </c>
      <c r="C171" s="17" t="n">
        <f aca="false">C170/C166</f>
        <v>0.710680843575471</v>
      </c>
      <c r="D171" s="17" t="n">
        <f aca="false">D170/D166</f>
        <v>0.736862266333198</v>
      </c>
      <c r="E171" s="17" t="n">
        <f aca="false">E170/E166</f>
        <v>0.688608393639058</v>
      </c>
      <c r="F171" s="17" t="n">
        <f aca="false">F170/F166</f>
        <v>0.714175237760545</v>
      </c>
      <c r="G171" s="17" t="n">
        <f aca="false">G170/G166</f>
        <v>0.715659049389343</v>
      </c>
    </row>
    <row r="172" customFormat="false" ht="17.15" hidden="false" customHeight="false" outlineLevel="0" collapsed="false">
      <c r="A172" s="5" t="s">
        <v>704</v>
      </c>
      <c r="B172" s="0" t="s">
        <v>309</v>
      </c>
      <c r="C172" s="16" t="n">
        <f aca="false">a26_opx</f>
        <v>23.076</v>
      </c>
      <c r="D172" s="16" t="n">
        <f aca="false">a27_opx</f>
        <v>35.165</v>
      </c>
      <c r="E172" s="16" t="n">
        <f aca="false">D172*(1+MAX(g_opx_min,phi*E169))</f>
        <v>49.9830435946875</v>
      </c>
      <c r="F172" s="16" t="n">
        <f aca="false">E172*(1+MAX(g_opx_min,phi*F169))</f>
        <v>52.4821957744219</v>
      </c>
      <c r="G172" s="16" t="n">
        <f aca="false">F172*(1+MAX(g_opx_min,phi*G169))</f>
        <v>58.5517451004526</v>
      </c>
      <c r="H172" s="5" t="s">
        <v>705</v>
      </c>
    </row>
    <row r="173" customFormat="false" ht="15" hidden="false" customHeight="false" outlineLevel="0" collapsed="false">
      <c r="A173" s="5" t="s">
        <v>706</v>
      </c>
      <c r="B173" s="0" t="s">
        <v>309</v>
      </c>
      <c r="C173" s="16" t="n">
        <f aca="false">C172</f>
        <v>23.076</v>
      </c>
      <c r="D173" s="16" t="n">
        <f aca="false">D172</f>
        <v>35.165</v>
      </c>
      <c r="E173" s="16" t="n">
        <f aca="false">E172+0*E166</f>
        <v>49.9830435946875</v>
      </c>
      <c r="F173" s="16" t="n">
        <f aca="false">F172+0*F166</f>
        <v>52.4821957744219</v>
      </c>
      <c r="G173" s="16" t="n">
        <f aca="false">G172+0*G166</f>
        <v>58.5517451004526</v>
      </c>
    </row>
    <row r="174" customFormat="false" ht="15" hidden="false" customHeight="false" outlineLevel="0" collapsed="false">
      <c r="A174" s="5" t="s">
        <v>546</v>
      </c>
      <c r="B174" s="0" t="s">
        <v>309</v>
      </c>
      <c r="C174" s="16" t="n">
        <f aca="false">C170-C173</f>
        <v>130.387</v>
      </c>
      <c r="D174" s="16" t="n">
        <f aca="false">D170-D173</f>
        <v>262.996</v>
      </c>
      <c r="E174" s="16" t="n">
        <f aca="false">E170-E173</f>
        <v>424.341437896857</v>
      </c>
      <c r="F174" s="16" t="n">
        <f aca="false">F170-F173</f>
        <v>377.001476780941</v>
      </c>
      <c r="G174" s="16" t="n">
        <f aca="false">G170-G173</f>
        <v>454.77899296551</v>
      </c>
    </row>
    <row r="175" customFormat="false" ht="15" hidden="false" customHeight="false" outlineLevel="0" collapsed="false">
      <c r="A175" s="5" t="s">
        <v>648</v>
      </c>
      <c r="B175" s="0" t="s">
        <v>41</v>
      </c>
      <c r="C175" s="17" t="n">
        <f aca="false">C174/C166</f>
        <v>0.603816836314127</v>
      </c>
      <c r="D175" s="17" t="n">
        <f aca="false">D174/D166</f>
        <v>0.649956998388675</v>
      </c>
      <c r="E175" s="17" t="n">
        <f aca="false">E174/E166</f>
        <v>0.616044685245393</v>
      </c>
      <c r="F175" s="17" t="n">
        <f aca="false">F174/F166</f>
        <v>0.626904202700274</v>
      </c>
      <c r="G175" s="17" t="n">
        <f aca="false">G174/G166</f>
        <v>0.634029247915634</v>
      </c>
    </row>
    <row r="176" customFormat="false" ht="15" hidden="false" customHeight="false" outlineLevel="0" collapsed="false">
      <c r="A176" s="5" t="s">
        <v>551</v>
      </c>
      <c r="B176" s="0" t="s">
        <v>309</v>
      </c>
      <c r="C176" s="20" t="n">
        <f aca="false">a26_oth</f>
        <v>2.145</v>
      </c>
      <c r="D176" s="20" t="n">
        <f aca="false">a27_oth</f>
        <v>1.133</v>
      </c>
      <c r="E176" s="20" t="n">
        <f aca="false">oth_f</f>
        <v>1.2</v>
      </c>
      <c r="F176" s="20" t="n">
        <f aca="false">oth_f</f>
        <v>1.2</v>
      </c>
      <c r="G176" s="20" t="n">
        <f aca="false">oth_f</f>
        <v>1.2</v>
      </c>
    </row>
    <row r="177" customFormat="false" ht="15" hidden="false" customHeight="false" outlineLevel="0" collapsed="false">
      <c r="A177" s="5" t="s">
        <v>560</v>
      </c>
      <c r="B177" s="0" t="s">
        <v>41</v>
      </c>
      <c r="C177" s="17" t="n">
        <f aca="false">1-a26_ni/(a26_oi+a26_oth)</f>
        <v>0.151187565812244</v>
      </c>
      <c r="D177" s="17" t="n">
        <f aca="false">a27_etr</f>
        <v>0.167980835756566</v>
      </c>
      <c r="E177" s="17" t="n">
        <f aca="false">tx_f</f>
        <v>0.17</v>
      </c>
      <c r="F177" s="17" t="n">
        <f aca="false">tx_f</f>
        <v>0.17</v>
      </c>
      <c r="G177" s="17" t="n">
        <f aca="false">tx_f</f>
        <v>0.17</v>
      </c>
    </row>
    <row r="178" customFormat="false" ht="15" hidden="false" customHeight="false" outlineLevel="0" collapsed="false">
      <c r="A178" s="5" t="s">
        <v>649</v>
      </c>
      <c r="B178" s="0" t="s">
        <v>309</v>
      </c>
      <c r="C178" s="16" t="n">
        <f aca="false">a26_ni</f>
        <v>112.494809527772</v>
      </c>
      <c r="D178" s="16" t="n">
        <f aca="false">a27_ni</f>
        <v>219.760389832454</v>
      </c>
      <c r="E178" s="16" t="n">
        <f aca="false">(E174+E176)*(1-E177)</f>
        <v>353.199393454392</v>
      </c>
      <c r="F178" s="16" t="n">
        <f aca="false">(F174+F176)*(1-F177)</f>
        <v>313.907225728181</v>
      </c>
      <c r="G178" s="16" t="n">
        <f aca="false">(G174+G176)*(1-G177)</f>
        <v>378.462564161373</v>
      </c>
    </row>
    <row r="179" customFormat="false" ht="15" hidden="false" customHeight="false" outlineLevel="0" collapsed="false">
      <c r="A179" s="5" t="s">
        <v>707</v>
      </c>
      <c r="B179" s="5" t="s">
        <v>708</v>
      </c>
      <c r="C179" s="18" t="n">
        <f aca="false">a26_sh</f>
        <v>24.5145</v>
      </c>
      <c r="D179" s="18" t="n">
        <f aca="false">a27_sh</f>
        <v>24.25691339125</v>
      </c>
      <c r="E179" s="18" t="n">
        <f aca="false">D179*(1+sh_g)</f>
        <v>23.965830430555</v>
      </c>
      <c r="F179" s="18" t="n">
        <f aca="false">E179*(1+sh_g)</f>
        <v>23.6782404653883</v>
      </c>
      <c r="G179" s="18" t="n">
        <f aca="false">F179*(1+sh_g)</f>
        <v>23.3941015798037</v>
      </c>
    </row>
    <row r="180" customFormat="false" ht="17.15" hidden="false" customHeight="false" outlineLevel="0" collapsed="false">
      <c r="A180" s="0" t="s">
        <v>650</v>
      </c>
      <c r="B180" s="0" t="s">
        <v>420</v>
      </c>
      <c r="C180" s="20" t="n">
        <f aca="false">C178/C179</f>
        <v>4.58890899376988</v>
      </c>
      <c r="D180" s="20" t="n">
        <f aca="false">D178/D179</f>
        <v>9.05970130196888</v>
      </c>
      <c r="E180" s="20" t="n">
        <f aca="false">E178/E179</f>
        <v>14.7376238214589</v>
      </c>
      <c r="F180" s="20" t="n">
        <f aca="false">F178/F179</f>
        <v>13.2572023747725</v>
      </c>
      <c r="G180" s="20" t="n">
        <f aca="false">G178/G179</f>
        <v>16.1776917515013</v>
      </c>
    </row>
    <row r="181" customFormat="false" ht="17.15" hidden="false" customHeight="false" outlineLevel="0" collapsed="false">
      <c r="A181" s="0" t="s">
        <v>709</v>
      </c>
      <c r="B181" s="0" t="s">
        <v>41</v>
      </c>
      <c r="D181" s="17" t="n">
        <f aca="false">D180/C180-1</f>
        <v>0.974260399207908</v>
      </c>
      <c r="E181" s="17" t="n">
        <f aca="false">E180/D180-1</f>
        <v>0.626722927195852</v>
      </c>
      <c r="F181" s="17" t="n">
        <f aca="false">F180/E180-1</f>
        <v>-0.100451841125892</v>
      </c>
      <c r="G181" s="17" t="n">
        <f aca="false">G180/F180-1</f>
        <v>0.220294545875399</v>
      </c>
    </row>
    <row r="184" customFormat="false" ht="17.15" hidden="false" customHeight="false" outlineLevel="0" collapsed="false">
      <c r="A184" s="4" t="s">
        <v>711</v>
      </c>
    </row>
    <row r="185" customFormat="false" ht="15" hidden="false" customHeight="false" outlineLevel="0" collapsed="false">
      <c r="A185" s="6" t="s">
        <v>19</v>
      </c>
      <c r="B185" s="6" t="s">
        <v>20</v>
      </c>
      <c r="C185" s="12" t="s">
        <v>639</v>
      </c>
      <c r="D185" s="12" t="s">
        <v>640</v>
      </c>
      <c r="E185" s="12" t="s">
        <v>641</v>
      </c>
      <c r="F185" s="12" t="s">
        <v>642</v>
      </c>
      <c r="G185" s="12" t="s">
        <v>643</v>
      </c>
      <c r="H185" s="6" t="s">
        <v>592</v>
      </c>
    </row>
    <row r="186" customFormat="false" ht="17.15" hidden="false" customHeight="false" outlineLevel="0" collapsed="false">
      <c r="A186" s="1" t="s">
        <v>658</v>
      </c>
    </row>
    <row r="187" customFormat="false" ht="17.15" hidden="false" customHeight="false" outlineLevel="0" collapsed="false">
      <c r="A187" s="0" t="s">
        <v>659</v>
      </c>
      <c r="B187" s="0" t="s">
        <v>126</v>
      </c>
      <c r="D187" s="18" t="n">
        <f aca="false">k_rec</f>
        <v>0.828370921864097</v>
      </c>
      <c r="E187" s="18" t="n">
        <f aca="false">k_rec*1</f>
        <v>0.828370921864097</v>
      </c>
      <c r="F187" s="18" t="n">
        <f aca="false">k_rec*1</f>
        <v>0.828370921864097</v>
      </c>
      <c r="G187" s="18" t="n">
        <f aca="false">k_rec*1</f>
        <v>0.828370921864097</v>
      </c>
    </row>
    <row r="188" customFormat="false" ht="17.15" hidden="false" customHeight="false" outlineLevel="0" collapsed="false">
      <c r="A188" s="0" t="s">
        <v>660</v>
      </c>
      <c r="B188" s="5" t="s">
        <v>30</v>
      </c>
      <c r="D188" s="20" t="n">
        <f aca="false">(u_bw_26)*D187</f>
        <v>4.47320297806612</v>
      </c>
      <c r="E188" s="20" t="n">
        <f aca="false">(u_bw_27)*E187</f>
        <v>1.98809021247383</v>
      </c>
      <c r="F188" s="20" t="n">
        <f aca="false">(u_bw_28*um28_C)*F187</f>
        <v>0.248511276559229</v>
      </c>
      <c r="G188" s="20" t="n">
        <f aca="false">(u_bw_28*(1+g29_bw)*um29_C)*G187</f>
        <v>0.124255638279615</v>
      </c>
    </row>
    <row r="189" customFormat="false" ht="17.15" hidden="false" customHeight="false" outlineLevel="0" collapsed="false">
      <c r="A189" s="0" t="s">
        <v>661</v>
      </c>
      <c r="B189" s="5" t="s">
        <v>30</v>
      </c>
      <c r="D189" s="20" t="n">
        <f aca="false">(u_rb_26)*D187</f>
        <v>1.40823056716896</v>
      </c>
      <c r="E189" s="20" t="n">
        <f aca="false">(u_rb_27)*E187</f>
        <v>5.79859645304868</v>
      </c>
      <c r="F189" s="20" t="n">
        <f aca="false">(u_rb_28*um28_C)*F187</f>
        <v>3.47915787182921</v>
      </c>
      <c r="G189" s="20" t="n">
        <f aca="false">(u_rb_28*(1+g29_rb)*um29_C)*G187</f>
        <v>4.00103155260359</v>
      </c>
    </row>
    <row r="190" customFormat="false" ht="17.15" hidden="false" customHeight="false" outlineLevel="0" collapsed="false">
      <c r="A190" s="0" t="s">
        <v>662</v>
      </c>
      <c r="B190" s="5" t="s">
        <v>30</v>
      </c>
      <c r="D190" s="20" t="n">
        <f aca="false">(u_ru_26)*D187</f>
        <v>0</v>
      </c>
      <c r="E190" s="20" t="n">
        <f aca="false">(u_ru_27)*E187</f>
        <v>0.248511276559229</v>
      </c>
      <c r="F190" s="20" t="n">
        <f aca="false">(u_ru_28*um28_C)*F187</f>
        <v>0.994045106236916</v>
      </c>
      <c r="G190" s="20" t="n">
        <f aca="false">(u_ru_28*(1+g29_ru)*um29_C)*G187</f>
        <v>1.14315187217245</v>
      </c>
    </row>
    <row r="191" customFormat="false" ht="17.15" hidden="false" customHeight="false" outlineLevel="0" collapsed="false">
      <c r="A191" s="0" t="s">
        <v>663</v>
      </c>
      <c r="B191" s="5" t="s">
        <v>30</v>
      </c>
      <c r="D191" s="20" t="n">
        <f aca="false">(u_hp_26)*D187</f>
        <v>0.414185460932049</v>
      </c>
      <c r="E191" s="20" t="n">
        <f aca="false">(u_hp_27)*E187</f>
        <v>0</v>
      </c>
      <c r="F191" s="20" t="n">
        <f aca="false">(u_hp_28*um28_C)*F187</f>
        <v>0</v>
      </c>
      <c r="G191" s="20" t="n">
        <f aca="false">(u_hp_28*(1+g29_hp)*um29_C)*G187</f>
        <v>0</v>
      </c>
    </row>
    <row r="192" customFormat="false" ht="17.15" hidden="false" customHeight="false" outlineLevel="0" collapsed="false">
      <c r="A192" s="0" t="s">
        <v>664</v>
      </c>
      <c r="B192" s="5" t="s">
        <v>30</v>
      </c>
      <c r="D192" s="20" t="n">
        <f aca="false">SUM(D188:D191)</f>
        <v>6.29561900616714</v>
      </c>
      <c r="E192" s="20" t="n">
        <f aca="false">SUM(E188:E191)</f>
        <v>8.03519794208174</v>
      </c>
      <c r="F192" s="20" t="n">
        <f aca="false">SUM(F188:F191)</f>
        <v>4.72171425462535</v>
      </c>
      <c r="G192" s="20" t="n">
        <f aca="false">SUM(G188:G191)</f>
        <v>5.26843906305566</v>
      </c>
      <c r="H192" s="8" t="s">
        <v>665</v>
      </c>
    </row>
    <row r="193" customFormat="false" ht="17.15" hidden="false" customHeight="false" outlineLevel="0" collapsed="false">
      <c r="A193" s="0" t="s">
        <v>666</v>
      </c>
      <c r="B193" s="0" t="s">
        <v>174</v>
      </c>
      <c r="D193" s="20" t="n">
        <f aca="false">1*(pm_bw+pcpu_bw+plp_bw+k_tray*pres_bw)+(1-abs_mem)*(gb_bw_26*hpx_bw*(hbm_C_26/hbm_C_26-1)/1000+plp_bw*(cdx_C_26/cdx_C_26-1))</f>
        <v>47.005555</v>
      </c>
      <c r="E193" s="20" t="n">
        <f aca="false">1*(pm_bw+pcpu_bw+plp_bw+k_tray*pres_bw)+(1-abs_mem)*(gb_bw_27*hpx_bw*(hbm_C_27/hbm_C_26-1)/1000+plp_bw*(cdx_C_27/cdx_C_26-1))</f>
        <v>49.1356784747552</v>
      </c>
      <c r="F193" s="20" t="n">
        <f aca="false">1*(pm_bw+pcpu_bw+plp_bw+k_tray*pres_bw)+(1-abs_mem)*(gb_bw_28*hpx_bw*(hbm_C_28/hbm_C_26-1)/1000+plp_bw*(cdx_C_28/cdx_C_26-1))</f>
        <v>46.3536208331657</v>
      </c>
      <c r="G193" s="20" t="n">
        <f aca="false">1*(pm_bw+pcpu_bw+plp_bw+k_tray*pres_bw)+(1-abs_mem)*(gb_bw_28*hpx_bw*(hbm_C_29/hbm_C_26-1)/1000+plp_bw*(cdx_C_29/cdx_C_26-1))</f>
        <v>46.2654599007009</v>
      </c>
      <c r="H193" s="5" t="s">
        <v>667</v>
      </c>
    </row>
    <row r="194" customFormat="false" ht="17.15" hidden="false" customHeight="false" outlineLevel="0" collapsed="false">
      <c r="A194" s="0" t="s">
        <v>668</v>
      </c>
      <c r="B194" s="0" t="s">
        <v>174</v>
      </c>
      <c r="D194" s="20" t="n">
        <f aca="false">1*(pm_rb+pcpu_rb+plp_rb+k_tray*pres_rb)+(1-abs_mem)*(gb_rb_26*hpx_rb*(hbm_C_26/hbm_C_26-1)/1000+plp_rb*(cdx_C_26/cdx_C_26-1))</f>
        <v>72.166667</v>
      </c>
      <c r="E194" s="20" t="n">
        <f aca="false">1*(pm_rb+pcpu_rb+plp_rb+k_tray*pres_rb)+(1-abs_mem)*(gb_rb_27*hpx_rb*(hbm_C_27/hbm_C_26-1)/1000+plp_rb*(cdx_C_27/cdx_C_26-1))</f>
        <v>74.7396516977171</v>
      </c>
      <c r="F194" s="20" t="n">
        <f aca="false">1*(pm_rb+pcpu_rb+plp_rb+k_tray*pres_rb)+(1-abs_mem)*(gb_rb_28*hpx_rb*(hbm_C_28/hbm_C_26-1)/1000+plp_rb*(cdx_C_28/cdx_C_26-1))</f>
        <v>70.9911779363102</v>
      </c>
      <c r="G194" s="20" t="n">
        <f aca="false">1*(pm_rb+pcpu_rb+plp_rb+k_tray*pres_rb)+(1-abs_mem)*(gb_rb_28*hpx_rb*(hbm_C_29/hbm_C_26-1)/1000+plp_rb*(cdx_C_29/cdx_C_26-1))</f>
        <v>70.777314108734</v>
      </c>
    </row>
    <row r="195" customFormat="false" ht="17.15" hidden="false" customHeight="false" outlineLevel="0" collapsed="false">
      <c r="A195" s="0" t="s">
        <v>669</v>
      </c>
      <c r="B195" s="0" t="s">
        <v>174</v>
      </c>
      <c r="D195" s="20" t="n">
        <f aca="false">1*(pm_ru+pcpu_ru+plp_ru+k_tray*pres_ru)+(1-abs_mem)*(gb_ru_26*hpx_ru*(hbm_C_26/hbm_C_26-1)/1000+plp_ru*(cdx_C_26/cdx_C_26-1))</f>
        <v>92.166667</v>
      </c>
      <c r="E195" s="20" t="n">
        <f aca="false">1*(pm_ru+pcpu_ru+plp_ru+k_tray*pres_ru)+(1-abs_mem)*(gb_ru_27*hpx_ru*(hbm_C_27/hbm_C_26-1)/1000+plp_ru*(cdx_C_27/cdx_C_26-1))</f>
        <v>99.6561316977171</v>
      </c>
      <c r="F195" s="20" t="n">
        <f aca="false">1*(pm_ru+pcpu_ru+plp_ru+k_tray*pres_ru)+(1-abs_mem)*(gb_ru_28*hpx_ru*(hbm_C_28/hbm_C_26-1)/1000+plp_ru*(cdx_C_28/cdx_C_26-1))</f>
        <v>91.4828259363102</v>
      </c>
      <c r="G195" s="20" t="n">
        <f aca="false">1*(pm_ru+pcpu_ru+plp_ru+k_tray*pres_ru)+(1-abs_mem)*(gb_ru_28*hpx_ru*(hbm_C_29/hbm_C_26-1)/1000+plp_ru*(cdx_C_29/cdx_C_26-1))</f>
        <v>91.600824508734</v>
      </c>
    </row>
    <row r="196" customFormat="false" ht="17.15" hidden="false" customHeight="false" outlineLevel="0" collapsed="false">
      <c r="A196" s="0" t="s">
        <v>670</v>
      </c>
      <c r="B196" s="0" t="s">
        <v>174</v>
      </c>
      <c r="D196" s="20" t="n">
        <f aca="false">1*(pm_hp+pcpu_hp+plp_hp+k_tray*pres_hp)+(1-abs_mem)*(gb_hp_26*hpx_hp*(hbm_C_26/hbm_C_26-1)/1000+plp_hp*(cdx_C_26/cdx_C_26-1))</f>
        <v>30</v>
      </c>
      <c r="E196" s="20" t="n">
        <f aca="false">1*(pm_hp+pcpu_hp+plp_hp+k_tray*pres_hp)+(1-abs_mem)*(gb_hp_27*hpx_hp*(hbm_C_27/hbm_C_26-1)/1000+plp_hp*(cdx_C_27/cdx_C_26-1))</f>
        <v>30.8742</v>
      </c>
      <c r="F196" s="20" t="n">
        <f aca="false">1*(pm_hp+pcpu_hp+plp_hp+k_tray*pres_hp)+(1-abs_mem)*(gb_hp_28*hpx_hp*(hbm_C_28/hbm_C_26-1)/1000+plp_hp*(cdx_C_28/cdx_C_26-1))</f>
        <v>30.08742</v>
      </c>
      <c r="G196" s="20" t="n">
        <f aca="false">1*(pm_hp+pcpu_hp+plp_hp+k_tray*pres_hp)+(1-abs_mem)*(gb_hp_28*hpx_hp*(hbm_C_29/hbm_C_26-1)/1000+plp_hp*(cdx_C_29/cdx_C_26-1))</f>
        <v>30.1464285</v>
      </c>
    </row>
    <row r="197" customFormat="false" ht="17.15" hidden="false" customHeight="false" outlineLevel="0" collapsed="false">
      <c r="A197" s="0" t="s">
        <v>671</v>
      </c>
      <c r="B197" s="0" t="s">
        <v>174</v>
      </c>
      <c r="D197" s="20" t="n">
        <f aca="false">gb_bw_26*hpx_bw*hbm_C_26/hbm_C_26/1000</f>
        <v>4.03</v>
      </c>
      <c r="E197" s="20" t="n">
        <f aca="false">gb_bw_27*hpx_bw*hbm_C_27/hbm_C_26/1000</f>
        <v>7.812</v>
      </c>
      <c r="F197" s="20" t="n">
        <f aca="false">gb_bw_28*hpx_bw*hbm_C_28/hbm_C_26/1000</f>
        <v>4.82112</v>
      </c>
      <c r="G197" s="20" t="n">
        <f aca="false">gb_bw_28*hpx_bw*hbm_C_29/hbm_C_26/1000</f>
        <v>5.062176</v>
      </c>
      <c r="H197" s="5" t="s">
        <v>672</v>
      </c>
    </row>
    <row r="198" customFormat="false" ht="17.15" hidden="false" customHeight="false" outlineLevel="0" collapsed="false">
      <c r="A198" s="0" t="s">
        <v>673</v>
      </c>
      <c r="B198" s="0" t="s">
        <v>174</v>
      </c>
      <c r="D198" s="20" t="n">
        <f aca="false">gb_rb_26*hpx_rb*hbm_C_26/hbm_C_26/1000</f>
        <v>4.8096</v>
      </c>
      <c r="E198" s="20" t="n">
        <f aca="false">gb_rb_27*hpx_rb*hbm_C_27/hbm_C_26/1000</f>
        <v>8.65728</v>
      </c>
      <c r="F198" s="20" t="n">
        <f aca="false">gb_rb_28*hpx_rb*hbm_C_28/hbm_C_26/1000</f>
        <v>5.194368</v>
      </c>
      <c r="G198" s="20" t="n">
        <f aca="false">gb_rb_28*hpx_rb*hbm_C_29/hbm_C_26/1000</f>
        <v>5.4540864</v>
      </c>
    </row>
    <row r="199" customFormat="false" ht="17.15" hidden="false" customHeight="false" outlineLevel="0" collapsed="false">
      <c r="A199" s="0" t="s">
        <v>674</v>
      </c>
      <c r="B199" s="0" t="s">
        <v>174</v>
      </c>
      <c r="D199" s="20" t="n">
        <f aca="false">gb_ru_26*hpx_ru*hbm_C_26/hbm_C_26/1000</f>
        <v>17.1008</v>
      </c>
      <c r="E199" s="20" t="n">
        <f aca="false">gb_ru_27*hpx_ru*hbm_C_27/hbm_C_26/1000</f>
        <v>30.78144</v>
      </c>
      <c r="F199" s="20" t="n">
        <f aca="false">gb_ru_28*hpx_ru*hbm_C_28/hbm_C_26/1000</f>
        <v>18.468864</v>
      </c>
      <c r="G199" s="20" t="n">
        <f aca="false">gb_ru_28*hpx_ru*hbm_C_29/hbm_C_26/1000</f>
        <v>19.3923072</v>
      </c>
    </row>
    <row r="200" customFormat="false" ht="17.15" hidden="false" customHeight="false" outlineLevel="0" collapsed="false">
      <c r="A200" s="0" t="s">
        <v>675</v>
      </c>
      <c r="B200" s="0" t="s">
        <v>174</v>
      </c>
      <c r="D200" s="20" t="n">
        <f aca="false">gb_hp_26*hpx_hp*hbm_C_26/hbm_C_26/1000</f>
        <v>2.1855</v>
      </c>
      <c r="E200" s="20" t="n">
        <f aca="false">gb_hp_27*hpx_hp*hbm_C_27/hbm_C_26/1000</f>
        <v>3.9339</v>
      </c>
      <c r="F200" s="20" t="n">
        <f aca="false">gb_hp_28*hpx_hp*hbm_C_28/hbm_C_26/1000</f>
        <v>2.36034</v>
      </c>
      <c r="G200" s="20" t="n">
        <f aca="false">gb_hp_28*hpx_hp*hbm_C_29/hbm_C_26/1000</f>
        <v>2.478357</v>
      </c>
    </row>
    <row r="201" customFormat="false" ht="17.15" hidden="false" customHeight="false" outlineLevel="0" collapsed="false">
      <c r="A201" s="0" t="s">
        <v>676</v>
      </c>
      <c r="B201" s="0" t="s">
        <v>174</v>
      </c>
      <c r="D201" s="20" t="n">
        <f aca="false">1*c_nh*(pm_bw+pcpu_bw+plp_bw+k_tray*pres_bw)+D197+plp_bw*(cdx_C_26/cdx_C_26-1)</f>
        <v>11.8212823332139</v>
      </c>
      <c r="E201" s="20" t="n">
        <f aca="false">1*c_nh*(pm_bw+pcpu_bw+plp_bw+k_tray*pres_bw)+E197+plp_bw*(cdx_C_27/cdx_C_26-1)</f>
        <v>16.3915292827243</v>
      </c>
      <c r="F201" s="20" t="n">
        <f aca="false">1*c_nh*(pm_bw+pcpu_bw+plp_bw+k_tray*pres_bw)+F197+plp_bw*(cdx_C_28/cdx_C_26-1)</f>
        <v>10.9514139995453</v>
      </c>
      <c r="G201" s="20" t="n">
        <f aca="false">1*c_nh*(pm_bw+pcpu_bw+plp_bw+k_tray*pres_bw)+G197+plp_bw*(cdx_C_29/cdx_C_26-1)</f>
        <v>10.7750921346158</v>
      </c>
      <c r="H201" s="5" t="s">
        <v>677</v>
      </c>
    </row>
    <row r="202" customFormat="false" ht="17.15" hidden="false" customHeight="false" outlineLevel="0" collapsed="false">
      <c r="A202" s="0" t="s">
        <v>678</v>
      </c>
      <c r="B202" s="0" t="s">
        <v>174</v>
      </c>
      <c r="D202" s="20" t="n">
        <f aca="false">1*c_nh*(pm_rb+pcpu_rb+plp_rb+k_tray*pres_rb)+D198+plp_rb*(cdx_C_26/cdx_C_26-1)</f>
        <v>16.7713963801093</v>
      </c>
      <c r="E202" s="20" t="n">
        <f aca="false">1*c_nh*(pm_rb+pcpu_rb+plp_rb+k_tray*pres_rb)+E198+plp_rb*(cdx_C_27/cdx_C_26-1)</f>
        <v>21.9173657755435</v>
      </c>
      <c r="F202" s="20" t="n">
        <f aca="false">1*c_nh*(pm_rb+pcpu_rb+plp_rb+k_tray*pres_rb)+F198+plp_rb*(cdx_C_28/cdx_C_26-1)</f>
        <v>14.4204182527298</v>
      </c>
      <c r="G202" s="20" t="n">
        <f aca="false">1*c_nh*(pm_rb+pcpu_rb+plp_rb+k_tray*pres_rb)+G198+plp_rb*(cdx_C_29/cdx_C_26-1)</f>
        <v>13.9926905975773</v>
      </c>
    </row>
    <row r="203" customFormat="false" ht="17.15" hidden="false" customHeight="false" outlineLevel="0" collapsed="false">
      <c r="A203" s="0" t="s">
        <v>679</v>
      </c>
      <c r="B203" s="0" t="s">
        <v>174</v>
      </c>
      <c r="D203" s="20" t="n">
        <f aca="false">1*c_nh*(pm_ru+pcpu_ru+plp_ru+k_tray*pres_ru)+D199+plp_ru*(cdx_C_26/cdx_C_26-1)</f>
        <v>32.3776438604396</v>
      </c>
      <c r="E203" s="20" t="n">
        <f aca="false">1*c_nh*(pm_ru+pcpu_ru+plp_ru+k_tray*pres_ru)+E199+plp_ru*(cdx_C_27/cdx_C_26-1)</f>
        <v>47.3565732558738</v>
      </c>
      <c r="F203" s="20" t="n">
        <f aca="false">1*c_nh*(pm_ru+pcpu_ru+plp_ru+k_tray*pres_ru)+F199+plp_ru*(cdx_C_28/cdx_C_26-1)</f>
        <v>31.0099617330601</v>
      </c>
      <c r="G203" s="20" t="n">
        <f aca="false">1*c_nh*(pm_ru+pcpu_ru+plp_ru+k_tray*pres_ru)+G199+plp_ru*(cdx_C_29/cdx_C_26-1)</f>
        <v>31.2459588779076</v>
      </c>
    </row>
    <row r="204" customFormat="false" ht="17.15" hidden="false" customHeight="false" outlineLevel="0" collapsed="false">
      <c r="A204" s="0" t="s">
        <v>680</v>
      </c>
      <c r="B204" s="0" t="s">
        <v>174</v>
      </c>
      <c r="D204" s="20" t="n">
        <f aca="false">1*c_nh*(pm_hp+pcpu_hp+plp_hp+k_tray*pres_hp)+D200+plp_hp*(cdx_C_26/cdx_C_26-1)</f>
        <v>7.15807122049545</v>
      </c>
      <c r="E204" s="20" t="n">
        <f aca="false">1*c_nh*(pm_hp+pcpu_hp+plp_hp+k_tray*pres_hp)+E200+plp_hp*(cdx_C_27/cdx_C_26-1)</f>
        <v>8.90647122049545</v>
      </c>
      <c r="F204" s="20" t="n">
        <f aca="false">1*c_nh*(pm_hp+pcpu_hp+plp_hp+k_tray*pres_hp)+F200+plp_hp*(cdx_C_28/cdx_C_26-1)</f>
        <v>7.33291122049545</v>
      </c>
      <c r="G204" s="20" t="n">
        <f aca="false">1*c_nh*(pm_hp+pcpu_hp+plp_hp+k_tray*pres_hp)+G200+plp_hp*(cdx_C_29/cdx_C_26-1)</f>
        <v>7.45092822049545</v>
      </c>
    </row>
    <row r="205" customFormat="false" ht="17.15" hidden="false" customHeight="false" outlineLevel="0" collapsed="false">
      <c r="A205" s="0" t="s">
        <v>681</v>
      </c>
      <c r="B205" s="0" t="s">
        <v>309</v>
      </c>
      <c r="D205" s="16" t="n">
        <f aca="false">D188*D193</f>
        <v>210.265388611651</v>
      </c>
      <c r="E205" s="16" t="n">
        <f aca="false">E188*E193</f>
        <v>97.686161458922</v>
      </c>
      <c r="F205" s="16" t="n">
        <f aca="false">F188*F193</f>
        <v>11.5193974863925</v>
      </c>
      <c r="G205" s="16" t="n">
        <f aca="false">G188*G193</f>
        <v>5.74874425026151</v>
      </c>
    </row>
    <row r="206" customFormat="false" ht="17.15" hidden="false" customHeight="false" outlineLevel="0" collapsed="false">
      <c r="A206" s="0" t="s">
        <v>682</v>
      </c>
      <c r="B206" s="0" t="s">
        <v>309</v>
      </c>
      <c r="D206" s="16" t="n">
        <f aca="false">D189*D194</f>
        <v>101.627306400104</v>
      </c>
      <c r="E206" s="16" t="n">
        <f aca="false">E189*E194</f>
        <v>433.385079236476</v>
      </c>
      <c r="F206" s="16" t="n">
        <f aca="false">F189*F194</f>
        <v>246.989515547542</v>
      </c>
      <c r="G206" s="16" t="n">
        <f aca="false">G189*G194</f>
        <v>283.18226695758</v>
      </c>
    </row>
    <row r="207" customFormat="false" ht="17.15" hidden="false" customHeight="false" outlineLevel="0" collapsed="false">
      <c r="A207" s="0" t="s">
        <v>683</v>
      </c>
      <c r="B207" s="0" t="s">
        <v>309</v>
      </c>
      <c r="D207" s="16" t="n">
        <f aca="false">D190*D195</f>
        <v>0</v>
      </c>
      <c r="E207" s="16" t="n">
        <f aca="false">E190*E195</f>
        <v>24.7656725051543</v>
      </c>
      <c r="F207" s="16" t="n">
        <f aca="false">F190*F195</f>
        <v>90.9380554267128</v>
      </c>
      <c r="G207" s="16" t="n">
        <f aca="false">G190*G195</f>
        <v>104.7136540297</v>
      </c>
    </row>
    <row r="208" customFormat="false" ht="17.15" hidden="false" customHeight="false" outlineLevel="0" collapsed="false">
      <c r="A208" s="0" t="s">
        <v>684</v>
      </c>
      <c r="B208" s="0" t="s">
        <v>309</v>
      </c>
      <c r="D208" s="16" t="n">
        <f aca="false">D191*D196</f>
        <v>12.4255638279615</v>
      </c>
      <c r="E208" s="16" t="n">
        <f aca="false">E191*E196</f>
        <v>0</v>
      </c>
      <c r="F208" s="16" t="n">
        <f aca="false">F191*F196</f>
        <v>0</v>
      </c>
      <c r="G208" s="16" t="n">
        <f aca="false">G191*G196</f>
        <v>0</v>
      </c>
    </row>
    <row r="209" customFormat="false" ht="17.15" hidden="false" customHeight="false" outlineLevel="0" collapsed="false">
      <c r="A209" s="5" t="s">
        <v>685</v>
      </c>
      <c r="B209" s="0" t="s">
        <v>309</v>
      </c>
      <c r="D209" s="16" t="n">
        <f aca="false">SUM(D205:D208)</f>
        <v>324.318258839716</v>
      </c>
      <c r="E209" s="16" t="n">
        <f aca="false">SUM(E205:E208)</f>
        <v>555.836913200553</v>
      </c>
      <c r="F209" s="16" t="n">
        <f aca="false">SUM(F205:F208)</f>
        <v>349.446968460647</v>
      </c>
      <c r="G209" s="16" t="n">
        <f aca="false">SUM(G205:G208)</f>
        <v>393.644665237541</v>
      </c>
    </row>
    <row r="210" customFormat="false" ht="15" hidden="false" customHeight="false" outlineLevel="0" collapsed="false">
      <c r="A210" s="5" t="s">
        <v>686</v>
      </c>
      <c r="B210" s="0" t="s">
        <v>309</v>
      </c>
      <c r="D210" s="16" t="n">
        <f aca="false">D188*D201+D189*D202+D190*D203+D191*D204</f>
        <v>79.4617574019149</v>
      </c>
      <c r="E210" s="16" t="n">
        <f aca="false">E188*E201+E189*E202+E190*E203+E191*E204</f>
        <v>171.446440853987</v>
      </c>
      <c r="F210" s="16" t="n">
        <f aca="false">F188*F201+F189*F202+F190*F203+F191*F204</f>
        <v>83.7177622575524</v>
      </c>
      <c r="G210" s="16" t="n">
        <f aca="false">G188*G201+G189*G202+G190*G203+G191*G204</f>
        <v>93.042938926538</v>
      </c>
    </row>
    <row r="211" customFormat="false" ht="17.15" hidden="false" customHeight="false" outlineLevel="0" collapsed="false">
      <c r="A211" s="5" t="s">
        <v>687</v>
      </c>
      <c r="B211" s="0" t="s">
        <v>309</v>
      </c>
      <c r="D211" s="16" t="n">
        <f aca="false">D188*D197+D189*D198+D190*D199+D191*D200</f>
        <v>25.7052360623293</v>
      </c>
      <c r="E211" s="16" t="n">
        <f aca="false">E188*E197+E189*E198+E190*E199+E191*E200</f>
        <v>73.3805687896262</v>
      </c>
      <c r="F211" s="16" t="n">
        <f aca="false">F188*F197+F189*F198+F190*F199+F191*F200</f>
        <v>37.6290128789781</v>
      </c>
      <c r="G211" s="16" t="n">
        <f aca="false">G188*G197+G189*G198+G190*G199+G191*G200</f>
        <v>44.6193279684132</v>
      </c>
    </row>
    <row r="212" customFormat="false" ht="17.15" hidden="false" customHeight="false" outlineLevel="0" collapsed="false">
      <c r="A212" s="5" t="s">
        <v>688</v>
      </c>
      <c r="B212" s="0" t="s">
        <v>309</v>
      </c>
      <c r="D212" s="16" t="n">
        <f aca="false">0</f>
        <v>0</v>
      </c>
      <c r="E212" s="16" t="n">
        <f aca="false">0</f>
        <v>0</v>
      </c>
      <c r="F212" s="16" t="n">
        <f aca="false">0</f>
        <v>0</v>
      </c>
      <c r="G212" s="16" t="n">
        <f aca="false">0</f>
        <v>0</v>
      </c>
    </row>
    <row r="213" customFormat="false" ht="15" hidden="false" customHeight="false" outlineLevel="0" collapsed="false">
      <c r="A213" s="5" t="s">
        <v>689</v>
      </c>
      <c r="B213" s="0" t="s">
        <v>309</v>
      </c>
      <c r="D213" s="16" t="n">
        <f aca="false">D212*D210/D209</f>
        <v>0</v>
      </c>
      <c r="E213" s="16" t="n">
        <f aca="false">E212*E210/E209</f>
        <v>0</v>
      </c>
      <c r="F213" s="16" t="n">
        <f aca="false">F212*F210/F209</f>
        <v>0</v>
      </c>
      <c r="G213" s="16" t="n">
        <f aca="false">G212*G210/G209</f>
        <v>0</v>
      </c>
    </row>
    <row r="214" customFormat="false" ht="17.15" hidden="false" customHeight="false" outlineLevel="0" collapsed="false">
      <c r="A214" s="0" t="s">
        <v>690</v>
      </c>
      <c r="B214" s="0" t="s">
        <v>309</v>
      </c>
      <c r="D214" s="16" t="n">
        <f aca="false">net_26*1*D187</f>
        <v>51.1385386602837</v>
      </c>
      <c r="E214" s="16" t="n">
        <f aca="false">net_27*1*E187</f>
        <v>101.465551321399</v>
      </c>
      <c r="F214" s="16" t="n">
        <f aca="false">net_28*um28_C*F187</f>
        <v>68.8956758411107</v>
      </c>
      <c r="G214" s="16" t="n">
        <f aca="false">net_29*um29_C*G187</f>
        <v>78.1815047115495</v>
      </c>
      <c r="H214" s="8" t="s">
        <v>691</v>
      </c>
    </row>
    <row r="215" customFormat="false" ht="17.15" hidden="false" customHeight="false" outlineLevel="0" collapsed="false">
      <c r="A215" s="5" t="s">
        <v>692</v>
      </c>
      <c r="B215" s="0" t="s">
        <v>309</v>
      </c>
      <c r="D215" s="16" t="n">
        <f aca="false">c_net*D214</f>
        <v>15.3415615980851</v>
      </c>
      <c r="E215" s="16" t="n">
        <f aca="false">c_net*E214</f>
        <v>30.4396653964198</v>
      </c>
      <c r="F215" s="16" t="n">
        <f aca="false">c_net*F214</f>
        <v>20.6687027523332</v>
      </c>
      <c r="G215" s="16" t="n">
        <f aca="false">c_net*G214</f>
        <v>23.4544514134648</v>
      </c>
    </row>
    <row r="216" customFormat="false" ht="17.15" hidden="false" customHeight="false" outlineLevel="0" collapsed="false">
      <c r="A216" s="0" t="s">
        <v>693</v>
      </c>
      <c r="B216" s="0" t="s">
        <v>309</v>
      </c>
      <c r="D216" s="16" t="n">
        <f aca="false">a27_edge</f>
        <v>29.1792025</v>
      </c>
      <c r="E216" s="16" t="n">
        <f aca="false">D216*(1+eg)</f>
        <v>31.5135387</v>
      </c>
      <c r="F216" s="16" t="n">
        <f aca="false">E216*(1+eg)</f>
        <v>34.034621796</v>
      </c>
      <c r="G216" s="16" t="n">
        <f aca="false">F216*(1+eg)</f>
        <v>36.75739153968</v>
      </c>
    </row>
    <row r="217" customFormat="false" ht="17.15" hidden="false" customHeight="false" outlineLevel="0" collapsed="false">
      <c r="A217" s="0" t="s">
        <v>694</v>
      </c>
      <c r="B217" s="0" t="s">
        <v>309</v>
      </c>
      <c r="D217" s="16" t="n">
        <f aca="false">(1-gm_edge)*D216</f>
        <v>11.671681</v>
      </c>
      <c r="E217" s="16" t="n">
        <f aca="false">(1-gm_edge)*E216</f>
        <v>12.60541548</v>
      </c>
      <c r="F217" s="16" t="n">
        <f aca="false">(1-gm_edge)*F216</f>
        <v>13.6138487184</v>
      </c>
      <c r="G217" s="16" t="n">
        <f aca="false">(1-gm_edge)*G216</f>
        <v>14.702956615872</v>
      </c>
    </row>
    <row r="218" customFormat="false" ht="15" hidden="false" customHeight="false" outlineLevel="0" collapsed="false">
      <c r="A218" s="5" t="s">
        <v>695</v>
      </c>
      <c r="B218" s="0" t="s">
        <v>309</v>
      </c>
      <c r="D218" s="16" t="n">
        <f aca="false">D209+D212+D214+D216</f>
        <v>404.636</v>
      </c>
      <c r="E218" s="16" t="n">
        <f aca="false">E209+E212+E214+E216</f>
        <v>688.816003221952</v>
      </c>
      <c r="F218" s="16" t="n">
        <f aca="false">F209+F212+F214+F216</f>
        <v>452.377266097758</v>
      </c>
      <c r="G218" s="16" t="n">
        <f aca="false">G209+G212+G214+G216</f>
        <v>508.58356148877</v>
      </c>
    </row>
    <row r="219" customFormat="false" ht="15" hidden="false" customHeight="false" outlineLevel="0" collapsed="false">
      <c r="A219" s="5" t="s">
        <v>696</v>
      </c>
      <c r="B219" s="0" t="s">
        <v>309</v>
      </c>
      <c r="D219" s="16" t="n">
        <f aca="false">D210+D213+D215+D217</f>
        <v>106.475</v>
      </c>
      <c r="E219" s="16" t="n">
        <f aca="false">E210+E213+E215+E217</f>
        <v>214.491521730407</v>
      </c>
      <c r="F219" s="16" t="n">
        <f aca="false">F210+F213+F215+F217</f>
        <v>118.000313728286</v>
      </c>
      <c r="G219" s="16" t="n">
        <f aca="false">G210+G213+G215+G217</f>
        <v>131.200346955875</v>
      </c>
    </row>
    <row r="220" customFormat="false" ht="17.15" hidden="false" customHeight="false" outlineLevel="0" collapsed="false">
      <c r="A220" s="5" t="s">
        <v>697</v>
      </c>
      <c r="B220" s="0" t="s">
        <v>41</v>
      </c>
      <c r="D220" s="17" t="n">
        <f aca="false">1-D219/D218</f>
        <v>0.736862266333198</v>
      </c>
      <c r="E220" s="17" t="n">
        <f aca="false">1-E219/E218</f>
        <v>0.688608393639058</v>
      </c>
      <c r="F220" s="17" t="n">
        <f aca="false">1-F219/F218</f>
        <v>0.739155075704476</v>
      </c>
      <c r="G220" s="17" t="n">
        <f aca="false">1-G219/G218</f>
        <v>0.742027944096711</v>
      </c>
      <c r="H220" s="8" t="s">
        <v>698</v>
      </c>
    </row>
    <row r="221" customFormat="false" ht="17.15" hidden="false" customHeight="false" outlineLevel="0" collapsed="false">
      <c r="A221" s="0" t="s">
        <v>699</v>
      </c>
      <c r="B221" s="0" t="s">
        <v>41</v>
      </c>
      <c r="D221" s="17" t="n">
        <f aca="false">D211/D218</f>
        <v>0.0635268143771917</v>
      </c>
      <c r="E221" s="17" t="n">
        <f aca="false">E211/E218</f>
        <v>0.106531451717711</v>
      </c>
      <c r="F221" s="17" t="n">
        <f aca="false">F211/F218</f>
        <v>0.0831806010137711</v>
      </c>
      <c r="G221" s="17" t="n">
        <f aca="false">G211/G218</f>
        <v>0.0877325406228224</v>
      </c>
    </row>
    <row r="222" customFormat="false" ht="17.15" hidden="false" customHeight="false" outlineLevel="0" collapsed="false">
      <c r="A222" s="1" t="s">
        <v>700</v>
      </c>
    </row>
    <row r="223" customFormat="false" ht="15" hidden="false" customHeight="false" outlineLevel="0" collapsed="false">
      <c r="A223" s="5" t="s">
        <v>527</v>
      </c>
      <c r="B223" s="0" t="s">
        <v>309</v>
      </c>
      <c r="C223" s="16" t="n">
        <f aca="false">a26_rev</f>
        <v>215.938</v>
      </c>
      <c r="D223" s="16" t="n">
        <f aca="false">a27_rev</f>
        <v>404.636</v>
      </c>
      <c r="E223" s="16" t="n">
        <f aca="false">E218</f>
        <v>688.816003221952</v>
      </c>
      <c r="F223" s="16" t="n">
        <f aca="false">F218</f>
        <v>452.377266097758</v>
      </c>
      <c r="G223" s="16" t="n">
        <f aca="false">G218</f>
        <v>508.58356148877</v>
      </c>
    </row>
    <row r="224" customFormat="false" ht="17.15" hidden="false" customHeight="false" outlineLevel="0" collapsed="false">
      <c r="A224" s="0" t="s">
        <v>701</v>
      </c>
      <c r="B224" s="0" t="s">
        <v>309</v>
      </c>
      <c r="C224" s="16" t="n">
        <f aca="false">a26_dc</f>
        <v>193.7</v>
      </c>
      <c r="D224" s="16" t="n">
        <f aca="false">a27_dc</f>
        <v>375.4567975</v>
      </c>
      <c r="E224" s="16" t="n">
        <f aca="false">E209+E212+E214</f>
        <v>657.302464521952</v>
      </c>
      <c r="F224" s="16" t="n">
        <f aca="false">F209+F212+F214</f>
        <v>418.342644301758</v>
      </c>
      <c r="G224" s="16" t="n">
        <f aca="false">G209+G212+G214</f>
        <v>471.82616994909</v>
      </c>
    </row>
    <row r="225" customFormat="false" ht="15" hidden="false" customHeight="false" outlineLevel="0" collapsed="false">
      <c r="A225" s="0" t="s">
        <v>647</v>
      </c>
      <c r="B225" s="0" t="s">
        <v>309</v>
      </c>
      <c r="C225" s="16" t="n">
        <f aca="false">a26_edge</f>
        <v>22.238</v>
      </c>
      <c r="D225" s="16" t="n">
        <f aca="false">a27_edge</f>
        <v>29.1792025</v>
      </c>
      <c r="E225" s="16" t="n">
        <f aca="false">E216</f>
        <v>31.5135387</v>
      </c>
      <c r="F225" s="16" t="n">
        <f aca="false">F216</f>
        <v>34.034621796</v>
      </c>
      <c r="G225" s="16" t="n">
        <f aca="false">G216</f>
        <v>36.75739153968</v>
      </c>
    </row>
    <row r="226" customFormat="false" ht="15" hidden="false" customHeight="false" outlineLevel="0" collapsed="false">
      <c r="A226" s="5" t="s">
        <v>702</v>
      </c>
      <c r="B226" s="0" t="s">
        <v>41</v>
      </c>
      <c r="D226" s="17" t="n">
        <f aca="false">D223/C223-1</f>
        <v>0.873852679935908</v>
      </c>
      <c r="E226" s="17" t="n">
        <f aca="false">E223/D223-1</f>
        <v>0.702310232460661</v>
      </c>
      <c r="F226" s="17" t="n">
        <f aca="false">F223/E223-1</f>
        <v>-0.343253838497141</v>
      </c>
      <c r="G226" s="17" t="n">
        <f aca="false">G223/F223-1</f>
        <v>0.124246507513193</v>
      </c>
    </row>
    <row r="227" customFormat="false" ht="15" hidden="false" customHeight="false" outlineLevel="0" collapsed="false">
      <c r="A227" s="5" t="s">
        <v>703</v>
      </c>
      <c r="B227" s="0" t="s">
        <v>309</v>
      </c>
      <c r="C227" s="16" t="n">
        <f aca="false">a26_gp</f>
        <v>153.463</v>
      </c>
      <c r="D227" s="16" t="n">
        <f aca="false">a27_gp</f>
        <v>298.161</v>
      </c>
      <c r="E227" s="16" t="n">
        <f aca="false">E223-E219</f>
        <v>474.324481491545</v>
      </c>
      <c r="F227" s="16" t="n">
        <f aca="false">F223-F219</f>
        <v>334.376952369472</v>
      </c>
      <c r="G227" s="16" t="n">
        <f aca="false">G223-G219</f>
        <v>377.383214532895</v>
      </c>
    </row>
    <row r="228" customFormat="false" ht="15" hidden="false" customHeight="false" outlineLevel="0" collapsed="false">
      <c r="A228" s="5" t="s">
        <v>543</v>
      </c>
      <c r="B228" s="0" t="s">
        <v>41</v>
      </c>
      <c r="C228" s="17" t="n">
        <f aca="false">C227/C223</f>
        <v>0.710680843575471</v>
      </c>
      <c r="D228" s="17" t="n">
        <f aca="false">D227/D223</f>
        <v>0.736862266333198</v>
      </c>
      <c r="E228" s="17" t="n">
        <f aca="false">E227/E223</f>
        <v>0.688608393639058</v>
      </c>
      <c r="F228" s="17" t="n">
        <f aca="false">F227/F223</f>
        <v>0.739155075704476</v>
      </c>
      <c r="G228" s="17" t="n">
        <f aca="false">G227/G223</f>
        <v>0.742027944096711</v>
      </c>
    </row>
    <row r="229" customFormat="false" ht="17.15" hidden="false" customHeight="false" outlineLevel="0" collapsed="false">
      <c r="A229" s="5" t="s">
        <v>704</v>
      </c>
      <c r="B229" s="0" t="s">
        <v>309</v>
      </c>
      <c r="C229" s="16" t="n">
        <f aca="false">a26_opx</f>
        <v>23.076</v>
      </c>
      <c r="D229" s="16" t="n">
        <f aca="false">a27_opx</f>
        <v>35.165</v>
      </c>
      <c r="E229" s="16" t="n">
        <f aca="false">D229*(1+MAX(g_opx_min,phi*E226))</f>
        <v>49.9830435946875</v>
      </c>
      <c r="F229" s="16" t="n">
        <f aca="false">E229*(1+MAX(g_opx_min,phi*F226))</f>
        <v>52.4821957744219</v>
      </c>
      <c r="G229" s="16" t="n">
        <f aca="false">F229*(1+MAX(g_opx_min,phi*G226))</f>
        <v>56.3946334933792</v>
      </c>
      <c r="H229" s="5" t="s">
        <v>705</v>
      </c>
    </row>
    <row r="230" customFormat="false" ht="15" hidden="false" customHeight="false" outlineLevel="0" collapsed="false">
      <c r="A230" s="5" t="s">
        <v>706</v>
      </c>
      <c r="B230" s="0" t="s">
        <v>309</v>
      </c>
      <c r="C230" s="16" t="n">
        <f aca="false">C229</f>
        <v>23.076</v>
      </c>
      <c r="D230" s="16" t="n">
        <f aca="false">D229</f>
        <v>35.165</v>
      </c>
      <c r="E230" s="16" t="n">
        <f aca="false">E229+0*E223</f>
        <v>49.9830435946875</v>
      </c>
      <c r="F230" s="16" t="n">
        <f aca="false">F229+0*F223</f>
        <v>52.4821957744219</v>
      </c>
      <c r="G230" s="16" t="n">
        <f aca="false">G229+0*G223</f>
        <v>56.3946334933792</v>
      </c>
    </row>
    <row r="231" customFormat="false" ht="15" hidden="false" customHeight="false" outlineLevel="0" collapsed="false">
      <c r="A231" s="5" t="s">
        <v>546</v>
      </c>
      <c r="B231" s="0" t="s">
        <v>309</v>
      </c>
      <c r="C231" s="16" t="n">
        <f aca="false">C227-C230</f>
        <v>130.387</v>
      </c>
      <c r="D231" s="16" t="n">
        <f aca="false">D227-D230</f>
        <v>262.996</v>
      </c>
      <c r="E231" s="16" t="n">
        <f aca="false">E227-E230</f>
        <v>424.341437896857</v>
      </c>
      <c r="F231" s="16" t="n">
        <f aca="false">F227-F230</f>
        <v>281.89475659505</v>
      </c>
      <c r="G231" s="16" t="n">
        <f aca="false">G227-G230</f>
        <v>320.988581039516</v>
      </c>
    </row>
    <row r="232" customFormat="false" ht="15" hidden="false" customHeight="false" outlineLevel="0" collapsed="false">
      <c r="A232" s="5" t="s">
        <v>648</v>
      </c>
      <c r="B232" s="0" t="s">
        <v>41</v>
      </c>
      <c r="C232" s="17" t="n">
        <f aca="false">C231/C223</f>
        <v>0.603816836314127</v>
      </c>
      <c r="D232" s="17" t="n">
        <f aca="false">D231/D223</f>
        <v>0.649956998388675</v>
      </c>
      <c r="E232" s="17" t="n">
        <f aca="false">E231/E223</f>
        <v>0.616044685245393</v>
      </c>
      <c r="F232" s="17" t="n">
        <f aca="false">F231/F223</f>
        <v>0.623140855478209</v>
      </c>
      <c r="G232" s="17" t="n">
        <f aca="false">G231/G223</f>
        <v>0.631142265196088</v>
      </c>
    </row>
    <row r="233" customFormat="false" ht="15" hidden="false" customHeight="false" outlineLevel="0" collapsed="false">
      <c r="A233" s="5" t="s">
        <v>551</v>
      </c>
      <c r="B233" s="0" t="s">
        <v>309</v>
      </c>
      <c r="C233" s="20" t="n">
        <f aca="false">a26_oth</f>
        <v>2.145</v>
      </c>
      <c r="D233" s="20" t="n">
        <f aca="false">a27_oth</f>
        <v>1.133</v>
      </c>
      <c r="E233" s="20" t="n">
        <f aca="false">oth_f</f>
        <v>1.2</v>
      </c>
      <c r="F233" s="20" t="n">
        <f aca="false">oth_f</f>
        <v>1.2</v>
      </c>
      <c r="G233" s="20" t="n">
        <f aca="false">oth_f</f>
        <v>1.2</v>
      </c>
    </row>
    <row r="234" customFormat="false" ht="15" hidden="false" customHeight="false" outlineLevel="0" collapsed="false">
      <c r="A234" s="5" t="s">
        <v>560</v>
      </c>
      <c r="B234" s="0" t="s">
        <v>41</v>
      </c>
      <c r="C234" s="17" t="n">
        <f aca="false">1-a26_ni/(a26_oi+a26_oth)</f>
        <v>0.151187565812244</v>
      </c>
      <c r="D234" s="17" t="n">
        <f aca="false">a27_etr</f>
        <v>0.167980835756566</v>
      </c>
      <c r="E234" s="17" t="n">
        <f aca="false">tx_f</f>
        <v>0.17</v>
      </c>
      <c r="F234" s="17" t="n">
        <f aca="false">tx_f</f>
        <v>0.17</v>
      </c>
      <c r="G234" s="17" t="n">
        <f aca="false">tx_f</f>
        <v>0.17</v>
      </c>
    </row>
    <row r="235" customFormat="false" ht="15" hidden="false" customHeight="false" outlineLevel="0" collapsed="false">
      <c r="A235" s="5" t="s">
        <v>649</v>
      </c>
      <c r="B235" s="0" t="s">
        <v>309</v>
      </c>
      <c r="C235" s="16" t="n">
        <f aca="false">a26_ni</f>
        <v>112.494809527772</v>
      </c>
      <c r="D235" s="16" t="n">
        <f aca="false">a27_ni</f>
        <v>219.760389832454</v>
      </c>
      <c r="E235" s="16" t="n">
        <f aca="false">(E231+E233)*(1-E234)</f>
        <v>353.199393454392</v>
      </c>
      <c r="F235" s="16" t="n">
        <f aca="false">(F231+F233)*(1-F234)</f>
        <v>234.968647973892</v>
      </c>
      <c r="G235" s="16" t="n">
        <f aca="false">(G231+G233)*(1-G234)</f>
        <v>267.416522262799</v>
      </c>
    </row>
    <row r="236" customFormat="false" ht="15" hidden="false" customHeight="false" outlineLevel="0" collapsed="false">
      <c r="A236" s="5" t="s">
        <v>707</v>
      </c>
      <c r="B236" s="5" t="s">
        <v>708</v>
      </c>
      <c r="C236" s="18" t="n">
        <f aca="false">a26_sh</f>
        <v>24.5145</v>
      </c>
      <c r="D236" s="18" t="n">
        <f aca="false">a27_sh</f>
        <v>24.25691339125</v>
      </c>
      <c r="E236" s="18" t="n">
        <f aca="false">D236*(1+sh_g)</f>
        <v>23.965830430555</v>
      </c>
      <c r="F236" s="18" t="n">
        <f aca="false">E236*(1+sh_g)</f>
        <v>23.6782404653883</v>
      </c>
      <c r="G236" s="18" t="n">
        <f aca="false">F236*(1+sh_g)</f>
        <v>23.3941015798037</v>
      </c>
    </row>
    <row r="237" customFormat="false" ht="17.15" hidden="false" customHeight="false" outlineLevel="0" collapsed="false">
      <c r="A237" s="0" t="s">
        <v>650</v>
      </c>
      <c r="B237" s="0" t="s">
        <v>420</v>
      </c>
      <c r="C237" s="20" t="n">
        <f aca="false">C235/C236</f>
        <v>4.58890899376988</v>
      </c>
      <c r="D237" s="20" t="n">
        <f aca="false">D235/D236</f>
        <v>9.05970130196888</v>
      </c>
      <c r="E237" s="20" t="n">
        <f aca="false">E235/E236</f>
        <v>14.7376238214589</v>
      </c>
      <c r="F237" s="20" t="n">
        <f aca="false">F235/F236</f>
        <v>9.9233998538598</v>
      </c>
      <c r="G237" s="20" t="n">
        <f aca="false">G235/G236</f>
        <v>11.4309378947752</v>
      </c>
    </row>
    <row r="238" customFormat="false" ht="17.15" hidden="false" customHeight="false" outlineLevel="0" collapsed="false">
      <c r="A238" s="0" t="s">
        <v>709</v>
      </c>
      <c r="B238" s="0" t="s">
        <v>41</v>
      </c>
      <c r="D238" s="17" t="n">
        <f aca="false">D237/C237-1</f>
        <v>0.974260399207908</v>
      </c>
      <c r="E238" s="17" t="n">
        <f aca="false">E237/D237-1</f>
        <v>0.626722927195852</v>
      </c>
      <c r="F238" s="17" t="n">
        <f aca="false">F237/E237-1</f>
        <v>-0.326662155712598</v>
      </c>
      <c r="G238" s="17" t="n">
        <f aca="false">G237/F237-1</f>
        <v>0.151917494318144</v>
      </c>
    </row>
    <row r="241" customFormat="false" ht="17.15" hidden="false" customHeight="false" outlineLevel="0" collapsed="false">
      <c r="A241" s="4" t="s">
        <v>712</v>
      </c>
    </row>
    <row r="242" customFormat="false" ht="15" hidden="false" customHeight="false" outlineLevel="0" collapsed="false">
      <c r="A242" s="6" t="s">
        <v>19</v>
      </c>
      <c r="B242" s="6" t="s">
        <v>20</v>
      </c>
      <c r="C242" s="12" t="s">
        <v>639</v>
      </c>
      <c r="D242" s="12" t="s">
        <v>640</v>
      </c>
      <c r="E242" s="12" t="s">
        <v>641</v>
      </c>
      <c r="F242" s="12" t="s">
        <v>642</v>
      </c>
      <c r="G242" s="12" t="s">
        <v>643</v>
      </c>
      <c r="H242" s="6" t="s">
        <v>592</v>
      </c>
    </row>
    <row r="243" customFormat="false" ht="17.15" hidden="false" customHeight="false" outlineLevel="0" collapsed="false">
      <c r="A243" s="1" t="s">
        <v>658</v>
      </c>
    </row>
    <row r="244" customFormat="false" ht="17.15" hidden="false" customHeight="false" outlineLevel="0" collapsed="false">
      <c r="A244" s="0" t="s">
        <v>659</v>
      </c>
      <c r="B244" s="0" t="s">
        <v>126</v>
      </c>
      <c r="D244" s="18" t="n">
        <f aca="false">1</f>
        <v>1</v>
      </c>
      <c r="E244" s="18" t="n">
        <f aca="false">1*1</f>
        <v>1</v>
      </c>
      <c r="F244" s="18" t="n">
        <f aca="false">1*1</f>
        <v>1</v>
      </c>
      <c r="G244" s="18" t="n">
        <f aca="false">1*1</f>
        <v>1</v>
      </c>
    </row>
    <row r="245" customFormat="false" ht="17.15" hidden="false" customHeight="false" outlineLevel="0" collapsed="false">
      <c r="A245" s="0" t="s">
        <v>660</v>
      </c>
      <c r="B245" s="5" t="s">
        <v>30</v>
      </c>
      <c r="D245" s="20" t="n">
        <f aca="false">(u_bw_26)*D244</f>
        <v>5.4</v>
      </c>
      <c r="E245" s="20" t="n">
        <f aca="false">(u_bw_27)*E244</f>
        <v>2.4</v>
      </c>
      <c r="F245" s="20" t="n">
        <f aca="false">(u_bw_28*um28_A)*F244</f>
        <v>0.5</v>
      </c>
      <c r="G245" s="20" t="n">
        <f aca="false">(u_bw_28*(1+g29_bw)*um29_A)*G244</f>
        <v>0.25</v>
      </c>
    </row>
    <row r="246" customFormat="false" ht="17.15" hidden="false" customHeight="false" outlineLevel="0" collapsed="false">
      <c r="A246" s="0" t="s">
        <v>661</v>
      </c>
      <c r="B246" s="5" t="s">
        <v>30</v>
      </c>
      <c r="D246" s="20" t="n">
        <f aca="false">(u_rb_26)*D244</f>
        <v>1.7</v>
      </c>
      <c r="E246" s="20" t="n">
        <f aca="false">(u_rb_27)*E244</f>
        <v>7</v>
      </c>
      <c r="F246" s="20" t="n">
        <f aca="false">(u_rb_28*um28_A)*F244</f>
        <v>7</v>
      </c>
      <c r="G246" s="20" t="n">
        <f aca="false">(u_rb_28*(1+g29_rb)*um29_A)*G244</f>
        <v>8.05</v>
      </c>
    </row>
    <row r="247" customFormat="false" ht="17.15" hidden="false" customHeight="false" outlineLevel="0" collapsed="false">
      <c r="A247" s="0" t="s">
        <v>662</v>
      </c>
      <c r="B247" s="5" t="s">
        <v>30</v>
      </c>
      <c r="D247" s="20" t="n">
        <f aca="false">(u_ru_26)*D244</f>
        <v>0</v>
      </c>
      <c r="E247" s="20" t="n">
        <f aca="false">(u_ru_27)*E244</f>
        <v>0.3</v>
      </c>
      <c r="F247" s="20" t="n">
        <f aca="false">(u_ru_28*um28_A)*F244</f>
        <v>2</v>
      </c>
      <c r="G247" s="20" t="n">
        <f aca="false">(u_ru_28*(1+g29_ru)*um29_A)*G244</f>
        <v>2.3</v>
      </c>
    </row>
    <row r="248" customFormat="false" ht="17.15" hidden="false" customHeight="false" outlineLevel="0" collapsed="false">
      <c r="A248" s="0" t="s">
        <v>663</v>
      </c>
      <c r="B248" s="5" t="s">
        <v>30</v>
      </c>
      <c r="D248" s="20" t="n">
        <f aca="false">(u_hp_26)*D244</f>
        <v>0.5</v>
      </c>
      <c r="E248" s="20" t="n">
        <f aca="false">(u_hp_27)*E244</f>
        <v>0</v>
      </c>
      <c r="F248" s="20" t="n">
        <f aca="false">(u_hp_28*um28_A)*F244</f>
        <v>0</v>
      </c>
      <c r="G248" s="20" t="n">
        <f aca="false">(u_hp_28*(1+g29_hp)*um29_A)*G244</f>
        <v>0</v>
      </c>
    </row>
    <row r="249" customFormat="false" ht="17.15" hidden="false" customHeight="false" outlineLevel="0" collapsed="false">
      <c r="A249" s="0" t="s">
        <v>664</v>
      </c>
      <c r="B249" s="5" t="s">
        <v>30</v>
      </c>
      <c r="D249" s="20" t="n">
        <f aca="false">SUM(D245:D248)</f>
        <v>7.6</v>
      </c>
      <c r="E249" s="20" t="n">
        <f aca="false">SUM(E245:E248)</f>
        <v>9.7</v>
      </c>
      <c r="F249" s="20" t="n">
        <f aca="false">SUM(F245:F248)</f>
        <v>9.5</v>
      </c>
      <c r="G249" s="20" t="n">
        <f aca="false">SUM(G245:G248)</f>
        <v>10.6</v>
      </c>
      <c r="H249" s="8" t="s">
        <v>665</v>
      </c>
    </row>
    <row r="250" customFormat="false" ht="17.15" hidden="false" customHeight="false" outlineLevel="0" collapsed="false">
      <c r="A250" s="0" t="s">
        <v>666</v>
      </c>
      <c r="B250" s="0" t="s">
        <v>174</v>
      </c>
      <c r="D250" s="20" t="n">
        <f aca="false">1*(pm_bw+pcpu_bw+plp_bw+k_tray*pres_bw)+(1-abs_mem)*(gb_bw_26*hpx_bw*(hbm_A_26/hbm_A_26-1)/1000+plp_bw*(cdx_A_26/cdx_A_26-1))</f>
        <v>47.005555</v>
      </c>
      <c r="E250" s="20" t="n">
        <f aca="false">1*(pm_bw+pcpu_bw+plp_bw+k_tray*pres_bw)+(1-abs_mem)*(gb_bw_27*hpx_bw*(hbm_A_27/hbm_A_26-1)/1000+plp_bw*(cdx_A_27/cdx_A_26-1))</f>
        <v>49.1868731800491</v>
      </c>
      <c r="F250" s="20" t="n">
        <f aca="false">1*(pm_bw+pcpu_bw+plp_bw+k_tray*pres_bw)+(1-abs_mem)*(gb_bw_28*hpx_bw*(hbm_A_28/hbm_A_26-1)/1000+plp_bw*(cdx_A_28/cdx_A_26-1))</f>
        <v>49.4475301208957</v>
      </c>
      <c r="G250" s="20" t="n">
        <f aca="false">1*(pm_bw+pcpu_bw+plp_bw+k_tray*pres_bw)+(1-abs_mem)*(gb_bw_28*hpx_bw*(hbm_A_29/hbm_A_26-1)/1000+plp_bw*(cdx_A_29/cdx_A_26-1))</f>
        <v>49.0541422400875</v>
      </c>
      <c r="H250" s="5" t="s">
        <v>667</v>
      </c>
    </row>
    <row r="251" customFormat="false" ht="17.15" hidden="false" customHeight="false" outlineLevel="0" collapsed="false">
      <c r="A251" s="0" t="s">
        <v>668</v>
      </c>
      <c r="B251" s="0" t="s">
        <v>174</v>
      </c>
      <c r="D251" s="20" t="n">
        <f aca="false">1*(pm_rb+pcpu_rb+plp_rb+k_tray*pres_rb)+(1-abs_mem)*(gb_rb_26*hpx_rb*(hbm_A_26/hbm_A_26-1)/1000+plp_rb*(cdx_A_26/cdx_A_26-1))</f>
        <v>72.166667</v>
      </c>
      <c r="E251" s="20" t="n">
        <f aca="false">1*(pm_rb+pcpu_rb+plp_rb+k_tray*pres_rb)+(1-abs_mem)*(gb_rb_27*hpx_rb*(hbm_A_27/hbm_A_26-1)/1000+plp_rb*(cdx_A_27/cdx_A_26-1))</f>
        <v>74.8239724084115</v>
      </c>
      <c r="F251" s="20" t="n">
        <f aca="false">1*(pm_rb+pcpu_rb+plp_rb+k_tray*pres_rb)+(1-abs_mem)*(gb_rb_28*hpx_rb*(hbm_A_28/hbm_A_26-1)/1000+plp_rb*(cdx_A_28/cdx_A_26-1))</f>
        <v>74.9427371790653</v>
      </c>
      <c r="G251" s="20" t="n">
        <f aca="false">1*(pm_rb+pcpu_rb+plp_rb+k_tray*pres_rb)+(1-abs_mem)*(gb_rb_28*hpx_rb*(hbm_A_29/hbm_A_26-1)/1000+plp_rb*(cdx_A_29/cdx_A_26-1))</f>
        <v>74.4206762269425</v>
      </c>
    </row>
    <row r="252" customFormat="false" ht="17.15" hidden="false" customHeight="false" outlineLevel="0" collapsed="false">
      <c r="A252" s="0" t="s">
        <v>669</v>
      </c>
      <c r="B252" s="0" t="s">
        <v>174</v>
      </c>
      <c r="D252" s="20" t="n">
        <f aca="false">1*(pm_ru+pcpu_ru+plp_ru+k_tray*pres_ru)+(1-abs_mem)*(gb_ru_26*hpx_ru*(hbm_A_26/hbm_A_26-1)/1000+plp_ru*(cdx_A_26/cdx_A_26-1))</f>
        <v>92.166667</v>
      </c>
      <c r="E252" s="20" t="n">
        <f aca="false">1*(pm_ru+pcpu_ru+plp_ru+k_tray*pres_ru)+(1-abs_mem)*(gb_ru_27*hpx_ru*(hbm_A_27/hbm_A_26-1)/1000+plp_ru*(cdx_A_27/cdx_A_26-1))</f>
        <v>99.7404524084115</v>
      </c>
      <c r="F252" s="20" t="n">
        <f aca="false">1*(pm_ru+pcpu_ru+plp_ru+k_tray*pres_ru)+(1-abs_mem)*(gb_ru_28*hpx_ru*(hbm_A_28/hbm_A_26-1)/1000+plp_ru*(cdx_A_28/cdx_A_26-1))</f>
        <v>100.965425179065</v>
      </c>
      <c r="G252" s="20" t="n">
        <f aca="false">1*(pm_ru+pcpu_ru+plp_ru+k_tray*pres_ru)+(1-abs_mem)*(gb_ru_28*hpx_ru*(hbm_A_29/hbm_A_26-1)/1000+plp_ru*(cdx_A_29/cdx_A_26-1))</f>
        <v>99.8349498269425</v>
      </c>
    </row>
    <row r="253" customFormat="false" ht="17.15" hidden="false" customHeight="false" outlineLevel="0" collapsed="false">
      <c r="A253" s="0" t="s">
        <v>670</v>
      </c>
      <c r="B253" s="0" t="s">
        <v>174</v>
      </c>
      <c r="D253" s="20" t="n">
        <f aca="false">1*(pm_hp+pcpu_hp+plp_hp+k_tray*pres_hp)+(1-abs_mem)*(gb_hp_26*hpx_hp*(hbm_A_26/hbm_A_26-1)/1000+plp_hp*(cdx_A_26/cdx_A_26-1))</f>
        <v>30</v>
      </c>
      <c r="E253" s="20" t="n">
        <f aca="false">1*(pm_hp+pcpu_hp+plp_hp+k_tray*pres_hp)+(1-abs_mem)*(gb_hp_27*hpx_hp*(hbm_A_27/hbm_A_26-1)/1000+plp_hp*(cdx_A_27/cdx_A_26-1))</f>
        <v>30.8742</v>
      </c>
      <c r="F253" s="20" t="n">
        <f aca="false">1*(pm_hp+pcpu_hp+plp_hp+k_tray*pres_hp)+(1-abs_mem)*(gb_hp_28*hpx_hp*(hbm_A_28/hbm_A_26-1)/1000+plp_hp*(cdx_A_28/cdx_A_26-1))</f>
        <v>31.070895</v>
      </c>
      <c r="G253" s="20" t="n">
        <f aca="false">1*(pm_hp+pcpu_hp+plp_hp+k_tray*pres_hp)+(1-abs_mem)*(gb_hp_28*hpx_hp*(hbm_A_29/hbm_A_26-1)/1000+plp_hp*(cdx_A_29/cdx_A_26-1))</f>
        <v>30.96271275</v>
      </c>
    </row>
    <row r="254" customFormat="false" ht="17.15" hidden="false" customHeight="false" outlineLevel="0" collapsed="false">
      <c r="A254" s="0" t="s">
        <v>671</v>
      </c>
      <c r="B254" s="0" t="s">
        <v>174</v>
      </c>
      <c r="D254" s="20" t="n">
        <f aca="false">gb_bw_26*hpx_bw*hbm_A_26/hbm_A_26/1000</f>
        <v>4.03</v>
      </c>
      <c r="E254" s="20" t="n">
        <f aca="false">gb_bw_27*hpx_bw*hbm_A_27/hbm_A_26/1000</f>
        <v>7.812</v>
      </c>
      <c r="F254" s="20" t="n">
        <f aca="false">gb_bw_28*hpx_bw*hbm_A_28/hbm_A_26/1000</f>
        <v>8.83872</v>
      </c>
      <c r="G254" s="20" t="n">
        <f aca="false">gb_bw_28*hpx_bw*hbm_A_29/hbm_A_26/1000</f>
        <v>8.396784</v>
      </c>
      <c r="H254" s="5" t="s">
        <v>672</v>
      </c>
    </row>
    <row r="255" customFormat="false" ht="17.15" hidden="false" customHeight="false" outlineLevel="0" collapsed="false">
      <c r="A255" s="0" t="s">
        <v>673</v>
      </c>
      <c r="B255" s="0" t="s">
        <v>174</v>
      </c>
      <c r="D255" s="20" t="n">
        <f aca="false">gb_rb_26*hpx_rb*hbm_A_26/hbm_A_26/1000</f>
        <v>4.8096</v>
      </c>
      <c r="E255" s="20" t="n">
        <f aca="false">gb_rb_27*hpx_rb*hbm_A_27/hbm_A_26/1000</f>
        <v>8.65728</v>
      </c>
      <c r="F255" s="20" t="n">
        <f aca="false">gb_rb_28*hpx_rb*hbm_A_28/hbm_A_26/1000</f>
        <v>9.523008</v>
      </c>
      <c r="G255" s="20" t="n">
        <f aca="false">gb_rb_28*hpx_rb*hbm_A_29/hbm_A_26/1000</f>
        <v>9.0468576</v>
      </c>
    </row>
    <row r="256" customFormat="false" ht="17.15" hidden="false" customHeight="false" outlineLevel="0" collapsed="false">
      <c r="A256" s="0" t="s">
        <v>674</v>
      </c>
      <c r="B256" s="0" t="s">
        <v>174</v>
      </c>
      <c r="D256" s="20" t="n">
        <f aca="false">gb_ru_26*hpx_ru*hbm_A_26/hbm_A_26/1000</f>
        <v>17.1008</v>
      </c>
      <c r="E256" s="20" t="n">
        <f aca="false">gb_ru_27*hpx_ru*hbm_A_27/hbm_A_26/1000</f>
        <v>30.78144</v>
      </c>
      <c r="F256" s="20" t="n">
        <f aca="false">gb_ru_28*hpx_ru*hbm_A_28/hbm_A_26/1000</f>
        <v>33.859584</v>
      </c>
      <c r="G256" s="20" t="n">
        <f aca="false">gb_ru_28*hpx_ru*hbm_A_29/hbm_A_26/1000</f>
        <v>32.1666048</v>
      </c>
    </row>
    <row r="257" customFormat="false" ht="17.15" hidden="false" customHeight="false" outlineLevel="0" collapsed="false">
      <c r="A257" s="0" t="s">
        <v>675</v>
      </c>
      <c r="B257" s="0" t="s">
        <v>174</v>
      </c>
      <c r="D257" s="20" t="n">
        <f aca="false">gb_hp_26*hpx_hp*hbm_A_26/hbm_A_26/1000</f>
        <v>2.1855</v>
      </c>
      <c r="E257" s="20" t="n">
        <f aca="false">gb_hp_27*hpx_hp*hbm_A_27/hbm_A_26/1000</f>
        <v>3.9339</v>
      </c>
      <c r="F257" s="20" t="n">
        <f aca="false">gb_hp_28*hpx_hp*hbm_A_28/hbm_A_26/1000</f>
        <v>4.32729</v>
      </c>
      <c r="G257" s="20" t="n">
        <f aca="false">gb_hp_28*hpx_hp*hbm_A_29/hbm_A_26/1000</f>
        <v>4.1109255</v>
      </c>
    </row>
    <row r="258" customFormat="false" ht="17.15" hidden="false" customHeight="false" outlineLevel="0" collapsed="false">
      <c r="A258" s="0" t="s">
        <v>676</v>
      </c>
      <c r="B258" s="0" t="s">
        <v>174</v>
      </c>
      <c r="D258" s="20" t="n">
        <f aca="false">1*c_nh_p*(pm_bw+pcpu_bw+plp_bw+k_tray*pres_bw)+D254+plp_bw*(cdx_A_26/cdx_A_26-1)</f>
        <v>11.9206227093619</v>
      </c>
      <c r="E258" s="20" t="n">
        <f aca="false">1*c_nh_p*(pm_bw+pcpu_bw+plp_bw+k_tray*pres_bw)+E254+plp_bw*(cdx_A_27/cdx_A_26-1)</f>
        <v>16.59325906946</v>
      </c>
      <c r="F258" s="20" t="n">
        <f aca="false">1*c_nh_p*(pm_bw+pcpu_bw+plp_bw+k_tray*pres_bw)+F254+plp_bw*(cdx_A_28/cdx_A_26-1)</f>
        <v>17.2385729511533</v>
      </c>
      <c r="G258" s="20" t="n">
        <f aca="false">1*c_nh_p*(pm_bw+pcpu_bw+plp_bw+k_tray*pres_bw)+G254+plp_bw*(cdx_A_29/cdx_A_26-1)</f>
        <v>16.451797189537</v>
      </c>
      <c r="H258" s="5" t="s">
        <v>677</v>
      </c>
    </row>
    <row r="259" customFormat="false" ht="17.15" hidden="false" customHeight="false" outlineLevel="0" collapsed="false">
      <c r="A259" s="0" t="s">
        <v>678</v>
      </c>
      <c r="B259" s="0" t="s">
        <v>174</v>
      </c>
      <c r="D259" s="20" t="n">
        <f aca="false">1*c_nh_p*(pm_rb+pcpu_rb+plp_rb+k_tray*pres_rb)+D255+plp_rb*(cdx_A_26/cdx_A_26-1)</f>
        <v>16.9239116274057</v>
      </c>
      <c r="E259" s="20" t="n">
        <f aca="false">1*c_nh_p*(pm_rb+pcpu_rb+plp_rb+k_tray*pres_rb)+E255+plp_rb*(cdx_A_27/cdx_A_26-1)</f>
        <v>22.2385224442286</v>
      </c>
      <c r="F259" s="20" t="n">
        <f aca="false">1*c_nh_p*(pm_rb+pcpu_rb+plp_rb+k_tray*pres_rb)+F255+plp_rb*(cdx_A_28/cdx_A_26-1)</f>
        <v>22.4760519855363</v>
      </c>
      <c r="G259" s="20" t="n">
        <f aca="false">1*c_nh_p*(pm_rb+pcpu_rb+plp_rb+k_tray*pres_rb)+G255+plp_rb*(cdx_A_29/cdx_A_26-1)</f>
        <v>21.4319300812906</v>
      </c>
    </row>
    <row r="260" customFormat="false" ht="17.15" hidden="false" customHeight="false" outlineLevel="0" collapsed="false">
      <c r="A260" s="0" t="s">
        <v>679</v>
      </c>
      <c r="B260" s="0" t="s">
        <v>174</v>
      </c>
      <c r="D260" s="20" t="n">
        <f aca="false">1*c_nh_p*(pm_ru+pcpu_ru+plp_ru+k_tray*pres_ru)+D256+plp_ru*(cdx_A_26/cdx_A_26-1)</f>
        <v>32.5724266125652</v>
      </c>
      <c r="E260" s="20" t="n">
        <f aca="false">1*c_nh_p*(pm_ru+pcpu_ru+plp_ru+k_tray*pres_ru)+E256+plp_ru*(cdx_A_27/cdx_A_26-1)</f>
        <v>47.7199974293881</v>
      </c>
      <c r="F260" s="20" t="n">
        <f aca="false">1*c_nh_p*(pm_ru+pcpu_ru+plp_ru+k_tray*pres_ru)+F256+plp_ru*(cdx_A_28/cdx_A_26-1)</f>
        <v>50.1699429706958</v>
      </c>
      <c r="G260" s="20" t="n">
        <f aca="false">1*c_nh_p*(pm_ru+pcpu_ru+plp_ru+k_tray*pres_ru)+G256+plp_ru*(cdx_A_29/cdx_A_26-1)</f>
        <v>47.9089922664501</v>
      </c>
    </row>
    <row r="261" customFormat="false" ht="17.15" hidden="false" customHeight="false" outlineLevel="0" collapsed="false">
      <c r="A261" s="0" t="s">
        <v>680</v>
      </c>
      <c r="B261" s="0" t="s">
        <v>174</v>
      </c>
      <c r="D261" s="20" t="n">
        <f aca="false">1*c_nh_p*(pm_hp+pcpu_hp+plp_hp+k_tray*pres_hp)+D257+plp_hp*(cdx_A_26/cdx_A_26-1)</f>
        <v>7.22147247773922</v>
      </c>
      <c r="E261" s="20" t="n">
        <f aca="false">1*c_nh_p*(pm_hp+pcpu_hp+plp_hp+k_tray*pres_hp)+E257+plp_hp*(cdx_A_27/cdx_A_26-1)</f>
        <v>8.96987247773922</v>
      </c>
      <c r="F261" s="20" t="n">
        <f aca="false">1*c_nh_p*(pm_hp+pcpu_hp+plp_hp+k_tray*pres_hp)+F257+plp_hp*(cdx_A_28/cdx_A_26-1)</f>
        <v>9.36326247773922</v>
      </c>
      <c r="G261" s="20" t="n">
        <f aca="false">1*c_nh_p*(pm_hp+pcpu_hp+plp_hp+k_tray*pres_hp)+G257+plp_hp*(cdx_A_29/cdx_A_26-1)</f>
        <v>9.14689797773922</v>
      </c>
    </row>
    <row r="262" customFormat="false" ht="17.15" hidden="false" customHeight="false" outlineLevel="0" collapsed="false">
      <c r="A262" s="0" t="s">
        <v>681</v>
      </c>
      <c r="B262" s="0" t="s">
        <v>309</v>
      </c>
      <c r="D262" s="16" t="n">
        <f aca="false">D245*D250</f>
        <v>253.829997</v>
      </c>
      <c r="E262" s="16" t="n">
        <f aca="false">E245*E250</f>
        <v>118.048495632118</v>
      </c>
      <c r="F262" s="16" t="n">
        <f aca="false">F245*F250</f>
        <v>24.7237650604478</v>
      </c>
      <c r="G262" s="16" t="n">
        <f aca="false">G245*G250</f>
        <v>12.2635355600219</v>
      </c>
    </row>
    <row r="263" customFormat="false" ht="17.15" hidden="false" customHeight="false" outlineLevel="0" collapsed="false">
      <c r="A263" s="0" t="s">
        <v>682</v>
      </c>
      <c r="B263" s="0" t="s">
        <v>309</v>
      </c>
      <c r="D263" s="16" t="n">
        <f aca="false">D246*D251</f>
        <v>122.6833339</v>
      </c>
      <c r="E263" s="16" t="n">
        <f aca="false">E246*E251</f>
        <v>523.76780685888</v>
      </c>
      <c r="F263" s="16" t="n">
        <f aca="false">F246*F251</f>
        <v>524.599160253457</v>
      </c>
      <c r="G263" s="16" t="n">
        <f aca="false">G246*G251</f>
        <v>599.086443626887</v>
      </c>
    </row>
    <row r="264" customFormat="false" ht="17.15" hidden="false" customHeight="false" outlineLevel="0" collapsed="false">
      <c r="A264" s="0" t="s">
        <v>683</v>
      </c>
      <c r="B264" s="0" t="s">
        <v>309</v>
      </c>
      <c r="D264" s="16" t="n">
        <f aca="false">D247*D252</f>
        <v>0</v>
      </c>
      <c r="E264" s="16" t="n">
        <f aca="false">E247*E252</f>
        <v>29.9221357225234</v>
      </c>
      <c r="F264" s="16" t="n">
        <f aca="false">F247*F252</f>
        <v>201.930850358131</v>
      </c>
      <c r="G264" s="16" t="n">
        <f aca="false">G247*G252</f>
        <v>229.620384601968</v>
      </c>
    </row>
    <row r="265" customFormat="false" ht="17.15" hidden="false" customHeight="false" outlineLevel="0" collapsed="false">
      <c r="A265" s="0" t="s">
        <v>684</v>
      </c>
      <c r="B265" s="0" t="s">
        <v>309</v>
      </c>
      <c r="D265" s="16" t="n">
        <f aca="false">D248*D253</f>
        <v>15</v>
      </c>
      <c r="E265" s="16" t="n">
        <f aca="false">E248*E253</f>
        <v>0</v>
      </c>
      <c r="F265" s="16" t="n">
        <f aca="false">F248*F253</f>
        <v>0</v>
      </c>
      <c r="G265" s="16" t="n">
        <f aca="false">G248*G253</f>
        <v>0</v>
      </c>
    </row>
    <row r="266" customFormat="false" ht="17.15" hidden="false" customHeight="false" outlineLevel="0" collapsed="false">
      <c r="A266" s="5" t="s">
        <v>685</v>
      </c>
      <c r="B266" s="0" t="s">
        <v>309</v>
      </c>
      <c r="D266" s="16" t="n">
        <f aca="false">SUM(D262:D265)</f>
        <v>391.5133309</v>
      </c>
      <c r="E266" s="16" t="n">
        <f aca="false">SUM(E262:E265)</f>
        <v>671.738438213521</v>
      </c>
      <c r="F266" s="16" t="n">
        <f aca="false">SUM(F262:F265)</f>
        <v>751.253775672035</v>
      </c>
      <c r="G266" s="16" t="n">
        <f aca="false">SUM(G262:G265)</f>
        <v>840.970363788876</v>
      </c>
    </row>
    <row r="267" customFormat="false" ht="15" hidden="false" customHeight="false" outlineLevel="0" collapsed="false">
      <c r="A267" s="5" t="s">
        <v>686</v>
      </c>
      <c r="B267" s="0" t="s">
        <v>309</v>
      </c>
      <c r="D267" s="16" t="n">
        <f aca="false">D245*D258+D246*D259+D247*D260+D248*D261</f>
        <v>96.7527486360136</v>
      </c>
      <c r="E267" s="16" t="n">
        <f aca="false">E245*E258+E246*E259+E247*E260+E248*E261</f>
        <v>209.809478105121</v>
      </c>
      <c r="F267" s="16" t="n">
        <f aca="false">F245*F258+F246*F259+F247*F260+F248*F261</f>
        <v>266.291536315722</v>
      </c>
      <c r="G267" s="16" t="n">
        <f aca="false">G245*G258+G246*G259+G247*G260+G248*G261</f>
        <v>286.830668664609</v>
      </c>
    </row>
    <row r="268" customFormat="false" ht="17.15" hidden="false" customHeight="false" outlineLevel="0" collapsed="false">
      <c r="A268" s="5" t="s">
        <v>687</v>
      </c>
      <c r="B268" s="0" t="s">
        <v>309</v>
      </c>
      <c r="D268" s="16" t="n">
        <f aca="false">D245*D254+D246*D255+D247*D256+D248*D257</f>
        <v>31.03107</v>
      </c>
      <c r="E268" s="16" t="n">
        <f aca="false">E245*E254+E246*E255+E247*E256+E248*E257</f>
        <v>88.584192</v>
      </c>
      <c r="F268" s="16" t="n">
        <f aca="false">F245*F254+F246*F255+F247*F256+F248*F257</f>
        <v>138.799584</v>
      </c>
      <c r="G268" s="16" t="n">
        <f aca="false">G245*G254+G246*G255+G247*G256+G248*G257</f>
        <v>148.90959072</v>
      </c>
    </row>
    <row r="269" customFormat="false" ht="17.15" hidden="false" customHeight="false" outlineLevel="0" collapsed="false">
      <c r="A269" s="5" t="s">
        <v>688</v>
      </c>
      <c r="B269" s="0" t="s">
        <v>309</v>
      </c>
      <c r="D269" s="16" t="n">
        <f aca="false">0</f>
        <v>0</v>
      </c>
      <c r="E269" s="16" t="n">
        <f aca="false">0</f>
        <v>0</v>
      </c>
      <c r="F269" s="16" t="n">
        <f aca="false">0</f>
        <v>0</v>
      </c>
      <c r="G269" s="16" t="n">
        <f aca="false">0</f>
        <v>0</v>
      </c>
    </row>
    <row r="270" customFormat="false" ht="15" hidden="false" customHeight="false" outlineLevel="0" collapsed="false">
      <c r="A270" s="5" t="s">
        <v>689</v>
      </c>
      <c r="B270" s="0" t="s">
        <v>309</v>
      </c>
      <c r="D270" s="16" t="n">
        <f aca="false">D269*D267/D266</f>
        <v>0</v>
      </c>
      <c r="E270" s="16" t="n">
        <f aca="false">E269*E267/E266</f>
        <v>0</v>
      </c>
      <c r="F270" s="16" t="n">
        <f aca="false">F269*F267/F266</f>
        <v>0</v>
      </c>
      <c r="G270" s="16" t="n">
        <f aca="false">G269*G267/G266</f>
        <v>0</v>
      </c>
    </row>
    <row r="271" customFormat="false" ht="17.15" hidden="false" customHeight="false" outlineLevel="0" collapsed="false">
      <c r="A271" s="0" t="s">
        <v>690</v>
      </c>
      <c r="B271" s="0" t="s">
        <v>309</v>
      </c>
      <c r="D271" s="16" t="n">
        <f aca="false">net_26*1*D244</f>
        <v>61.733865</v>
      </c>
      <c r="E271" s="16" t="n">
        <f aca="false">net_27*1*E244</f>
        <v>122.488065</v>
      </c>
      <c r="F271" s="16" t="n">
        <f aca="false">net_28*um28_A*F244</f>
        <v>138.6168</v>
      </c>
      <c r="G271" s="16" t="n">
        <f aca="false">net_29*um29_A*G244</f>
        <v>157.2997125</v>
      </c>
      <c r="H271" s="8" t="s">
        <v>691</v>
      </c>
    </row>
    <row r="272" customFormat="false" ht="17.15" hidden="false" customHeight="false" outlineLevel="0" collapsed="false">
      <c r="A272" s="5" t="s">
        <v>692</v>
      </c>
      <c r="B272" s="0" t="s">
        <v>309</v>
      </c>
      <c r="D272" s="16" t="n">
        <f aca="false">c_net*D271</f>
        <v>18.5201595</v>
      </c>
      <c r="E272" s="16" t="n">
        <f aca="false">c_net*E271</f>
        <v>36.7464195</v>
      </c>
      <c r="F272" s="16" t="n">
        <f aca="false">c_net*F271</f>
        <v>41.58504</v>
      </c>
      <c r="G272" s="16" t="n">
        <f aca="false">c_net*G271</f>
        <v>47.18991375</v>
      </c>
    </row>
    <row r="273" customFormat="false" ht="17.15" hidden="false" customHeight="false" outlineLevel="0" collapsed="false">
      <c r="A273" s="0" t="s">
        <v>693</v>
      </c>
      <c r="B273" s="0" t="s">
        <v>309</v>
      </c>
      <c r="D273" s="16" t="n">
        <f aca="false">a27_edge</f>
        <v>29.1792025</v>
      </c>
      <c r="E273" s="16" t="n">
        <f aca="false">D273*(1+eg)</f>
        <v>31.5135387</v>
      </c>
      <c r="F273" s="16" t="n">
        <f aca="false">E273*(1+eg)</f>
        <v>34.034621796</v>
      </c>
      <c r="G273" s="16" t="n">
        <f aca="false">F273*(1+eg)</f>
        <v>36.75739153968</v>
      </c>
    </row>
    <row r="274" customFormat="false" ht="17.15" hidden="false" customHeight="false" outlineLevel="0" collapsed="false">
      <c r="A274" s="0" t="s">
        <v>694</v>
      </c>
      <c r="B274" s="0" t="s">
        <v>309</v>
      </c>
      <c r="D274" s="16" t="n">
        <f aca="false">(1-gm_edge)*D273</f>
        <v>11.671681</v>
      </c>
      <c r="E274" s="16" t="n">
        <f aca="false">(1-gm_edge)*E273</f>
        <v>12.60541548</v>
      </c>
      <c r="F274" s="16" t="n">
        <f aca="false">(1-gm_edge)*F273</f>
        <v>13.6138487184</v>
      </c>
      <c r="G274" s="16" t="n">
        <f aca="false">(1-gm_edge)*G273</f>
        <v>14.702956615872</v>
      </c>
    </row>
    <row r="275" customFormat="false" ht="15" hidden="false" customHeight="false" outlineLevel="0" collapsed="false">
      <c r="A275" s="5" t="s">
        <v>695</v>
      </c>
      <c r="B275" s="0" t="s">
        <v>309</v>
      </c>
      <c r="D275" s="16" t="n">
        <f aca="false">D266+D269+D271+D273</f>
        <v>482.4263984</v>
      </c>
      <c r="E275" s="16" t="n">
        <f aca="false">E266+E269+E271+E273</f>
        <v>825.740041913521</v>
      </c>
      <c r="F275" s="16" t="n">
        <f aca="false">F266+F269+F271+F273</f>
        <v>923.905197468036</v>
      </c>
      <c r="G275" s="16" t="n">
        <f aca="false">G266+G269+G271+G273</f>
        <v>1035.02746782856</v>
      </c>
    </row>
    <row r="276" customFormat="false" ht="15" hidden="false" customHeight="false" outlineLevel="0" collapsed="false">
      <c r="A276" s="5" t="s">
        <v>696</v>
      </c>
      <c r="B276" s="0" t="s">
        <v>309</v>
      </c>
      <c r="D276" s="16" t="n">
        <f aca="false">D267+D270+D272+D274</f>
        <v>126.944589136014</v>
      </c>
      <c r="E276" s="16" t="n">
        <f aca="false">E267+E270+E272+E274</f>
        <v>259.161313085121</v>
      </c>
      <c r="F276" s="16" t="n">
        <f aca="false">F267+F270+F272+F274</f>
        <v>321.490425034122</v>
      </c>
      <c r="G276" s="16" t="n">
        <f aca="false">G267+G270+G272+G274</f>
        <v>348.723539030481</v>
      </c>
    </row>
    <row r="277" customFormat="false" ht="17.15" hidden="false" customHeight="false" outlineLevel="0" collapsed="false">
      <c r="A277" s="5" t="s">
        <v>697</v>
      </c>
      <c r="B277" s="0" t="s">
        <v>41</v>
      </c>
      <c r="D277" s="17" t="n">
        <f aca="false">1-D276/D275</f>
        <v>0.736862266333198</v>
      </c>
      <c r="E277" s="17" t="n">
        <f aca="false">1-E276/E275</f>
        <v>0.686146607975368</v>
      </c>
      <c r="F277" s="17" t="n">
        <f aca="false">1-F276/F275</f>
        <v>0.652030937897993</v>
      </c>
      <c r="G277" s="17" t="n">
        <f aca="false">1-G276/G275</f>
        <v>0.663077985976461</v>
      </c>
      <c r="H277" s="8" t="s">
        <v>698</v>
      </c>
    </row>
    <row r="278" customFormat="false" ht="17.15" hidden="false" customHeight="false" outlineLevel="0" collapsed="false">
      <c r="A278" s="0" t="s">
        <v>699</v>
      </c>
      <c r="B278" s="0" t="s">
        <v>41</v>
      </c>
      <c r="D278" s="17" t="n">
        <f aca="false">D268/D275</f>
        <v>0.064322910402326</v>
      </c>
      <c r="E278" s="17" t="n">
        <f aca="false">E268/E275</f>
        <v>0.107278547125703</v>
      </c>
      <c r="F278" s="17" t="n">
        <f aca="false">F268/F275</f>
        <v>0.150231413764508</v>
      </c>
      <c r="G278" s="17" t="n">
        <f aca="false">G268/G275</f>
        <v>0.143870182529944</v>
      </c>
    </row>
    <row r="279" customFormat="false" ht="17.15" hidden="false" customHeight="false" outlineLevel="0" collapsed="false">
      <c r="A279" s="1" t="s">
        <v>700</v>
      </c>
    </row>
    <row r="280" customFormat="false" ht="15" hidden="false" customHeight="false" outlineLevel="0" collapsed="false">
      <c r="A280" s="5" t="s">
        <v>527</v>
      </c>
      <c r="B280" s="0" t="s">
        <v>309</v>
      </c>
      <c r="C280" s="16" t="n">
        <f aca="false">a26_rev</f>
        <v>215.938</v>
      </c>
      <c r="D280" s="16" t="n">
        <f aca="false">a27_rev</f>
        <v>404.636</v>
      </c>
      <c r="E280" s="16" t="n">
        <f aca="false">E275</f>
        <v>825.740041913521</v>
      </c>
      <c r="F280" s="16" t="n">
        <f aca="false">F275</f>
        <v>923.905197468036</v>
      </c>
      <c r="G280" s="16" t="n">
        <f aca="false">G275</f>
        <v>1035.02746782856</v>
      </c>
    </row>
    <row r="281" customFormat="false" ht="17.15" hidden="false" customHeight="false" outlineLevel="0" collapsed="false">
      <c r="A281" s="0" t="s">
        <v>701</v>
      </c>
      <c r="B281" s="0" t="s">
        <v>309</v>
      </c>
      <c r="C281" s="16" t="n">
        <f aca="false">a26_dc</f>
        <v>193.7</v>
      </c>
      <c r="D281" s="16" t="n">
        <f aca="false">a27_dc</f>
        <v>375.4567975</v>
      </c>
      <c r="E281" s="16" t="n">
        <f aca="false">E266+E269+E271</f>
        <v>794.226503213521</v>
      </c>
      <c r="F281" s="16" t="n">
        <f aca="false">F266+F269+F271</f>
        <v>889.870575672035</v>
      </c>
      <c r="G281" s="16" t="n">
        <f aca="false">G266+G269+G271</f>
        <v>998.270076288876</v>
      </c>
    </row>
    <row r="282" customFormat="false" ht="15" hidden="false" customHeight="false" outlineLevel="0" collapsed="false">
      <c r="A282" s="0" t="s">
        <v>647</v>
      </c>
      <c r="B282" s="0" t="s">
        <v>309</v>
      </c>
      <c r="C282" s="16" t="n">
        <f aca="false">a26_edge</f>
        <v>22.238</v>
      </c>
      <c r="D282" s="16" t="n">
        <f aca="false">a27_edge</f>
        <v>29.1792025</v>
      </c>
      <c r="E282" s="16" t="n">
        <f aca="false">E273</f>
        <v>31.5135387</v>
      </c>
      <c r="F282" s="16" t="n">
        <f aca="false">F273</f>
        <v>34.034621796</v>
      </c>
      <c r="G282" s="16" t="n">
        <f aca="false">G273</f>
        <v>36.75739153968</v>
      </c>
    </row>
    <row r="283" customFormat="false" ht="15" hidden="false" customHeight="false" outlineLevel="0" collapsed="false">
      <c r="A283" s="5" t="s">
        <v>702</v>
      </c>
      <c r="B283" s="0" t="s">
        <v>41</v>
      </c>
      <c r="D283" s="17" t="n">
        <f aca="false">D280/C280-1</f>
        <v>0.873852679935908</v>
      </c>
      <c r="E283" s="17" t="n">
        <f aca="false">E280/D280-1</f>
        <v>1.04069841020948</v>
      </c>
      <c r="F283" s="17" t="n">
        <f aca="false">F280/E280-1</f>
        <v>0.118881428260439</v>
      </c>
      <c r="G283" s="17" t="n">
        <f aca="false">G280/F280-1</f>
        <v>0.1202745375446</v>
      </c>
    </row>
    <row r="284" customFormat="false" ht="15" hidden="false" customHeight="false" outlineLevel="0" collapsed="false">
      <c r="A284" s="5" t="s">
        <v>703</v>
      </c>
      <c r="B284" s="0" t="s">
        <v>309</v>
      </c>
      <c r="C284" s="16" t="n">
        <f aca="false">a26_gp</f>
        <v>153.463</v>
      </c>
      <c r="D284" s="16" t="n">
        <f aca="false">a27_gp</f>
        <v>298.161</v>
      </c>
      <c r="E284" s="16" t="n">
        <f aca="false">E280-E276</f>
        <v>566.578728828401</v>
      </c>
      <c r="F284" s="16" t="n">
        <f aca="false">F280-F276</f>
        <v>602.414772433913</v>
      </c>
      <c r="G284" s="16" t="n">
        <f aca="false">G280-G276</f>
        <v>686.303928798075</v>
      </c>
    </row>
    <row r="285" customFormat="false" ht="15" hidden="false" customHeight="false" outlineLevel="0" collapsed="false">
      <c r="A285" s="5" t="s">
        <v>543</v>
      </c>
      <c r="B285" s="0" t="s">
        <v>41</v>
      </c>
      <c r="C285" s="17" t="n">
        <f aca="false">C284/C280</f>
        <v>0.710680843575471</v>
      </c>
      <c r="D285" s="17" t="n">
        <f aca="false">D284/D280</f>
        <v>0.736862266333198</v>
      </c>
      <c r="E285" s="17" t="n">
        <f aca="false">E284/E280</f>
        <v>0.686146607975368</v>
      </c>
      <c r="F285" s="17" t="n">
        <f aca="false">F284/F280</f>
        <v>0.652030937897993</v>
      </c>
      <c r="G285" s="17" t="n">
        <f aca="false">G284/G280</f>
        <v>0.663077985976461</v>
      </c>
    </row>
    <row r="286" customFormat="false" ht="17.15" hidden="false" customHeight="false" outlineLevel="0" collapsed="false">
      <c r="A286" s="5" t="s">
        <v>704</v>
      </c>
      <c r="B286" s="0" t="s">
        <v>309</v>
      </c>
      <c r="C286" s="16" t="n">
        <f aca="false">a26_opx</f>
        <v>23.076</v>
      </c>
      <c r="D286" s="16" t="n">
        <f aca="false">a27_opx</f>
        <v>35.165</v>
      </c>
      <c r="E286" s="16" t="n">
        <f aca="false">D286*(1+MAX(g_opx_min,phi*E283))</f>
        <v>57.1226957570097</v>
      </c>
      <c r="F286" s="16" t="n">
        <f aca="false">E286*(1+MAX(g_opx_min,phi*F283))</f>
        <v>61.1971923516176</v>
      </c>
      <c r="G286" s="16" t="n">
        <f aca="false">F286*(1+MAX(g_opx_min,phi*G283))</f>
        <v>65.6134707570889</v>
      </c>
      <c r="H286" s="5" t="s">
        <v>705</v>
      </c>
    </row>
    <row r="287" customFormat="false" ht="15" hidden="false" customHeight="false" outlineLevel="0" collapsed="false">
      <c r="A287" s="5" t="s">
        <v>706</v>
      </c>
      <c r="B287" s="0" t="s">
        <v>309</v>
      </c>
      <c r="C287" s="16" t="n">
        <f aca="false">C286</f>
        <v>23.076</v>
      </c>
      <c r="D287" s="16" t="n">
        <f aca="false">D286</f>
        <v>35.165</v>
      </c>
      <c r="E287" s="16" t="n">
        <f aca="false">E286+0*E280</f>
        <v>57.1226957570097</v>
      </c>
      <c r="F287" s="16" t="n">
        <f aca="false">F286+0*F280</f>
        <v>61.1971923516176</v>
      </c>
      <c r="G287" s="16" t="n">
        <f aca="false">G286+0*G280</f>
        <v>65.6134707570889</v>
      </c>
    </row>
    <row r="288" customFormat="false" ht="15" hidden="false" customHeight="false" outlineLevel="0" collapsed="false">
      <c r="A288" s="5" t="s">
        <v>546</v>
      </c>
      <c r="B288" s="0" t="s">
        <v>309</v>
      </c>
      <c r="C288" s="16" t="n">
        <f aca="false">C284-C287</f>
        <v>130.387</v>
      </c>
      <c r="D288" s="16" t="n">
        <f aca="false">D284-D287</f>
        <v>262.996</v>
      </c>
      <c r="E288" s="16" t="n">
        <f aca="false">E284-E287</f>
        <v>509.456033071391</v>
      </c>
      <c r="F288" s="16" t="n">
        <f aca="false">F284-F287</f>
        <v>541.217580082296</v>
      </c>
      <c r="G288" s="16" t="n">
        <f aca="false">G284-G287</f>
        <v>620.690458040986</v>
      </c>
    </row>
    <row r="289" customFormat="false" ht="15" hidden="false" customHeight="false" outlineLevel="0" collapsed="false">
      <c r="A289" s="5" t="s">
        <v>648</v>
      </c>
      <c r="B289" s="0" t="s">
        <v>41</v>
      </c>
      <c r="C289" s="17" t="n">
        <f aca="false">C288/C280</f>
        <v>0.603816836314127</v>
      </c>
      <c r="D289" s="17" t="n">
        <f aca="false">D288/D280</f>
        <v>0.649956998388675</v>
      </c>
      <c r="E289" s="17" t="n">
        <f aca="false">E288/E280</f>
        <v>0.616969030460007</v>
      </c>
      <c r="F289" s="17" t="n">
        <f aca="false">F288/F280</f>
        <v>0.585793414265342</v>
      </c>
      <c r="G289" s="17" t="n">
        <f aca="false">G288/G280</f>
        <v>0.599685010624084</v>
      </c>
    </row>
    <row r="290" customFormat="false" ht="15" hidden="false" customHeight="false" outlineLevel="0" collapsed="false">
      <c r="A290" s="5" t="s">
        <v>551</v>
      </c>
      <c r="B290" s="0" t="s">
        <v>309</v>
      </c>
      <c r="C290" s="20" t="n">
        <f aca="false">a26_oth</f>
        <v>2.145</v>
      </c>
      <c r="D290" s="20" t="n">
        <f aca="false">a27_oth</f>
        <v>1.133</v>
      </c>
      <c r="E290" s="20" t="n">
        <f aca="false">oth_f</f>
        <v>1.2</v>
      </c>
      <c r="F290" s="20" t="n">
        <f aca="false">oth_f</f>
        <v>1.2</v>
      </c>
      <c r="G290" s="20" t="n">
        <f aca="false">oth_f</f>
        <v>1.2</v>
      </c>
    </row>
    <row r="291" customFormat="false" ht="15" hidden="false" customHeight="false" outlineLevel="0" collapsed="false">
      <c r="A291" s="5" t="s">
        <v>560</v>
      </c>
      <c r="B291" s="0" t="s">
        <v>41</v>
      </c>
      <c r="C291" s="17" t="n">
        <f aca="false">1-a26_ni/(a26_oi+a26_oth)</f>
        <v>0.151187565812244</v>
      </c>
      <c r="D291" s="17" t="n">
        <f aca="false">a27_etr</f>
        <v>0.167980835756566</v>
      </c>
      <c r="E291" s="17" t="n">
        <f aca="false">tx_f</f>
        <v>0.17</v>
      </c>
      <c r="F291" s="17" t="n">
        <f aca="false">tx_f</f>
        <v>0.17</v>
      </c>
      <c r="G291" s="17" t="n">
        <f aca="false">tx_f</f>
        <v>0.17</v>
      </c>
    </row>
    <row r="292" customFormat="false" ht="15" hidden="false" customHeight="false" outlineLevel="0" collapsed="false">
      <c r="A292" s="5" t="s">
        <v>649</v>
      </c>
      <c r="B292" s="0" t="s">
        <v>309</v>
      </c>
      <c r="C292" s="16" t="n">
        <f aca="false">a26_ni</f>
        <v>112.494809527772</v>
      </c>
      <c r="D292" s="16" t="n">
        <f aca="false">a27_ni</f>
        <v>219.760389832454</v>
      </c>
      <c r="E292" s="16" t="n">
        <f aca="false">(E288+E290)*(1-E291)</f>
        <v>423.844507449254</v>
      </c>
      <c r="F292" s="16" t="n">
        <f aca="false">(F288+F290)*(1-F291)</f>
        <v>450.206591468305</v>
      </c>
      <c r="G292" s="16" t="n">
        <f aca="false">(G288+G290)*(1-G291)</f>
        <v>516.169080174019</v>
      </c>
    </row>
    <row r="293" customFormat="false" ht="15" hidden="false" customHeight="false" outlineLevel="0" collapsed="false">
      <c r="A293" s="5" t="s">
        <v>707</v>
      </c>
      <c r="B293" s="5" t="s">
        <v>708</v>
      </c>
      <c r="C293" s="18" t="n">
        <f aca="false">a26_sh</f>
        <v>24.5145</v>
      </c>
      <c r="D293" s="18" t="n">
        <f aca="false">a27_sh</f>
        <v>24.25691339125</v>
      </c>
      <c r="E293" s="18" t="n">
        <f aca="false">D293*(1+sh_g)</f>
        <v>23.965830430555</v>
      </c>
      <c r="F293" s="18" t="n">
        <f aca="false">E293*(1+sh_g)</f>
        <v>23.6782404653883</v>
      </c>
      <c r="G293" s="18" t="n">
        <f aca="false">F293*(1+sh_g)</f>
        <v>23.3941015798037</v>
      </c>
    </row>
    <row r="294" customFormat="false" ht="17.15" hidden="false" customHeight="false" outlineLevel="0" collapsed="false">
      <c r="A294" s="0" t="s">
        <v>650</v>
      </c>
      <c r="B294" s="0" t="s">
        <v>420</v>
      </c>
      <c r="C294" s="20" t="n">
        <f aca="false">C292/C293</f>
        <v>4.58890899376988</v>
      </c>
      <c r="D294" s="20" t="n">
        <f aca="false">D292/D293</f>
        <v>9.05970130196888</v>
      </c>
      <c r="E294" s="20" t="n">
        <f aca="false">E292/E293</f>
        <v>17.6853670344291</v>
      </c>
      <c r="F294" s="20" t="n">
        <f aca="false">F292/F293</f>
        <v>19.0135154732631</v>
      </c>
      <c r="G294" s="20" t="n">
        <f aca="false">G292/G293</f>
        <v>22.064069372924</v>
      </c>
    </row>
    <row r="295" customFormat="false" ht="17.15" hidden="false" customHeight="false" outlineLevel="0" collapsed="false">
      <c r="A295" s="0" t="s">
        <v>709</v>
      </c>
      <c r="B295" s="0" t="s">
        <v>41</v>
      </c>
      <c r="D295" s="17" t="n">
        <f aca="false">D294/C294-1</f>
        <v>0.974260399207908</v>
      </c>
      <c r="E295" s="17" t="n">
        <f aca="false">E294/D294-1</f>
        <v>0.952091624763129</v>
      </c>
      <c r="F295" s="17" t="n">
        <f aca="false">F294/E294-1</f>
        <v>0.0750987206682476</v>
      </c>
      <c r="G295" s="17" t="n">
        <f aca="false">G294/F294-1</f>
        <v>0.160441339948449</v>
      </c>
    </row>
    <row r="298" customFormat="false" ht="17.15" hidden="false" customHeight="false" outlineLevel="0" collapsed="false">
      <c r="A298" s="4" t="s">
        <v>713</v>
      </c>
    </row>
    <row r="299" customFormat="false" ht="17.15" hidden="false" customHeight="false" outlineLevel="0" collapsed="false">
      <c r="A299" s="5" t="s">
        <v>714</v>
      </c>
    </row>
    <row r="300" customFormat="false" ht="15" hidden="false" customHeight="false" outlineLevel="0" collapsed="false">
      <c r="A300" s="6" t="s">
        <v>715</v>
      </c>
      <c r="B300" s="6" t="s">
        <v>20</v>
      </c>
      <c r="C300" s="12" t="s">
        <v>639</v>
      </c>
      <c r="D300" s="12" t="s">
        <v>640</v>
      </c>
      <c r="E300" s="12" t="s">
        <v>641</v>
      </c>
      <c r="F300" s="12" t="s">
        <v>642</v>
      </c>
      <c r="G300" s="12" t="s">
        <v>643</v>
      </c>
      <c r="H300" s="12" t="s">
        <v>716</v>
      </c>
      <c r="I300" s="12" t="s">
        <v>717</v>
      </c>
      <c r="J300" s="6" t="s">
        <v>592</v>
      </c>
    </row>
    <row r="301" customFormat="false" ht="17.15" hidden="false" customHeight="false" outlineLevel="0" collapsed="false">
      <c r="A301" s="4" t="s">
        <v>644</v>
      </c>
    </row>
    <row r="302" customFormat="false" ht="15" hidden="false" customHeight="false" outlineLevel="0" collapsed="false">
      <c r="A302" s="5" t="s">
        <v>527</v>
      </c>
      <c r="B302" s="0" t="s">
        <v>309</v>
      </c>
      <c r="C302" s="16" t="n">
        <f aca="false">C109</f>
        <v>215.938</v>
      </c>
      <c r="D302" s="16" t="n">
        <f aca="false">D109</f>
        <v>404.636</v>
      </c>
      <c r="E302" s="16" t="n">
        <f aca="false">E109</f>
        <v>689.427679335883</v>
      </c>
      <c r="F302" s="16" t="n">
        <f aca="false">F109</f>
        <v>771.177530905179</v>
      </c>
      <c r="G302" s="16" t="n">
        <f aca="false">G109</f>
        <v>863.695294904439</v>
      </c>
      <c r="H302" s="23" t="n">
        <f aca="false">G302*(1+H303)</f>
        <v>941.414689567863</v>
      </c>
      <c r="I302" s="23" t="n">
        <f aca="false">H302*(1+I303)</f>
        <v>997.899570941935</v>
      </c>
    </row>
    <row r="303" customFormat="false" ht="17.15" hidden="false" customHeight="false" outlineLevel="0" collapsed="false">
      <c r="A303" s="5" t="s">
        <v>645</v>
      </c>
      <c r="B303" s="0" t="s">
        <v>41</v>
      </c>
      <c r="C303" s="17"/>
      <c r="D303" s="17" t="n">
        <f aca="false">D302/C302-1</f>
        <v>0.873852679935908</v>
      </c>
      <c r="E303" s="17" t="n">
        <f aca="false">E302/D302-1</f>
        <v>0.70382190248985</v>
      </c>
      <c r="F303" s="17" t="n">
        <f aca="false">F302/E302-1</f>
        <v>0.118576398974936</v>
      </c>
      <c r="G303" s="17" t="n">
        <f aca="false">G302/F302-1</f>
        <v>0.119969475628609</v>
      </c>
      <c r="H303" s="24" t="n">
        <f aca="false">$G$303+((tp_g+tp_gd)-$G$303)*1/2</f>
        <v>0.0899847378143047</v>
      </c>
      <c r="I303" s="24" t="n">
        <f aca="false">$G$303+((tp_g+tp_gd)-$G$303)*2/2</f>
        <v>0.06</v>
      </c>
      <c r="J303" s="8" t="s">
        <v>718</v>
      </c>
    </row>
    <row r="304" customFormat="false" ht="17.15" hidden="false" customHeight="false" outlineLevel="0" collapsed="false">
      <c r="A304" s="5" t="s">
        <v>719</v>
      </c>
      <c r="B304" s="0" t="s">
        <v>41</v>
      </c>
      <c r="C304" s="17" t="n">
        <f aca="false">C305/C302</f>
        <v>0.520958837850548</v>
      </c>
      <c r="D304" s="17" t="n">
        <f aca="false">D305/D302</f>
        <v>0.543106371732752</v>
      </c>
      <c r="E304" s="17" t="n">
        <f aca="false">E305/E302</f>
        <v>0.51153331992271</v>
      </c>
      <c r="F304" s="17" t="n">
        <f aca="false">F305/F302</f>
        <v>0.485833872815002</v>
      </c>
      <c r="G304" s="17" t="n">
        <f aca="false">G305/G302</f>
        <v>0.497290165176705</v>
      </c>
      <c r="H304" s="24" t="n">
        <f aca="false">$G$304+($G$304-$G$304)*1/2</f>
        <v>0.497290165176705</v>
      </c>
      <c r="I304" s="24" t="n">
        <f aca="false">$G$304+($G$304-$G$304)*2/2</f>
        <v>0.497290165176705</v>
      </c>
      <c r="J304" s="8" t="s">
        <v>720</v>
      </c>
    </row>
    <row r="305" customFormat="false" ht="15" hidden="false" customHeight="false" outlineLevel="0" collapsed="false">
      <c r="A305" s="5" t="s">
        <v>721</v>
      </c>
      <c r="B305" s="0" t="s">
        <v>309</v>
      </c>
      <c r="C305" s="16" t="n">
        <f aca="false">C121</f>
        <v>112.494809527772</v>
      </c>
      <c r="D305" s="16" t="n">
        <f aca="false">D121</f>
        <v>219.760389832454</v>
      </c>
      <c r="E305" s="16" t="n">
        <f aca="false">E121</f>
        <v>352.665229657294</v>
      </c>
      <c r="F305" s="16" t="n">
        <f aca="false">F121</f>
        <v>374.664166467574</v>
      </c>
      <c r="G305" s="16" t="n">
        <f aca="false">G121</f>
        <v>429.507175865372</v>
      </c>
      <c r="H305" s="23" t="n">
        <f aca="false">H302*H304</f>
        <v>468.15626647498</v>
      </c>
      <c r="I305" s="23" t="n">
        <f aca="false">I302*I304</f>
        <v>496.245642463478</v>
      </c>
    </row>
    <row r="306" customFormat="false" ht="17.15" hidden="false" customHeight="false" outlineLevel="0" collapsed="false">
      <c r="A306" s="5" t="s">
        <v>707</v>
      </c>
      <c r="B306" s="5" t="s">
        <v>708</v>
      </c>
      <c r="C306" s="18" t="n">
        <f aca="false">C122</f>
        <v>24.5145</v>
      </c>
      <c r="D306" s="18" t="n">
        <f aca="false">D122</f>
        <v>24.25691339125</v>
      </c>
      <c r="E306" s="18" t="n">
        <f aca="false">E122</f>
        <v>23.965830430555</v>
      </c>
      <c r="F306" s="18" t="n">
        <f aca="false">F122</f>
        <v>23.6782404653883</v>
      </c>
      <c r="G306" s="18" t="n">
        <f aca="false">G122</f>
        <v>23.3941015798037</v>
      </c>
      <c r="H306" s="25" t="n">
        <f aca="false">G306*(1+$G$306/$F$306-1)</f>
        <v>23.113372360846</v>
      </c>
      <c r="I306" s="25" t="n">
        <f aca="false">H306*(1+$G$306/$F$306-1)</f>
        <v>22.8360118925159</v>
      </c>
      <c r="J306" s="8" t="s">
        <v>722</v>
      </c>
    </row>
    <row r="307" customFormat="false" ht="17.15" hidden="false" customHeight="false" outlineLevel="0" collapsed="false">
      <c r="A307" s="0" t="s">
        <v>723</v>
      </c>
      <c r="B307" s="0" t="s">
        <v>420</v>
      </c>
      <c r="C307" s="26" t="n">
        <f aca="false">C123</f>
        <v>4.58890899376988</v>
      </c>
      <c r="D307" s="26" t="n">
        <f aca="false">D123</f>
        <v>9.05970130196888</v>
      </c>
      <c r="E307" s="26" t="n">
        <f aca="false">E123</f>
        <v>14.7153352636455</v>
      </c>
      <c r="F307" s="26" t="n">
        <f aca="false">F123</f>
        <v>15.8231422227187</v>
      </c>
      <c r="G307" s="26" t="n">
        <f aca="false">G123</f>
        <v>18.3596354149445</v>
      </c>
      <c r="H307" s="27" t="n">
        <f aca="false">H305/H306</f>
        <v>20.2547797511381</v>
      </c>
      <c r="I307" s="27" t="n">
        <f aca="false">I305/I306</f>
        <v>21.7308365751077</v>
      </c>
    </row>
    <row r="308" customFormat="false" ht="17.15" hidden="false" customHeight="false" outlineLevel="0" collapsed="false">
      <c r="A308" s="0" t="s">
        <v>651</v>
      </c>
      <c r="B308" s="0" t="s">
        <v>41</v>
      </c>
      <c r="C308" s="17"/>
      <c r="D308" s="17" t="n">
        <f aca="false">D307/C307-1</f>
        <v>0.974260399207908</v>
      </c>
      <c r="E308" s="17" t="n">
        <f aca="false">E307/D307-1</f>
        <v>0.624262740367334</v>
      </c>
      <c r="F308" s="17" t="n">
        <f aca="false">F307/E307-1</f>
        <v>0.0752824817936788</v>
      </c>
      <c r="G308" s="17" t="n">
        <f aca="false">G307/F307-1</f>
        <v>0.1603027487539</v>
      </c>
      <c r="H308" s="24" t="n">
        <f aca="false">H307/G307-1</f>
        <v>0.10322341884039</v>
      </c>
      <c r="I308" s="24" t="n">
        <f aca="false">I307/H307-1</f>
        <v>0.0728744939271255</v>
      </c>
    </row>
    <row r="310" customFormat="false" ht="17.15" hidden="false" customHeight="false" outlineLevel="0" collapsed="false">
      <c r="A310" s="4" t="s">
        <v>652</v>
      </c>
    </row>
    <row r="311" customFormat="false" ht="15" hidden="false" customHeight="false" outlineLevel="0" collapsed="false">
      <c r="A311" s="5" t="s">
        <v>527</v>
      </c>
      <c r="B311" s="0" t="s">
        <v>309</v>
      </c>
      <c r="C311" s="16" t="n">
        <f aca="false">C166</f>
        <v>215.938</v>
      </c>
      <c r="D311" s="16" t="n">
        <f aca="false">D166</f>
        <v>404.636</v>
      </c>
      <c r="E311" s="16" t="n">
        <f aca="false">E166</f>
        <v>688.816003221952</v>
      </c>
      <c r="F311" s="16" t="n">
        <f aca="false">F166</f>
        <v>601.37015377641</v>
      </c>
      <c r="G311" s="16" t="n">
        <f aca="false">G166</f>
        <v>717.283933604944</v>
      </c>
      <c r="H311" s="23" t="n">
        <f aca="false">G311*(1+H312)</f>
        <v>800.757662141437</v>
      </c>
      <c r="I311" s="23" t="n">
        <f aca="false">H311*(1+I312)</f>
        <v>832.787968627094</v>
      </c>
    </row>
    <row r="312" customFormat="false" ht="17.15" hidden="false" customHeight="false" outlineLevel="0" collapsed="false">
      <c r="A312" s="5" t="s">
        <v>645</v>
      </c>
      <c r="B312" s="0" t="s">
        <v>41</v>
      </c>
      <c r="C312" s="17"/>
      <c r="D312" s="17" t="n">
        <f aca="false">D311/C311-1</f>
        <v>0.873852679935908</v>
      </c>
      <c r="E312" s="17" t="n">
        <f aca="false">E311/D311-1</f>
        <v>0.702310232460661</v>
      </c>
      <c r="F312" s="17" t="n">
        <f aca="false">F311/E311-1</f>
        <v>-0.126950955025017</v>
      </c>
      <c r="G312" s="17" t="n">
        <f aca="false">G311/F311-1</f>
        <v>0.192749472351817</v>
      </c>
      <c r="H312" s="24" t="n">
        <f aca="false">$G$312+(tp_g-$G$312)*1/2</f>
        <v>0.116374736175908</v>
      </c>
      <c r="I312" s="24" t="n">
        <f aca="false">$G$312+(tp_g-$G$312)*2/2</f>
        <v>0.04</v>
      </c>
      <c r="J312" s="8" t="s">
        <v>724</v>
      </c>
    </row>
    <row r="313" customFormat="false" ht="17.15" hidden="false" customHeight="false" outlineLevel="0" collapsed="false">
      <c r="A313" s="5" t="s">
        <v>719</v>
      </c>
      <c r="B313" s="0" t="s">
        <v>41</v>
      </c>
      <c r="C313" s="17" t="n">
        <f aca="false">C314/C311</f>
        <v>0.520958837850548</v>
      </c>
      <c r="D313" s="17" t="n">
        <f aca="false">D314/D311</f>
        <v>0.543106371732752</v>
      </c>
      <c r="E313" s="17" t="n">
        <f aca="false">E314/E311</f>
        <v>0.512763048190364</v>
      </c>
      <c r="F313" s="17" t="n">
        <f aca="false">F314/F311</f>
        <v>0.52198670611926</v>
      </c>
      <c r="G313" s="17" t="n">
        <f aca="false">G314/G311</f>
        <v>0.527632847231482</v>
      </c>
      <c r="H313" s="24" t="n">
        <f aca="false">$G$313+(($G$313+nm10)/2-$G$313)*1/2</f>
        <v>0.473674635423611</v>
      </c>
      <c r="I313" s="24" t="n">
        <f aca="false">$G$313+(($G$313+nm10)/2-$G$313)*2/2</f>
        <v>0.419716423615741</v>
      </c>
      <c r="J313" s="8" t="s">
        <v>725</v>
      </c>
    </row>
    <row r="314" customFormat="false" ht="15" hidden="false" customHeight="false" outlineLevel="0" collapsed="false">
      <c r="A314" s="5" t="s">
        <v>721</v>
      </c>
      <c r="B314" s="0" t="s">
        <v>309</v>
      </c>
      <c r="C314" s="16" t="n">
        <f aca="false">C178</f>
        <v>112.494809527772</v>
      </c>
      <c r="D314" s="16" t="n">
        <f aca="false">D178</f>
        <v>219.760389832454</v>
      </c>
      <c r="E314" s="16" t="n">
        <f aca="false">E178</f>
        <v>353.199393454392</v>
      </c>
      <c r="F314" s="16" t="n">
        <f aca="false">F178</f>
        <v>313.907225728181</v>
      </c>
      <c r="G314" s="16" t="n">
        <f aca="false">G178</f>
        <v>378.462564161373</v>
      </c>
      <c r="H314" s="23" t="n">
        <f aca="false">H311*H313</f>
        <v>379.298593677508</v>
      </c>
      <c r="I314" s="23" t="n">
        <f aca="false">I311*I313</f>
        <v>349.534787822382</v>
      </c>
    </row>
    <row r="315" customFormat="false" ht="17.15" hidden="false" customHeight="false" outlineLevel="0" collapsed="false">
      <c r="A315" s="5" t="s">
        <v>707</v>
      </c>
      <c r="B315" s="5" t="s">
        <v>708</v>
      </c>
      <c r="C315" s="18" t="n">
        <f aca="false">C179</f>
        <v>24.5145</v>
      </c>
      <c r="D315" s="18" t="n">
        <f aca="false">D179</f>
        <v>24.25691339125</v>
      </c>
      <c r="E315" s="18" t="n">
        <f aca="false">E179</f>
        <v>23.965830430555</v>
      </c>
      <c r="F315" s="18" t="n">
        <f aca="false">F179</f>
        <v>23.6782404653883</v>
      </c>
      <c r="G315" s="18" t="n">
        <f aca="false">G179</f>
        <v>23.3941015798037</v>
      </c>
      <c r="H315" s="25" t="n">
        <f aca="false">G315*(1+$G$315/$F$315-1)</f>
        <v>23.113372360846</v>
      </c>
      <c r="I315" s="25" t="n">
        <f aca="false">H315*(1+$G$315/$F$315-1)</f>
        <v>22.8360118925159</v>
      </c>
      <c r="J315" s="8" t="s">
        <v>722</v>
      </c>
    </row>
    <row r="316" customFormat="false" ht="17.15" hidden="false" customHeight="false" outlineLevel="0" collapsed="false">
      <c r="A316" s="0" t="s">
        <v>723</v>
      </c>
      <c r="B316" s="0" t="s">
        <v>420</v>
      </c>
      <c r="C316" s="26" t="n">
        <f aca="false">C180</f>
        <v>4.58890899376988</v>
      </c>
      <c r="D316" s="26" t="n">
        <f aca="false">D180</f>
        <v>9.05970130196888</v>
      </c>
      <c r="E316" s="26" t="n">
        <f aca="false">E180</f>
        <v>14.7376238214589</v>
      </c>
      <c r="F316" s="26" t="n">
        <f aca="false">F180</f>
        <v>13.2572023747725</v>
      </c>
      <c r="G316" s="26" t="n">
        <f aca="false">G180</f>
        <v>16.1776917515013</v>
      </c>
      <c r="H316" s="27" t="n">
        <f aca="false">H314/H315</f>
        <v>16.4103527497371</v>
      </c>
      <c r="I316" s="27" t="n">
        <f aca="false">I314/I315</f>
        <v>15.3062973284287</v>
      </c>
    </row>
    <row r="317" customFormat="false" ht="17.15" hidden="false" customHeight="false" outlineLevel="0" collapsed="false">
      <c r="A317" s="0" t="s">
        <v>651</v>
      </c>
      <c r="B317" s="0" t="s">
        <v>41</v>
      </c>
      <c r="C317" s="17"/>
      <c r="D317" s="17" t="n">
        <f aca="false">D316/C316-1</f>
        <v>0.974260399207908</v>
      </c>
      <c r="E317" s="17" t="n">
        <f aca="false">E316/D316-1</f>
        <v>0.626722927195852</v>
      </c>
      <c r="F317" s="17" t="n">
        <f aca="false">F316/E316-1</f>
        <v>-0.100451841125892</v>
      </c>
      <c r="G317" s="17" t="n">
        <f aca="false">G316/F316-1</f>
        <v>0.220294545875399</v>
      </c>
      <c r="H317" s="24" t="n">
        <f aca="false">H316/G316-1</f>
        <v>0.0143815942230607</v>
      </c>
      <c r="I317" s="24" t="n">
        <f aca="false">I316/H316-1</f>
        <v>-0.0672779822680004</v>
      </c>
    </row>
    <row r="319" customFormat="false" ht="17.15" hidden="false" customHeight="false" outlineLevel="0" collapsed="false">
      <c r="A319" s="4" t="s">
        <v>653</v>
      </c>
    </row>
    <row r="320" customFormat="false" ht="15" hidden="false" customHeight="false" outlineLevel="0" collapsed="false">
      <c r="A320" s="5" t="s">
        <v>527</v>
      </c>
      <c r="B320" s="0" t="s">
        <v>309</v>
      </c>
      <c r="C320" s="16" t="n">
        <f aca="false">C223</f>
        <v>215.938</v>
      </c>
      <c r="D320" s="16" t="n">
        <f aca="false">D223</f>
        <v>404.636</v>
      </c>
      <c r="E320" s="16" t="n">
        <f aca="false">E223</f>
        <v>688.816003221952</v>
      </c>
      <c r="F320" s="16" t="n">
        <f aca="false">F223</f>
        <v>452.377266097758</v>
      </c>
      <c r="G320" s="16" t="n">
        <f aca="false">G223</f>
        <v>508.58356148877</v>
      </c>
      <c r="H320" s="23" t="n">
        <f aca="false">G320*(1+H321)</f>
        <v>545.264262750458</v>
      </c>
      <c r="I320" s="23" t="n">
        <f aca="false">H320*(1+I321)</f>
        <v>556.169548005468</v>
      </c>
    </row>
    <row r="321" customFormat="false" ht="17.15" hidden="false" customHeight="false" outlineLevel="0" collapsed="false">
      <c r="A321" s="5" t="s">
        <v>645</v>
      </c>
      <c r="B321" s="0" t="s">
        <v>41</v>
      </c>
      <c r="C321" s="17"/>
      <c r="D321" s="17" t="n">
        <f aca="false">D320/C320-1</f>
        <v>0.873852679935908</v>
      </c>
      <c r="E321" s="17" t="n">
        <f aca="false">E320/D320-1</f>
        <v>0.702310232460661</v>
      </c>
      <c r="F321" s="17" t="n">
        <f aca="false">F320/E320-1</f>
        <v>-0.343253838497141</v>
      </c>
      <c r="G321" s="17" t="n">
        <f aca="false">G320/F320-1</f>
        <v>0.124246507513193</v>
      </c>
      <c r="H321" s="24" t="n">
        <f aca="false">$G$321+((tp_g-tp_gd)-$G$321)*1/2</f>
        <v>0.0721232537565963</v>
      </c>
      <c r="I321" s="24" t="n">
        <f aca="false">$G$321+((tp_g-tp_gd)-$G$321)*2/2</f>
        <v>0.02</v>
      </c>
      <c r="J321" s="8" t="s">
        <v>726</v>
      </c>
    </row>
    <row r="322" customFormat="false" ht="17.15" hidden="false" customHeight="false" outlineLevel="0" collapsed="false">
      <c r="A322" s="5" t="s">
        <v>719</v>
      </c>
      <c r="B322" s="0" t="s">
        <v>41</v>
      </c>
      <c r="C322" s="17" t="n">
        <f aca="false">C323/C320</f>
        <v>0.520958837850548</v>
      </c>
      <c r="D322" s="17" t="n">
        <f aca="false">D323/D320</f>
        <v>0.543106371732752</v>
      </c>
      <c r="E322" s="17" t="n">
        <f aca="false">E323/E320</f>
        <v>0.512763048190364</v>
      </c>
      <c r="F322" s="17" t="n">
        <f aca="false">F323/F320</f>
        <v>0.519408612198288</v>
      </c>
      <c r="G322" s="17" t="n">
        <f aca="false">G323/G320</f>
        <v>0.525806460358242</v>
      </c>
      <c r="H322" s="24" t="n">
        <f aca="false">$G$322+(nm10-$G$322)*1/2</f>
        <v>0.418803230179121</v>
      </c>
      <c r="I322" s="24" t="n">
        <f aca="false">$G$322+(nm10-$G$322)*2/2</f>
        <v>0.3118</v>
      </c>
      <c r="J322" s="8" t="s">
        <v>727</v>
      </c>
    </row>
    <row r="323" customFormat="false" ht="15" hidden="false" customHeight="false" outlineLevel="0" collapsed="false">
      <c r="A323" s="5" t="s">
        <v>721</v>
      </c>
      <c r="B323" s="0" t="s">
        <v>309</v>
      </c>
      <c r="C323" s="16" t="n">
        <f aca="false">C235</f>
        <v>112.494809527772</v>
      </c>
      <c r="D323" s="16" t="n">
        <f aca="false">D235</f>
        <v>219.760389832454</v>
      </c>
      <c r="E323" s="16" t="n">
        <f aca="false">E235</f>
        <v>353.199393454392</v>
      </c>
      <c r="F323" s="16" t="n">
        <f aca="false">F235</f>
        <v>234.968647973892</v>
      </c>
      <c r="G323" s="16" t="n">
        <f aca="false">G235</f>
        <v>267.416522262799</v>
      </c>
      <c r="H323" s="23" t="n">
        <f aca="false">H320*H322</f>
        <v>228.358434541129</v>
      </c>
      <c r="I323" s="23" t="n">
        <f aca="false">I320*I322</f>
        <v>173.413665068105</v>
      </c>
    </row>
    <row r="324" customFormat="false" ht="17.15" hidden="false" customHeight="false" outlineLevel="0" collapsed="false">
      <c r="A324" s="5" t="s">
        <v>707</v>
      </c>
      <c r="B324" s="5" t="s">
        <v>708</v>
      </c>
      <c r="C324" s="18" t="n">
        <f aca="false">C236</f>
        <v>24.5145</v>
      </c>
      <c r="D324" s="18" t="n">
        <f aca="false">D236</f>
        <v>24.25691339125</v>
      </c>
      <c r="E324" s="18" t="n">
        <f aca="false">E236</f>
        <v>23.965830430555</v>
      </c>
      <c r="F324" s="18" t="n">
        <f aca="false">F236</f>
        <v>23.6782404653883</v>
      </c>
      <c r="G324" s="18" t="n">
        <f aca="false">G236</f>
        <v>23.3941015798037</v>
      </c>
      <c r="H324" s="25" t="n">
        <f aca="false">G324*(1+$G$324/$F$324-1)</f>
        <v>23.113372360846</v>
      </c>
      <c r="I324" s="25" t="n">
        <f aca="false">H324*(1+$G$324/$F$324-1)</f>
        <v>22.8360118925159</v>
      </c>
      <c r="J324" s="8" t="s">
        <v>722</v>
      </c>
    </row>
    <row r="325" customFormat="false" ht="17.15" hidden="false" customHeight="false" outlineLevel="0" collapsed="false">
      <c r="A325" s="0" t="s">
        <v>723</v>
      </c>
      <c r="B325" s="0" t="s">
        <v>420</v>
      </c>
      <c r="C325" s="26" t="n">
        <f aca="false">C237</f>
        <v>4.58890899376988</v>
      </c>
      <c r="D325" s="26" t="n">
        <f aca="false">D237</f>
        <v>9.05970130196888</v>
      </c>
      <c r="E325" s="26" t="n">
        <f aca="false">E237</f>
        <v>14.7376238214589</v>
      </c>
      <c r="F325" s="26" t="n">
        <f aca="false">F237</f>
        <v>9.9233998538598</v>
      </c>
      <c r="G325" s="26" t="n">
        <f aca="false">G237</f>
        <v>11.4309378947752</v>
      </c>
      <c r="H325" s="27" t="n">
        <f aca="false">H323/H324</f>
        <v>9.87992712512897</v>
      </c>
      <c r="I325" s="27" t="n">
        <f aca="false">I323/I324</f>
        <v>7.59386822376539</v>
      </c>
    </row>
    <row r="326" customFormat="false" ht="17.15" hidden="false" customHeight="false" outlineLevel="0" collapsed="false">
      <c r="A326" s="0" t="s">
        <v>651</v>
      </c>
      <c r="B326" s="0" t="s">
        <v>41</v>
      </c>
      <c r="C326" s="17"/>
      <c r="D326" s="17" t="n">
        <f aca="false">D325/C325-1</f>
        <v>0.974260399207908</v>
      </c>
      <c r="E326" s="17" t="n">
        <f aca="false">E325/D325-1</f>
        <v>0.626722927195852</v>
      </c>
      <c r="F326" s="17" t="n">
        <f aca="false">F325/E325-1</f>
        <v>-0.326662155712598</v>
      </c>
      <c r="G326" s="17" t="n">
        <f aca="false">G325/F325-1</f>
        <v>0.151917494318144</v>
      </c>
      <c r="H326" s="24" t="n">
        <f aca="false">H325/G325-1</f>
        <v>-0.135685346550188</v>
      </c>
      <c r="I326" s="24" t="n">
        <f aca="false">I325/H325-1</f>
        <v>-0.231384186584649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10" min="2" style="0" width="18"/>
    <col collapsed="false" customWidth="true" hidden="false" outlineLevel="0" max="11" min="11" style="0" width="60"/>
  </cols>
  <sheetData>
    <row r="1" customFormat="false" ht="17.15" hidden="false" customHeight="false" outlineLevel="0" collapsed="false">
      <c r="A1" s="0" t="s">
        <v>728</v>
      </c>
    </row>
    <row r="2" customFormat="false" ht="17.15" hidden="false" customHeight="false" outlineLevel="0" collapsed="false">
      <c r="A2" s="5" t="s">
        <v>729</v>
      </c>
    </row>
    <row r="3" customFormat="false" ht="17.15" hidden="false" customHeight="false" outlineLevel="0" collapsed="false">
      <c r="A3" s="1" t="s">
        <v>730</v>
      </c>
    </row>
    <row r="4" customFormat="false" ht="17.15" hidden="false" customHeight="false" outlineLevel="0" collapsed="false">
      <c r="A4" s="1" t="s">
        <v>731</v>
      </c>
    </row>
    <row r="5" customFormat="false" ht="17.15" hidden="false" customHeight="false" outlineLevel="0" collapsed="false">
      <c r="A5" s="6" t="s">
        <v>19</v>
      </c>
      <c r="B5" s="12" t="s">
        <v>732</v>
      </c>
      <c r="C5" s="12" t="s">
        <v>733</v>
      </c>
      <c r="D5" s="12" t="s">
        <v>734</v>
      </c>
      <c r="E5" s="6" t="s">
        <v>592</v>
      </c>
      <c r="F5" s="6" t="s">
        <v>735</v>
      </c>
      <c r="G5" s="6" t="s">
        <v>736</v>
      </c>
    </row>
    <row r="6" customFormat="false" ht="17.15" hidden="false" customHeight="false" outlineLevel="0" collapsed="false">
      <c r="A6" s="5" t="s">
        <v>737</v>
      </c>
      <c r="E6" s="5" t="s">
        <v>738</v>
      </c>
    </row>
    <row r="7" customFormat="false" ht="15" hidden="false" customHeight="false" outlineLevel="0" collapsed="false">
      <c r="A7" s="0" t="s">
        <v>739</v>
      </c>
      <c r="B7" s="26" t="n">
        <f aca="false">PL!D307</f>
        <v>9.05970130196888</v>
      </c>
      <c r="C7" s="26" t="n">
        <f aca="false">PL!D316</f>
        <v>9.05970130196888</v>
      </c>
      <c r="D7" s="26" t="n">
        <f aca="false">PL!D325</f>
        <v>9.05970130196888</v>
      </c>
      <c r="F7" s="18" t="n">
        <v>0.083333</v>
      </c>
      <c r="G7" s="18" t="n">
        <v>0.083333</v>
      </c>
    </row>
    <row r="8" customFormat="false" ht="15" hidden="false" customHeight="false" outlineLevel="0" collapsed="false">
      <c r="A8" s="0" t="s">
        <v>740</v>
      </c>
      <c r="B8" s="26" t="n">
        <f aca="false">PL!E307</f>
        <v>14.7153352636455</v>
      </c>
      <c r="C8" s="26" t="n">
        <f aca="false">PL!E316</f>
        <v>14.7376238214589</v>
      </c>
      <c r="D8" s="26" t="n">
        <f aca="false">PL!E325</f>
        <v>14.7376238214589</v>
      </c>
      <c r="F8" s="18" t="n">
        <v>1.083333</v>
      </c>
      <c r="G8" s="18" t="n">
        <v>1</v>
      </c>
    </row>
    <row r="9" customFormat="false" ht="15" hidden="false" customHeight="false" outlineLevel="0" collapsed="false">
      <c r="A9" s="0" t="s">
        <v>741</v>
      </c>
      <c r="B9" s="26" t="n">
        <f aca="false">PL!F307</f>
        <v>15.8231422227187</v>
      </c>
      <c r="C9" s="26" t="n">
        <f aca="false">PL!F316</f>
        <v>13.2572023747725</v>
      </c>
      <c r="D9" s="26" t="n">
        <f aca="false">PL!F325</f>
        <v>9.9233998538598</v>
      </c>
      <c r="F9" s="18" t="n">
        <v>2.083333</v>
      </c>
      <c r="G9" s="18" t="n">
        <v>1</v>
      </c>
    </row>
    <row r="10" customFormat="false" ht="15" hidden="false" customHeight="false" outlineLevel="0" collapsed="false">
      <c r="A10" s="0" t="s">
        <v>742</v>
      </c>
      <c r="B10" s="26" t="n">
        <f aca="false">PL!G307</f>
        <v>18.3596354149445</v>
      </c>
      <c r="C10" s="26" t="n">
        <f aca="false">PL!G316</f>
        <v>16.1776917515013</v>
      </c>
      <c r="D10" s="26" t="n">
        <f aca="false">PL!G325</f>
        <v>11.4309378947752</v>
      </c>
      <c r="F10" s="18" t="n">
        <v>3.083333</v>
      </c>
      <c r="G10" s="18" t="n">
        <v>1</v>
      </c>
    </row>
    <row r="11" customFormat="false" ht="15" hidden="false" customHeight="false" outlineLevel="0" collapsed="false">
      <c r="A11" s="0" t="s">
        <v>743</v>
      </c>
      <c r="B11" s="26" t="n">
        <f aca="false">PL!H307</f>
        <v>20.2547797511381</v>
      </c>
      <c r="C11" s="26" t="n">
        <f aca="false">PL!H316</f>
        <v>16.4103527497371</v>
      </c>
      <c r="D11" s="26" t="n">
        <f aca="false">PL!H325</f>
        <v>9.87992712512897</v>
      </c>
      <c r="F11" s="18" t="n">
        <v>4.083333</v>
      </c>
      <c r="G11" s="18" t="n">
        <v>1</v>
      </c>
    </row>
    <row r="12" customFormat="false" ht="15" hidden="false" customHeight="false" outlineLevel="0" collapsed="false">
      <c r="A12" s="0" t="s">
        <v>744</v>
      </c>
      <c r="B12" s="26" t="n">
        <f aca="false">PL!I307</f>
        <v>21.7308365751077</v>
      </c>
      <c r="C12" s="26" t="n">
        <f aca="false">PL!I316</f>
        <v>15.3062973284287</v>
      </c>
      <c r="D12" s="26" t="n">
        <f aca="false">PL!I325</f>
        <v>7.59386822376539</v>
      </c>
      <c r="F12" s="18" t="n">
        <v>5.083333</v>
      </c>
      <c r="G12" s="18" t="n">
        <v>1</v>
      </c>
    </row>
    <row r="13" customFormat="false" ht="17.15" hidden="false" customHeight="false" outlineLevel="0" collapsed="false">
      <c r="A13" s="5" t="s">
        <v>745</v>
      </c>
      <c r="B13" s="17" t="n">
        <f aca="false">1-MIN(0.8,tp_g/tp_roe)</f>
        <v>0.949463044851548</v>
      </c>
      <c r="E13" s="8" t="s">
        <v>746</v>
      </c>
    </row>
    <row r="14" customFormat="false" ht="17.15" hidden="false" customHeight="false" outlineLevel="0" collapsed="false">
      <c r="A14" s="0" t="s">
        <v>747</v>
      </c>
      <c r="B14" s="26" t="n">
        <f aca="false">B7*$B$13*$G$7</f>
        <v>0.716818098017214</v>
      </c>
      <c r="C14" s="26" t="n">
        <f aca="false">C7*$B$13*$G$7</f>
        <v>0.716818098017214</v>
      </c>
      <c r="D14" s="26" t="n">
        <f aca="false">D7*$B$13*$G$7</f>
        <v>0.716818098017214</v>
      </c>
    </row>
    <row r="15" customFormat="false" ht="17.15" hidden="false" customHeight="false" outlineLevel="0" collapsed="false">
      <c r="A15" s="0" t="s">
        <v>748</v>
      </c>
      <c r="B15" s="26" t="n">
        <f aca="false">B8*$B$13*$G$8</f>
        <v>13.9716670254322</v>
      </c>
      <c r="C15" s="26" t="n">
        <f aca="false">C8*$B$13*$G$8</f>
        <v>13.9928291873991</v>
      </c>
      <c r="D15" s="26" t="n">
        <f aca="false">D8*$B$13*$G$8</f>
        <v>13.9928291873991</v>
      </c>
    </row>
    <row r="16" customFormat="false" ht="17.15" hidden="false" customHeight="false" outlineLevel="0" collapsed="false">
      <c r="A16" s="0" t="s">
        <v>749</v>
      </c>
      <c r="B16" s="26" t="n">
        <f aca="false">B9*$B$13*$G$9</f>
        <v>15.0234887939016</v>
      </c>
      <c r="C16" s="26" t="n">
        <f aca="false">C9*$B$13*$G$9</f>
        <v>12.5872237329647</v>
      </c>
      <c r="D16" s="26" t="n">
        <f aca="false">D9*$B$13*$G$9</f>
        <v>9.42190144052512</v>
      </c>
    </row>
    <row r="17" customFormat="false" ht="17.15" hidden="false" customHeight="false" outlineLevel="0" collapsed="false">
      <c r="A17" s="0" t="s">
        <v>750</v>
      </c>
      <c r="B17" s="26" t="n">
        <f aca="false">B10*$B$13*$G$10</f>
        <v>17.4317953434375</v>
      </c>
      <c r="C17" s="26" t="n">
        <f aca="false">C10*$B$13*$G$10</f>
        <v>15.3601204690502</v>
      </c>
      <c r="D17" s="26" t="n">
        <f aca="false">D10*$B$13*$G$10</f>
        <v>10.8532530990822</v>
      </c>
    </row>
    <row r="18" customFormat="false" ht="17.15" hidden="false" customHeight="false" outlineLevel="0" collapsed="false">
      <c r="A18" s="0" t="s">
        <v>751</v>
      </c>
      <c r="B18" s="26" t="n">
        <f aca="false">B11*$B$13*$G$11</f>
        <v>19.2311648553131</v>
      </c>
      <c r="C18" s="26" t="n">
        <f aca="false">C11*$B$13*$G$11</f>
        <v>15.5810234888534</v>
      </c>
      <c r="D18" s="26" t="n">
        <f aca="false">D11*$B$13*$G$11</f>
        <v>9.38062569113635</v>
      </c>
    </row>
    <row r="19" customFormat="false" ht="17.15" hidden="false" customHeight="false" outlineLevel="0" collapsed="false">
      <c r="A19" s="0" t="s">
        <v>752</v>
      </c>
      <c r="B19" s="26" t="n">
        <f aca="false">B12*$B$13*$G$12</f>
        <v>20.6326262617731</v>
      </c>
      <c r="C19" s="26" t="n">
        <f aca="false">C12*$B$13*$G$12</f>
        <v>14.532763666853</v>
      </c>
      <c r="D19" s="26" t="n">
        <f aca="false">D12*$B$13*$G$12</f>
        <v>7.2100972459377</v>
      </c>
    </row>
    <row r="20" customFormat="false" ht="17.15" hidden="false" customHeight="false" outlineLevel="0" collapsed="false">
      <c r="A20" s="5" t="s">
        <v>753</v>
      </c>
      <c r="B20" s="26" t="n">
        <f aca="false">B19*(1+tp_g)/(tp_r-tp_g)</f>
        <v>357.632188537401</v>
      </c>
      <c r="C20" s="26" t="n">
        <f aca="false">C19*(1+tp_g)/(tp_r-tp_g)</f>
        <v>251.901236892119</v>
      </c>
      <c r="D20" s="26" t="n">
        <f aca="false">D19*(1+tp_g)/(tp_r-tp_g)</f>
        <v>124.975018929587</v>
      </c>
    </row>
    <row r="21" customFormat="false" ht="17.15" hidden="false" customHeight="false" outlineLevel="0" collapsed="false">
      <c r="A21" s="9" t="s">
        <v>754</v>
      </c>
      <c r="B21" s="28" t="n">
        <f aca="false">MAX(0,B14/(1+tp_r)^$F$7+B15/(1+tp_r)^$F$8+B16/(1+tp_r)^$F$9+B17/(1+tp_r)^$F$10+B18/(1+tp_r)^$F$11+B19/(1+tp_r)^$F$12+B20/(1+tp_r)^$F$12)</f>
        <v>284.669057570329</v>
      </c>
      <c r="C21" s="28" t="n">
        <f aca="false">MAX(0,C14/(1+tp_r)^$F$7+C15/(1+tp_r)^$F$8+C16/(1+tp_r)^$F$9+C17/(1+tp_r)^$F$10+C18/(1+tp_r)^$F$11+C19/(1+tp_r)^$F$12+C20/(1+tp_r)^$F$12)</f>
        <v>209.784280232811</v>
      </c>
      <c r="D21" s="28" t="n">
        <f aca="false">MAX(0,D14/(1+tp_r)^$F$7+D15/(1+tp_r)^$F$8+D16/(1+tp_r)^$F$9+D17/(1+tp_r)^$F$10+D18/(1+tp_r)^$F$11+D19/(1+tp_r)^$F$12+D20/(1+tp_r)^$F$12)</f>
        <v>116.92971754907</v>
      </c>
      <c r="E21" s="10" t="s">
        <v>755</v>
      </c>
    </row>
    <row r="22" customFormat="false" ht="15" hidden="false" customHeight="false" outlineLevel="0" collapsed="false">
      <c r="A22" s="5" t="s">
        <v>756</v>
      </c>
      <c r="B22" s="17" t="n">
        <f aca="false">B20/(1+tp_r)^$F$12/B21</f>
        <v>0.773897661558827</v>
      </c>
      <c r="C22" s="17" t="n">
        <f aca="false">C20/(1+tp_r)^$F$12/C21</f>
        <v>0.739681157113914</v>
      </c>
      <c r="D22" s="17" t="n">
        <f aca="false">D20/(1+tp_r)^$F$12/D21</f>
        <v>0.658393459853634</v>
      </c>
    </row>
    <row r="23" customFormat="false" ht="17.15" hidden="false" customHeight="false" outlineLevel="0" collapsed="false">
      <c r="A23" s="9" t="s">
        <v>757</v>
      </c>
      <c r="B23" s="28" t="n">
        <f aca="false">(tp_wA*B21+tp_wB*C21+tp_wC*D21)*(1+tp_r)</f>
        <v>235.04668098705</v>
      </c>
      <c r="C23" s="9"/>
      <c r="D23" s="9"/>
      <c r="E23" s="9" t="s">
        <v>758</v>
      </c>
    </row>
    <row r="25" customFormat="false" ht="17.15" hidden="false" customHeight="false" outlineLevel="0" collapsed="false">
      <c r="A25" s="1" t="s">
        <v>759</v>
      </c>
    </row>
    <row r="26" customFormat="false" ht="17.15" hidden="false" customHeight="false" outlineLevel="0" collapsed="false">
      <c r="A26" s="6" t="s">
        <v>760</v>
      </c>
      <c r="B26" s="6" t="s">
        <v>761</v>
      </c>
      <c r="C26" s="6" t="s">
        <v>762</v>
      </c>
      <c r="D26" s="6" t="s">
        <v>763</v>
      </c>
      <c r="E26" s="6" t="s">
        <v>764</v>
      </c>
      <c r="F26" s="6" t="s">
        <v>24</v>
      </c>
    </row>
    <row r="27" customFormat="false" ht="17.15" hidden="false" customHeight="false" outlineLevel="0" collapsed="false">
      <c r="A27" s="0" t="s">
        <v>765</v>
      </c>
      <c r="B27" s="0" t="s">
        <v>765</v>
      </c>
      <c r="C27" s="29" t="n">
        <v>46.49</v>
      </c>
      <c r="D27" s="8" t="s">
        <v>766</v>
      </c>
      <c r="E27" s="8" t="s">
        <v>767</v>
      </c>
      <c r="F27" s="8" t="s">
        <v>768</v>
      </c>
    </row>
    <row r="28" customFormat="false" ht="17.15" hidden="false" customHeight="false" outlineLevel="0" collapsed="false">
      <c r="A28" s="0" t="s">
        <v>769</v>
      </c>
      <c r="B28" s="0" t="s">
        <v>770</v>
      </c>
      <c r="C28" s="29" t="n">
        <v>18.52</v>
      </c>
      <c r="D28" s="8" t="s">
        <v>766</v>
      </c>
      <c r="E28" s="5" t="s">
        <v>36</v>
      </c>
      <c r="F28" s="8" t="s">
        <v>771</v>
      </c>
    </row>
    <row r="29" customFormat="false" ht="17.15" hidden="false" customHeight="false" outlineLevel="0" collapsed="false">
      <c r="A29" s="0" t="s">
        <v>772</v>
      </c>
      <c r="B29" s="0" t="s">
        <v>773</v>
      </c>
      <c r="C29" s="29" t="n">
        <v>40.44</v>
      </c>
      <c r="D29" s="8" t="s">
        <v>766</v>
      </c>
      <c r="E29" s="5" t="s">
        <v>36</v>
      </c>
      <c r="F29" s="8" t="s">
        <v>771</v>
      </c>
    </row>
    <row r="30" customFormat="false" ht="17.15" hidden="false" customHeight="false" outlineLevel="0" collapsed="false">
      <c r="A30" s="5" t="s">
        <v>774</v>
      </c>
      <c r="B30" s="0" t="s">
        <v>775</v>
      </c>
      <c r="C30" s="29" t="n">
        <v>19.61</v>
      </c>
      <c r="D30" s="8" t="s">
        <v>766</v>
      </c>
      <c r="E30" s="5" t="s">
        <v>36</v>
      </c>
      <c r="F30" s="8" t="s">
        <v>771</v>
      </c>
    </row>
    <row r="31" customFormat="false" ht="17.15" hidden="false" customHeight="false" outlineLevel="0" collapsed="false">
      <c r="A31" s="0" t="s">
        <v>776</v>
      </c>
      <c r="B31" s="0" t="s">
        <v>777</v>
      </c>
      <c r="C31" s="29" t="n">
        <v>18.98</v>
      </c>
      <c r="D31" s="8" t="s">
        <v>766</v>
      </c>
      <c r="E31" s="5" t="s">
        <v>36</v>
      </c>
      <c r="F31" s="8" t="s">
        <v>771</v>
      </c>
    </row>
    <row r="32" customFormat="false" ht="17.15" hidden="false" customHeight="false" outlineLevel="0" collapsed="false">
      <c r="A32" s="5" t="s">
        <v>778</v>
      </c>
      <c r="E32" s="5" t="s">
        <v>779</v>
      </c>
    </row>
    <row r="33" customFormat="false" ht="17.15" hidden="false" customHeight="false" outlineLevel="0" collapsed="false">
      <c r="A33" s="10" t="s">
        <v>780</v>
      </c>
      <c r="B33" s="30" t="n">
        <f aca="false">MEDIAN(C27:C31)</f>
        <v>19.61</v>
      </c>
      <c r="C33" s="9"/>
      <c r="D33" s="9"/>
      <c r="E33" s="9"/>
    </row>
    <row r="34" customFormat="false" ht="17.15" hidden="false" customHeight="false" outlineLevel="0" collapsed="false">
      <c r="A34" s="5" t="s">
        <v>781</v>
      </c>
      <c r="B34" s="26" t="n">
        <f aca="false">0.25*PL!E307+0.75*PL!F307</f>
        <v>15.5461904829504</v>
      </c>
      <c r="C34" s="26" t="n">
        <f aca="false">0.25*PL!E316+0.75*PL!F316</f>
        <v>13.6273077364441</v>
      </c>
      <c r="D34" s="26" t="n">
        <f aca="false">0.25*PL!E325+0.75*PL!F325</f>
        <v>11.1269558457596</v>
      </c>
      <c r="E34" s="5" t="s">
        <v>782</v>
      </c>
    </row>
    <row r="35" customFormat="false" ht="17.15" hidden="false" customHeight="false" outlineLevel="0" collapsed="false">
      <c r="A35" s="0" t="s">
        <v>783</v>
      </c>
      <c r="B35" s="26" t="n">
        <f aca="false">tp_wA*B34+tp_wB*C34+tp_wC*D34</f>
        <v>13.7029021822591</v>
      </c>
    </row>
    <row r="36" customFormat="false" ht="17.15" hidden="false" customHeight="false" outlineLevel="0" collapsed="false">
      <c r="A36" s="9" t="s">
        <v>784</v>
      </c>
      <c r="B36" s="28" t="n">
        <f aca="false">B33*B35</f>
        <v>268.713911794101</v>
      </c>
      <c r="C36" s="9"/>
      <c r="D36" s="9"/>
      <c r="E36" s="10" t="s">
        <v>785</v>
      </c>
    </row>
    <row r="38" customFormat="false" ht="17.15" hidden="false" customHeight="false" outlineLevel="0" collapsed="false">
      <c r="A38" s="1" t="s">
        <v>786</v>
      </c>
    </row>
    <row r="39" customFormat="false" ht="15" hidden="false" customHeight="false" outlineLevel="0" collapsed="false">
      <c r="A39" s="6" t="s">
        <v>19</v>
      </c>
      <c r="B39" s="6" t="s">
        <v>787</v>
      </c>
      <c r="C39" s="6" t="s">
        <v>788</v>
      </c>
      <c r="D39" s="6" t="s">
        <v>788</v>
      </c>
      <c r="E39" s="6" t="s">
        <v>592</v>
      </c>
    </row>
    <row r="40" customFormat="false" ht="17.15" hidden="false" customHeight="false" outlineLevel="0" collapsed="false">
      <c r="A40" s="10" t="s">
        <v>789</v>
      </c>
      <c r="B40" s="28" t="n">
        <f aca="false">tp_w_dcf*B23+(1-tp_w_dcf)*B36</f>
        <v>251.880296390576</v>
      </c>
      <c r="C40" s="9"/>
      <c r="D40" s="9"/>
      <c r="E40" s="9" t="str">
        <f aca="false">"DCF 權重 "&amp;TEXT(tp_w_dcf,"0%")&amp;"、Comparable 權重 "&amp;TEXT(1-tp_w_dcf,"0%")&amp;"（In 頁 tp_w_dcf，Andy 可改）"</f>
        <v>DCF 權重 50%、Comparable 權重 50%（In 頁 tp_w_dcf，Andy 可改）</v>
      </c>
    </row>
    <row r="41" customFormat="false" ht="17.15" hidden="false" customHeight="false" outlineLevel="0" collapsed="false">
      <c r="A41" s="0" t="s">
        <v>790</v>
      </c>
      <c r="B41" s="26" t="n">
        <f aca="false">B36</f>
        <v>268.713911794101</v>
      </c>
    </row>
    <row r="42" customFormat="false" ht="17.15" hidden="false" customHeight="false" outlineLevel="0" collapsed="false">
      <c r="A42" s="5" t="s">
        <v>791</v>
      </c>
      <c r="B42" s="26" t="n">
        <f aca="false">cons_tp</f>
        <v>328.95</v>
      </c>
      <c r="E42" s="8" t="s">
        <v>792</v>
      </c>
    </row>
    <row r="43" customFormat="false" ht="15" hidden="false" customHeight="false" outlineLevel="0" collapsed="false">
      <c r="A43" s="5" t="s">
        <v>793</v>
      </c>
      <c r="B43" s="17" t="n">
        <f aca="false">B40/px-1</f>
        <v>0.193971825893893</v>
      </c>
    </row>
    <row r="44" customFormat="false" ht="17.15" hidden="false" customHeight="false" outlineLevel="0" collapsed="false">
      <c r="A44" s="5" t="s">
        <v>794</v>
      </c>
      <c r="B44" s="17" t="n">
        <f aca="false">B41/px-1</f>
        <v>0.273767120753228</v>
      </c>
    </row>
    <row r="45" customFormat="false" ht="17.15" hidden="false" customHeight="false" outlineLevel="0" collapsed="false">
      <c r="A45" s="5" t="s">
        <v>795</v>
      </c>
      <c r="B45" s="17" t="n">
        <f aca="false">(tp_wA*PL!E307+tp_wB*PL!E316+tp_wC*PL!E325)/C45-1</f>
        <v>-0.0741082806967405</v>
      </c>
      <c r="C45" s="26" t="n">
        <f aca="false">cons_eps28</f>
        <v>15.91</v>
      </c>
      <c r="E45" s="8" t="s">
        <v>796</v>
      </c>
    </row>
    <row r="46" customFormat="false" ht="17.15" hidden="false" customHeight="false" outlineLevel="0" collapsed="false">
      <c r="A46" s="5" t="s">
        <v>797</v>
      </c>
      <c r="B46" s="17" t="n">
        <f aca="false">C46/B33-1</f>
        <v>0.054343481676475</v>
      </c>
      <c r="C46" s="21" t="n">
        <f aca="false">B42/C45</f>
        <v>20.6756756756757</v>
      </c>
      <c r="D46" s="21" t="n">
        <f aca="false">B33</f>
        <v>19.61</v>
      </c>
      <c r="E46" s="8" t="s">
        <v>798</v>
      </c>
    </row>
    <row r="47" customFormat="false" ht="17.15" hidden="false" customHeight="false" outlineLevel="0" collapsed="false">
      <c r="A47" s="5" t="s">
        <v>799</v>
      </c>
      <c r="B47" s="26" t="n">
        <f aca="false">D21*(1+tp_r)</f>
        <v>128.622689303977</v>
      </c>
      <c r="C47" s="26" t="n">
        <f aca="false">B21*(1+tp_r)</f>
        <v>313.135963327362</v>
      </c>
      <c r="E47" s="8" t="s">
        <v>800</v>
      </c>
    </row>
    <row r="48" customFormat="false" ht="17.15" hidden="false" customHeight="false" outlineLevel="0" collapsed="false">
      <c r="A48" s="5" t="s">
        <v>801</v>
      </c>
      <c r="B48" s="21" t="n">
        <f aca="false">px/PL!E307</f>
        <v>14.3360648072478</v>
      </c>
      <c r="C48" s="21" t="n">
        <f aca="false">px/PL!E316</f>
        <v>14.3143835502728</v>
      </c>
      <c r="D48" s="21" t="n">
        <f aca="false">px/PL!E325</f>
        <v>14.3143835502728</v>
      </c>
    </row>
    <row r="49" customFormat="false" ht="17.15" hidden="false" customHeight="false" outlineLevel="0" collapsed="false">
      <c r="A49" s="5" t="s">
        <v>802</v>
      </c>
      <c r="B49" s="31" t="n">
        <f aca="false">IF(B48&lt;MIN(B126:B135),0,IF(B48&gt;MAX(B126:B135),1,PERCENTRANK(B126:B135,B48)))</f>
        <v>0</v>
      </c>
      <c r="C49" s="31" t="n">
        <f aca="false">IF(C48&lt;MIN(B126:B135),0,IF(C48&gt;MAX(B126:B135),1,PERCENTRANK(B126:B135,C48)))</f>
        <v>0</v>
      </c>
      <c r="D49" s="31" t="n">
        <f aca="false">IF(D48&lt;MIN(B126:B135),0,IF(D48&gt;MAX(B126:B135),1,PERCENTRANK(B126:B135,D48)))</f>
        <v>0</v>
      </c>
      <c r="E49" s="5" t="s">
        <v>803</v>
      </c>
    </row>
    <row r="50" customFormat="false" ht="17.15" hidden="false" customHeight="false" outlineLevel="0" collapsed="false">
      <c r="A50" s="5" t="s">
        <v>804</v>
      </c>
      <c r="B50" s="0" t="s">
        <v>805</v>
      </c>
    </row>
    <row r="51" customFormat="false" ht="17.15" hidden="false" customHeight="false" outlineLevel="0" collapsed="false">
      <c r="A51" s="5" t="s">
        <v>806</v>
      </c>
      <c r="B51" s="18" t="n">
        <f aca="false">ROUND(tp_wA+tp_wB+tp_wC,6)</f>
        <v>1</v>
      </c>
    </row>
    <row r="55" customFormat="false" ht="17.15" hidden="false" customHeight="false" outlineLevel="0" collapsed="false">
      <c r="A55" s="1" t="s">
        <v>807</v>
      </c>
    </row>
    <row r="56" customFormat="false" ht="15" hidden="false" customHeight="false" outlineLevel="0" collapsed="false">
      <c r="A56" s="6" t="s">
        <v>19</v>
      </c>
      <c r="B56" s="12" t="s">
        <v>732</v>
      </c>
      <c r="C56" s="12" t="s">
        <v>733</v>
      </c>
      <c r="D56" s="12" t="s">
        <v>734</v>
      </c>
      <c r="E56" s="6" t="s">
        <v>592</v>
      </c>
    </row>
    <row r="57" customFormat="false" ht="17.15" hidden="false" customHeight="false" outlineLevel="0" collapsed="false">
      <c r="A57" s="5" t="s">
        <v>808</v>
      </c>
      <c r="B57" s="20" t="n">
        <f aca="false">px</f>
        <v>210.96</v>
      </c>
    </row>
    <row r="58" customFormat="false" ht="17.15" hidden="false" customHeight="false" outlineLevel="0" collapsed="false">
      <c r="A58" s="5" t="s">
        <v>809</v>
      </c>
      <c r="B58" s="21" t="n">
        <f aca="false">px/PL!E13</f>
        <v>14.3360648072478</v>
      </c>
      <c r="C58" s="21" t="n">
        <f aca="false">px/PL!E25</f>
        <v>14.3143835502728</v>
      </c>
      <c r="D58" s="21" t="n">
        <f aca="false">px/PL!E37</f>
        <v>14.3143835502728</v>
      </c>
      <c r="E58" s="8" t="s">
        <v>810</v>
      </c>
    </row>
    <row r="59" customFormat="false" ht="17.15" hidden="false" customHeight="false" outlineLevel="0" collapsed="false">
      <c r="A59" s="5" t="s">
        <v>811</v>
      </c>
      <c r="B59" s="21" t="n">
        <f aca="false">px/PL!F13</f>
        <v>13.3323708420636</v>
      </c>
      <c r="C59" s="21" t="n">
        <f aca="false">px/PL!F25</f>
        <v>15.9128595940755</v>
      </c>
      <c r="D59" s="21" t="n">
        <f aca="false">px/PL!F37</f>
        <v>21.2588430484281</v>
      </c>
    </row>
    <row r="60" customFormat="false" ht="17.15" hidden="false" customHeight="false" outlineLevel="0" collapsed="false">
      <c r="A60" s="5" t="s">
        <v>812</v>
      </c>
      <c r="B60" s="21" t="n">
        <f aca="false">px/cons_eps28</f>
        <v>13.2595851665619</v>
      </c>
      <c r="E60" s="5" t="s">
        <v>813</v>
      </c>
    </row>
    <row r="61" customFormat="false" ht="17.15" hidden="false" customHeight="false" outlineLevel="0" collapsed="false">
      <c r="A61" s="5" t="s">
        <v>814</v>
      </c>
      <c r="B61" s="21" t="n">
        <f aca="false">th_mult</f>
        <v>13.5</v>
      </c>
    </row>
    <row r="63" customFormat="false" ht="17.15" hidden="false" customHeight="false" outlineLevel="0" collapsed="false">
      <c r="A63" s="1" t="s">
        <v>815</v>
      </c>
    </row>
    <row r="64" customFormat="false" ht="17.15" hidden="false" customHeight="false" outlineLevel="0" collapsed="false">
      <c r="A64" s="5" t="s">
        <v>816</v>
      </c>
    </row>
    <row r="65" customFormat="false" ht="17.15" hidden="false" customHeight="false" outlineLevel="0" collapsed="false">
      <c r="A65" s="6" t="s">
        <v>817</v>
      </c>
      <c r="B65" s="6" t="s">
        <v>818</v>
      </c>
      <c r="C65" s="12" t="s">
        <v>819</v>
      </c>
      <c r="D65" s="12" t="s">
        <v>820</v>
      </c>
      <c r="E65" s="12" t="s">
        <v>821</v>
      </c>
      <c r="F65" s="12" t="s">
        <v>822</v>
      </c>
      <c r="G65" s="12" t="s">
        <v>823</v>
      </c>
      <c r="H65" s="12" t="s">
        <v>824</v>
      </c>
      <c r="I65" s="6" t="s">
        <v>825</v>
      </c>
    </row>
    <row r="66" customFormat="false" ht="17.15" hidden="false" customHeight="false" outlineLevel="0" collapsed="false">
      <c r="A66" s="0" t="s">
        <v>732</v>
      </c>
      <c r="B66" s="0" t="n">
        <f aca="false">pk_A</f>
        <v>2029</v>
      </c>
      <c r="C66" s="0" t="n">
        <f aca="false">2028-1</f>
        <v>2027</v>
      </c>
      <c r="D66" s="0" t="str">
        <f aca="false">IF((2028-1)&lt;pk_A,"中段",IF((2028-1)=pk_A,"見頂","谷底"))</f>
        <v>中段</v>
      </c>
      <c r="E66" s="21" t="n">
        <f aca="false">IF(D66="見頂",pe_peak,IF(D66="谷底",pe_trough,pe_mid))</f>
        <v>51.61</v>
      </c>
      <c r="F66" s="8" t="n">
        <f aca="false">2029-1</f>
        <v>2028</v>
      </c>
      <c r="G66" s="0" t="str">
        <f aca="false">IF((2029-1)&lt;pk_A,"中段",IF((2029-1)=pk_A,"見頂","谷底"))</f>
        <v>中段</v>
      </c>
      <c r="H66" s="21" t="n">
        <f aca="false">IF(G66="見頂",pe_peak,IF(G66="谷底",pe_trough,pe_mid))</f>
        <v>51.61</v>
      </c>
      <c r="I66" s="8" t="s">
        <v>826</v>
      </c>
    </row>
    <row r="67" customFormat="false" ht="17.15" hidden="false" customHeight="false" outlineLevel="0" collapsed="false">
      <c r="A67" s="0" t="s">
        <v>733</v>
      </c>
      <c r="B67" s="0" t="n">
        <f aca="false">pk_B</f>
        <v>2028</v>
      </c>
      <c r="C67" s="0" t="n">
        <f aca="false">2028-1</f>
        <v>2027</v>
      </c>
      <c r="D67" s="0" t="str">
        <f aca="false">IF((2028-1)&lt;pk_B,"中段",IF((2028-1)=pk_B,"見頂","谷底"))</f>
        <v>中段</v>
      </c>
      <c r="E67" s="21" t="n">
        <f aca="false">IF(D67="見頂",pe_peak,IF(D67="谷底",pe_trough,pe_mid))</f>
        <v>51.61</v>
      </c>
      <c r="F67" s="8" t="n">
        <f aca="false">2029-1</f>
        <v>2028</v>
      </c>
      <c r="G67" s="0" t="str">
        <f aca="false">IF((2029-1)&lt;pk_B,"中段",IF((2029-1)=pk_B,"見頂","谷底"))</f>
        <v>見頂</v>
      </c>
      <c r="H67" s="21" t="n">
        <f aca="false">IF(G67="見頂",pe_peak,IF(G67="谷底",pe_trough,pe_mid))</f>
        <v>42.09</v>
      </c>
      <c r="I67" s="8" t="s">
        <v>826</v>
      </c>
    </row>
    <row r="68" customFormat="false" ht="17.15" hidden="false" customHeight="false" outlineLevel="0" collapsed="false">
      <c r="A68" s="0" t="s">
        <v>734</v>
      </c>
      <c r="B68" s="0" t="n">
        <f aca="false">pk_C</f>
        <v>2027</v>
      </c>
      <c r="C68" s="0" t="n">
        <f aca="false">2028-1</f>
        <v>2027</v>
      </c>
      <c r="D68" s="0" t="str">
        <f aca="false">IF((2028-1)&lt;pk_C,"中段",IF((2028-1)=pk_C,"見頂","谷底"))</f>
        <v>見頂</v>
      </c>
      <c r="E68" s="21" t="n">
        <f aca="false">IF(D68="見頂",pe_peak,IF(D68="谷底",pe_trough,pe_mid))</f>
        <v>42.09</v>
      </c>
      <c r="F68" s="8" t="n">
        <f aca="false">2029-1</f>
        <v>2028</v>
      </c>
      <c r="G68" s="0" t="str">
        <f aca="false">IF((2029-1)&lt;pk_C,"中段",IF((2029-1)=pk_C,"見頂","谷底"))</f>
        <v>谷底</v>
      </c>
      <c r="H68" s="21" t="n">
        <f aca="false">IF(G68="見頂",pe_peak,IF(G68="谷底",pe_trough,pe_mid))</f>
        <v>63.4</v>
      </c>
      <c r="I68" s="8" t="s">
        <v>826</v>
      </c>
    </row>
    <row r="70" customFormat="false" ht="17.15" hidden="false" customHeight="false" outlineLevel="0" collapsed="false">
      <c r="A70" s="4" t="s">
        <v>827</v>
      </c>
    </row>
    <row r="71" customFormat="false" ht="17.15" hidden="false" customHeight="false" outlineLevel="0" collapsed="false">
      <c r="A71" s="6" t="s">
        <v>817</v>
      </c>
      <c r="B71" s="6" t="s">
        <v>828</v>
      </c>
      <c r="C71" s="6" t="s">
        <v>829</v>
      </c>
      <c r="D71" s="12" t="s">
        <v>820</v>
      </c>
      <c r="E71" s="12" t="s">
        <v>821</v>
      </c>
      <c r="F71" s="6" t="s">
        <v>830</v>
      </c>
      <c r="G71" s="6" t="s">
        <v>592</v>
      </c>
    </row>
    <row r="72" customFormat="false" ht="17.15" hidden="false" customHeight="false" outlineLevel="0" collapsed="false">
      <c r="A72" s="0" t="s">
        <v>732</v>
      </c>
      <c r="B72" s="0" t="n">
        <f aca="false">INDEX({2027,2028,2029,2030},MATCH(MAX(PL!D109:G109),PL!D109:G109,0))</f>
        <v>2030</v>
      </c>
      <c r="C72" s="0" t="n">
        <f aca="false">B72-1</f>
        <v>2029</v>
      </c>
      <c r="D72" s="0" t="str">
        <f aca="false">IF((2028-1)&lt;C72,"中段",IF((2028-1)=C72,"見頂","谷底"))</f>
        <v>中段</v>
      </c>
      <c r="E72" s="21" t="n">
        <f aca="false">IF(D72="見頂",pe_peak,IF(D72="谷底",pe_trough,pe_mid))</f>
        <v>51.61</v>
      </c>
      <c r="F72" s="0" t="str">
        <f aca="false">IF(B72=2030,"是：營收到觀測期末仍在增加，見頂年未知","否")</f>
        <v>是：營收到觀測期末仍在增加，見頂年未知</v>
      </c>
      <c r="G72" s="8" t="s">
        <v>831</v>
      </c>
    </row>
    <row r="73" customFormat="false" ht="15" hidden="false" customHeight="false" outlineLevel="0" collapsed="false">
      <c r="A73" s="0" t="s">
        <v>733</v>
      </c>
      <c r="B73" s="0" t="n">
        <f aca="false">INDEX({2027,2028,2029,2030},MATCH(MAX(PL!D166:G166),PL!D166:G166,0))</f>
        <v>2030</v>
      </c>
      <c r="C73" s="0" t="n">
        <f aca="false">B73-1</f>
        <v>2029</v>
      </c>
      <c r="D73" s="0" t="str">
        <f aca="false">IF((2028-1)&lt;C73,"中段",IF((2028-1)=C73,"見頂","谷底"))</f>
        <v>中段</v>
      </c>
      <c r="E73" s="21" t="n">
        <f aca="false">IF(D73="見頂",pe_peak,IF(D73="谷底",pe_trough,pe_mid))</f>
        <v>51.61</v>
      </c>
      <c r="F73" s="0" t="str">
        <f aca="false">IF(B73=2030,"是：營收到觀測期末仍在增加，見頂年未知","否")</f>
        <v>是：營收到觀測期末仍在增加，見頂年未知</v>
      </c>
      <c r="G73" s="5" t="s">
        <v>36</v>
      </c>
    </row>
    <row r="74" customFormat="false" ht="15" hidden="false" customHeight="false" outlineLevel="0" collapsed="false">
      <c r="A74" s="0" t="s">
        <v>734</v>
      </c>
      <c r="B74" s="0" t="n">
        <f aca="false">INDEX({2027,2028,2029,2030},MATCH(MAX(PL!D223:G223),PL!D223:G223,0))</f>
        <v>2028</v>
      </c>
      <c r="C74" s="0" t="n">
        <f aca="false">B74-1</f>
        <v>2027</v>
      </c>
      <c r="D74" s="0" t="str">
        <f aca="false">IF((2028-1)&lt;C74,"中段",IF((2028-1)=C74,"見頂","谷底"))</f>
        <v>見頂</v>
      </c>
      <c r="E74" s="21" t="n">
        <f aca="false">IF(D74="見頂",pe_peak,IF(D74="谷底",pe_trough,pe_mid))</f>
        <v>42.09</v>
      </c>
      <c r="F74" s="0" t="str">
        <f aca="false">IF(B74=2030,"是：營收到觀測期末仍在增加，見頂年未知","否")</f>
        <v>否</v>
      </c>
      <c r="G74" s="5" t="s">
        <v>36</v>
      </c>
    </row>
    <row r="76" customFormat="false" ht="17.15" hidden="false" customHeight="false" outlineLevel="0" collapsed="false">
      <c r="A76" s="1" t="s">
        <v>832</v>
      </c>
    </row>
    <row r="77" customFormat="false" ht="17.15" hidden="false" customHeight="false" outlineLevel="0" collapsed="false">
      <c r="A77" s="6" t="s">
        <v>817</v>
      </c>
      <c r="B77" s="12" t="s">
        <v>833</v>
      </c>
      <c r="C77" s="12" t="s">
        <v>834</v>
      </c>
      <c r="D77" s="6" t="s">
        <v>835</v>
      </c>
      <c r="E77" s="6" t="s">
        <v>836</v>
      </c>
      <c r="F77" s="6" t="s">
        <v>837</v>
      </c>
      <c r="G77" s="6" t="s">
        <v>838</v>
      </c>
      <c r="H77" s="6" t="s">
        <v>839</v>
      </c>
    </row>
    <row r="78" customFormat="false" ht="15" hidden="false" customHeight="false" outlineLevel="0" collapsed="false">
      <c r="A78" s="9" t="s">
        <v>732</v>
      </c>
      <c r="B78" s="9" t="s">
        <v>641</v>
      </c>
      <c r="C78" s="32" t="n">
        <f aca="false">PL!E13</f>
        <v>14.7153352636455</v>
      </c>
      <c r="D78" s="9" t="str">
        <f aca="false">"規則值（不適用）："&amp;D66</f>
        <v>規則值（不適用）：中段</v>
      </c>
      <c r="E78" s="30" t="n">
        <f aca="false">E66</f>
        <v>51.61</v>
      </c>
      <c r="F78" s="33" t="n">
        <f aca="false">C78*E78</f>
        <v>759.458452956743</v>
      </c>
      <c r="G78" s="34" t="n">
        <f aca="false">F78/px-1</f>
        <v>2.60001162759169</v>
      </c>
      <c r="H78" s="33" t="n">
        <f aca="false">F78/(1+r_disc)^(1.27+0)</f>
        <v>672.876421218366</v>
      </c>
    </row>
    <row r="79" customFormat="false" ht="17.15" hidden="false" customHeight="false" outlineLevel="0" collapsed="false">
      <c r="A79" s="0" t="s">
        <v>732</v>
      </c>
      <c r="B79" s="0" t="s">
        <v>641</v>
      </c>
      <c r="C79" s="20" t="n">
        <f aca="false">PL!E13</f>
        <v>14.7153352636455</v>
      </c>
      <c r="D79" s="5" t="s">
        <v>840</v>
      </c>
      <c r="E79" s="21" t="n">
        <f aca="false">pe_peak</f>
        <v>42.09</v>
      </c>
      <c r="F79" s="35" t="n">
        <f aca="false">C79*E79</f>
        <v>619.368461246838</v>
      </c>
      <c r="G79" s="31" t="n">
        <f aca="false">F79/px-1</f>
        <v>1.93595212953564</v>
      </c>
      <c r="H79" s="35" t="n">
        <f aca="false">F79/(1+r_disc)^(1.27+0)</f>
        <v>548.757383628774</v>
      </c>
    </row>
    <row r="80" customFormat="false" ht="15" hidden="false" customHeight="false" outlineLevel="0" collapsed="false">
      <c r="A80" s="0" t="s">
        <v>732</v>
      </c>
      <c r="B80" s="0" t="s">
        <v>641</v>
      </c>
      <c r="C80" s="20" t="n">
        <f aca="false">PL!E13</f>
        <v>14.7153352636455</v>
      </c>
      <c r="D80" s="5" t="s">
        <v>841</v>
      </c>
      <c r="E80" s="21" t="n">
        <f aca="false">pe_mid</f>
        <v>51.61</v>
      </c>
      <c r="F80" s="35" t="n">
        <f aca="false">C80*E80</f>
        <v>759.458452956743</v>
      </c>
      <c r="G80" s="31" t="n">
        <f aca="false">F80/px-1</f>
        <v>2.60001162759169</v>
      </c>
      <c r="H80" s="35" t="n">
        <f aca="false">F80/(1+r_disc)^(1.27+0)</f>
        <v>672.876421218366</v>
      </c>
    </row>
    <row r="81" customFormat="false" ht="17.15" hidden="false" customHeight="false" outlineLevel="0" collapsed="false">
      <c r="A81" s="0" t="s">
        <v>732</v>
      </c>
      <c r="B81" s="0" t="s">
        <v>641</v>
      </c>
      <c r="C81" s="20" t="n">
        <f aca="false">PL!E13</f>
        <v>14.7153352636455</v>
      </c>
      <c r="D81" s="5" t="s">
        <v>842</v>
      </c>
      <c r="E81" s="21" t="n">
        <f aca="false">pe_trough</f>
        <v>63.4</v>
      </c>
      <c r="F81" s="35" t="n">
        <f aca="false">C81*E81</f>
        <v>932.952255715123</v>
      </c>
      <c r="G81" s="31" t="n">
        <f aca="false">F81/px-1</f>
        <v>3.42241304377665</v>
      </c>
      <c r="H81" s="35" t="n">
        <f aca="false">F81/(1+r_disc)^(1.27+0)</f>
        <v>826.591069661778</v>
      </c>
    </row>
    <row r="82" customFormat="false" ht="17.15" hidden="false" customHeight="false" outlineLevel="0" collapsed="false">
      <c r="A82" s="9" t="s">
        <v>732</v>
      </c>
      <c r="B82" s="9" t="s">
        <v>642</v>
      </c>
      <c r="C82" s="32" t="n">
        <f aca="false">PL!F13</f>
        <v>15.8231422227187</v>
      </c>
      <c r="D82" s="9" t="str">
        <f aca="false">"規則值（FY2029；不適用）："&amp;G66</f>
        <v>規則值（FY2029；不適用）：中段</v>
      </c>
      <c r="E82" s="30" t="n">
        <f aca="false">H66</f>
        <v>51.61</v>
      </c>
      <c r="F82" s="33" t="n">
        <f aca="false">C82*E82</f>
        <v>816.632370114514</v>
      </c>
      <c r="G82" s="34" t="n">
        <f aca="false">F82/px-1</f>
        <v>2.87102943740289</v>
      </c>
      <c r="H82" s="33" t="n">
        <f aca="false">F82/(1+r_disc)^(1.27+1)</f>
        <v>657.756571043757</v>
      </c>
    </row>
    <row r="83" customFormat="false" ht="15" hidden="false" customHeight="false" outlineLevel="0" collapsed="false">
      <c r="A83" s="9" t="s">
        <v>733</v>
      </c>
      <c r="B83" s="9" t="s">
        <v>641</v>
      </c>
      <c r="C83" s="32" t="n">
        <f aca="false">PL!E25</f>
        <v>14.7376238214589</v>
      </c>
      <c r="D83" s="9" t="str">
        <f aca="false">"規則值（不適用）："&amp;D67</f>
        <v>規則值（不適用）：中段</v>
      </c>
      <c r="E83" s="30" t="n">
        <f aca="false">E67</f>
        <v>51.61</v>
      </c>
      <c r="F83" s="33" t="n">
        <f aca="false">C83*E83</f>
        <v>760.608765425493</v>
      </c>
      <c r="G83" s="34" t="n">
        <f aca="false">F83/px-1</f>
        <v>2.60546437915004</v>
      </c>
      <c r="H83" s="33" t="n">
        <f aca="false">F83/(1+r_disc)^(1.27+0)</f>
        <v>673.89559235833</v>
      </c>
    </row>
    <row r="84" customFormat="false" ht="17.15" hidden="false" customHeight="false" outlineLevel="0" collapsed="false">
      <c r="A84" s="0" t="s">
        <v>733</v>
      </c>
      <c r="B84" s="0" t="s">
        <v>641</v>
      </c>
      <c r="C84" s="20" t="n">
        <f aca="false">PL!E25</f>
        <v>14.7376238214589</v>
      </c>
      <c r="D84" s="5" t="s">
        <v>840</v>
      </c>
      <c r="E84" s="21" t="n">
        <f aca="false">pe_peak</f>
        <v>42.09</v>
      </c>
      <c r="F84" s="35" t="n">
        <f aca="false">C84*E84</f>
        <v>620.306586645204</v>
      </c>
      <c r="G84" s="31" t="n">
        <f aca="false">F84/px-1</f>
        <v>1.94039906449187</v>
      </c>
      <c r="H84" s="35" t="n">
        <f aca="false">F84/(1+r_disc)^(1.27+0)</f>
        <v>549.588558077158</v>
      </c>
    </row>
    <row r="85" customFormat="false" ht="15" hidden="false" customHeight="false" outlineLevel="0" collapsed="false">
      <c r="A85" s="0" t="s">
        <v>733</v>
      </c>
      <c r="B85" s="0" t="s">
        <v>641</v>
      </c>
      <c r="C85" s="20" t="n">
        <f aca="false">PL!E25</f>
        <v>14.7376238214589</v>
      </c>
      <c r="D85" s="5" t="s">
        <v>841</v>
      </c>
      <c r="E85" s="21" t="n">
        <f aca="false">pe_mid</f>
        <v>51.61</v>
      </c>
      <c r="F85" s="35" t="n">
        <f aca="false">C85*E85</f>
        <v>760.608765425493</v>
      </c>
      <c r="G85" s="31" t="n">
        <f aca="false">F85/px-1</f>
        <v>2.60546437915004</v>
      </c>
      <c r="H85" s="35" t="n">
        <f aca="false">F85/(1+r_disc)^(1.27+0)</f>
        <v>673.89559235833</v>
      </c>
    </row>
    <row r="86" customFormat="false" ht="17.15" hidden="false" customHeight="false" outlineLevel="0" collapsed="false">
      <c r="A86" s="0" t="s">
        <v>733</v>
      </c>
      <c r="B86" s="0" t="s">
        <v>641</v>
      </c>
      <c r="C86" s="20" t="n">
        <f aca="false">PL!E25</f>
        <v>14.7376238214589</v>
      </c>
      <c r="D86" s="5" t="s">
        <v>842</v>
      </c>
      <c r="E86" s="21" t="n">
        <f aca="false">pe_trough</f>
        <v>63.4</v>
      </c>
      <c r="F86" s="35" t="n">
        <f aca="false">C86*E86</f>
        <v>934.365350280493</v>
      </c>
      <c r="G86" s="31" t="n">
        <f aca="false">F86/px-1</f>
        <v>3.42911144425717</v>
      </c>
      <c r="H86" s="35" t="n">
        <f aca="false">F86/(1+r_disc)^(1.27+0)</f>
        <v>827.843064435538</v>
      </c>
    </row>
    <row r="87" customFormat="false" ht="17.15" hidden="false" customHeight="false" outlineLevel="0" collapsed="false">
      <c r="A87" s="9" t="s">
        <v>733</v>
      </c>
      <c r="B87" s="9" t="s">
        <v>642</v>
      </c>
      <c r="C87" s="32" t="n">
        <f aca="false">PL!F25</f>
        <v>13.2572023747725</v>
      </c>
      <c r="D87" s="9" t="str">
        <f aca="false">"規則值（FY2029；不適用）："&amp;G67</f>
        <v>規則值（FY2029；不適用）：見頂</v>
      </c>
      <c r="E87" s="30" t="n">
        <f aca="false">H67</f>
        <v>42.09</v>
      </c>
      <c r="F87" s="33" t="n">
        <f aca="false">C87*E87</f>
        <v>557.995647954176</v>
      </c>
      <c r="G87" s="34" t="n">
        <f aca="false">F87/px-1</f>
        <v>1.64503056481881</v>
      </c>
      <c r="H87" s="33" t="n">
        <f aca="false">F87/(1+r_disc)^(1.27+1)</f>
        <v>449.437614142348</v>
      </c>
    </row>
    <row r="88" customFormat="false" ht="15" hidden="false" customHeight="false" outlineLevel="0" collapsed="false">
      <c r="A88" s="9" t="s">
        <v>734</v>
      </c>
      <c r="B88" s="9" t="s">
        <v>641</v>
      </c>
      <c r="C88" s="32" t="n">
        <f aca="false">PL!E37</f>
        <v>14.7376238214589</v>
      </c>
      <c r="D88" s="9" t="str">
        <f aca="false">"規則值（不適用）："&amp;D68</f>
        <v>規則值（不適用）：見頂</v>
      </c>
      <c r="E88" s="30" t="n">
        <f aca="false">E68</f>
        <v>42.09</v>
      </c>
      <c r="F88" s="33" t="n">
        <f aca="false">C88*E88</f>
        <v>620.306586645204</v>
      </c>
      <c r="G88" s="34" t="n">
        <f aca="false">F88/px-1</f>
        <v>1.94039906449187</v>
      </c>
      <c r="H88" s="33" t="n">
        <f aca="false">F88/(1+r_disc)^(1.27+0)</f>
        <v>549.588558077158</v>
      </c>
    </row>
    <row r="89" customFormat="false" ht="17.15" hidden="false" customHeight="false" outlineLevel="0" collapsed="false">
      <c r="A89" s="0" t="s">
        <v>734</v>
      </c>
      <c r="B89" s="0" t="s">
        <v>641</v>
      </c>
      <c r="C89" s="20" t="n">
        <f aca="false">PL!E37</f>
        <v>14.7376238214589</v>
      </c>
      <c r="D89" s="5" t="s">
        <v>840</v>
      </c>
      <c r="E89" s="21" t="n">
        <f aca="false">pe_peak</f>
        <v>42.09</v>
      </c>
      <c r="F89" s="35" t="n">
        <f aca="false">C89*E89</f>
        <v>620.306586645204</v>
      </c>
      <c r="G89" s="31" t="n">
        <f aca="false">F89/px-1</f>
        <v>1.94039906449187</v>
      </c>
      <c r="H89" s="35" t="n">
        <f aca="false">F89/(1+r_disc)^(1.27+0)</f>
        <v>549.588558077158</v>
      </c>
    </row>
    <row r="90" customFormat="false" ht="15" hidden="false" customHeight="false" outlineLevel="0" collapsed="false">
      <c r="A90" s="0" t="s">
        <v>734</v>
      </c>
      <c r="B90" s="0" t="s">
        <v>641</v>
      </c>
      <c r="C90" s="20" t="n">
        <f aca="false">PL!E37</f>
        <v>14.7376238214589</v>
      </c>
      <c r="D90" s="5" t="s">
        <v>841</v>
      </c>
      <c r="E90" s="21" t="n">
        <f aca="false">pe_mid</f>
        <v>51.61</v>
      </c>
      <c r="F90" s="35" t="n">
        <f aca="false">C90*E90</f>
        <v>760.608765425493</v>
      </c>
      <c r="G90" s="31" t="n">
        <f aca="false">F90/px-1</f>
        <v>2.60546437915004</v>
      </c>
      <c r="H90" s="35" t="n">
        <f aca="false">F90/(1+r_disc)^(1.27+0)</f>
        <v>673.89559235833</v>
      </c>
    </row>
    <row r="91" customFormat="false" ht="17.15" hidden="false" customHeight="false" outlineLevel="0" collapsed="false">
      <c r="A91" s="0" t="s">
        <v>734</v>
      </c>
      <c r="B91" s="0" t="s">
        <v>641</v>
      </c>
      <c r="C91" s="20" t="n">
        <f aca="false">PL!E37</f>
        <v>14.7376238214589</v>
      </c>
      <c r="D91" s="5" t="s">
        <v>842</v>
      </c>
      <c r="E91" s="21" t="n">
        <f aca="false">pe_trough</f>
        <v>63.4</v>
      </c>
      <c r="F91" s="35" t="n">
        <f aca="false">C91*E91</f>
        <v>934.365350280493</v>
      </c>
      <c r="G91" s="31" t="n">
        <f aca="false">F91/px-1</f>
        <v>3.42911144425717</v>
      </c>
      <c r="H91" s="35" t="n">
        <f aca="false">F91/(1+r_disc)^(1.27+0)</f>
        <v>827.843064435538</v>
      </c>
    </row>
    <row r="92" customFormat="false" ht="17.15" hidden="false" customHeight="false" outlineLevel="0" collapsed="false">
      <c r="A92" s="9" t="s">
        <v>734</v>
      </c>
      <c r="B92" s="9" t="s">
        <v>642</v>
      </c>
      <c r="C92" s="32" t="n">
        <f aca="false">PL!F37</f>
        <v>9.9233998538598</v>
      </c>
      <c r="D92" s="9" t="str">
        <f aca="false">"規則值（FY2029；不適用）："&amp;G68</f>
        <v>規則值（FY2029；不適用）：谷底</v>
      </c>
      <c r="E92" s="30" t="n">
        <f aca="false">H68</f>
        <v>63.4</v>
      </c>
      <c r="F92" s="33" t="n">
        <f aca="false">C92*E92</f>
        <v>629.143550734711</v>
      </c>
      <c r="G92" s="34" t="n">
        <f aca="false">F92/px-1</f>
        <v>1.98228835198479</v>
      </c>
      <c r="H92" s="33" t="n">
        <f aca="false">F92/(1+r_disc)^(1.27+1)</f>
        <v>506.743694923002</v>
      </c>
    </row>
    <row r="93" customFormat="false" ht="17.15" hidden="false" customHeight="false" outlineLevel="0" collapsed="false">
      <c r="A93" s="36" t="s">
        <v>843</v>
      </c>
    </row>
    <row r="95" customFormat="false" ht="17.15" hidden="false" customHeight="false" outlineLevel="0" collapsed="false">
      <c r="A95" s="1" t="s">
        <v>844</v>
      </c>
    </row>
    <row r="96" customFormat="false" ht="17.15" hidden="false" customHeight="false" outlineLevel="0" collapsed="false">
      <c r="A96" s="12" t="s">
        <v>845</v>
      </c>
      <c r="B96" s="6" t="s">
        <v>846</v>
      </c>
      <c r="C96" s="6" t="s">
        <v>847</v>
      </c>
      <c r="D96" s="6" t="s">
        <v>848</v>
      </c>
      <c r="E96" s="6" t="s">
        <v>849</v>
      </c>
    </row>
    <row r="97" customFormat="false" ht="15" hidden="false" customHeight="false" outlineLevel="0" collapsed="false">
      <c r="A97" s="19" t="n">
        <v>1</v>
      </c>
      <c r="B97" s="21" t="n">
        <f aca="false">px*A97/PL!E13</f>
        <v>14.3360648072478</v>
      </c>
      <c r="C97" s="21" t="n">
        <f aca="false">pe_peak</f>
        <v>42.09</v>
      </c>
      <c r="D97" s="21" t="n">
        <f aca="false">pe_mid</f>
        <v>51.61</v>
      </c>
      <c r="E97" s="21" t="n">
        <f aca="false">pe_trough</f>
        <v>63.4</v>
      </c>
    </row>
    <row r="98" customFormat="false" ht="15" hidden="false" customHeight="false" outlineLevel="0" collapsed="false">
      <c r="A98" s="19" t="n">
        <v>1.1</v>
      </c>
      <c r="B98" s="21" t="n">
        <f aca="false">px*A98/PL!E13</f>
        <v>15.7696712879726</v>
      </c>
      <c r="C98" s="21" t="n">
        <f aca="false">pe_peak</f>
        <v>42.09</v>
      </c>
      <c r="D98" s="21" t="n">
        <f aca="false">pe_mid</f>
        <v>51.61</v>
      </c>
      <c r="E98" s="21" t="n">
        <f aca="false">pe_trough</f>
        <v>63.4</v>
      </c>
    </row>
    <row r="99" customFormat="false" ht="15" hidden="false" customHeight="false" outlineLevel="0" collapsed="false">
      <c r="A99" s="19" t="n">
        <v>1.21</v>
      </c>
      <c r="B99" s="21" t="n">
        <f aca="false">px*A99/PL!E13</f>
        <v>17.3466384167698</v>
      </c>
      <c r="C99" s="21" t="n">
        <f aca="false">pe_peak</f>
        <v>42.09</v>
      </c>
      <c r="D99" s="21" t="n">
        <f aca="false">pe_mid</f>
        <v>51.61</v>
      </c>
      <c r="E99" s="21" t="n">
        <f aca="false">pe_trough</f>
        <v>63.4</v>
      </c>
    </row>
    <row r="100" customFormat="false" ht="15" hidden="false" customHeight="false" outlineLevel="0" collapsed="false">
      <c r="A100" s="19" t="n">
        <v>1.5</v>
      </c>
      <c r="B100" s="21" t="n">
        <f aca="false">px*A100/PL!E13</f>
        <v>21.5040972108717</v>
      </c>
      <c r="C100" s="21" t="n">
        <f aca="false">pe_peak</f>
        <v>42.09</v>
      </c>
      <c r="D100" s="21" t="n">
        <f aca="false">pe_mid</f>
        <v>51.61</v>
      </c>
      <c r="E100" s="21" t="n">
        <f aca="false">pe_trough</f>
        <v>63.4</v>
      </c>
    </row>
    <row r="101" customFormat="false" ht="15" hidden="false" customHeight="false" outlineLevel="0" collapsed="false">
      <c r="A101" s="19" t="n">
        <v>2</v>
      </c>
      <c r="B101" s="21" t="n">
        <f aca="false">px*A101/PL!E13</f>
        <v>28.6721296144956</v>
      </c>
      <c r="C101" s="21" t="n">
        <f aca="false">pe_peak</f>
        <v>42.09</v>
      </c>
      <c r="D101" s="21" t="n">
        <f aca="false">pe_mid</f>
        <v>51.61</v>
      </c>
      <c r="E101" s="21" t="n">
        <f aca="false">pe_trough</f>
        <v>63.4</v>
      </c>
    </row>
    <row r="102" customFormat="false" ht="17.15" hidden="false" customHeight="false" outlineLevel="0" collapsed="false">
      <c r="A102" s="5" t="s">
        <v>850</v>
      </c>
    </row>
    <row r="121" customFormat="false" ht="17.15" hidden="false" customHeight="false" outlineLevel="0" collapsed="false">
      <c r="A121" s="1" t="s">
        <v>851</v>
      </c>
    </row>
    <row r="122" customFormat="false" ht="17.15" hidden="false" customHeight="false" outlineLevel="0" collapsed="false">
      <c r="A122" s="5" t="s">
        <v>852</v>
      </c>
    </row>
    <row r="124" customFormat="false" ht="17.15" hidden="false" customHeight="false" outlineLevel="0" collapsed="false">
      <c r="A124" s="1" t="s">
        <v>853</v>
      </c>
    </row>
    <row r="125" customFormat="false" ht="17.15" hidden="false" customHeight="false" outlineLevel="0" collapsed="false">
      <c r="A125" s="6" t="s">
        <v>854</v>
      </c>
      <c r="B125" s="12" t="s">
        <v>855</v>
      </c>
      <c r="C125" s="12" t="s">
        <v>856</v>
      </c>
      <c r="D125" s="6" t="s">
        <v>857</v>
      </c>
    </row>
    <row r="126" customFormat="false" ht="17.15" hidden="false" customHeight="false" outlineLevel="0" collapsed="false">
      <c r="A126" s="0" t="s">
        <v>858</v>
      </c>
      <c r="C126" s="19" t="n">
        <v>24.4</v>
      </c>
      <c r="D126" s="8" t="s">
        <v>859</v>
      </c>
    </row>
    <row r="127" customFormat="false" ht="15" hidden="false" customHeight="false" outlineLevel="0" collapsed="false">
      <c r="A127" s="0" t="s">
        <v>860</v>
      </c>
      <c r="B127" s="19" t="n">
        <v>42.09</v>
      </c>
      <c r="C127" s="19" t="n">
        <v>34.93</v>
      </c>
    </row>
    <row r="128" customFormat="false" ht="15" hidden="false" customHeight="false" outlineLevel="0" collapsed="false">
      <c r="A128" s="0" t="s">
        <v>861</v>
      </c>
      <c r="B128" s="19" t="n">
        <v>50.33</v>
      </c>
      <c r="C128" s="19" t="n">
        <v>46.79</v>
      </c>
    </row>
    <row r="129" customFormat="false" ht="15" hidden="false" customHeight="false" outlineLevel="0" collapsed="false">
      <c r="A129" s="0" t="s">
        <v>862</v>
      </c>
      <c r="B129" s="19" t="n">
        <v>21.47</v>
      </c>
      <c r="C129" s="19" t="n">
        <v>23.55</v>
      </c>
    </row>
    <row r="130" customFormat="false" ht="15" hidden="false" customHeight="false" outlineLevel="0" collapsed="false">
      <c r="A130" s="0" t="s">
        <v>863</v>
      </c>
      <c r="B130" s="19" t="n">
        <v>51.97</v>
      </c>
      <c r="C130" s="19" t="n">
        <v>52.18</v>
      </c>
    </row>
    <row r="131" customFormat="false" ht="15" hidden="false" customHeight="false" outlineLevel="0" collapsed="false">
      <c r="A131" s="0" t="s">
        <v>864</v>
      </c>
      <c r="B131" s="19" t="n">
        <v>74.74</v>
      </c>
      <c r="C131" s="19" t="n">
        <v>72.17</v>
      </c>
    </row>
    <row r="132" customFormat="false" ht="15" hidden="false" customHeight="false" outlineLevel="0" collapsed="false">
      <c r="A132" s="0" t="s">
        <v>865</v>
      </c>
      <c r="B132" s="19" t="n">
        <v>63.4</v>
      </c>
      <c r="C132" s="19" t="n">
        <v>58.56</v>
      </c>
    </row>
    <row r="133" customFormat="false" ht="15" hidden="false" customHeight="false" outlineLevel="0" collapsed="false">
      <c r="A133" s="0" t="s">
        <v>866</v>
      </c>
      <c r="B133" s="19" t="n">
        <v>114.67</v>
      </c>
    </row>
    <row r="134" customFormat="false" ht="15" hidden="false" customHeight="false" outlineLevel="0" collapsed="false">
      <c r="A134" s="0" t="s">
        <v>867</v>
      </c>
      <c r="B134" s="19" t="n">
        <v>51.61</v>
      </c>
    </row>
    <row r="135" customFormat="false" ht="15" hidden="false" customHeight="false" outlineLevel="0" collapsed="false">
      <c r="A135" s="0" t="s">
        <v>868</v>
      </c>
      <c r="B135" s="19" t="n">
        <v>40.78</v>
      </c>
    </row>
    <row r="136" customFormat="false" ht="17.15" hidden="false" customHeight="false" outlineLevel="0" collapsed="false">
      <c r="A136" s="0" t="s">
        <v>869</v>
      </c>
      <c r="B136" s="20" t="n">
        <f aca="false">PERCENTILE(B126:B135,0.25)</f>
        <v>42.09</v>
      </c>
      <c r="C136" s="20" t="n">
        <f aca="false">PERCENTILE(C126:C135,0.25)</f>
        <v>29.665</v>
      </c>
    </row>
    <row r="137" customFormat="false" ht="15" hidden="false" customHeight="false" outlineLevel="0" collapsed="false">
      <c r="A137" s="5" t="s">
        <v>870</v>
      </c>
      <c r="B137" s="20" t="n">
        <f aca="false">MEDIAN(B126:B135)</f>
        <v>51.61</v>
      </c>
      <c r="C137" s="20" t="n">
        <f aca="false">MEDIAN(C126:C135)</f>
        <v>46.79</v>
      </c>
    </row>
    <row r="138" customFormat="false" ht="17.15" hidden="false" customHeight="false" outlineLevel="0" collapsed="false">
      <c r="A138" s="0" t="s">
        <v>871</v>
      </c>
      <c r="B138" s="20" t="n">
        <f aca="false">PERCENTILE(B126:B135,0.75)</f>
        <v>63.4</v>
      </c>
      <c r="C138" s="20" t="n">
        <f aca="false">PERCENTILE(C126:C135,0.75)</f>
        <v>55.37</v>
      </c>
    </row>
    <row r="139" customFormat="false" ht="15" hidden="false" customHeight="false" outlineLevel="0" collapsed="false">
      <c r="A139" s="5" t="s">
        <v>872</v>
      </c>
      <c r="B139" s="20" t="n">
        <f aca="false">MIN(B126:B135)</f>
        <v>21.47</v>
      </c>
      <c r="C139" s="20" t="n">
        <f aca="false">MIN(C126:C135)</f>
        <v>23.55</v>
      </c>
    </row>
    <row r="140" customFormat="false" ht="15" hidden="false" customHeight="false" outlineLevel="0" collapsed="false">
      <c r="A140" s="5" t="s">
        <v>873</v>
      </c>
      <c r="B140" s="20" t="n">
        <f aca="false">MAX(B126:B135)</f>
        <v>114.67</v>
      </c>
      <c r="C140" s="20" t="n">
        <f aca="false">MAX(C126:C135)</f>
        <v>72.17</v>
      </c>
    </row>
    <row r="141" customFormat="false" ht="17.15" hidden="false" customHeight="false" outlineLevel="0" collapsed="false">
      <c r="A141" s="4" t="s">
        <v>874</v>
      </c>
      <c r="B141" s="20" t="n">
        <f aca="false">ROUND(AVERAGE(B136),2)</f>
        <v>42.09</v>
      </c>
    </row>
    <row r="142" customFormat="false" ht="17.15" hidden="false" customHeight="false" outlineLevel="0" collapsed="false">
      <c r="A142" s="4" t="s">
        <v>875</v>
      </c>
      <c r="B142" s="20" t="n">
        <f aca="false">ROUND(AVERAGE(B137),2)</f>
        <v>51.61</v>
      </c>
    </row>
    <row r="143" customFormat="false" ht="17.15" hidden="false" customHeight="false" outlineLevel="0" collapsed="false">
      <c r="A143" s="4" t="s">
        <v>876</v>
      </c>
      <c r="B143" s="20" t="n">
        <f aca="false">ROUND(AVERAGE(B138),2)</f>
        <v>63.4</v>
      </c>
    </row>
    <row r="144" customFormat="false" ht="17.15" hidden="false" customHeight="false" outlineLevel="0" collapsed="false">
      <c r="A144" s="4" t="s">
        <v>877</v>
      </c>
      <c r="B144" s="20" t="n">
        <f aca="false">ROUND(MIN(B139),2)</f>
        <v>21.47</v>
      </c>
    </row>
    <row r="145" customFormat="false" ht="17.15" hidden="false" customHeight="false" outlineLevel="0" collapsed="false">
      <c r="A145" s="4" t="s">
        <v>878</v>
      </c>
      <c r="B145" s="20" t="n">
        <f aca="false">ROUND(MAX(B140),2)</f>
        <v>114.67</v>
      </c>
    </row>
    <row r="147" customFormat="false" ht="17.15" hidden="false" customHeight="false" outlineLevel="0" collapsed="false">
      <c r="A147" s="1" t="s">
        <v>879</v>
      </c>
    </row>
    <row r="148" customFormat="false" ht="17.15" hidden="false" customHeight="false" outlineLevel="0" collapsed="false">
      <c r="A148" s="6" t="s">
        <v>880</v>
      </c>
      <c r="B148" s="6" t="s">
        <v>881</v>
      </c>
      <c r="C148" s="6" t="s">
        <v>836</v>
      </c>
      <c r="D148" s="6" t="s">
        <v>22</v>
      </c>
      <c r="E148" s="6" t="s">
        <v>882</v>
      </c>
      <c r="F148" s="6" t="s">
        <v>883</v>
      </c>
      <c r="G148" s="6" t="s">
        <v>884</v>
      </c>
      <c r="H148" s="6" t="s">
        <v>885</v>
      </c>
    </row>
    <row r="149" customFormat="false" ht="17.15" hidden="false" customHeight="false" outlineLevel="0" collapsed="false">
      <c r="A149" s="5" t="s">
        <v>886</v>
      </c>
      <c r="B149" s="0" t="s">
        <v>887</v>
      </c>
      <c r="C149" s="20" t="n">
        <f aca="false">B141</f>
        <v>42.09</v>
      </c>
      <c r="D149" s="8" t="s">
        <v>888</v>
      </c>
      <c r="E149" s="21" t="n">
        <f aca="false">PL!E13</f>
        <v>14.7153352636455</v>
      </c>
      <c r="F149" s="16" t="n">
        <f aca="false">C149*E149</f>
        <v>619.368461246838</v>
      </c>
      <c r="G149" s="17" t="n">
        <f aca="false">F149/px-1</f>
        <v>1.93595212953564</v>
      </c>
      <c r="H149" s="20" t="n">
        <f aca="false">px/E149</f>
        <v>14.3360648072478</v>
      </c>
    </row>
    <row r="150" customFormat="false" ht="17.15" hidden="false" customHeight="false" outlineLevel="0" collapsed="false">
      <c r="A150" s="5" t="s">
        <v>889</v>
      </c>
      <c r="B150" s="5" t="s">
        <v>890</v>
      </c>
      <c r="C150" s="20" t="n">
        <f aca="false">B142</f>
        <v>51.61</v>
      </c>
      <c r="D150" s="8" t="s">
        <v>888</v>
      </c>
      <c r="E150" s="21" t="n">
        <f aca="false">PL!E13</f>
        <v>14.7153352636455</v>
      </c>
      <c r="F150" s="16" t="n">
        <f aca="false">C150*E150</f>
        <v>759.458452956743</v>
      </c>
      <c r="G150" s="17" t="n">
        <f aca="false">F150/px-1</f>
        <v>2.60001162759169</v>
      </c>
      <c r="H150" s="20" t="n">
        <f aca="false">px/E150</f>
        <v>14.3360648072478</v>
      </c>
    </row>
    <row r="151" customFormat="false" ht="17.15" hidden="false" customHeight="false" outlineLevel="0" collapsed="false">
      <c r="A151" s="5" t="s">
        <v>891</v>
      </c>
      <c r="B151" s="0" t="s">
        <v>892</v>
      </c>
      <c r="C151" s="20" t="n">
        <f aca="false">B143</f>
        <v>63.4</v>
      </c>
      <c r="D151" s="8" t="s">
        <v>888</v>
      </c>
      <c r="E151" s="21" t="n">
        <f aca="false">PL!E13</f>
        <v>14.7153352636455</v>
      </c>
      <c r="F151" s="16" t="n">
        <f aca="false">C151*E151</f>
        <v>932.952255715123</v>
      </c>
      <c r="G151" s="17" t="n">
        <f aca="false">F151/px-1</f>
        <v>3.42241304377665</v>
      </c>
      <c r="H151" s="20" t="n">
        <f aca="false">px/E151</f>
        <v>14.3360648072478</v>
      </c>
    </row>
    <row r="155" customFormat="false" ht="17.15" hidden="false" customHeight="false" outlineLevel="0" collapsed="false">
      <c r="A155" s="4" t="s">
        <v>893</v>
      </c>
    </row>
    <row r="156" customFormat="false" ht="17.15" hidden="false" customHeight="false" outlineLevel="0" collapsed="false">
      <c r="A156" s="6" t="s">
        <v>894</v>
      </c>
      <c r="B156" s="12" t="s">
        <v>895</v>
      </c>
      <c r="C156" s="6" t="s">
        <v>896</v>
      </c>
      <c r="D156" s="6" t="s">
        <v>897</v>
      </c>
      <c r="E156" s="12" t="s">
        <v>898</v>
      </c>
      <c r="F156" s="6" t="s">
        <v>764</v>
      </c>
    </row>
    <row r="157" customFormat="false" ht="17.15" hidden="false" customHeight="false" outlineLevel="0" collapsed="false">
      <c r="A157" s="0" t="s">
        <v>899</v>
      </c>
      <c r="B157" s="37" t="n">
        <v>1.08</v>
      </c>
      <c r="C157" s="7" t="n">
        <v>40</v>
      </c>
      <c r="D157" s="18" t="n">
        <f aca="false">B157/C157</f>
        <v>0.027</v>
      </c>
      <c r="E157" s="18" t="n">
        <f aca="false">1.67/C157</f>
        <v>0.04175</v>
      </c>
      <c r="F157" s="8" t="s">
        <v>900</v>
      </c>
    </row>
    <row r="158" customFormat="false" ht="17.15" hidden="false" customHeight="false" outlineLevel="0" collapsed="false">
      <c r="A158" s="0" t="s">
        <v>901</v>
      </c>
      <c r="B158" s="37" t="n">
        <v>2.57</v>
      </c>
      <c r="C158" s="7" t="n">
        <v>40</v>
      </c>
      <c r="D158" s="18" t="n">
        <f aca="false">B158/C158</f>
        <v>0.06425</v>
      </c>
      <c r="E158" s="18" t="n">
        <f aca="false">3.06/C158</f>
        <v>0.0765</v>
      </c>
      <c r="F158" s="8" t="s">
        <v>900</v>
      </c>
    </row>
    <row r="159" customFormat="false" ht="17.15" hidden="false" customHeight="false" outlineLevel="0" collapsed="false">
      <c r="A159" s="0" t="s">
        <v>902</v>
      </c>
      <c r="B159" s="37" t="n">
        <v>4.82</v>
      </c>
      <c r="C159" s="7" t="n">
        <v>40</v>
      </c>
      <c r="D159" s="18" t="n">
        <f aca="false">B159/C159</f>
        <v>0.1205</v>
      </c>
      <c r="E159" s="18" t="n">
        <f aca="false">4.92/C159</f>
        <v>0.123</v>
      </c>
      <c r="F159" s="8" t="s">
        <v>900</v>
      </c>
    </row>
    <row r="160" customFormat="false" ht="17.15" hidden="false" customHeight="false" outlineLevel="0" collapsed="false">
      <c r="A160" s="0" t="s">
        <v>903</v>
      </c>
      <c r="B160" s="37" t="n">
        <v>6.63</v>
      </c>
      <c r="C160" s="7" t="n">
        <v>40</v>
      </c>
      <c r="D160" s="18" t="n">
        <f aca="false">B160/C160</f>
        <v>0.16575</v>
      </c>
      <c r="E160" s="18" t="n">
        <f aca="false">6.64/C160</f>
        <v>0.166</v>
      </c>
      <c r="F160" s="8" t="s">
        <v>900</v>
      </c>
    </row>
    <row r="161" customFormat="false" ht="17.15" hidden="false" customHeight="false" outlineLevel="0" collapsed="false">
      <c r="A161" s="0" t="s">
        <v>904</v>
      </c>
      <c r="B161" s="37" t="n">
        <v>4.52</v>
      </c>
      <c r="C161" s="7" t="n">
        <v>40</v>
      </c>
      <c r="D161" s="18" t="n">
        <f aca="false">B161/C161</f>
        <v>0.113</v>
      </c>
      <c r="E161" s="18" t="n">
        <f aca="false">5.79/C161</f>
        <v>0.14475</v>
      </c>
      <c r="F161" s="8" t="s">
        <v>900</v>
      </c>
    </row>
    <row r="162" customFormat="false" ht="17.15" hidden="false" customHeight="false" outlineLevel="0" collapsed="false">
      <c r="A162" s="0" t="s">
        <v>905</v>
      </c>
      <c r="B162" s="37" t="n">
        <v>1.73</v>
      </c>
      <c r="C162" s="7" t="n">
        <v>10</v>
      </c>
      <c r="D162" s="18" t="n">
        <f aca="false">B162/C162</f>
        <v>0.173</v>
      </c>
      <c r="E162" s="18" t="n">
        <f aca="false">2.5/C162</f>
        <v>0.25</v>
      </c>
      <c r="F162" s="8" t="s">
        <v>900</v>
      </c>
    </row>
    <row r="163" customFormat="false" ht="17.15" hidden="false" customHeight="false" outlineLevel="0" collapsed="false">
      <c r="A163" s="0" t="s">
        <v>906</v>
      </c>
      <c r="B163" s="37" t="n">
        <v>3.85</v>
      </c>
      <c r="C163" s="7" t="n">
        <v>10</v>
      </c>
      <c r="D163" s="18" t="n">
        <f aca="false">B163/C163</f>
        <v>0.385</v>
      </c>
      <c r="E163" s="18" t="n">
        <f aca="false">4.44/C163</f>
        <v>0.444</v>
      </c>
      <c r="F163" s="8" t="s">
        <v>900</v>
      </c>
    </row>
    <row r="164" customFormat="false" ht="17.15" hidden="false" customHeight="false" outlineLevel="0" collapsed="false">
      <c r="A164" s="0" t="s">
        <v>907</v>
      </c>
      <c r="B164" s="37" t="n">
        <v>1.74</v>
      </c>
      <c r="C164" s="7" t="n">
        <v>10</v>
      </c>
      <c r="D164" s="18" t="n">
        <f aca="false">B164/C164</f>
        <v>0.174</v>
      </c>
      <c r="E164" s="18" t="n">
        <f aca="false">3.34/C164</f>
        <v>0.334</v>
      </c>
      <c r="F164" s="8" t="s">
        <v>900</v>
      </c>
    </row>
    <row r="165" customFormat="false" ht="17.15" hidden="false" customHeight="false" outlineLevel="0" collapsed="false">
      <c r="A165" s="0" t="s">
        <v>908</v>
      </c>
      <c r="B165" s="37" t="n">
        <v>11.93</v>
      </c>
      <c r="C165" s="7" t="n">
        <v>10</v>
      </c>
      <c r="D165" s="18" t="n">
        <f aca="false">B165/C165</f>
        <v>1.193</v>
      </c>
      <c r="E165" s="18" t="n">
        <f aca="false">12.96/C165</f>
        <v>1.296</v>
      </c>
      <c r="F165" s="8" t="s">
        <v>900</v>
      </c>
    </row>
    <row r="166" customFormat="false" ht="17.15" hidden="false" customHeight="false" outlineLevel="0" collapsed="false">
      <c r="A166" s="0" t="s">
        <v>909</v>
      </c>
      <c r="B166" s="37" t="n">
        <v>2.94</v>
      </c>
      <c r="C166" s="7" t="n">
        <v>1</v>
      </c>
      <c r="D166" s="18" t="n">
        <f aca="false">B166/C166</f>
        <v>2.94</v>
      </c>
      <c r="E166" s="18" t="n">
        <f aca="false">2.99/C166</f>
        <v>2.99</v>
      </c>
      <c r="F166" s="8" t="s">
        <v>900</v>
      </c>
    </row>
    <row r="168" customFormat="false" ht="15" hidden="false" customHeight="false" outlineLevel="0" collapsed="false">
      <c r="A168" s="4" t="s">
        <v>910</v>
      </c>
    </row>
    <row r="169" customFormat="false" ht="15" hidden="false" customHeight="false" outlineLevel="0" collapsed="false">
      <c r="A169" s="6" t="s">
        <v>19</v>
      </c>
      <c r="B169" s="6" t="s">
        <v>787</v>
      </c>
      <c r="C169" s="12"/>
      <c r="D169" s="12"/>
      <c r="E169" s="6" t="s">
        <v>592</v>
      </c>
    </row>
    <row r="170" customFormat="false" ht="17.15" hidden="false" customHeight="false" outlineLevel="0" collapsed="false">
      <c r="A170" s="5" t="s">
        <v>911</v>
      </c>
      <c r="B170" s="26" t="n">
        <f aca="false">tp_wA*B172+tp_wB*B173+tp_wC*B174</f>
        <v>467.571184194614</v>
      </c>
      <c r="E170" s="5" t="s">
        <v>912</v>
      </c>
    </row>
    <row r="171" customFormat="false" ht="17.15" hidden="false" customHeight="false" outlineLevel="0" collapsed="false">
      <c r="A171" s="5" t="s">
        <v>913</v>
      </c>
      <c r="B171" s="17" t="n">
        <f aca="false">B170/px-1</f>
        <v>1.21639734639085</v>
      </c>
      <c r="E171" s="5" t="s">
        <v>914</v>
      </c>
    </row>
    <row r="172" customFormat="false" ht="17.15" hidden="false" customHeight="false" outlineLevel="0" collapsed="false">
      <c r="A172" s="5" t="s">
        <v>915</v>
      </c>
      <c r="B172" s="26" t="n">
        <f aca="false">pe_mid*PL!D13</f>
        <v>467.571184194614</v>
      </c>
      <c r="E172" s="5" t="s">
        <v>916</v>
      </c>
    </row>
    <row r="173" customFormat="false" ht="17.15" hidden="false" customHeight="false" outlineLevel="0" collapsed="false">
      <c r="A173" s="5" t="s">
        <v>917</v>
      </c>
      <c r="B173" s="26" t="n">
        <f aca="false">pe_mid*PL!D25</f>
        <v>467.571184194614</v>
      </c>
      <c r="E173" s="5" t="s">
        <v>918</v>
      </c>
    </row>
    <row r="174" customFormat="false" ht="17.15" hidden="false" customHeight="false" outlineLevel="0" collapsed="false">
      <c r="A174" s="5" t="s">
        <v>919</v>
      </c>
      <c r="B174" s="26" t="n">
        <f aca="false">pe_mid*PL!D37</f>
        <v>467.571184194614</v>
      </c>
      <c r="E174" s="5" t="s">
        <v>920</v>
      </c>
    </row>
    <row r="175" customFormat="false" ht="17.15" hidden="false" customHeight="false" outlineLevel="0" collapsed="false">
      <c r="A175" s="5" t="s">
        <v>921</v>
      </c>
      <c r="B175" s="31" t="n">
        <f aca="false">tp_wA</f>
        <v>0.3</v>
      </c>
      <c r="C175" s="31" t="n">
        <f aca="false">tp_wB</f>
        <v>0.5</v>
      </c>
      <c r="D175" s="31" t="n">
        <f aca="false">tp_wC</f>
        <v>0.2</v>
      </c>
      <c r="E175" s="0" t="str">
        <f aca="false">"合計 "&amp;TEXT(B175+C175+D175,"0%")&amp;"；In 頁 tp_wA／tp_wB／tp_wC（Assumed，Andy 可改）"</f>
        <v>合計 100%；In 頁 tp_wA／tp_wB／tp_wC（Assumed，Andy 可改）</v>
      </c>
    </row>
    <row r="176" customFormat="false" ht="17.15" hidden="false" customHeight="false" outlineLevel="0" collapsed="false">
      <c r="A176" s="5" t="s">
        <v>922</v>
      </c>
      <c r="B176" s="0" t="s">
        <v>923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  <col collapsed="false" customWidth="true" hidden="false" outlineLevel="0" max="8" min="2" style="0" width="12"/>
    <col collapsed="false" customWidth="true" hidden="false" outlineLevel="0" max="9" min="9" style="0" width="46"/>
    <col collapsed="false" customWidth="true" hidden="false" outlineLevel="0" max="10" min="10" style="0" width="90"/>
  </cols>
  <sheetData>
    <row r="1" customFormat="false" ht="17.15" hidden="false" customHeight="false" outlineLevel="0" collapsed="false">
      <c r="A1" s="0" t="s">
        <v>924</v>
      </c>
    </row>
    <row r="3" customFormat="false" ht="17.15" hidden="false" customHeight="false" outlineLevel="0" collapsed="false">
      <c r="A3" s="6" t="s">
        <v>19</v>
      </c>
      <c r="B3" s="6" t="s">
        <v>925</v>
      </c>
      <c r="C3" s="6" t="s">
        <v>926</v>
      </c>
      <c r="D3" s="6" t="s">
        <v>927</v>
      </c>
      <c r="E3" s="6" t="s">
        <v>928</v>
      </c>
      <c r="F3" s="6" t="s">
        <v>929</v>
      </c>
      <c r="G3" s="6" t="s">
        <v>930</v>
      </c>
      <c r="H3" s="6" t="s">
        <v>931</v>
      </c>
      <c r="I3" s="6" t="s">
        <v>932</v>
      </c>
      <c r="J3" s="6" t="s">
        <v>592</v>
      </c>
    </row>
    <row r="4" customFormat="false" ht="17.15" hidden="false" customHeight="false" outlineLevel="0" collapsed="false">
      <c r="A4" s="1" t="s">
        <v>933</v>
      </c>
    </row>
    <row r="5" customFormat="false" ht="17.15" hidden="false" customHeight="false" outlineLevel="0" collapsed="false">
      <c r="A5" s="0" t="s">
        <v>934</v>
      </c>
      <c r="B5" s="16" t="n">
        <f aca="false">a27_rev*(1+g28_gr)</f>
        <v>687.8812</v>
      </c>
      <c r="C5" s="16" t="n">
        <f aca="false">PL!E5</f>
        <v>689.427679335883</v>
      </c>
      <c r="D5" s="17" t="n">
        <f aca="false">C5/B5-1</f>
        <v>0.00224817793520593</v>
      </c>
      <c r="E5" s="16" t="n">
        <f aca="false">PL!E17</f>
        <v>688.816003221952</v>
      </c>
      <c r="F5" s="17" t="n">
        <f aca="false">E5/B5-1</f>
        <v>0.00135896027097715</v>
      </c>
      <c r="G5" s="16" t="n">
        <f aca="false">PL!E29</f>
        <v>688.816003221952</v>
      </c>
      <c r="H5" s="17" t="n">
        <f aca="false">G5/B5-1</f>
        <v>0.00135896027097715</v>
      </c>
      <c r="I5" s="5" t="s">
        <v>935</v>
      </c>
      <c r="J5" s="5" t="s">
        <v>936</v>
      </c>
    </row>
    <row r="6" customFormat="false" ht="17.15" hidden="false" customHeight="false" outlineLevel="0" collapsed="false">
      <c r="A6" s="0" t="s">
        <v>937</v>
      </c>
      <c r="B6" s="17" t="n">
        <f aca="false">g28_gr</f>
        <v>0.7</v>
      </c>
      <c r="C6" s="17" t="n">
        <f aca="false">PL!E6</f>
        <v>0.70382190248985</v>
      </c>
      <c r="D6" s="17" t="n">
        <f aca="false">C6-B6</f>
        <v>0.00382190248985004</v>
      </c>
      <c r="E6" s="17" t="n">
        <f aca="false">PL!E18</f>
        <v>0.702310232460661</v>
      </c>
      <c r="F6" s="17" t="n">
        <f aca="false">E6-B6</f>
        <v>0.0023102324606612</v>
      </c>
      <c r="G6" s="17" t="n">
        <f aca="false">PL!E30</f>
        <v>0.702310232460661</v>
      </c>
      <c r="H6" s="17" t="n">
        <f aca="false">G6-B6</f>
        <v>0.0023102324606612</v>
      </c>
      <c r="I6" s="5" t="s">
        <v>36</v>
      </c>
    </row>
    <row r="7" customFormat="false" ht="17.15" hidden="false" customHeight="false" outlineLevel="0" collapsed="false">
      <c r="A7" s="0" t="s">
        <v>938</v>
      </c>
      <c r="B7" s="16" t="n">
        <f aca="false">cons_rev27*(1+cons_g28)</f>
        <v>671.071</v>
      </c>
      <c r="C7" s="16" t="n">
        <f aca="false">PL!E5</f>
        <v>689.427679335883</v>
      </c>
      <c r="D7" s="17" t="n">
        <f aca="false">C7/B7-1</f>
        <v>0.0273543028023608</v>
      </c>
      <c r="E7" s="16" t="n">
        <f aca="false">PL!E17</f>
        <v>688.816003221952</v>
      </c>
      <c r="F7" s="17" t="n">
        <f aca="false">E7/B7-1</f>
        <v>0.0264428104059811</v>
      </c>
      <c r="G7" s="16" t="n">
        <f aca="false">PL!E29</f>
        <v>688.816003221952</v>
      </c>
      <c r="H7" s="17" t="n">
        <f aca="false">G7/B7-1</f>
        <v>0.0264428104059811</v>
      </c>
      <c r="I7" s="8" t="s">
        <v>939</v>
      </c>
      <c r="J7" s="5" t="s">
        <v>940</v>
      </c>
    </row>
    <row r="8" customFormat="false" ht="17.15" hidden="false" customHeight="false" outlineLevel="0" collapsed="false">
      <c r="A8" s="0" t="s">
        <v>941</v>
      </c>
      <c r="B8" s="17" t="n">
        <f aca="false">g28_gm</f>
        <v>0.725</v>
      </c>
      <c r="C8" s="17" t="n">
        <f aca="false">PL!E9</f>
        <v>0.687110221385273</v>
      </c>
      <c r="D8" s="17" t="n">
        <f aca="false">C8-B8</f>
        <v>-0.0378897786147268</v>
      </c>
      <c r="E8" s="17" t="n">
        <f aca="false">PL!E21</f>
        <v>0.688608393639058</v>
      </c>
      <c r="F8" s="17" t="n">
        <f aca="false">E8-B8</f>
        <v>-0.0363916063609417</v>
      </c>
      <c r="G8" s="17" t="n">
        <f aca="false">PL!E33</f>
        <v>0.688608393639058</v>
      </c>
      <c r="H8" s="17" t="n">
        <f aca="false">G8-B8</f>
        <v>-0.0363916063609417</v>
      </c>
      <c r="I8" s="5" t="s">
        <v>942</v>
      </c>
    </row>
    <row r="9" customFormat="false" ht="17.15" hidden="false" customHeight="false" outlineLevel="0" collapsed="false">
      <c r="A9" s="0" t="s">
        <v>943</v>
      </c>
      <c r="B9" s="16" t="n">
        <f aca="false">cons_eps27</f>
        <v>9.31</v>
      </c>
      <c r="C9" s="16" t="n">
        <f aca="false">PL!D13</f>
        <v>9.05970130196888</v>
      </c>
      <c r="D9" s="17" t="n">
        <f aca="false">C9/B9-1</f>
        <v>-0.0268849299711194</v>
      </c>
      <c r="E9" s="16" t="n">
        <f aca="false">PL!D25</f>
        <v>9.05970130196888</v>
      </c>
      <c r="F9" s="17" t="n">
        <f aca="false">E9/B9-1</f>
        <v>-0.0268849299711194</v>
      </c>
      <c r="G9" s="16" t="n">
        <f aca="false">PL!D37</f>
        <v>9.05970130196888</v>
      </c>
      <c r="H9" s="17" t="n">
        <f aca="false">G9/B9-1</f>
        <v>-0.0268849299711194</v>
      </c>
      <c r="I9" s="8" t="s">
        <v>944</v>
      </c>
    </row>
    <row r="10" customFormat="false" ht="17.15" hidden="false" customHeight="false" outlineLevel="0" collapsed="false">
      <c r="A10" s="0" t="s">
        <v>945</v>
      </c>
      <c r="B10" s="20" t="n">
        <f aca="false">cons_eps28</f>
        <v>15.91</v>
      </c>
      <c r="C10" s="20" t="n">
        <f aca="false">PL!E13</f>
        <v>14.7153352636455</v>
      </c>
      <c r="D10" s="17" t="n">
        <f aca="false">C10/B10-1</f>
        <v>-0.0750889212039302</v>
      </c>
      <c r="E10" s="20" t="n">
        <f aca="false">PL!E25</f>
        <v>14.7376238214589</v>
      </c>
      <c r="F10" s="17" t="n">
        <f aca="false">E10/B10-1</f>
        <v>-0.0736880061936591</v>
      </c>
      <c r="G10" s="20" t="n">
        <f aca="false">PL!E37</f>
        <v>14.7376238214589</v>
      </c>
      <c r="H10" s="17" t="n">
        <f aca="false">G10/B10-1</f>
        <v>-0.0736880061936591</v>
      </c>
      <c r="I10" s="8" t="s">
        <v>946</v>
      </c>
      <c r="J10" s="5" t="s">
        <v>947</v>
      </c>
    </row>
    <row r="11" customFormat="false" ht="17.15" hidden="false" customHeight="false" outlineLevel="0" collapsed="false">
      <c r="A11" s="0" t="s">
        <v>948</v>
      </c>
      <c r="B11" s="17" t="n">
        <f aca="false">g28_gm</f>
        <v>0.725</v>
      </c>
      <c r="C11" s="17" t="n">
        <f aca="false">Sens!E882</f>
        <v>0.659295594639148</v>
      </c>
      <c r="D11" s="17" t="n">
        <f aca="false">C11-B11</f>
        <v>-0.0657044053608522</v>
      </c>
      <c r="E11" s="17" t="n">
        <f aca="false">Sens!E882</f>
        <v>0.659295594639148</v>
      </c>
      <c r="F11" s="17" t="n">
        <f aca="false">E11-B11</f>
        <v>-0.0657044053608522</v>
      </c>
      <c r="G11" s="17" t="n">
        <f aca="false">Sens!E882</f>
        <v>0.659295594639148</v>
      </c>
      <c r="H11" s="17" t="n">
        <f aca="false">G11-B11</f>
        <v>-0.0657044053608522</v>
      </c>
      <c r="I11" s="8" t="s">
        <v>949</v>
      </c>
      <c r="J11" s="5" t="s">
        <v>950</v>
      </c>
    </row>
    <row r="12" customFormat="false" ht="17.15" hidden="false" customHeight="false" outlineLevel="0" collapsed="false">
      <c r="A12" s="0" t="s">
        <v>951</v>
      </c>
      <c r="C12" s="20" t="n">
        <f aca="false">PL!F13</f>
        <v>15.8231422227187</v>
      </c>
      <c r="E12" s="20" t="n">
        <f aca="false">PL!F25</f>
        <v>13.2572023747725</v>
      </c>
      <c r="G12" s="20" t="n">
        <f aca="false">PL!F37</f>
        <v>9.9233998538598</v>
      </c>
      <c r="I12" s="8" t="s">
        <v>215</v>
      </c>
      <c r="J12" s="8" t="s">
        <v>952</v>
      </c>
    </row>
    <row r="13" customFormat="false" ht="17.15" hidden="false" customHeight="false" outlineLevel="0" collapsed="false">
      <c r="A13" s="1" t="s">
        <v>953</v>
      </c>
    </row>
    <row r="14" customFormat="false" ht="17.15" hidden="false" customHeight="false" outlineLevel="0" collapsed="false">
      <c r="A14" s="0" t="s">
        <v>954</v>
      </c>
      <c r="B14" s="16" t="n">
        <f aca="false">a27_dc</f>
        <v>375.4567975</v>
      </c>
      <c r="C14" s="16" t="n">
        <f aca="false">PL!D266+PL!D271</f>
        <v>453.2471959</v>
      </c>
      <c r="D14" s="17" t="n">
        <f aca="false">C14/B14-1</f>
        <v>0.207188680343442</v>
      </c>
      <c r="E14" s="16" t="n">
        <f aca="false">PL!D266+PL!D271</f>
        <v>453.2471959</v>
      </c>
      <c r="F14" s="17" t="n">
        <f aca="false">E14/B14-1</f>
        <v>0.207188680343442</v>
      </c>
      <c r="G14" s="16" t="n">
        <f aca="false">PL!D266+PL!D271</f>
        <v>453.2471959</v>
      </c>
      <c r="H14" s="17" t="n">
        <f aca="false">G14/B14-1</f>
        <v>0.207188680343442</v>
      </c>
      <c r="I14" s="5" t="s">
        <v>955</v>
      </c>
      <c r="J14" s="8" t="s">
        <v>956</v>
      </c>
    </row>
    <row r="15" customFormat="false" ht="17.15" hidden="false" customHeight="false" outlineLevel="0" collapsed="false">
      <c r="A15" s="5" t="s">
        <v>957</v>
      </c>
      <c r="C15" s="18" t="n">
        <f aca="false">k_rec</f>
        <v>0.828370921864097</v>
      </c>
      <c r="E15" s="18" t="n">
        <f aca="false">k_rec</f>
        <v>0.828370921864097</v>
      </c>
      <c r="G15" s="18" t="n">
        <f aca="false">k_rec</f>
        <v>0.828370921864097</v>
      </c>
      <c r="I15" s="5" t="s">
        <v>958</v>
      </c>
      <c r="J15" s="5" t="s">
        <v>959</v>
      </c>
    </row>
    <row r="16" customFormat="false" ht="17.15" hidden="false" customHeight="false" outlineLevel="0" collapsed="false">
      <c r="A16" s="5" t="s">
        <v>960</v>
      </c>
      <c r="B16" s="16" t="n">
        <f aca="false">a27_dc</f>
        <v>375.4567975</v>
      </c>
      <c r="C16" s="16" t="n">
        <f aca="false">PL!D95+PL!D100</f>
        <v>375.4567975</v>
      </c>
      <c r="D16" s="17" t="n">
        <f aca="false">C16/B16-1</f>
        <v>0</v>
      </c>
      <c r="E16" s="16" t="n">
        <f aca="false">PL!D95+PL!D100</f>
        <v>375.4567975</v>
      </c>
      <c r="F16" s="17" t="n">
        <f aca="false">E16/B16-1</f>
        <v>0</v>
      </c>
      <c r="G16" s="16" t="n">
        <f aca="false">PL!D95+PL!D100</f>
        <v>375.4567975</v>
      </c>
      <c r="H16" s="17" t="n">
        <f aca="false">G16/B16-1</f>
        <v>0</v>
      </c>
      <c r="I16" s="5" t="s">
        <v>961</v>
      </c>
    </row>
    <row r="17" customFormat="false" ht="17.15" hidden="false" customHeight="false" outlineLevel="0" collapsed="false">
      <c r="A17" s="5" t="s">
        <v>962</v>
      </c>
      <c r="B17" s="17" t="n">
        <f aca="false">a27_gp/a27_rev</f>
        <v>0.736862266333198</v>
      </c>
      <c r="C17" s="17" t="n">
        <f aca="false">PL!D106</f>
        <v>0.736862266333198</v>
      </c>
      <c r="D17" s="17" t="n">
        <f aca="false">C17-B17</f>
        <v>0</v>
      </c>
      <c r="E17" s="17" t="n">
        <f aca="false">PL!D106</f>
        <v>0.736862266333198</v>
      </c>
      <c r="F17" s="17" t="n">
        <f aca="false">E17-B17</f>
        <v>0</v>
      </c>
      <c r="G17" s="17" t="n">
        <f aca="false">PL!D106</f>
        <v>0.736862266333198</v>
      </c>
      <c r="H17" s="17" t="n">
        <f aca="false">G17-B17</f>
        <v>0</v>
      </c>
      <c r="I17" s="8" t="s">
        <v>963</v>
      </c>
    </row>
    <row r="18" customFormat="false" ht="17.15" hidden="false" customHeight="false" outlineLevel="0" collapsed="false">
      <c r="A18" s="5" t="s">
        <v>964</v>
      </c>
      <c r="B18" s="20" t="n">
        <f aca="false">u_bw_26+u_rb_26+u_ru_26+u_hp_26</f>
        <v>7.6</v>
      </c>
      <c r="C18" s="20" t="n">
        <f aca="false">PL!D78</f>
        <v>6.29561900616714</v>
      </c>
      <c r="D18" s="17" t="n">
        <f aca="false">C18/B18-1</f>
        <v>-0.171629078135903</v>
      </c>
      <c r="E18" s="20" t="n">
        <f aca="false">PL!D78</f>
        <v>6.29561900616714</v>
      </c>
      <c r="F18" s="17" t="n">
        <f aca="false">E18/B18-1</f>
        <v>-0.171629078135903</v>
      </c>
      <c r="G18" s="20" t="n">
        <f aca="false">PL!D78</f>
        <v>6.29561900616714</v>
      </c>
      <c r="H18" s="17" t="n">
        <f aca="false">G18/B18-1</f>
        <v>-0.171629078135903</v>
      </c>
      <c r="I18" s="5" t="s">
        <v>965</v>
      </c>
      <c r="J18" s="5" t="s">
        <v>966</v>
      </c>
    </row>
    <row r="19" customFormat="false" ht="17.15" hidden="false" customHeight="false" outlineLevel="0" collapsed="false">
      <c r="A19" s="5" t="s">
        <v>967</v>
      </c>
      <c r="B19" s="16" t="n">
        <f aca="false">rep_nv26</f>
        <v>74</v>
      </c>
      <c r="C19" s="16" t="n">
        <f aca="false">PL!D271</f>
        <v>61.733865</v>
      </c>
      <c r="D19" s="17" t="n">
        <f aca="false">C19/B19-1</f>
        <v>-0.165758581081081</v>
      </c>
      <c r="E19" s="16" t="n">
        <f aca="false">PL!D271</f>
        <v>61.733865</v>
      </c>
      <c r="F19" s="17" t="n">
        <f aca="false">E19/B19-1</f>
        <v>-0.165758581081081</v>
      </c>
      <c r="G19" s="16" t="n">
        <f aca="false">PL!D271</f>
        <v>61.733865</v>
      </c>
      <c r="H19" s="17" t="n">
        <f aca="false">G19/B19-1</f>
        <v>-0.165758581081081</v>
      </c>
      <c r="I19" s="8" t="s">
        <v>968</v>
      </c>
      <c r="J19" s="5" t="s">
        <v>969</v>
      </c>
    </row>
    <row r="20" customFormat="false" ht="17.15" hidden="false" customHeight="false" outlineLevel="0" collapsed="false">
      <c r="A20" s="5" t="s">
        <v>970</v>
      </c>
      <c r="B20" s="16" t="n">
        <f aca="false">net_q1*4</f>
        <v>59.2</v>
      </c>
      <c r="C20" s="16" t="n">
        <f aca="false">PL!D271</f>
        <v>61.733865</v>
      </c>
      <c r="D20" s="17" t="n">
        <f aca="false">C20/B20-1</f>
        <v>0.0428017736486486</v>
      </c>
      <c r="E20" s="16" t="n">
        <f aca="false">PL!D271</f>
        <v>61.733865</v>
      </c>
      <c r="F20" s="17" t="n">
        <f aca="false">E20/B20-1</f>
        <v>0.0428017736486486</v>
      </c>
      <c r="G20" s="16" t="n">
        <f aca="false">PL!D271</f>
        <v>61.733865</v>
      </c>
      <c r="H20" s="17" t="n">
        <f aca="false">G20/B20-1</f>
        <v>0.0428017736486486</v>
      </c>
      <c r="I20" s="5" t="s">
        <v>971</v>
      </c>
      <c r="J20" s="5" t="s">
        <v>972</v>
      </c>
    </row>
    <row r="21" customFormat="false" ht="17.15" hidden="false" customHeight="false" outlineLevel="0" collapsed="false">
      <c r="A21" s="5" t="s">
        <v>973</v>
      </c>
      <c r="B21" s="16" t="n">
        <f aca="false">a27_dc-rep_nv26</f>
        <v>301.4567975</v>
      </c>
      <c r="C21" s="16" t="n">
        <f aca="false">PL!D266</f>
        <v>391.5133309</v>
      </c>
      <c r="D21" s="17" t="n">
        <f aca="false">C21/B21-1</f>
        <v>0.298737776513399</v>
      </c>
      <c r="E21" s="16" t="n">
        <f aca="false">PL!D266</f>
        <v>391.5133309</v>
      </c>
      <c r="F21" s="17" t="n">
        <f aca="false">E21/B21-1</f>
        <v>0.298737776513399</v>
      </c>
      <c r="G21" s="16" t="n">
        <f aca="false">PL!D266</f>
        <v>391.5133309</v>
      </c>
      <c r="H21" s="17" t="n">
        <f aca="false">G21/B21-1</f>
        <v>0.298737776513399</v>
      </c>
      <c r="I21" s="5" t="s">
        <v>974</v>
      </c>
      <c r="J21" s="5" t="s">
        <v>975</v>
      </c>
    </row>
    <row r="22" customFormat="false" ht="17.15" hidden="false" customHeight="false" outlineLevel="0" collapsed="false">
      <c r="A22" s="1" t="s">
        <v>976</v>
      </c>
    </row>
    <row r="23" customFormat="false" ht="17.15" hidden="false" customHeight="false" outlineLevel="0" collapsed="false">
      <c r="A23" s="6" t="s">
        <v>977</v>
      </c>
      <c r="B23" s="6" t="s">
        <v>925</v>
      </c>
      <c r="C23" s="6" t="s">
        <v>926</v>
      </c>
      <c r="D23" s="6" t="s">
        <v>927</v>
      </c>
      <c r="E23" s="6" t="s">
        <v>928</v>
      </c>
      <c r="F23" s="6" t="s">
        <v>929</v>
      </c>
      <c r="G23" s="6" t="s">
        <v>930</v>
      </c>
      <c r="H23" s="6" t="s">
        <v>931</v>
      </c>
      <c r="I23" s="6" t="s">
        <v>978</v>
      </c>
      <c r="J23" s="6" t="s">
        <v>979</v>
      </c>
    </row>
    <row r="24" customFormat="false" ht="17.15" hidden="false" customHeight="false" outlineLevel="0" collapsed="false">
      <c r="A24" s="0" t="s">
        <v>980</v>
      </c>
      <c r="B24" s="20" t="n">
        <f aca="false">u_rb_26</f>
        <v>1.7</v>
      </c>
      <c r="C24" s="20" t="n">
        <f aca="false">(PL!D266-(a27_dc-rep_nv26))/PL!D251</f>
        <v>1.2478965309566</v>
      </c>
      <c r="D24" s="17" t="n">
        <f aca="false">C24/B24-1</f>
        <v>-0.265943217084354</v>
      </c>
      <c r="E24" s="20" t="n">
        <f aca="false">(PL!D266-(a27_dc-rep_nv26))/PL!D251</f>
        <v>1.2478965309566</v>
      </c>
      <c r="F24" s="17" t="n">
        <f aca="false">E24/B24-1</f>
        <v>-0.265943217084354</v>
      </c>
      <c r="G24" s="20" t="n">
        <f aca="false">(PL!D266-(a27_dc-rep_nv26))/PL!D251</f>
        <v>1.2478965309566</v>
      </c>
      <c r="H24" s="17" t="n">
        <f aca="false">G24/B24-1</f>
        <v>-0.265943217084354</v>
      </c>
      <c r="I24" s="5" t="s">
        <v>981</v>
      </c>
      <c r="J24" s="5" t="s">
        <v>982</v>
      </c>
    </row>
    <row r="25" customFormat="false" ht="17.15" hidden="false" customHeight="false" outlineLevel="0" collapsed="false">
      <c r="A25" s="5" t="s">
        <v>983</v>
      </c>
      <c r="C25" s="17" t="n">
        <f aca="false">(PL!D266-(a27_dc-rep_nv26))/PL!D251/u_rb_26</f>
        <v>0.734056782915646</v>
      </c>
      <c r="E25" s="17" t="n">
        <f aca="false">(PL!D266-(a27_dc-rep_nv26))/PL!D251/u_rb_26</f>
        <v>0.734056782915646</v>
      </c>
      <c r="G25" s="17" t="n">
        <f aca="false">(PL!D266-(a27_dc-rep_nv26))/PL!D251/u_rb_26</f>
        <v>0.734056782915646</v>
      </c>
      <c r="I25" s="8" t="s">
        <v>215</v>
      </c>
      <c r="J25" s="5" t="s">
        <v>984</v>
      </c>
    </row>
    <row r="26" customFormat="false" ht="17.15" hidden="false" customHeight="false" outlineLevel="0" collapsed="false">
      <c r="A26" s="0" t="s">
        <v>985</v>
      </c>
      <c r="C26" s="17" t="n">
        <f aca="false">(PL!D266-(a27_dc-rep_nv26))/PL!D262</f>
        <v>0.354790743664548</v>
      </c>
      <c r="E26" s="17" t="n">
        <f aca="false">(PL!D266-(a27_dc-rep_nv26))/PL!D262</f>
        <v>0.354790743664548</v>
      </c>
      <c r="G26" s="17" t="n">
        <f aca="false">(PL!D266-(a27_dc-rep_nv26))/PL!D262</f>
        <v>0.354790743664548</v>
      </c>
      <c r="I26" s="5" t="s">
        <v>986</v>
      </c>
      <c r="J26" s="5" t="s">
        <v>987</v>
      </c>
    </row>
    <row r="27" customFormat="false" ht="17.15" hidden="false" customHeight="false" outlineLevel="0" collapsed="false">
      <c r="A27" s="5" t="s">
        <v>988</v>
      </c>
      <c r="C27" s="17" t="n">
        <f aca="false">k_tray*(u_bw_26*pres_bw+u_rb_26*pres_rb+u_ru_26*pres_ru+u_hp_26*pres_hp)/(PL!D266-(a27_dc-rep_nv26))</f>
        <v>0.273538045158642</v>
      </c>
      <c r="E27" s="17" t="n">
        <f aca="false">k_tray*(u_bw_26*pres_bw+u_rb_26*pres_rb+u_ru_26*pres_ru+u_hp_26*pres_hp)/(PL!D266-(a27_dc-rep_nv26))</f>
        <v>0.273538045158642</v>
      </c>
      <c r="G27" s="17" t="n">
        <f aca="false">k_tray*(u_bw_26*pres_bw+u_rb_26*pres_rb+u_ru_26*pres_ru+u_hp_26*pres_hp)/(PL!D266-(a27_dc-rep_nv26))</f>
        <v>0.273538045158642</v>
      </c>
      <c r="I27" s="8" t="s">
        <v>989</v>
      </c>
      <c r="J27" s="5" t="s">
        <v>990</v>
      </c>
    </row>
    <row r="28" customFormat="false" ht="17.15" hidden="false" customHeight="false" outlineLevel="0" collapsed="false">
      <c r="A28" s="5" t="s">
        <v>991</v>
      </c>
      <c r="B28" s="20" t="n">
        <f aca="false">u_bw_26+u_rb_26+u_ru_26+u_hp_26</f>
        <v>7.6</v>
      </c>
      <c r="C28" s="20" t="n">
        <f aca="false">(a27_dc-rep_nv26)/(PL!D266/PL!D249)</f>
        <v>5.85183563413626</v>
      </c>
      <c r="D28" s="17" t="n">
        <f aca="false">C28/B28-1</f>
        <v>-0.230021627087335</v>
      </c>
      <c r="E28" s="20" t="n">
        <f aca="false">(a27_dc-rep_nv26)/(PL!D266/PL!D249)</f>
        <v>5.85183563413626</v>
      </c>
      <c r="F28" s="17" t="n">
        <f aca="false">E28/B28-1</f>
        <v>-0.230021627087335</v>
      </c>
      <c r="G28" s="20" t="n">
        <f aca="false">(a27_dc-rep_nv26)/(PL!D266/PL!D249)</f>
        <v>5.85183563413626</v>
      </c>
      <c r="H28" s="17" t="n">
        <f aca="false">G28/B28-1</f>
        <v>-0.230021627087335</v>
      </c>
      <c r="I28" s="5" t="s">
        <v>992</v>
      </c>
      <c r="J28" s="5" t="s">
        <v>993</v>
      </c>
    </row>
    <row r="29" customFormat="false" ht="17.15" hidden="false" customHeight="false" outlineLevel="0" collapsed="false">
      <c r="A29" s="5" t="s">
        <v>994</v>
      </c>
      <c r="B29" s="21" t="n">
        <f aca="false">PL!D266/PL!D249</f>
        <v>51.5149119605263</v>
      </c>
      <c r="C29" s="21" t="n">
        <f aca="false">(a27_dc-rep_nv26)/PL!D249</f>
        <v>39.6653680921053</v>
      </c>
      <c r="D29" s="17" t="n">
        <f aca="false">C29/B29-1</f>
        <v>-0.230021627087335</v>
      </c>
      <c r="E29" s="21" t="n">
        <f aca="false">(a27_dc-rep_nv26)/PL!D249</f>
        <v>39.6653680921053</v>
      </c>
      <c r="F29" s="17" t="n">
        <f aca="false">E29/B29-1</f>
        <v>-0.230021627087335</v>
      </c>
      <c r="G29" s="21" t="n">
        <f aca="false">(a27_dc-rep_nv26)/PL!D249</f>
        <v>39.6653680921053</v>
      </c>
      <c r="H29" s="17" t="n">
        <f aca="false">G29/B29-1</f>
        <v>-0.230021627087335</v>
      </c>
      <c r="I29" s="5" t="s">
        <v>995</v>
      </c>
      <c r="J29" s="5" t="s">
        <v>996</v>
      </c>
    </row>
    <row r="30" customFormat="false" ht="17.15" hidden="false" customHeight="false" outlineLevel="0" collapsed="false">
      <c r="A30" s="1" t="s">
        <v>997</v>
      </c>
    </row>
    <row r="31" customFormat="false" ht="17.15" hidden="false" customHeight="false" outlineLevel="0" collapsed="false">
      <c r="A31" s="0" t="s">
        <v>998</v>
      </c>
      <c r="B31" s="20" t="n">
        <f aca="false">36/16.7</f>
        <v>2.15568862275449</v>
      </c>
      <c r="C31" s="20" t="n">
        <f aca="false">hbm_A_27/hbm_A_26</f>
        <v>1.8</v>
      </c>
      <c r="D31" s="17" t="n">
        <f aca="false">C31/B31-1</f>
        <v>-0.165</v>
      </c>
      <c r="E31" s="20" t="n">
        <f aca="false">hbm_B_27/hbm_B_26</f>
        <v>1.8</v>
      </c>
      <c r="F31" s="17" t="n">
        <f aca="false">E31/B31-1</f>
        <v>-0.165</v>
      </c>
      <c r="G31" s="20" t="n">
        <f aca="false">hbm_C_27/hbm_C_26</f>
        <v>1.8</v>
      </c>
      <c r="H31" s="17" t="n">
        <f aca="false">G31/B31-1</f>
        <v>-0.165</v>
      </c>
      <c r="I31" s="5" t="s">
        <v>999</v>
      </c>
      <c r="J31" s="5" t="s">
        <v>1000</v>
      </c>
    </row>
    <row r="32" customFormat="false" ht="17.15" hidden="false" customHeight="false" outlineLevel="0" collapsed="false">
      <c r="A32" s="0" t="s">
        <v>1001</v>
      </c>
      <c r="B32" s="21" t="n">
        <v>36</v>
      </c>
      <c r="C32" s="21" t="n">
        <f aca="false">hbm_A_27</f>
        <v>26.28</v>
      </c>
      <c r="D32" s="17" t="n">
        <f aca="false">C32/B32-1</f>
        <v>-0.27</v>
      </c>
      <c r="E32" s="21" t="n">
        <f aca="false">hbm_B_27</f>
        <v>26.28</v>
      </c>
      <c r="F32" s="17" t="n">
        <f aca="false">E32/B32-1</f>
        <v>-0.27</v>
      </c>
      <c r="G32" s="21" t="n">
        <f aca="false">hbm_C_27</f>
        <v>26.28</v>
      </c>
      <c r="H32" s="17" t="n">
        <f aca="false">G32/B32-1</f>
        <v>-0.27</v>
      </c>
      <c r="I32" s="8" t="s">
        <v>1002</v>
      </c>
      <c r="J32" s="5" t="s">
        <v>1003</v>
      </c>
    </row>
    <row r="33" customFormat="false" ht="17.15" hidden="false" customHeight="false" outlineLevel="0" collapsed="false">
      <c r="A33" s="1" t="s">
        <v>1004</v>
      </c>
    </row>
    <row r="34" customFormat="false" ht="17.15" hidden="false" customHeight="false" outlineLevel="0" collapsed="false">
      <c r="A34" s="0" t="s">
        <v>1005</v>
      </c>
      <c r="B34" s="17" t="n">
        <f aca="false">th_sh_lo</f>
        <v>0.75</v>
      </c>
      <c r="C34" s="17" t="n">
        <f aca="false">Units!D32</f>
        <v>0.751288237571858</v>
      </c>
      <c r="D34" s="17" t="n">
        <f aca="false">C34-B34</f>
        <v>0.00128823757185825</v>
      </c>
      <c r="E34" s="17" t="n">
        <f aca="false">Units!D66</f>
        <v>0.751288237571858</v>
      </c>
      <c r="F34" s="17" t="n">
        <f aca="false">E34-B34</f>
        <v>0.00128823757185825</v>
      </c>
      <c r="G34" s="17" t="n">
        <f aca="false">Units!D100</f>
        <v>0.751288237571858</v>
      </c>
      <c r="H34" s="17" t="n">
        <f aca="false">G34-B34</f>
        <v>0.00128823757185825</v>
      </c>
      <c r="I34" s="5" t="s">
        <v>1006</v>
      </c>
      <c r="J34" s="5" t="s">
        <v>1007</v>
      </c>
    </row>
    <row r="35" customFormat="false" ht="17.15" hidden="false" customHeight="false" outlineLevel="0" collapsed="false">
      <c r="A35" s="0" t="s">
        <v>1008</v>
      </c>
      <c r="B35" s="17" t="n">
        <f aca="false">th_sh_hi</f>
        <v>0.8</v>
      </c>
      <c r="C35" s="17" t="n">
        <f aca="false">Units!D32</f>
        <v>0.751288237571858</v>
      </c>
      <c r="D35" s="17" t="n">
        <f aca="false">C35-B35</f>
        <v>-0.0487117624281418</v>
      </c>
      <c r="E35" s="17" t="n">
        <f aca="false">Units!D66</f>
        <v>0.751288237571858</v>
      </c>
      <c r="F35" s="17" t="n">
        <f aca="false">E35-B35</f>
        <v>-0.0487117624281418</v>
      </c>
      <c r="G35" s="17" t="n">
        <f aca="false">Units!D100</f>
        <v>0.751288237571858</v>
      </c>
      <c r="H35" s="17" t="n">
        <f aca="false">G35-B35</f>
        <v>-0.0487117624281418</v>
      </c>
      <c r="I35" s="5" t="s">
        <v>36</v>
      </c>
    </row>
    <row r="36" customFormat="false" ht="17.15" hidden="false" customHeight="false" outlineLevel="0" collapsed="false">
      <c r="A36" s="0" t="s">
        <v>1009</v>
      </c>
      <c r="B36" s="17" t="n">
        <v>0.351</v>
      </c>
      <c r="C36" s="17" t="n">
        <f aca="false">Units!D26</f>
        <v>0.409282700421941</v>
      </c>
      <c r="D36" s="17" t="n">
        <f aca="false">C36-B36</f>
        <v>0.058282700421941</v>
      </c>
      <c r="E36" s="17" t="n">
        <f aca="false">Units!D60</f>
        <v>0.409282700421941</v>
      </c>
      <c r="F36" s="17" t="n">
        <f aca="false">E36-B36</f>
        <v>0.058282700421941</v>
      </c>
      <c r="G36" s="17" t="n">
        <f aca="false">Units!D94</f>
        <v>0.409282700421941</v>
      </c>
      <c r="H36" s="17" t="n">
        <f aca="false">G36-B36</f>
        <v>0.058282700421941</v>
      </c>
      <c r="I36" s="8" t="s">
        <v>1010</v>
      </c>
      <c r="J36" s="5" t="s">
        <v>1011</v>
      </c>
    </row>
    <row r="37" customFormat="false" ht="17.15" hidden="false" customHeight="false" outlineLevel="0" collapsed="false">
      <c r="A37" s="0" t="s">
        <v>1012</v>
      </c>
      <c r="B37" s="17" t="n">
        <v>-0.025</v>
      </c>
      <c r="C37" s="17" t="n">
        <f aca="false">PL!E9-PL!D9</f>
        <v>-0.049752044947925</v>
      </c>
      <c r="D37" s="17" t="n">
        <f aca="false">C37-B37</f>
        <v>-0.024752044947925</v>
      </c>
      <c r="E37" s="17" t="n">
        <f aca="false">PL!E21-PL!D21</f>
        <v>-0.0482538726941399</v>
      </c>
      <c r="F37" s="17" t="n">
        <f aca="false">E37-B37</f>
        <v>-0.0232538726941399</v>
      </c>
      <c r="G37" s="17" t="n">
        <f aca="false">PL!E33-PL!D33</f>
        <v>-0.0482538726941399</v>
      </c>
      <c r="H37" s="17" t="n">
        <f aca="false">G37-B37</f>
        <v>-0.0232538726941399</v>
      </c>
      <c r="I37" s="5" t="s">
        <v>1013</v>
      </c>
      <c r="J37" s="5" t="s">
        <v>1014</v>
      </c>
    </row>
    <row r="38" customFormat="false" ht="17.15" hidden="false" customHeight="false" outlineLevel="0" collapsed="false">
      <c r="A38" s="0" t="s">
        <v>1015</v>
      </c>
      <c r="C38" s="17" t="n">
        <f aca="false">PL!E107-PL!D107</f>
        <v>0.0429101201832436</v>
      </c>
      <c r="E38" s="17" t="n">
        <f aca="false">PL!E164-PL!D164</f>
        <v>0.0430046373405195</v>
      </c>
      <c r="G38" s="17" t="n">
        <f aca="false">PL!E221-PL!D221</f>
        <v>0.0430046373405195</v>
      </c>
      <c r="I38" s="8" t="s">
        <v>215</v>
      </c>
      <c r="J38" s="5" t="s">
        <v>1016</v>
      </c>
    </row>
    <row r="39" customFormat="false" ht="17.15" hidden="false" customHeight="false" outlineLevel="0" collapsed="false">
      <c r="A39" s="5" t="s">
        <v>1017</v>
      </c>
      <c r="B39" s="21" t="n">
        <f aca="false">th_mult</f>
        <v>13.5</v>
      </c>
      <c r="C39" s="21" t="n">
        <f aca="false">px/PL!E13</f>
        <v>14.3360648072478</v>
      </c>
      <c r="D39" s="17" t="n">
        <f aca="false">C39/B39-1</f>
        <v>0.0619307264627982</v>
      </c>
      <c r="E39" s="21" t="n">
        <f aca="false">px/PL!E25</f>
        <v>14.3143835502728</v>
      </c>
      <c r="F39" s="17" t="n">
        <f aca="false">E39/B39-1</f>
        <v>0.0603247074276168</v>
      </c>
      <c r="G39" s="21" t="n">
        <f aca="false">px/PL!E37</f>
        <v>14.3143835502728</v>
      </c>
      <c r="H39" s="17" t="n">
        <f aca="false">G39/B39-1</f>
        <v>0.0603247074276168</v>
      </c>
      <c r="I39" s="5" t="s">
        <v>1018</v>
      </c>
      <c r="J39" s="8" t="s">
        <v>1019</v>
      </c>
    </row>
    <row r="40" customFormat="false" ht="17.15" hidden="false" customHeight="false" outlineLevel="0" collapsed="false">
      <c r="A40" s="1" t="s">
        <v>1020</v>
      </c>
    </row>
    <row r="41" customFormat="false" ht="17.15" hidden="false" customHeight="false" outlineLevel="0" collapsed="false">
      <c r="A41" s="0" t="s">
        <v>1021</v>
      </c>
      <c r="J41" s="5" t="s">
        <v>1022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56"/>
    <col collapsed="false" customWidth="true" hidden="false" outlineLevel="0" max="14" min="3" style="0" width="15"/>
  </cols>
  <sheetData>
    <row r="1" customFormat="false" ht="17.15" hidden="false" customHeight="false" outlineLevel="0" collapsed="false">
      <c r="A1" s="0" t="s">
        <v>1023</v>
      </c>
    </row>
    <row r="3" customFormat="false" ht="17.15" hidden="false" customHeight="false" outlineLevel="0" collapsed="false">
      <c r="A3" s="6" t="s">
        <v>1024</v>
      </c>
      <c r="B3" s="6" t="s">
        <v>1025</v>
      </c>
      <c r="C3" s="12" t="s">
        <v>1026</v>
      </c>
      <c r="D3" s="12" t="s">
        <v>1027</v>
      </c>
      <c r="E3" s="12" t="s">
        <v>1028</v>
      </c>
      <c r="F3" s="12" t="s">
        <v>1029</v>
      </c>
      <c r="G3" s="6" t="s">
        <v>1030</v>
      </c>
      <c r="H3" s="12" t="s">
        <v>1031</v>
      </c>
      <c r="I3" s="12" t="s">
        <v>1032</v>
      </c>
      <c r="J3" s="12" t="s">
        <v>1033</v>
      </c>
      <c r="K3" s="12" t="s">
        <v>1034</v>
      </c>
      <c r="L3" s="6" t="s">
        <v>1030</v>
      </c>
      <c r="M3" s="12" t="s">
        <v>1035</v>
      </c>
      <c r="N3" s="12" t="s">
        <v>1036</v>
      </c>
    </row>
    <row r="4" customFormat="false" ht="17.15" hidden="false" customHeight="false" outlineLevel="0" collapsed="false">
      <c r="A4" s="5" t="s">
        <v>1037</v>
      </c>
      <c r="B4" s="0" t="s">
        <v>1038</v>
      </c>
      <c r="C4" s="16" t="n">
        <f aca="false">PL!E109</f>
        <v>689.427679335883</v>
      </c>
      <c r="D4" s="20" t="n">
        <f aca="false">PL!E123</f>
        <v>14.7153352636455</v>
      </c>
      <c r="E4" s="17" t="n">
        <f aca="false">D4/D$4-1</f>
        <v>0</v>
      </c>
      <c r="F4" s="35" t="n">
        <f aca="false">D4*Val!$E$66</f>
        <v>759.458452956743</v>
      </c>
      <c r="G4" s="17" t="n">
        <f aca="false">F4/F$4-1</f>
        <v>0</v>
      </c>
      <c r="H4" s="16" t="n">
        <f aca="false">PL!F109</f>
        <v>771.177530905179</v>
      </c>
      <c r="I4" s="20" t="n">
        <f aca="false">PL!F123</f>
        <v>15.8231422227187</v>
      </c>
      <c r="J4" s="17" t="n">
        <f aca="false">I4/I$4-1</f>
        <v>0</v>
      </c>
      <c r="K4" s="35" t="n">
        <f aca="false">I4*Val!$H$66</f>
        <v>816.632370114514</v>
      </c>
      <c r="L4" s="17" t="n">
        <f aca="false">K4/K$4-1</f>
        <v>0</v>
      </c>
      <c r="M4" s="20" t="n">
        <f aca="false">PL!G123</f>
        <v>18.3596354149445</v>
      </c>
      <c r="N4" s="17" t="n">
        <f aca="false">M4/I4-1</f>
        <v>0.1603027487539</v>
      </c>
    </row>
    <row r="5" customFormat="false" ht="17.15" hidden="false" customHeight="false" outlineLevel="0" collapsed="false">
      <c r="A5" s="0" t="s">
        <v>1039</v>
      </c>
      <c r="B5" s="0" t="s">
        <v>1040</v>
      </c>
      <c r="C5" s="16" t="n">
        <f aca="false">E79</f>
        <v>623.636265272295</v>
      </c>
      <c r="D5" s="20" t="n">
        <f aca="false">E93</f>
        <v>13.2590363163869</v>
      </c>
      <c r="E5" s="17" t="n">
        <f aca="false">D5/D$4-1</f>
        <v>-0.0989647141004246</v>
      </c>
      <c r="F5" s="35" t="n">
        <f aca="false">D5*Val!$E$66</f>
        <v>684.298864288728</v>
      </c>
      <c r="G5" s="17" t="n">
        <f aca="false">F5/F$4-1</f>
        <v>-0.0989647141004246</v>
      </c>
      <c r="H5" s="16" t="n">
        <f aca="false">F79</f>
        <v>697.463239994261</v>
      </c>
      <c r="I5" s="20" t="n">
        <f aca="false">F93</f>
        <v>14.2578232240594</v>
      </c>
      <c r="J5" s="17" t="n">
        <f aca="false">I5/I$4-1</f>
        <v>-0.0989259261293797</v>
      </c>
      <c r="K5" s="35" t="n">
        <f aca="false">I5*Val!$H$66</f>
        <v>735.846256593706</v>
      </c>
      <c r="L5" s="17" t="n">
        <f aca="false">K5/K$4-1</f>
        <v>-0.0989259261293798</v>
      </c>
      <c r="M5" s="20" t="n">
        <f aca="false">G93</f>
        <v>16.5425933470521</v>
      </c>
      <c r="N5" s="17" t="n">
        <f aca="false">M5/I5-1</f>
        <v>0.160246770287998</v>
      </c>
    </row>
    <row r="6" customFormat="false" ht="17.15" hidden="false" customHeight="false" outlineLevel="0" collapsed="false">
      <c r="A6" s="0" t="s">
        <v>1041</v>
      </c>
      <c r="B6" s="0" t="s">
        <v>1042</v>
      </c>
      <c r="C6" s="16" t="n">
        <f aca="false">E136</f>
        <v>755.219093399471</v>
      </c>
      <c r="D6" s="20" t="n">
        <f aca="false">E150</f>
        <v>16.171634210904</v>
      </c>
      <c r="E6" s="17" t="n">
        <f aca="false">D6/D$4-1</f>
        <v>0.0989647141004246</v>
      </c>
      <c r="F6" s="35" t="n">
        <f aca="false">D6*Val!$E$66</f>
        <v>834.618041624758</v>
      </c>
      <c r="G6" s="17" t="n">
        <f aca="false">F6/F$4-1</f>
        <v>0.0989647141004244</v>
      </c>
      <c r="H6" s="16" t="n">
        <f aca="false">F136</f>
        <v>844.891821816097</v>
      </c>
      <c r="I6" s="20" t="n">
        <f aca="false">F150</f>
        <v>17.388471269023</v>
      </c>
      <c r="J6" s="17" t="n">
        <f aca="false">I6/I$4-1</f>
        <v>0.0989265611261971</v>
      </c>
      <c r="K6" s="35" t="n">
        <f aca="false">I6*Val!$H$66</f>
        <v>897.419002194279</v>
      </c>
      <c r="L6" s="17" t="n">
        <f aca="false">K6/K$4-1</f>
        <v>0.0989265611261971</v>
      </c>
      <c r="M6" s="20" t="n">
        <f aca="false">G150</f>
        <v>20.1766993059235</v>
      </c>
      <c r="N6" s="17" t="n">
        <f aca="false">M6/I6-1</f>
        <v>0.160349233337584</v>
      </c>
    </row>
    <row r="7" customFormat="false" ht="17.15" hidden="false" customHeight="false" outlineLevel="0" collapsed="false">
      <c r="A7" s="0" t="s">
        <v>1043</v>
      </c>
      <c r="B7" s="0" t="s">
        <v>1044</v>
      </c>
      <c r="C7" s="16" t="n">
        <f aca="false">E193</f>
        <v>685.700010187495</v>
      </c>
      <c r="D7" s="20" t="n">
        <f aca="false">E207</f>
        <v>14.6143663380649</v>
      </c>
      <c r="E7" s="17" t="n">
        <f aca="false">D7/D$4-1</f>
        <v>-0.00686147639666668</v>
      </c>
      <c r="F7" s="35" t="n">
        <f aca="false">D7*Val!$E$66</f>
        <v>754.247446707531</v>
      </c>
      <c r="G7" s="17" t="n">
        <f aca="false">F7/F$4-1</f>
        <v>-0.00686147639666668</v>
      </c>
      <c r="H7" s="16" t="n">
        <f aca="false">F193</f>
        <v>746.326403249256</v>
      </c>
      <c r="I7" s="20" t="n">
        <f aca="false">F207</f>
        <v>15.1353194617884</v>
      </c>
      <c r="J7" s="17" t="n">
        <f aca="false">I7/I$4-1</f>
        <v>-0.0434694165829315</v>
      </c>
      <c r="K7" s="35" t="n">
        <f aca="false">I7*Val!$H$66</f>
        <v>781.1338374229</v>
      </c>
      <c r="L7" s="17" t="n">
        <f aca="false">K7/K$4-1</f>
        <v>-0.0434694165829315</v>
      </c>
      <c r="M7" s="20" t="n">
        <f aca="false">G207</f>
        <v>17.5570768569554</v>
      </c>
      <c r="N7" s="17" t="n">
        <f aca="false">M7/I7-1</f>
        <v>0.160007022070537</v>
      </c>
    </row>
    <row r="8" customFormat="false" ht="17.15" hidden="false" customHeight="false" outlineLevel="0" collapsed="false">
      <c r="A8" s="0" t="s">
        <v>1045</v>
      </c>
      <c r="B8" s="0" t="s">
        <v>1046</v>
      </c>
      <c r="C8" s="16" t="n">
        <f aca="false">E250</f>
        <v>695.640461249864</v>
      </c>
      <c r="D8" s="20" t="n">
        <f aca="false">E264</f>
        <v>14.8836168062797</v>
      </c>
      <c r="E8" s="17" t="n">
        <f aca="false">D8/D$4-1</f>
        <v>0.0114357939944443</v>
      </c>
      <c r="F8" s="35" t="n">
        <f aca="false">D8*Val!$E$66</f>
        <v>768.143463372095</v>
      </c>
      <c r="G8" s="17" t="n">
        <f aca="false">F8/F$4-1</f>
        <v>0.0114357939944441</v>
      </c>
      <c r="H8" s="16" t="n">
        <f aca="false">F250</f>
        <v>812.596076998384</v>
      </c>
      <c r="I8" s="20" t="n">
        <f aca="false">F264</f>
        <v>16.9697259950086</v>
      </c>
      <c r="J8" s="17" t="n">
        <f aca="false">I8/I$4-1</f>
        <v>0.0724624575922488</v>
      </c>
      <c r="K8" s="35" t="n">
        <f aca="false">I8*Val!$H$66</f>
        <v>875.807558602395</v>
      </c>
      <c r="L8" s="17" t="n">
        <f aca="false">K8/K$4-1</f>
        <v>0.0724624575922488</v>
      </c>
      <c r="M8" s="20" t="n">
        <f aca="false">G264</f>
        <v>19.697519138159</v>
      </c>
      <c r="N8" s="17" t="n">
        <f aca="false">M8/I8-1</f>
        <v>0.16074467813757</v>
      </c>
    </row>
    <row r="9" customFormat="false" ht="17.15" hidden="false" customHeight="false" outlineLevel="0" collapsed="false">
      <c r="A9" s="0" t="s">
        <v>1047</v>
      </c>
      <c r="B9" s="0" t="s">
        <v>1048</v>
      </c>
      <c r="C9" s="16" t="n">
        <f aca="false">E307</f>
        <v>645.641945197262</v>
      </c>
      <c r="D9" s="20" t="n">
        <f aca="false">E321</f>
        <v>13.7461340473684</v>
      </c>
      <c r="E9" s="17" t="n">
        <f aca="false">D9/D$4-1</f>
        <v>-0.0658633458845809</v>
      </c>
      <c r="F9" s="35" t="n">
        <f aca="false">D9*Val!$E$66</f>
        <v>709.437978184684</v>
      </c>
      <c r="G9" s="17" t="n">
        <f aca="false">F9/F$4-1</f>
        <v>-0.0658633458845809</v>
      </c>
      <c r="H9" s="16" t="n">
        <f aca="false">F307</f>
        <v>720.512232973611</v>
      </c>
      <c r="I9" s="20" t="n">
        <f aca="false">F321</f>
        <v>14.7469525522755</v>
      </c>
      <c r="J9" s="17" t="n">
        <f aca="false">I9/I$4-1</f>
        <v>-0.0680136508473056</v>
      </c>
      <c r="K9" s="35" t="n">
        <f aca="false">I9*Val!$H$66</f>
        <v>761.090221222938</v>
      </c>
      <c r="L9" s="17" t="n">
        <f aca="false">K9/K$4-1</f>
        <v>-0.0680136508473057</v>
      </c>
      <c r="M9" s="20" t="n">
        <f aca="false">G321</f>
        <v>17.1031961850804</v>
      </c>
      <c r="N9" s="17" t="n">
        <f aca="false">M9/I9-1</f>
        <v>0.159778342301735</v>
      </c>
    </row>
    <row r="10" customFormat="false" ht="17.15" hidden="false" customHeight="false" outlineLevel="0" collapsed="false">
      <c r="A10" s="0" t="s">
        <v>1049</v>
      </c>
      <c r="B10" s="0" t="s">
        <v>1050</v>
      </c>
      <c r="C10" s="16" t="n">
        <f aca="false">E364</f>
        <v>733.213413474504</v>
      </c>
      <c r="D10" s="20" t="n">
        <f aca="false">E378</f>
        <v>15.6845364799225</v>
      </c>
      <c r="E10" s="17" t="n">
        <f aca="false">D10/D$4-1</f>
        <v>0.0658633458845805</v>
      </c>
      <c r="F10" s="35" t="n">
        <f aca="false">D10*Val!$E$66</f>
        <v>809.478927728801</v>
      </c>
      <c r="G10" s="17" t="n">
        <f aca="false">F10/F$4-1</f>
        <v>0.0658633458845805</v>
      </c>
      <c r="H10" s="16" t="n">
        <f aca="false">F364</f>
        <v>821.842828836746</v>
      </c>
      <c r="I10" s="20" t="n">
        <f aca="false">F378</f>
        <v>16.8994242486874</v>
      </c>
      <c r="J10" s="17" t="n">
        <f aca="false">I10/I$4-1</f>
        <v>0.0680194875846709</v>
      </c>
      <c r="K10" s="35" t="n">
        <f aca="false">I10*Val!$H$66</f>
        <v>872.179285474759</v>
      </c>
      <c r="L10" s="17" t="n">
        <f aca="false">K10/K$4-1</f>
        <v>0.0680194875846709</v>
      </c>
      <c r="M10" s="20" t="n">
        <f aca="false">G378</f>
        <v>19.6161980799351</v>
      </c>
      <c r="N10" s="17" t="n">
        <f aca="false">M10/I10-1</f>
        <v>0.160761324839731</v>
      </c>
    </row>
    <row r="11" customFormat="false" ht="17.15" hidden="false" customHeight="false" outlineLevel="0" collapsed="false">
      <c r="A11" s="0" t="s">
        <v>1051</v>
      </c>
      <c r="B11" s="5" t="s">
        <v>1052</v>
      </c>
      <c r="C11" s="16" t="n">
        <f aca="false">E421</f>
        <v>711.055149456042</v>
      </c>
      <c r="D11" s="20" t="n">
        <f aca="false">E435</f>
        <v>15.4252955877131</v>
      </c>
      <c r="E11" s="17" t="n">
        <f aca="false">D11/D$4-1</f>
        <v>0.0482462894217275</v>
      </c>
      <c r="F11" s="35" t="n">
        <f aca="false">D11*Val!$E$66</f>
        <v>796.099505281871</v>
      </c>
      <c r="G11" s="17" t="n">
        <f aca="false">F11/F$4-1</f>
        <v>0.0482462894217275</v>
      </c>
      <c r="H11" s="16" t="n">
        <f aca="false">F421</f>
        <v>802.863543038057</v>
      </c>
      <c r="I11" s="20" t="n">
        <f aca="false">F435</f>
        <v>16.8801615994205</v>
      </c>
      <c r="J11" s="17" t="n">
        <f aca="false">I11/I$4-1</f>
        <v>0.0668021156495737</v>
      </c>
      <c r="K11" s="35" t="n">
        <f aca="false">I11*Val!$H$66</f>
        <v>871.18514014609</v>
      </c>
      <c r="L11" s="17" t="n">
        <f aca="false">K11/K$4-1</f>
        <v>0.0668021156495737</v>
      </c>
      <c r="M11" s="20" t="n">
        <f aca="false">G435</f>
        <v>19.3759883230541</v>
      </c>
      <c r="N11" s="17" t="n">
        <f aca="false">M11/I11-1</f>
        <v>0.147855617905895</v>
      </c>
    </row>
    <row r="12" customFormat="false" ht="17.15" hidden="false" customHeight="false" outlineLevel="0" collapsed="false">
      <c r="A12" s="0" t="s">
        <v>1053</v>
      </c>
      <c r="B12" s="5" t="s">
        <v>1054</v>
      </c>
      <c r="C12" s="16" t="n">
        <f aca="false">E478</f>
        <v>667.800209215724</v>
      </c>
      <c r="D12" s="20" t="n">
        <f aca="false">E492</f>
        <v>14.0053749395779</v>
      </c>
      <c r="E12" s="17" t="n">
        <f aca="false">D12/D$4-1</f>
        <v>-0.0482462894217277</v>
      </c>
      <c r="F12" s="35" t="n">
        <f aca="false">D12*Val!$E$66</f>
        <v>722.817400631614</v>
      </c>
      <c r="G12" s="17" t="n">
        <f aca="false">F12/F$4-1</f>
        <v>-0.0482462894217277</v>
      </c>
      <c r="H12" s="16" t="n">
        <f aca="false">F478</f>
        <v>739.491518772301</v>
      </c>
      <c r="I12" s="20" t="n">
        <f aca="false">F492</f>
        <v>14.7663247998481</v>
      </c>
      <c r="J12" s="17" t="n">
        <f aca="false">I12/I$4-1</f>
        <v>-0.0667893524557535</v>
      </c>
      <c r="K12" s="35" t="n">
        <f aca="false">I12*Val!$H$66</f>
        <v>762.090022920159</v>
      </c>
      <c r="L12" s="17" t="n">
        <f aca="false">K12/K$4-1</f>
        <v>-0.0667893524557534</v>
      </c>
      <c r="M12" s="20" t="n">
        <f aca="false">G492</f>
        <v>17.3433016598353</v>
      </c>
      <c r="N12" s="17" t="n">
        <f aca="false">M12/I12-1</f>
        <v>0.174517145932868</v>
      </c>
    </row>
    <row r="13" customFormat="false" ht="17.15" hidden="false" customHeight="false" outlineLevel="0" collapsed="false">
      <c r="A13" s="5" t="s">
        <v>1055</v>
      </c>
      <c r="B13" s="0" t="s">
        <v>1056</v>
      </c>
      <c r="C13" s="16" t="n">
        <f aca="false">E535</f>
        <v>699.427679335883</v>
      </c>
      <c r="D13" s="20" t="n">
        <f aca="false">E549</f>
        <v>14.9361356720631</v>
      </c>
      <c r="E13" s="17" t="n">
        <f aca="false">D13/D$4-1</f>
        <v>0.0150047827291511</v>
      </c>
      <c r="F13" s="35" t="n">
        <f aca="false">D13*Val!$E$66</f>
        <v>770.853962035176</v>
      </c>
      <c r="G13" s="17" t="n">
        <f aca="false">F13/F$4-1</f>
        <v>0.0150047827291511</v>
      </c>
      <c r="H13" s="16" t="n">
        <f aca="false">F535</f>
        <v>781.177530905179</v>
      </c>
      <c r="I13" s="20" t="n">
        <f aca="false">F549</f>
        <v>16.0323509181754</v>
      </c>
      <c r="J13" s="17" t="n">
        <f aca="false">I13/I$4-1</f>
        <v>0.0132216908950127</v>
      </c>
      <c r="K13" s="35" t="n">
        <f aca="false">I13*Val!$H$66</f>
        <v>827.42963088703</v>
      </c>
      <c r="L13" s="17" t="n">
        <f aca="false">K13/K$4-1</f>
        <v>0.0132216908950127</v>
      </c>
      <c r="M13" s="20" t="n">
        <f aca="false">G549</f>
        <v>18.576615080764</v>
      </c>
      <c r="N13" s="17" t="n">
        <f aca="false">M13/I13-1</f>
        <v>0.158695638311181</v>
      </c>
    </row>
    <row r="14" customFormat="false" ht="17.15" hidden="false" customHeight="false" outlineLevel="0" collapsed="false">
      <c r="A14" s="5" t="s">
        <v>1057</v>
      </c>
      <c r="B14" s="5" t="s">
        <v>1058</v>
      </c>
      <c r="C14" s="16" t="n">
        <f aca="false">E592</f>
        <v>709.427679335883</v>
      </c>
      <c r="D14" s="20" t="n">
        <f aca="false">E606</f>
        <v>15.1569360804807</v>
      </c>
      <c r="E14" s="17" t="n">
        <f aca="false">D14/D$4-1</f>
        <v>0.0300095654583021</v>
      </c>
      <c r="F14" s="35" t="n">
        <f aca="false">D14*Val!$E$66</f>
        <v>782.249471113609</v>
      </c>
      <c r="G14" s="17" t="n">
        <f aca="false">F14/F$4-1</f>
        <v>0.0300095654583021</v>
      </c>
      <c r="H14" s="16" t="n">
        <f aca="false">F592</f>
        <v>791.177530905179</v>
      </c>
      <c r="I14" s="20" t="n">
        <f aca="false">F606</f>
        <v>16.2415454743343</v>
      </c>
      <c r="J14" s="17" t="n">
        <f aca="false">I14/I$4-1</f>
        <v>0.0264424882065974</v>
      </c>
      <c r="K14" s="35" t="n">
        <f aca="false">I14*Val!$H$66</f>
        <v>838.226161930393</v>
      </c>
      <c r="L14" s="17" t="n">
        <f aca="false">K14/K$4-1</f>
        <v>0.0264424882065974</v>
      </c>
      <c r="M14" s="20" t="n">
        <f aca="false">G606</f>
        <v>18.7935674772721</v>
      </c>
      <c r="N14" s="17" t="n">
        <f aca="false">M14/I14-1</f>
        <v>0.157129258848586</v>
      </c>
    </row>
    <row r="15" customFormat="false" ht="17.15" hidden="false" customHeight="false" outlineLevel="0" collapsed="false">
      <c r="A15" s="5" t="s">
        <v>1059</v>
      </c>
      <c r="B15" s="5" t="s">
        <v>1060</v>
      </c>
      <c r="C15" s="16" t="n">
        <f aca="false">E649</f>
        <v>729.427679335883</v>
      </c>
      <c r="D15" s="20" t="n">
        <f aca="false">E663</f>
        <v>15.5985368973159</v>
      </c>
      <c r="E15" s="17" t="n">
        <f aca="false">D15/D$4-1</f>
        <v>0.0600191309166045</v>
      </c>
      <c r="F15" s="35" t="n">
        <f aca="false">D15*Val!$E$66</f>
        <v>805.040489270475</v>
      </c>
      <c r="G15" s="17" t="n">
        <f aca="false">F15/F$4-1</f>
        <v>0.0600191309166045</v>
      </c>
      <c r="H15" s="16" t="n">
        <f aca="false">F649</f>
        <v>811.177530905179</v>
      </c>
      <c r="I15" s="20" t="n">
        <f aca="false">F663</f>
        <v>16.6598944948509</v>
      </c>
      <c r="J15" s="17" t="n">
        <f aca="false">I15/I$4-1</f>
        <v>0.0528815490851615</v>
      </c>
      <c r="K15" s="35" t="n">
        <f aca="false">I15*Val!$H$66</f>
        <v>859.817154879257</v>
      </c>
      <c r="L15" s="17" t="n">
        <f aca="false">K15/K$4-1</f>
        <v>0.0528815490851615</v>
      </c>
      <c r="M15" s="20" t="n">
        <f aca="false">G663</f>
        <v>19.2273948947688</v>
      </c>
      <c r="N15" s="17" t="n">
        <f aca="false">M15/I15-1</f>
        <v>0.154112644633579</v>
      </c>
    </row>
    <row r="16" customFormat="false" ht="17.15" hidden="false" customHeight="false" outlineLevel="0" collapsed="false">
      <c r="A16" s="5" t="s">
        <v>1061</v>
      </c>
      <c r="B16" s="5" t="s">
        <v>1062</v>
      </c>
      <c r="C16" s="16" t="n">
        <f aca="false">E706</f>
        <v>689.427679335883</v>
      </c>
      <c r="D16" s="20" t="n">
        <f aca="false">E720</f>
        <v>15.1928692890212</v>
      </c>
      <c r="E16" s="17" t="n">
        <f aca="false">D16/D$4-1</f>
        <v>0.0324514539981642</v>
      </c>
      <c r="F16" s="35" t="n">
        <f aca="false">D16*Val!$E$66</f>
        <v>784.103984006385</v>
      </c>
      <c r="G16" s="17" t="n">
        <f aca="false">F16/F$4-1</f>
        <v>0.0324514539981642</v>
      </c>
      <c r="H16" s="16" t="n">
        <f aca="false">F706</f>
        <v>771.177530905179</v>
      </c>
      <c r="I16" s="20" t="n">
        <f aca="false">F720</f>
        <v>16.3637882657277</v>
      </c>
      <c r="J16" s="17" t="n">
        <f aca="false">I16/I$4-1</f>
        <v>0.0341680581138091</v>
      </c>
      <c r="K16" s="35" t="n">
        <f aca="false">I16*Val!$H$66</f>
        <v>844.535112394205</v>
      </c>
      <c r="L16" s="17" t="n">
        <f aca="false">K16/K$4-1</f>
        <v>0.0341680581138091</v>
      </c>
      <c r="M16" s="20" t="n">
        <f aca="false">G720</f>
        <v>18.9724968170592</v>
      </c>
      <c r="N16" s="17" t="n">
        <f aca="false">M16/I16-1</f>
        <v>0.15941959825985</v>
      </c>
    </row>
    <row r="17" customFormat="false" ht="17.15" hidden="false" customHeight="false" outlineLevel="0" collapsed="false">
      <c r="A17" s="5" t="s">
        <v>1063</v>
      </c>
      <c r="B17" s="0" t="s">
        <v>1064</v>
      </c>
      <c r="C17" s="16" t="n">
        <f aca="false">E763</f>
        <v>689.427679335883</v>
      </c>
      <c r="D17" s="20" t="n">
        <f aca="false">E777</f>
        <v>14.2378012382697</v>
      </c>
      <c r="E17" s="17" t="n">
        <f aca="false">D17/D$4-1</f>
        <v>-0.032451453998164</v>
      </c>
      <c r="F17" s="35" t="n">
        <f aca="false">D17*Val!$E$66</f>
        <v>734.8129219071</v>
      </c>
      <c r="G17" s="17" t="n">
        <f aca="false">F17/F$4-1</f>
        <v>-0.0324514539981641</v>
      </c>
      <c r="H17" s="16" t="n">
        <f aca="false">F763</f>
        <v>771.177530905179</v>
      </c>
      <c r="I17" s="20" t="n">
        <f aca="false">F777</f>
        <v>15.2824961797098</v>
      </c>
      <c r="J17" s="17" t="n">
        <f aca="false">I17/I$4-1</f>
        <v>-0.0341680581138093</v>
      </c>
      <c r="K17" s="35" t="n">
        <f aca="false">I17*Val!$H$66</f>
        <v>788.729627834824</v>
      </c>
      <c r="L17" s="17" t="n">
        <f aca="false">K17/K$4-1</f>
        <v>-0.0341680581138093</v>
      </c>
      <c r="M17" s="20" t="n">
        <f aca="false">G777</f>
        <v>17.7467740128297</v>
      </c>
      <c r="N17" s="17" t="n">
        <f aca="false">M17/I17-1</f>
        <v>0.161248385351578</v>
      </c>
    </row>
    <row r="18" customFormat="false" ht="17.15" hidden="false" customHeight="false" outlineLevel="0" collapsed="false">
      <c r="A18" s="0" t="s">
        <v>1065</v>
      </c>
      <c r="B18" s="5" t="s">
        <v>1066</v>
      </c>
      <c r="C18" s="16" t="n">
        <f aca="false">E820</f>
        <v>689.427679335883</v>
      </c>
      <c r="D18" s="20" t="n">
        <f aca="false">E834</f>
        <v>14.7153352636455</v>
      </c>
      <c r="E18" s="17" t="n">
        <f aca="false">D18/D$4-1</f>
        <v>0</v>
      </c>
      <c r="F18" s="35" t="n">
        <f aca="false">D18*Val!$E$66</f>
        <v>759.458452956743</v>
      </c>
      <c r="G18" s="17" t="n">
        <f aca="false">F18/F$4-1</f>
        <v>0</v>
      </c>
      <c r="H18" s="16" t="n">
        <f aca="false">F820</f>
        <v>771.177530905179</v>
      </c>
      <c r="I18" s="20" t="n">
        <f aca="false">F834</f>
        <v>15.8231422227187</v>
      </c>
      <c r="J18" s="17" t="n">
        <f aca="false">I18/I$4-1</f>
        <v>0</v>
      </c>
      <c r="K18" s="35" t="n">
        <f aca="false">I18*Val!$H$66</f>
        <v>816.632370114514</v>
      </c>
      <c r="L18" s="17" t="n">
        <f aca="false">K18/K$4-1</f>
        <v>0</v>
      </c>
      <c r="M18" s="20" t="n">
        <f aca="false">G834</f>
        <v>16.1578829786536</v>
      </c>
      <c r="N18" s="17" t="n">
        <f aca="false">M18/I18-1</f>
        <v>0.0211551379127626</v>
      </c>
    </row>
    <row r="19" customFormat="false" ht="17.15" hidden="false" customHeight="false" outlineLevel="0" collapsed="false">
      <c r="A19" s="5" t="s">
        <v>1067</v>
      </c>
      <c r="B19" s="5" t="s">
        <v>1068</v>
      </c>
      <c r="C19" s="16" t="n">
        <f aca="false">E877</f>
        <v>697.458803343411</v>
      </c>
      <c r="D19" s="20" t="n">
        <f aca="false">E891</f>
        <v>14.220086521406</v>
      </c>
      <c r="E19" s="17" t="n">
        <f aca="false">D19/D$4-1</f>
        <v>-0.0336552809274405</v>
      </c>
      <c r="F19" s="35" t="n">
        <f aca="false">D19*Val!$E$66</f>
        <v>733.898665369764</v>
      </c>
      <c r="G19" s="17" t="n">
        <f aca="false">F19/F$4-1</f>
        <v>-0.0336552809274405</v>
      </c>
      <c r="H19" s="16" t="n">
        <f aca="false">F877</f>
        <v>782.237555582376</v>
      </c>
      <c r="I19" s="20" t="n">
        <f aca="false">F891</f>
        <v>15.1295679991295</v>
      </c>
      <c r="J19" s="17" t="n">
        <f aca="false">I19/I$4-1</f>
        <v>-0.043832900812417</v>
      </c>
      <c r="K19" s="35" t="n">
        <f aca="false">I19*Val!$H$66</f>
        <v>780.837004435076</v>
      </c>
      <c r="L19" s="17" t="n">
        <f aca="false">K19/K$4-1</f>
        <v>-0.0438329008124169</v>
      </c>
      <c r="M19" s="20" t="n">
        <f aca="false">G891</f>
        <v>17.6150599301871</v>
      </c>
      <c r="N19" s="17" t="n">
        <f aca="false">M19/I19-1</f>
        <v>0.164280429632922</v>
      </c>
    </row>
    <row r="20" customFormat="false" ht="17.15" hidden="false" customHeight="false" outlineLevel="0" collapsed="false">
      <c r="A20" s="5" t="s">
        <v>1069</v>
      </c>
      <c r="B20" s="0" t="s">
        <v>1070</v>
      </c>
      <c r="C20" s="16" t="n">
        <f aca="false">PL!E166</f>
        <v>688.816003221952</v>
      </c>
      <c r="D20" s="20" t="n">
        <f aca="false">PL!E180</f>
        <v>14.7376238214589</v>
      </c>
      <c r="E20" s="17" t="n">
        <f aca="false">D20/D$4-1</f>
        <v>0.00151464831851156</v>
      </c>
      <c r="F20" s="35" t="n">
        <f aca="false">D20*Val!$E$66</f>
        <v>760.608765425493</v>
      </c>
      <c r="G20" s="17" t="n">
        <f aca="false">F20/F$4-1</f>
        <v>0.00151464831851134</v>
      </c>
      <c r="H20" s="16" t="n">
        <f aca="false">PL!F166</f>
        <v>601.37015377641</v>
      </c>
      <c r="I20" s="20" t="n">
        <f aca="false">PL!F180</f>
        <v>13.2572023747725</v>
      </c>
      <c r="J20" s="17" t="n">
        <f aca="false">I20/I$4-1</f>
        <v>-0.162163735358585</v>
      </c>
      <c r="K20" s="35" t="n">
        <f aca="false">I20*Val!$H$66</f>
        <v>684.20421456201</v>
      </c>
      <c r="L20" s="17" t="n">
        <f aca="false">K20/K$4-1</f>
        <v>-0.162163735358585</v>
      </c>
      <c r="M20" s="20" t="n">
        <f aca="false">PL!G180</f>
        <v>16.1776917515013</v>
      </c>
      <c r="N20" s="17" t="n">
        <f aca="false">M20/I20-1</f>
        <v>0.220294545875399</v>
      </c>
    </row>
    <row r="21" customFormat="false" ht="17.15" hidden="false" customHeight="false" outlineLevel="0" collapsed="false">
      <c r="A21" s="5" t="s">
        <v>1071</v>
      </c>
      <c r="B21" s="0" t="s">
        <v>1072</v>
      </c>
      <c r="C21" s="16" t="n">
        <f aca="false">PL!E223</f>
        <v>688.816003221952</v>
      </c>
      <c r="D21" s="20" t="n">
        <f aca="false">PL!E237</f>
        <v>14.7376238214589</v>
      </c>
      <c r="E21" s="17" t="n">
        <f aca="false">D21/D$4-1</f>
        <v>0.00151464831851156</v>
      </c>
      <c r="F21" s="35" t="n">
        <f aca="false">D21*Val!$E$66</f>
        <v>760.608765425493</v>
      </c>
      <c r="G21" s="17" t="n">
        <f aca="false">F21/F$4-1</f>
        <v>0.00151464831851134</v>
      </c>
      <c r="H21" s="16" t="n">
        <f aca="false">PL!F223</f>
        <v>452.377266097758</v>
      </c>
      <c r="I21" s="20" t="n">
        <f aca="false">PL!F237</f>
        <v>9.9233998538598</v>
      </c>
      <c r="J21" s="17" t="n">
        <f aca="false">I21/I$4-1</f>
        <v>-0.372855295479058</v>
      </c>
      <c r="K21" s="35" t="n">
        <f aca="false">I21*Val!$H$66</f>
        <v>512.146666457704</v>
      </c>
      <c r="L21" s="17" t="n">
        <f aca="false">K21/K$4-1</f>
        <v>-0.372855295479058</v>
      </c>
      <c r="M21" s="20" t="n">
        <f aca="false">PL!G237</f>
        <v>11.4309378947752</v>
      </c>
      <c r="N21" s="17" t="n">
        <f aca="false">M21/I21-1</f>
        <v>0.151917494318144</v>
      </c>
    </row>
    <row r="22" customFormat="false" ht="17.15" hidden="false" customHeight="false" outlineLevel="0" collapsed="false">
      <c r="A22" s="5" t="s">
        <v>1073</v>
      </c>
      <c r="B22" s="0" t="s">
        <v>1074</v>
      </c>
      <c r="C22" s="16" t="n">
        <f aca="false">PL!E280</f>
        <v>825.740041913521</v>
      </c>
      <c r="D22" s="20" t="n">
        <f aca="false">PL!E294</f>
        <v>17.6853670344291</v>
      </c>
      <c r="E22" s="17" t="n">
        <f aca="false">D22/D$4-1</f>
        <v>0.201832422950031</v>
      </c>
      <c r="F22" s="35" t="n">
        <f aca="false">D22*Val!$E$66</f>
        <v>912.741792646884</v>
      </c>
      <c r="G22" s="17" t="n">
        <f aca="false">F22/F$4-1</f>
        <v>0.201832422950031</v>
      </c>
      <c r="H22" s="16" t="n">
        <f aca="false">PL!F280</f>
        <v>923.905197468036</v>
      </c>
      <c r="I22" s="20" t="n">
        <f aca="false">PL!F294</f>
        <v>19.0135154732631</v>
      </c>
      <c r="J22" s="17" t="n">
        <f aca="false">I22/I$4-1</f>
        <v>0.201627034986997</v>
      </c>
      <c r="K22" s="35" t="n">
        <f aca="false">I22*Val!$H$66</f>
        <v>981.287533575108</v>
      </c>
      <c r="L22" s="17" t="n">
        <f aca="false">K22/K$4-1</f>
        <v>0.201627034986997</v>
      </c>
      <c r="M22" s="20" t="n">
        <f aca="false">PL!G294</f>
        <v>22.064069372924</v>
      </c>
      <c r="N22" s="17" t="n">
        <f aca="false">M22/I22-1</f>
        <v>0.160441339948449</v>
      </c>
    </row>
    <row r="24" customFormat="false" ht="17.15" hidden="false" customHeight="false" outlineLevel="0" collapsed="false">
      <c r="A24" s="5" t="s">
        <v>1075</v>
      </c>
    </row>
    <row r="26" customFormat="false" ht="17.15" hidden="false" customHeight="false" outlineLevel="0" collapsed="false">
      <c r="A26" s="4" t="s">
        <v>1076</v>
      </c>
    </row>
    <row r="27" customFormat="false" ht="15" hidden="false" customHeight="false" outlineLevel="0" collapsed="false">
      <c r="A27" s="6" t="s">
        <v>1077</v>
      </c>
      <c r="B27" s="6" t="s">
        <v>1078</v>
      </c>
      <c r="C27" s="6" t="s">
        <v>1079</v>
      </c>
      <c r="D27" s="6" t="s">
        <v>1080</v>
      </c>
      <c r="E27" s="6" t="s">
        <v>1081</v>
      </c>
      <c r="F27" s="6" t="s">
        <v>1082</v>
      </c>
      <c r="G27" s="6" t="s">
        <v>1083</v>
      </c>
    </row>
    <row r="28" customFormat="false" ht="17.15" hidden="false" customHeight="false" outlineLevel="0" collapsed="false">
      <c r="A28" s="0" t="s">
        <v>1084</v>
      </c>
      <c r="B28" s="5" t="s">
        <v>1085</v>
      </c>
      <c r="C28" s="26" t="n">
        <f aca="false">tp_w_dcf*(tp_wA*(MAX(0,Val!B7*Val!$G$7*(1-MIN(0.8,tp_g/tp_roe))/(1+(tp_r-0.01))^Val!$F$7+Val!B8*Val!$G$8*(1-MIN(0.8,tp_g/tp_roe))/(1+(tp_r-0.01))^Val!$F$8+Val!B9*Val!$G$9*(1-MIN(0.8,tp_g/tp_roe))/(1+(tp_r-0.01))^Val!$F$9+Val!B10*Val!$G$10*(1-MIN(0.8,tp_g/tp_roe))/(1+(tp_r-0.01))^Val!$F$10+Val!B11*Val!$G$11*(1-MIN(0.8,tp_g/tp_roe))/(1+(tp_r-0.01))^Val!$F$11+Val!B12*Val!$G$12*(1-MIN(0.8,tp_g/tp_roe))/(1+(tp_r-0.01))^Val!$F$12+Val!B12*(1-MIN(0.8,tp_g/tp_roe))*(1+tp_g)/((tp_r-0.01)-tp_g)/(1+(tp_r-0.01))^Val!$F$12))+tp_wB*(MAX(0,Val!C7*Val!$G$7*(1-MIN(0.8,tp_g/tp_roe))/(1+(tp_r-0.01))^Val!$F$7+Val!C8*Val!$G$8*(1-MIN(0.8,tp_g/tp_roe))/(1+(tp_r-0.01))^Val!$F$8+Val!C9*Val!$G$9*(1-MIN(0.8,tp_g/tp_roe))/(1+(tp_r-0.01))^Val!$F$9+Val!C10*Val!$G$10*(1-MIN(0.8,tp_g/tp_roe))/(1+(tp_r-0.01))^Val!$F$10+Val!C11*Val!$G$11*(1-MIN(0.8,tp_g/tp_roe))/(1+(tp_r-0.01))^Val!$F$11+Val!C12*Val!$G$12*(1-MIN(0.8,tp_g/tp_roe))/(1+(tp_r-0.01))^Val!$F$12+Val!C12*(1-MIN(0.8,tp_g/tp_roe))*(1+tp_g)/((tp_r-0.01)-tp_g)/(1+(tp_r-0.01))^Val!$F$12))+tp_wC*(MAX(0,Val!D7*Val!$G$7*(1-MIN(0.8,tp_g/tp_roe))/(1+(tp_r-0.01))^Val!$F$7+Val!D8*Val!$G$8*(1-MIN(0.8,tp_g/tp_roe))/(1+(tp_r-0.01))^Val!$F$8+Val!D9*Val!$G$9*(1-MIN(0.8,tp_g/tp_roe))/(1+(tp_r-0.01))^Val!$F$9+Val!D10*Val!$G$10*(1-MIN(0.8,tp_g/tp_roe))/(1+(tp_r-0.01))^Val!$F$10+Val!D11*Val!$G$11*(1-MIN(0.8,tp_g/tp_roe))/(1+(tp_r-0.01))^Val!$F$11+Val!D12*Val!$G$12*(1-MIN(0.8,tp_g/tp_roe))/(1+(tp_r-0.01))^Val!$F$12+Val!D12*(1-MIN(0.8,tp_g/tp_roe))*(1+tp_g)/((tp_r-0.01)-tp_g)/(1+(tp_r-0.01))^Val!$F$12)))*(1+(tp_r-0.01))+(1-tp_w_dcf)*Val!$B$36</f>
        <v>273.901383878464</v>
      </c>
      <c r="D28" s="17" t="n">
        <f aca="false">C28/G28-1</f>
        <v>0.0874267967897813</v>
      </c>
      <c r="E28" s="26" t="n">
        <f aca="false">tp_w_dcf*(tp_wA*(MAX(0,Val!B7*Val!$G$7*(1-MIN(0.8,tp_g/tp_roe))/(1+(tp_r+0.01))^Val!$F$7+Val!B8*Val!$G$8*(1-MIN(0.8,tp_g/tp_roe))/(1+(tp_r+0.01))^Val!$F$8+Val!B9*Val!$G$9*(1-MIN(0.8,tp_g/tp_roe))/(1+(tp_r+0.01))^Val!$F$9+Val!B10*Val!$G$10*(1-MIN(0.8,tp_g/tp_roe))/(1+(tp_r+0.01))^Val!$F$10+Val!B11*Val!$G$11*(1-MIN(0.8,tp_g/tp_roe))/(1+(tp_r+0.01))^Val!$F$11+Val!B12*Val!$G$12*(1-MIN(0.8,tp_g/tp_roe))/(1+(tp_r+0.01))^Val!$F$12+Val!B12*(1-MIN(0.8,tp_g/tp_roe))*(1+tp_g)/((tp_r+0.01)-tp_g)/(1+(tp_r+0.01))^Val!$F$12))+tp_wB*(MAX(0,Val!C7*Val!$G$7*(1-MIN(0.8,tp_g/tp_roe))/(1+(tp_r+0.01))^Val!$F$7+Val!C8*Val!$G$8*(1-MIN(0.8,tp_g/tp_roe))/(1+(tp_r+0.01))^Val!$F$8+Val!C9*Val!$G$9*(1-MIN(0.8,tp_g/tp_roe))/(1+(tp_r+0.01))^Val!$F$9+Val!C10*Val!$G$10*(1-MIN(0.8,tp_g/tp_roe))/(1+(tp_r+0.01))^Val!$F$10+Val!C11*Val!$G$11*(1-MIN(0.8,tp_g/tp_roe))/(1+(tp_r+0.01))^Val!$F$11+Val!C12*Val!$G$12*(1-MIN(0.8,tp_g/tp_roe))/(1+(tp_r+0.01))^Val!$F$12+Val!C12*(1-MIN(0.8,tp_g/tp_roe))*(1+tp_g)/((tp_r+0.01)-tp_g)/(1+(tp_r+0.01))^Val!$F$12))+tp_wC*(MAX(0,Val!D7*Val!$G$7*(1-MIN(0.8,tp_g/tp_roe))/(1+(tp_r+0.01))^Val!$F$7+Val!D8*Val!$G$8*(1-MIN(0.8,tp_g/tp_roe))/(1+(tp_r+0.01))^Val!$F$8+Val!D9*Val!$G$9*(1-MIN(0.8,tp_g/tp_roe))/(1+(tp_r+0.01))^Val!$F$9+Val!D10*Val!$G$10*(1-MIN(0.8,tp_g/tp_roe))/(1+(tp_r+0.01))^Val!$F$10+Val!D11*Val!$G$11*(1-MIN(0.8,tp_g/tp_roe))/(1+(tp_r+0.01))^Val!$F$11+Val!D12*Val!$G$12*(1-MIN(0.8,tp_g/tp_roe))/(1+(tp_r+0.01))^Val!$F$12+Val!D12*(1-MIN(0.8,tp_g/tp_roe))*(1+tp_g)/((tp_r+0.01)-tp_g)/(1+(tp_r+0.01))^Val!$F$12)))*(1+(tp_r+0.01))+(1-tp_w_dcf)*Val!$B$36</f>
        <v>236.146188595051</v>
      </c>
      <c r="F28" s="17" t="n">
        <f aca="false">E28/G28-1</f>
        <v>-0.0624666082301505</v>
      </c>
      <c r="G28" s="26" t="n">
        <f aca="false">Val!$B$40</f>
        <v>251.880296390576</v>
      </c>
    </row>
    <row r="29" customFormat="false" ht="17.15" hidden="false" customHeight="false" outlineLevel="0" collapsed="false">
      <c r="A29" s="0" t="s">
        <v>1086</v>
      </c>
      <c r="B29" s="5" t="s">
        <v>1087</v>
      </c>
      <c r="C29" s="26" t="n">
        <f aca="false">tp_w_dcf*(tp_wA*(MAX(0,Val!B7*Val!$G$7*(1-MIN(0.8,(tp_g-0.01)/tp_roe))/(1+tp_r)^Val!$F$7+Val!B8*Val!$G$8*(1-MIN(0.8,(tp_g-0.01)/tp_roe))/(1+tp_r)^Val!$F$8+Val!B9*Val!$G$9*(1-MIN(0.8,(tp_g-0.01)/tp_roe))/(1+tp_r)^Val!$F$9+Val!B10*Val!$G$10*(1-MIN(0.8,(tp_g-0.01)/tp_roe))/(1+tp_r)^Val!$F$10+Val!B11*Val!$G$11*(1-MIN(0.8,(tp_g-0.01)/tp_roe))/(1+tp_r)^Val!$F$11+Val!B12*Val!$G$12*(1-MIN(0.8,(tp_g-0.01)/tp_roe))/(1+tp_r)^Val!$F$12+Val!B12*(1-MIN(0.8,(tp_g-0.01)/tp_roe))*(1+(tp_g-0.01))/(tp_r-(tp_g-0.01))/(1+tp_r)^Val!$F$12))+tp_wB*(MAX(0,Val!C7*Val!$G$7*(1-MIN(0.8,(tp_g-0.01)/tp_roe))/(1+tp_r)^Val!$F$7+Val!C8*Val!$G$8*(1-MIN(0.8,(tp_g-0.01)/tp_roe))/(1+tp_r)^Val!$F$8+Val!C9*Val!$G$9*(1-MIN(0.8,(tp_g-0.01)/tp_roe))/(1+tp_r)^Val!$F$9+Val!C10*Val!$G$10*(1-MIN(0.8,(tp_g-0.01)/tp_roe))/(1+tp_r)^Val!$F$10+Val!C11*Val!$G$11*(1-MIN(0.8,(tp_g-0.01)/tp_roe))/(1+tp_r)^Val!$F$11+Val!C12*Val!$G$12*(1-MIN(0.8,(tp_g-0.01)/tp_roe))/(1+tp_r)^Val!$F$12+Val!C12*(1-MIN(0.8,(tp_g-0.01)/tp_roe))*(1+(tp_g-0.01))/(tp_r-(tp_g-0.01))/(1+tp_r)^Val!$F$12))+tp_wC*(MAX(0,Val!D7*Val!$G$7*(1-MIN(0.8,(tp_g-0.01)/tp_roe))/(1+tp_r)^Val!$F$7+Val!D8*Val!$G$8*(1-MIN(0.8,(tp_g-0.01)/tp_roe))/(1+tp_r)^Val!$F$8+Val!D9*Val!$G$9*(1-MIN(0.8,(tp_g-0.01)/tp_roe))/(1+tp_r)^Val!$F$9+Val!D10*Val!$G$10*(1-MIN(0.8,(tp_g-0.01)/tp_roe))/(1+tp_r)^Val!$F$10+Val!D11*Val!$G$11*(1-MIN(0.8,(tp_g-0.01)/tp_roe))/(1+tp_r)^Val!$F$11+Val!D12*Val!$G$12*(1-MIN(0.8,(tp_g-0.01)/tp_roe))/(1+tp_r)^Val!$F$12+Val!D12*(1-MIN(0.8,(tp_g-0.01)/tp_roe))*(1+(tp_g-0.01))/(tp_r-(tp_g-0.01))/(1+tp_r)^Val!$F$12)))*(1+tp_r)+(1-tp_w_dcf)*Val!$B$36</f>
        <v>240.048376363387</v>
      </c>
      <c r="D29" s="17" t="n">
        <f aca="false">C29/G29-1</f>
        <v>-0.0469743771018965</v>
      </c>
      <c r="E29" s="26" t="n">
        <f aca="false">tp_w_dcf*(tp_wA*(MAX(0,Val!B7*Val!$G$7*(1-MIN(0.8,(tp_g+0.01)/tp_roe))/(1+tp_r)^Val!$F$7+Val!B8*Val!$G$8*(1-MIN(0.8,(tp_g+0.01)/tp_roe))/(1+tp_r)^Val!$F$8+Val!B9*Val!$G$9*(1-MIN(0.8,(tp_g+0.01)/tp_roe))/(1+tp_r)^Val!$F$9+Val!B10*Val!$G$10*(1-MIN(0.8,(tp_g+0.01)/tp_roe))/(1+tp_r)^Val!$F$10+Val!B11*Val!$G$11*(1-MIN(0.8,(tp_g+0.01)/tp_roe))/(1+tp_r)^Val!$F$11+Val!B12*Val!$G$12*(1-MIN(0.8,(tp_g+0.01)/tp_roe))/(1+tp_r)^Val!$F$12+Val!B12*(1-MIN(0.8,(tp_g+0.01)/tp_roe))*(1+(tp_g+0.01))/(tp_r-(tp_g+0.01))/(1+tp_r)^Val!$F$12))+tp_wB*(MAX(0,Val!C7*Val!$G$7*(1-MIN(0.8,(tp_g+0.01)/tp_roe))/(1+tp_r)^Val!$F$7+Val!C8*Val!$G$8*(1-MIN(0.8,(tp_g+0.01)/tp_roe))/(1+tp_r)^Val!$F$8+Val!C9*Val!$G$9*(1-MIN(0.8,(tp_g+0.01)/tp_roe))/(1+tp_r)^Val!$F$9+Val!C10*Val!$G$10*(1-MIN(0.8,(tp_g+0.01)/tp_roe))/(1+tp_r)^Val!$F$10+Val!C11*Val!$G$11*(1-MIN(0.8,(tp_g+0.01)/tp_roe))/(1+tp_r)^Val!$F$11+Val!C12*Val!$G$12*(1-MIN(0.8,(tp_g+0.01)/tp_roe))/(1+tp_r)^Val!$F$12+Val!C12*(1-MIN(0.8,(tp_g+0.01)/tp_roe))*(1+(tp_g+0.01))/(tp_r-(tp_g+0.01))/(1+tp_r)^Val!$F$12))+tp_wC*(MAX(0,Val!D7*Val!$G$7*(1-MIN(0.8,(tp_g+0.01)/tp_roe))/(1+tp_r)^Val!$F$7+Val!D8*Val!$G$8*(1-MIN(0.8,(tp_g+0.01)/tp_roe))/(1+tp_r)^Val!$F$8+Val!D9*Val!$G$9*(1-MIN(0.8,(tp_g+0.01)/tp_roe))/(1+tp_r)^Val!$F$9+Val!D10*Val!$G$10*(1-MIN(0.8,(tp_g+0.01)/tp_roe))/(1+tp_r)^Val!$F$10+Val!D11*Val!$G$11*(1-MIN(0.8,(tp_g+0.01)/tp_roe))/(1+tp_r)^Val!$F$11+Val!D12*Val!$G$12*(1-MIN(0.8,(tp_g+0.01)/tp_roe))/(1+tp_r)^Val!$F$12+Val!D12*(1-MIN(0.8,(tp_g+0.01)/tp_roe))*(1+(tp_g+0.01))/(tp_r-(tp_g+0.01))/(1+tp_r)^Val!$F$12)))*(1+tp_r)+(1-tp_w_dcf)*Val!$B$36</f>
        <v>268.577968272452</v>
      </c>
      <c r="F29" s="17" t="n">
        <f aca="false">E29/G29-1</f>
        <v>0.0662920923992567</v>
      </c>
      <c r="G29" s="26" t="n">
        <f aca="false">Val!$B$40</f>
        <v>251.880296390576</v>
      </c>
    </row>
    <row r="30" customFormat="false" ht="17.15" hidden="false" customHeight="false" outlineLevel="0" collapsed="false">
      <c r="A30" s="0" t="s">
        <v>1088</v>
      </c>
      <c r="B30" s="0" t="s">
        <v>1089</v>
      </c>
      <c r="C30" s="26" t="n">
        <f aca="false">0.3*(tp_wA*(MAX(0,Val!B7*Val!$G$7*(1-MIN(0.8,tp_g/tp_roe))/(1+tp_r)^Val!$F$7+Val!B8*Val!$G$8*(1-MIN(0.8,tp_g/tp_roe))/(1+tp_r)^Val!$F$8+Val!B9*Val!$G$9*(1-MIN(0.8,tp_g/tp_roe))/(1+tp_r)^Val!$F$9+Val!B10*Val!$G$10*(1-MIN(0.8,tp_g/tp_roe))/(1+tp_r)^Val!$F$10+Val!B11*Val!$G$11*(1-MIN(0.8,tp_g/tp_roe))/(1+tp_r)^Val!$F$11+Val!B12*Val!$G$12*(1-MIN(0.8,tp_g/tp_roe))/(1+tp_r)^Val!$F$12+Val!B12*(1-MIN(0.8,tp_g/tp_roe))*(1+tp_g)/(tp_r-tp_g)/(1+tp_r)^Val!$F$12))+tp_wB*(MAX(0,Val!C7*Val!$G$7*(1-MIN(0.8,tp_g/tp_roe))/(1+tp_r)^Val!$F$7+Val!C8*Val!$G$8*(1-MIN(0.8,tp_g/tp_roe))/(1+tp_r)^Val!$F$8+Val!C9*Val!$G$9*(1-MIN(0.8,tp_g/tp_roe))/(1+tp_r)^Val!$F$9+Val!C10*Val!$G$10*(1-MIN(0.8,tp_g/tp_roe))/(1+tp_r)^Val!$F$10+Val!C11*Val!$G$11*(1-MIN(0.8,tp_g/tp_roe))/(1+tp_r)^Val!$F$11+Val!C12*Val!$G$12*(1-MIN(0.8,tp_g/tp_roe))/(1+tp_r)^Val!$F$12+Val!C12*(1-MIN(0.8,tp_g/tp_roe))*(1+tp_g)/(tp_r-tp_g)/(1+tp_r)^Val!$F$12))+tp_wC*(MAX(0,Val!D7*Val!$G$7*(1-MIN(0.8,tp_g/tp_roe))/(1+tp_r)^Val!$F$7+Val!D8*Val!$G$8*(1-MIN(0.8,tp_g/tp_roe))/(1+tp_r)^Val!$F$8+Val!D9*Val!$G$9*(1-MIN(0.8,tp_g/tp_roe))/(1+tp_r)^Val!$F$9+Val!D10*Val!$G$10*(1-MIN(0.8,tp_g/tp_roe))/(1+tp_r)^Val!$F$10+Val!D11*Val!$G$11*(1-MIN(0.8,tp_g/tp_roe))/(1+tp_r)^Val!$F$11+Val!D12*Val!$G$12*(1-MIN(0.8,tp_g/tp_roe))/(1+tp_r)^Val!$F$12+Val!D12*(1-MIN(0.8,tp_g/tp_roe))*(1+tp_g)/(tp_r-tp_g)/(1+tp_r)^Val!$F$12)))*(1+tp_r)+(1-0.3)*Val!$B$36</f>
        <v>258.613742551986</v>
      </c>
      <c r="D30" s="17" t="n">
        <f aca="false">C30/G30-1</f>
        <v>0.0267327228763024</v>
      </c>
      <c r="E30" s="26" t="n">
        <f aca="false">0.7*(tp_wA*(MAX(0,Val!B7*Val!$G$7*(1-MIN(0.8,tp_g/tp_roe))/(1+tp_r)^Val!$F$7+Val!B8*Val!$G$8*(1-MIN(0.8,tp_g/tp_roe))/(1+tp_r)^Val!$F$8+Val!B9*Val!$G$9*(1-MIN(0.8,tp_g/tp_roe))/(1+tp_r)^Val!$F$9+Val!B10*Val!$G$10*(1-MIN(0.8,tp_g/tp_roe))/(1+tp_r)^Val!$F$10+Val!B11*Val!$G$11*(1-MIN(0.8,tp_g/tp_roe))/(1+tp_r)^Val!$F$11+Val!B12*Val!$G$12*(1-MIN(0.8,tp_g/tp_roe))/(1+tp_r)^Val!$F$12+Val!B12*(1-MIN(0.8,tp_g/tp_roe))*(1+tp_g)/(tp_r-tp_g)/(1+tp_r)^Val!$F$12))+tp_wB*(MAX(0,Val!C7*Val!$G$7*(1-MIN(0.8,tp_g/tp_roe))/(1+tp_r)^Val!$F$7+Val!C8*Val!$G$8*(1-MIN(0.8,tp_g/tp_roe))/(1+tp_r)^Val!$F$8+Val!C9*Val!$G$9*(1-MIN(0.8,tp_g/tp_roe))/(1+tp_r)^Val!$F$9+Val!C10*Val!$G$10*(1-MIN(0.8,tp_g/tp_roe))/(1+tp_r)^Val!$F$10+Val!C11*Val!$G$11*(1-MIN(0.8,tp_g/tp_roe))/(1+tp_r)^Val!$F$11+Val!C12*Val!$G$12*(1-MIN(0.8,tp_g/tp_roe))/(1+tp_r)^Val!$F$12+Val!C12*(1-MIN(0.8,tp_g/tp_roe))*(1+tp_g)/(tp_r-tp_g)/(1+tp_r)^Val!$F$12))+tp_wC*(MAX(0,Val!D7*Val!$G$7*(1-MIN(0.8,tp_g/tp_roe))/(1+tp_r)^Val!$F$7+Val!D8*Val!$G$8*(1-MIN(0.8,tp_g/tp_roe))/(1+tp_r)^Val!$F$8+Val!D9*Val!$G$9*(1-MIN(0.8,tp_g/tp_roe))/(1+tp_r)^Val!$F$9+Val!D10*Val!$G$10*(1-MIN(0.8,tp_g/tp_roe))/(1+tp_r)^Val!$F$10+Val!D11*Val!$G$11*(1-MIN(0.8,tp_g/tp_roe))/(1+tp_r)^Val!$F$11+Val!D12*Val!$G$12*(1-MIN(0.8,tp_g/tp_roe))/(1+tp_r)^Val!$F$12+Val!D12*(1-MIN(0.8,tp_g/tp_roe))*(1+tp_g)/(tp_r-tp_g)/(1+tp_r)^Val!$F$12)))*(1+tp_r)+(1-0.7)*Val!$B$36</f>
        <v>245.146850229165</v>
      </c>
      <c r="F30" s="17" t="n">
        <f aca="false">E30/G30-1</f>
        <v>-0.0267327228763024</v>
      </c>
      <c r="G30" s="26" t="n">
        <f aca="false">Val!$B$40</f>
        <v>251.880296390576</v>
      </c>
    </row>
    <row r="40" customFormat="false" ht="17.15" hidden="false" customHeight="false" outlineLevel="0" collapsed="false">
      <c r="A40" s="4" t="s">
        <v>1090</v>
      </c>
    </row>
    <row r="41" customFormat="false" ht="15" hidden="false" customHeight="false" outlineLevel="0" collapsed="false">
      <c r="A41" s="6" t="s">
        <v>19</v>
      </c>
      <c r="B41" s="6" t="s">
        <v>20</v>
      </c>
      <c r="C41" s="12" t="s">
        <v>639</v>
      </c>
      <c r="D41" s="12" t="s">
        <v>640</v>
      </c>
      <c r="E41" s="12" t="s">
        <v>641</v>
      </c>
      <c r="F41" s="12" t="s">
        <v>642</v>
      </c>
      <c r="G41" s="12" t="s">
        <v>643</v>
      </c>
      <c r="H41" s="6" t="s">
        <v>592</v>
      </c>
    </row>
    <row r="42" customFormat="false" ht="17.15" hidden="false" customHeight="false" outlineLevel="0" collapsed="false">
      <c r="A42" s="1" t="s">
        <v>658</v>
      </c>
    </row>
    <row r="43" customFormat="false" ht="17.15" hidden="false" customHeight="false" outlineLevel="0" collapsed="false">
      <c r="A43" s="0" t="s">
        <v>659</v>
      </c>
      <c r="B43" s="0" t="s">
        <v>126</v>
      </c>
      <c r="D43" s="18" t="n">
        <f aca="false">k_rec</f>
        <v>0.828370921864097</v>
      </c>
      <c r="E43" s="18" t="n">
        <f aca="false">k_rec*uk_lo</f>
        <v>0.745533829677687</v>
      </c>
      <c r="F43" s="18" t="n">
        <f aca="false">k_rec*uk_lo</f>
        <v>0.745533829677687</v>
      </c>
      <c r="G43" s="18" t="n">
        <f aca="false">k_rec*uk_lo</f>
        <v>0.745533829677687</v>
      </c>
    </row>
    <row r="44" customFormat="false" ht="17.15" hidden="false" customHeight="false" outlineLevel="0" collapsed="false">
      <c r="A44" s="0" t="s">
        <v>660</v>
      </c>
      <c r="B44" s="5" t="s">
        <v>30</v>
      </c>
      <c r="D44" s="20" t="n">
        <f aca="false">(u_bw_26)*D43</f>
        <v>4.47320297806612</v>
      </c>
      <c r="E44" s="20" t="n">
        <f aca="false">(u_bw_27)*E43</f>
        <v>1.78928119122645</v>
      </c>
      <c r="F44" s="20" t="n">
        <f aca="false">(u_bw_28*um28_A)*F43</f>
        <v>0.372766914838844</v>
      </c>
      <c r="G44" s="20" t="n">
        <f aca="false">(u_bw_28*(1+g29_bw)*um29_A)*G43</f>
        <v>0.186383457419422</v>
      </c>
    </row>
    <row r="45" customFormat="false" ht="17.15" hidden="false" customHeight="false" outlineLevel="0" collapsed="false">
      <c r="A45" s="0" t="s">
        <v>661</v>
      </c>
      <c r="B45" s="5" t="s">
        <v>30</v>
      </c>
      <c r="D45" s="20" t="n">
        <f aca="false">(u_rb_26)*D43</f>
        <v>1.40823056716896</v>
      </c>
      <c r="E45" s="20" t="n">
        <f aca="false">(u_rb_27)*E43</f>
        <v>5.21873680774381</v>
      </c>
      <c r="F45" s="20" t="n">
        <f aca="false">(u_rb_28*um28_A)*F43</f>
        <v>5.21873680774381</v>
      </c>
      <c r="G45" s="20" t="n">
        <f aca="false">(u_rb_28*(1+g29_rb)*um29_A)*G43</f>
        <v>6.00154732890538</v>
      </c>
    </row>
    <row r="46" customFormat="false" ht="17.15" hidden="false" customHeight="false" outlineLevel="0" collapsed="false">
      <c r="A46" s="0" t="s">
        <v>662</v>
      </c>
      <c r="B46" s="5" t="s">
        <v>30</v>
      </c>
      <c r="D46" s="20" t="n">
        <f aca="false">(u_ru_26)*D43</f>
        <v>0</v>
      </c>
      <c r="E46" s="20" t="n">
        <f aca="false">(u_ru_27)*E43</f>
        <v>0.223660148903306</v>
      </c>
      <c r="F46" s="20" t="n">
        <f aca="false">(u_ru_28*um28_A)*F43</f>
        <v>1.49106765935537</v>
      </c>
      <c r="G46" s="20" t="n">
        <f aca="false">(u_ru_28*(1+g29_ru)*um29_A)*G43</f>
        <v>1.71472780825868</v>
      </c>
    </row>
    <row r="47" customFormat="false" ht="17.15" hidden="false" customHeight="false" outlineLevel="0" collapsed="false">
      <c r="A47" s="0" t="s">
        <v>663</v>
      </c>
      <c r="B47" s="5" t="s">
        <v>30</v>
      </c>
      <c r="D47" s="20" t="n">
        <f aca="false">(u_hp_26)*D43</f>
        <v>0.414185460932049</v>
      </c>
      <c r="E47" s="20" t="n">
        <f aca="false">(u_hp_27)*E43</f>
        <v>0</v>
      </c>
      <c r="F47" s="20" t="n">
        <f aca="false">(u_hp_28*um28_A)*F43</f>
        <v>0</v>
      </c>
      <c r="G47" s="20" t="n">
        <f aca="false">(u_hp_28*(1+g29_hp)*um29_A)*G43</f>
        <v>0</v>
      </c>
    </row>
    <row r="48" customFormat="false" ht="17.15" hidden="false" customHeight="false" outlineLevel="0" collapsed="false">
      <c r="A48" s="0" t="s">
        <v>664</v>
      </c>
      <c r="B48" s="5" t="s">
        <v>30</v>
      </c>
      <c r="D48" s="20" t="n">
        <f aca="false">SUM(D44:D47)</f>
        <v>6.29561900616714</v>
      </c>
      <c r="E48" s="20" t="n">
        <f aca="false">SUM(E44:E47)</f>
        <v>7.23167814787357</v>
      </c>
      <c r="F48" s="20" t="n">
        <f aca="false">SUM(F44:F47)</f>
        <v>7.08257138193803</v>
      </c>
      <c r="G48" s="20" t="n">
        <f aca="false">SUM(G44:G47)</f>
        <v>7.90265859458349</v>
      </c>
      <c r="H48" s="8" t="s">
        <v>665</v>
      </c>
    </row>
    <row r="49" customFormat="false" ht="17.15" hidden="false" customHeight="false" outlineLevel="0" collapsed="false">
      <c r="A49" s="0" t="s">
        <v>666</v>
      </c>
      <c r="B49" s="0" t="s">
        <v>174</v>
      </c>
      <c r="D49" s="20" t="n">
        <f aca="false">1*(pm_bw+pcpu_bw+plp_bw+k_tray*pres_bw)+(1-abs_mem)*(gb_bw_26*hpx_bw*(hbm_A_26/hbm_A_26-1)/1000+plp_bw*(cdx_A_26/cdx_A_26-1))</f>
        <v>47.005555</v>
      </c>
      <c r="E49" s="20" t="n">
        <f aca="false">1*(pm_bw+pcpu_bw+plp_bw+k_tray*pres_bw)+(1-abs_mem)*(gb_bw_27*hpx_bw*(hbm_A_27/hbm_A_26-1)/1000+plp_bw*(cdx_A_27/cdx_A_26-1))</f>
        <v>49.1868731800491</v>
      </c>
      <c r="F49" s="20" t="n">
        <f aca="false">1*(pm_bw+pcpu_bw+plp_bw+k_tray*pres_bw)+(1-abs_mem)*(gb_bw_28*hpx_bw*(hbm_A_28/hbm_A_26-1)/1000+plp_bw*(cdx_A_28/cdx_A_26-1))</f>
        <v>49.4475301208957</v>
      </c>
      <c r="G49" s="20" t="n">
        <f aca="false">1*(pm_bw+pcpu_bw+plp_bw+k_tray*pres_bw)+(1-abs_mem)*(gb_bw_28*hpx_bw*(hbm_A_29/hbm_A_26-1)/1000+plp_bw*(cdx_A_29/cdx_A_26-1))</f>
        <v>49.0541422400875</v>
      </c>
      <c r="H49" s="5" t="s">
        <v>667</v>
      </c>
    </row>
    <row r="50" customFormat="false" ht="17.15" hidden="false" customHeight="false" outlineLevel="0" collapsed="false">
      <c r="A50" s="0" t="s">
        <v>668</v>
      </c>
      <c r="B50" s="0" t="s">
        <v>174</v>
      </c>
      <c r="D50" s="20" t="n">
        <f aca="false">1*(pm_rb+pcpu_rb+plp_rb+k_tray*pres_rb)+(1-abs_mem)*(gb_rb_26*hpx_rb*(hbm_A_26/hbm_A_26-1)/1000+plp_rb*(cdx_A_26/cdx_A_26-1))</f>
        <v>72.166667</v>
      </c>
      <c r="E50" s="20" t="n">
        <f aca="false">1*(pm_rb+pcpu_rb+plp_rb+k_tray*pres_rb)+(1-abs_mem)*(gb_rb_27*hpx_rb*(hbm_A_27/hbm_A_26-1)/1000+plp_rb*(cdx_A_27/cdx_A_26-1))</f>
        <v>74.8239724084115</v>
      </c>
      <c r="F50" s="20" t="n">
        <f aca="false">1*(pm_rb+pcpu_rb+plp_rb+k_tray*pres_rb)+(1-abs_mem)*(gb_rb_28*hpx_rb*(hbm_A_28/hbm_A_26-1)/1000+plp_rb*(cdx_A_28/cdx_A_26-1))</f>
        <v>74.9427371790653</v>
      </c>
      <c r="G50" s="20" t="n">
        <f aca="false">1*(pm_rb+pcpu_rb+plp_rb+k_tray*pres_rb)+(1-abs_mem)*(gb_rb_28*hpx_rb*(hbm_A_29/hbm_A_26-1)/1000+plp_rb*(cdx_A_29/cdx_A_26-1))</f>
        <v>74.4206762269425</v>
      </c>
    </row>
    <row r="51" customFormat="false" ht="17.15" hidden="false" customHeight="false" outlineLevel="0" collapsed="false">
      <c r="A51" s="0" t="s">
        <v>669</v>
      </c>
      <c r="B51" s="0" t="s">
        <v>174</v>
      </c>
      <c r="D51" s="20" t="n">
        <f aca="false">1*(pm_ru+pcpu_ru+plp_ru+k_tray*pres_ru)+(1-abs_mem)*(gb_ru_26*hpx_ru*(hbm_A_26/hbm_A_26-1)/1000+plp_ru*(cdx_A_26/cdx_A_26-1))</f>
        <v>92.166667</v>
      </c>
      <c r="E51" s="20" t="n">
        <f aca="false">1*(pm_ru+pcpu_ru+plp_ru+k_tray*pres_ru)+(1-abs_mem)*(gb_ru_27*hpx_ru*(hbm_A_27/hbm_A_26-1)/1000+plp_ru*(cdx_A_27/cdx_A_26-1))</f>
        <v>99.7404524084115</v>
      </c>
      <c r="F51" s="20" t="n">
        <f aca="false">1*(pm_ru+pcpu_ru+plp_ru+k_tray*pres_ru)+(1-abs_mem)*(gb_ru_28*hpx_ru*(hbm_A_28/hbm_A_26-1)/1000+plp_ru*(cdx_A_28/cdx_A_26-1))</f>
        <v>100.965425179065</v>
      </c>
      <c r="G51" s="20" t="n">
        <f aca="false">1*(pm_ru+pcpu_ru+plp_ru+k_tray*pres_ru)+(1-abs_mem)*(gb_ru_28*hpx_ru*(hbm_A_29/hbm_A_26-1)/1000+plp_ru*(cdx_A_29/cdx_A_26-1))</f>
        <v>99.8349498269425</v>
      </c>
    </row>
    <row r="52" customFormat="false" ht="17.15" hidden="false" customHeight="false" outlineLevel="0" collapsed="false">
      <c r="A52" s="0" t="s">
        <v>670</v>
      </c>
      <c r="B52" s="0" t="s">
        <v>174</v>
      </c>
      <c r="D52" s="20" t="n">
        <f aca="false">1*(pm_hp+pcpu_hp+plp_hp+k_tray*pres_hp)+(1-abs_mem)*(gb_hp_26*hpx_hp*(hbm_A_26/hbm_A_26-1)/1000+plp_hp*(cdx_A_26/cdx_A_26-1))</f>
        <v>30</v>
      </c>
      <c r="E52" s="20" t="n">
        <f aca="false">1*(pm_hp+pcpu_hp+plp_hp+k_tray*pres_hp)+(1-abs_mem)*(gb_hp_27*hpx_hp*(hbm_A_27/hbm_A_26-1)/1000+plp_hp*(cdx_A_27/cdx_A_26-1))</f>
        <v>30.8742</v>
      </c>
      <c r="F52" s="20" t="n">
        <f aca="false">1*(pm_hp+pcpu_hp+plp_hp+k_tray*pres_hp)+(1-abs_mem)*(gb_hp_28*hpx_hp*(hbm_A_28/hbm_A_26-1)/1000+plp_hp*(cdx_A_28/cdx_A_26-1))</f>
        <v>31.070895</v>
      </c>
      <c r="G52" s="20" t="n">
        <f aca="false">1*(pm_hp+pcpu_hp+plp_hp+k_tray*pres_hp)+(1-abs_mem)*(gb_hp_28*hpx_hp*(hbm_A_29/hbm_A_26-1)/1000+plp_hp*(cdx_A_29/cdx_A_26-1))</f>
        <v>30.96271275</v>
      </c>
    </row>
    <row r="53" customFormat="false" ht="17.15" hidden="false" customHeight="false" outlineLevel="0" collapsed="false">
      <c r="A53" s="0" t="s">
        <v>671</v>
      </c>
      <c r="B53" s="0" t="s">
        <v>174</v>
      </c>
      <c r="D53" s="20" t="n">
        <f aca="false">gb_bw_26*hpx_bw*hbm_A_26/hbm_A_26/1000</f>
        <v>4.03</v>
      </c>
      <c r="E53" s="20" t="n">
        <f aca="false">gb_bw_27*hpx_bw*hbm_A_27/hbm_A_26/1000</f>
        <v>7.812</v>
      </c>
      <c r="F53" s="20" t="n">
        <f aca="false">gb_bw_28*hpx_bw*hbm_A_28/hbm_A_26/1000</f>
        <v>8.83872</v>
      </c>
      <c r="G53" s="20" t="n">
        <f aca="false">gb_bw_28*hpx_bw*hbm_A_29/hbm_A_26/1000</f>
        <v>8.396784</v>
      </c>
      <c r="H53" s="5" t="s">
        <v>672</v>
      </c>
    </row>
    <row r="54" customFormat="false" ht="17.15" hidden="false" customHeight="false" outlineLevel="0" collapsed="false">
      <c r="A54" s="0" t="s">
        <v>673</v>
      </c>
      <c r="B54" s="0" t="s">
        <v>174</v>
      </c>
      <c r="D54" s="20" t="n">
        <f aca="false">gb_rb_26*hpx_rb*hbm_A_26/hbm_A_26/1000</f>
        <v>4.8096</v>
      </c>
      <c r="E54" s="20" t="n">
        <f aca="false">gb_rb_27*hpx_rb*hbm_A_27/hbm_A_26/1000</f>
        <v>8.65728</v>
      </c>
      <c r="F54" s="20" t="n">
        <f aca="false">gb_rb_28*hpx_rb*hbm_A_28/hbm_A_26/1000</f>
        <v>9.523008</v>
      </c>
      <c r="G54" s="20" t="n">
        <f aca="false">gb_rb_28*hpx_rb*hbm_A_29/hbm_A_26/1000</f>
        <v>9.0468576</v>
      </c>
    </row>
    <row r="55" customFormat="false" ht="17.15" hidden="false" customHeight="false" outlineLevel="0" collapsed="false">
      <c r="A55" s="0" t="s">
        <v>674</v>
      </c>
      <c r="B55" s="0" t="s">
        <v>174</v>
      </c>
      <c r="D55" s="20" t="n">
        <f aca="false">gb_ru_26*hpx_ru*hbm_A_26/hbm_A_26/1000</f>
        <v>17.1008</v>
      </c>
      <c r="E55" s="20" t="n">
        <f aca="false">gb_ru_27*hpx_ru*hbm_A_27/hbm_A_26/1000</f>
        <v>30.78144</v>
      </c>
      <c r="F55" s="20" t="n">
        <f aca="false">gb_ru_28*hpx_ru*hbm_A_28/hbm_A_26/1000</f>
        <v>33.859584</v>
      </c>
      <c r="G55" s="20" t="n">
        <f aca="false">gb_ru_28*hpx_ru*hbm_A_29/hbm_A_26/1000</f>
        <v>32.1666048</v>
      </c>
    </row>
    <row r="56" customFormat="false" ht="17.15" hidden="false" customHeight="false" outlineLevel="0" collapsed="false">
      <c r="A56" s="0" t="s">
        <v>675</v>
      </c>
      <c r="B56" s="0" t="s">
        <v>174</v>
      </c>
      <c r="D56" s="20" t="n">
        <f aca="false">gb_hp_26*hpx_hp*hbm_A_26/hbm_A_26/1000</f>
        <v>2.1855</v>
      </c>
      <c r="E56" s="20" t="n">
        <f aca="false">gb_hp_27*hpx_hp*hbm_A_27/hbm_A_26/1000</f>
        <v>3.9339</v>
      </c>
      <c r="F56" s="20" t="n">
        <f aca="false">gb_hp_28*hpx_hp*hbm_A_28/hbm_A_26/1000</f>
        <v>4.32729</v>
      </c>
      <c r="G56" s="20" t="n">
        <f aca="false">gb_hp_28*hpx_hp*hbm_A_29/hbm_A_26/1000</f>
        <v>4.1109255</v>
      </c>
    </row>
    <row r="57" customFormat="false" ht="17.15" hidden="false" customHeight="false" outlineLevel="0" collapsed="false">
      <c r="A57" s="0" t="s">
        <v>676</v>
      </c>
      <c r="B57" s="0" t="s">
        <v>174</v>
      </c>
      <c r="D57" s="20" t="n">
        <f aca="false">1*c_nh*(pm_bw+pcpu_bw+plp_bw+k_tray*pres_bw)+D53+plp_bw*(cdx_A_26/cdx_A_26-1)</f>
        <v>11.8212823332139</v>
      </c>
      <c r="E57" s="20" t="n">
        <f aca="false">1*c_nh*(pm_bw+pcpu_bw+plp_bw+k_tray*pres_bw)+E53+plp_bw*(cdx_A_27/cdx_A_26-1)</f>
        <v>16.493918693312</v>
      </c>
      <c r="F57" s="20" t="n">
        <f aca="false">1*c_nh*(pm_bw+pcpu_bw+plp_bw+k_tray*pres_bw)+F53+plp_bw*(cdx_A_28/cdx_A_26-1)</f>
        <v>17.1392325750052</v>
      </c>
      <c r="G57" s="20" t="n">
        <f aca="false">1*c_nh*(pm_bw+pcpu_bw+plp_bw+k_tray*pres_bw)+G53+plp_bw*(cdx_A_29/cdx_A_26-1)</f>
        <v>16.3524568133889</v>
      </c>
      <c r="H57" s="5" t="s">
        <v>677</v>
      </c>
    </row>
    <row r="58" customFormat="false" ht="17.15" hidden="false" customHeight="false" outlineLevel="0" collapsed="false">
      <c r="A58" s="0" t="s">
        <v>678</v>
      </c>
      <c r="B58" s="0" t="s">
        <v>174</v>
      </c>
      <c r="D58" s="20" t="n">
        <f aca="false">1*c_nh*(pm_rb+pcpu_rb+plp_rb+k_tray*pres_rb)+D54+plp_rb*(cdx_A_26/cdx_A_26-1)</f>
        <v>16.7713963801093</v>
      </c>
      <c r="E58" s="20" t="n">
        <f aca="false">1*c_nh*(pm_rb+pcpu_rb+plp_rb+k_tray*pres_rb)+E54+plp_rb*(cdx_A_27/cdx_A_26-1)</f>
        <v>22.0860071969322</v>
      </c>
      <c r="F58" s="20" t="n">
        <f aca="false">1*c_nh*(pm_rb+pcpu_rb+plp_rb+k_tray*pres_rb)+F54+plp_rb*(cdx_A_28/cdx_A_26-1)</f>
        <v>22.3235367382399</v>
      </c>
      <c r="G58" s="20" t="n">
        <f aca="false">1*c_nh*(pm_rb+pcpu_rb+plp_rb+k_tray*pres_rb)+G54+plp_rb*(cdx_A_29/cdx_A_26-1)</f>
        <v>21.2794148339942</v>
      </c>
    </row>
    <row r="59" customFormat="false" ht="17.15" hidden="false" customHeight="false" outlineLevel="0" collapsed="false">
      <c r="A59" s="0" t="s">
        <v>679</v>
      </c>
      <c r="B59" s="0" t="s">
        <v>174</v>
      </c>
      <c r="D59" s="20" t="n">
        <f aca="false">1*c_nh*(pm_ru+pcpu_ru+plp_ru+k_tray*pres_ru)+D55+plp_ru*(cdx_A_26/cdx_A_26-1)</f>
        <v>32.3776438604396</v>
      </c>
      <c r="E59" s="20" t="n">
        <f aca="false">1*c_nh*(pm_ru+pcpu_ru+plp_ru+k_tray*pres_ru)+E55+plp_ru*(cdx_A_27/cdx_A_26-1)</f>
        <v>47.5252146772625</v>
      </c>
      <c r="F59" s="20" t="n">
        <f aca="false">1*c_nh*(pm_ru+pcpu_ru+plp_ru+k_tray*pres_ru)+F55+plp_ru*(cdx_A_28/cdx_A_26-1)</f>
        <v>49.9751602185702</v>
      </c>
      <c r="G59" s="20" t="n">
        <f aca="false">1*c_nh*(pm_ru+pcpu_ru+plp_ru+k_tray*pres_ru)+G55+plp_ru*(cdx_A_29/cdx_A_26-1)</f>
        <v>47.7142095143245</v>
      </c>
    </row>
    <row r="60" customFormat="false" ht="17.15" hidden="false" customHeight="false" outlineLevel="0" collapsed="false">
      <c r="A60" s="0" t="s">
        <v>680</v>
      </c>
      <c r="B60" s="0" t="s">
        <v>174</v>
      </c>
      <c r="D60" s="20" t="n">
        <f aca="false">1*c_nh*(pm_hp+pcpu_hp+plp_hp+k_tray*pres_hp)+D56+plp_hp*(cdx_A_26/cdx_A_26-1)</f>
        <v>7.15807122049545</v>
      </c>
      <c r="E60" s="20" t="n">
        <f aca="false">1*c_nh*(pm_hp+pcpu_hp+plp_hp+k_tray*pres_hp)+E56+plp_hp*(cdx_A_27/cdx_A_26-1)</f>
        <v>8.90647122049545</v>
      </c>
      <c r="F60" s="20" t="n">
        <f aca="false">1*c_nh*(pm_hp+pcpu_hp+plp_hp+k_tray*pres_hp)+F56+plp_hp*(cdx_A_28/cdx_A_26-1)</f>
        <v>9.29986122049545</v>
      </c>
      <c r="G60" s="20" t="n">
        <f aca="false">1*c_nh*(pm_hp+pcpu_hp+plp_hp+k_tray*pres_hp)+G56+plp_hp*(cdx_A_29/cdx_A_26-1)</f>
        <v>9.08349672049545</v>
      </c>
    </row>
    <row r="61" customFormat="false" ht="17.15" hidden="false" customHeight="false" outlineLevel="0" collapsed="false">
      <c r="A61" s="0" t="s">
        <v>681</v>
      </c>
      <c r="B61" s="0" t="s">
        <v>309</v>
      </c>
      <c r="D61" s="16" t="n">
        <f aca="false">D44*D49</f>
        <v>210.265388611651</v>
      </c>
      <c r="E61" s="16" t="n">
        <f aca="false">E44*E49</f>
        <v>88.0091470363025</v>
      </c>
      <c r="F61" s="16" t="n">
        <f aca="false">F44*F49</f>
        <v>18.4324032495671</v>
      </c>
      <c r="G61" s="16" t="n">
        <f aca="false">G44*G49</f>
        <v>9.14288063145162</v>
      </c>
    </row>
    <row r="62" customFormat="false" ht="17.15" hidden="false" customHeight="false" outlineLevel="0" collapsed="false">
      <c r="A62" s="0" t="s">
        <v>682</v>
      </c>
      <c r="B62" s="0" t="s">
        <v>309</v>
      </c>
      <c r="D62" s="16" t="n">
        <f aca="false">D45*D50</f>
        <v>101.627306400104</v>
      </c>
      <c r="E62" s="16" t="n">
        <f aca="false">E45*E50</f>
        <v>390.486618909384</v>
      </c>
      <c r="F62" s="16" t="n">
        <f aca="false">F45*F50</f>
        <v>391.106420989459</v>
      </c>
      <c r="G62" s="16" t="n">
        <f aca="false">G45*G50</f>
        <v>446.639210625139</v>
      </c>
    </row>
    <row r="63" customFormat="false" ht="17.15" hidden="false" customHeight="false" outlineLevel="0" collapsed="false">
      <c r="A63" s="0" t="s">
        <v>683</v>
      </c>
      <c r="B63" s="0" t="s">
        <v>309</v>
      </c>
      <c r="D63" s="16" t="n">
        <f aca="false">D46*D51</f>
        <v>0</v>
      </c>
      <c r="E63" s="16" t="n">
        <f aca="false">E46*E51</f>
        <v>22.3079644373484</v>
      </c>
      <c r="F63" s="16" t="n">
        <f aca="false">F46*F51</f>
        <v>150.546280197569</v>
      </c>
      <c r="G63" s="16" t="n">
        <f aca="false">G46*G51</f>
        <v>171.189764704368</v>
      </c>
    </row>
    <row r="64" customFormat="false" ht="17.15" hidden="false" customHeight="false" outlineLevel="0" collapsed="false">
      <c r="A64" s="0" t="s">
        <v>684</v>
      </c>
      <c r="B64" s="0" t="s">
        <v>309</v>
      </c>
      <c r="D64" s="16" t="n">
        <f aca="false">D47*D52</f>
        <v>12.4255638279615</v>
      </c>
      <c r="E64" s="16" t="n">
        <f aca="false">E47*E52</f>
        <v>0</v>
      </c>
      <c r="F64" s="16" t="n">
        <f aca="false">F47*F52</f>
        <v>0</v>
      </c>
      <c r="G64" s="16" t="n">
        <f aca="false">G47*G52</f>
        <v>0</v>
      </c>
    </row>
    <row r="65" customFormat="false" ht="17.15" hidden="false" customHeight="false" outlineLevel="0" collapsed="false">
      <c r="A65" s="5" t="s">
        <v>685</v>
      </c>
      <c r="B65" s="0" t="s">
        <v>309</v>
      </c>
      <c r="D65" s="16" t="n">
        <f aca="false">SUM(D61:D64)</f>
        <v>324.318258839716</v>
      </c>
      <c r="E65" s="16" t="n">
        <f aca="false">SUM(E61:E64)</f>
        <v>500.803730383035</v>
      </c>
      <c r="F65" s="16" t="n">
        <f aca="false">SUM(F61:F64)</f>
        <v>560.085104436595</v>
      </c>
      <c r="G65" s="16" t="n">
        <f aca="false">SUM(G61:G64)</f>
        <v>626.971855960959</v>
      </c>
    </row>
    <row r="66" customFormat="false" ht="15" hidden="false" customHeight="false" outlineLevel="0" collapsed="false">
      <c r="A66" s="5" t="s">
        <v>686</v>
      </c>
      <c r="B66" s="0" t="s">
        <v>309</v>
      </c>
      <c r="D66" s="16" t="n">
        <f aca="false">D44*D57+D45*D58+D46*D59+D47*D60</f>
        <v>79.4617574019149</v>
      </c>
      <c r="E66" s="16" t="n">
        <f aca="false">E44*E57+E45*E58+E46*E59+E47*E60</f>
        <v>155.402813773664</v>
      </c>
      <c r="F66" s="16" t="n">
        <f aca="false">F44*F57+F45*F58+F46*F59+F47*F60</f>
        <v>197.405946877577</v>
      </c>
      <c r="G66" s="16" t="n">
        <f aca="false">G44*G57+G45*G58+G46*G59+G47*G60</f>
        <v>212.574124599102</v>
      </c>
    </row>
    <row r="67" customFormat="false" ht="17.15" hidden="false" customHeight="false" outlineLevel="0" collapsed="false">
      <c r="A67" s="5" t="s">
        <v>687</v>
      </c>
      <c r="B67" s="0" t="s">
        <v>309</v>
      </c>
      <c r="D67" s="16" t="n">
        <f aca="false">D44*D53+D45*D54+D46*D55+D47*D56</f>
        <v>25.7052360623293</v>
      </c>
      <c r="E67" s="16" t="n">
        <f aca="false">E44*E53+E45*E54+E46*E55+E47*E56</f>
        <v>66.0425119106636</v>
      </c>
      <c r="F67" s="16" t="n">
        <f aca="false">F44*F53+F45*F54+F46*F55+F47*F56</f>
        <v>103.47978541719</v>
      </c>
      <c r="G67" s="16" t="n">
        <f aca="false">G44*G53+G45*G54+G46*G55+G47*G56</f>
        <v>111.017137445219</v>
      </c>
    </row>
    <row r="68" customFormat="false" ht="17.15" hidden="false" customHeight="false" outlineLevel="0" collapsed="false">
      <c r="A68" s="5" t="s">
        <v>688</v>
      </c>
      <c r="B68" s="0" t="s">
        <v>309</v>
      </c>
      <c r="D68" s="16" t="n">
        <f aca="false">0</f>
        <v>0</v>
      </c>
      <c r="E68" s="16" t="n">
        <f aca="false">0</f>
        <v>0</v>
      </c>
      <c r="F68" s="16" t="n">
        <f aca="false">0</f>
        <v>0</v>
      </c>
      <c r="G68" s="16" t="n">
        <f aca="false">0</f>
        <v>0</v>
      </c>
    </row>
    <row r="69" customFormat="false" ht="15" hidden="false" customHeight="false" outlineLevel="0" collapsed="false">
      <c r="A69" s="5" t="s">
        <v>689</v>
      </c>
      <c r="B69" s="0" t="s">
        <v>309</v>
      </c>
      <c r="D69" s="16" t="n">
        <f aca="false">D68*D66/D65</f>
        <v>0</v>
      </c>
      <c r="E69" s="16" t="n">
        <f aca="false">E68*E66/E65</f>
        <v>0</v>
      </c>
      <c r="F69" s="16" t="n">
        <f aca="false">F68*F66/F65</f>
        <v>0</v>
      </c>
      <c r="G69" s="16" t="n">
        <f aca="false">G68*G66/G65</f>
        <v>0</v>
      </c>
    </row>
    <row r="70" customFormat="false" ht="17.15" hidden="false" customHeight="false" outlineLevel="0" collapsed="false">
      <c r="A70" s="0" t="s">
        <v>690</v>
      </c>
      <c r="B70" s="0" t="s">
        <v>309</v>
      </c>
      <c r="D70" s="16" t="n">
        <f aca="false">net_26*1*D43</f>
        <v>51.1385386602837</v>
      </c>
      <c r="E70" s="16" t="n">
        <f aca="false">net_27*1*E43</f>
        <v>91.3189961892595</v>
      </c>
      <c r="F70" s="16" t="n">
        <f aca="false">net_28*um28_A*F43</f>
        <v>103.343513761666</v>
      </c>
      <c r="G70" s="16" t="n">
        <f aca="false">net_29*um29_A*G43</f>
        <v>117.272257067324</v>
      </c>
      <c r="H70" s="8" t="s">
        <v>691</v>
      </c>
    </row>
    <row r="71" customFormat="false" ht="17.15" hidden="false" customHeight="false" outlineLevel="0" collapsed="false">
      <c r="A71" s="5" t="s">
        <v>692</v>
      </c>
      <c r="B71" s="0" t="s">
        <v>309</v>
      </c>
      <c r="D71" s="16" t="n">
        <f aca="false">c_net*D70</f>
        <v>15.3415615980851</v>
      </c>
      <c r="E71" s="16" t="n">
        <f aca="false">c_net*E70</f>
        <v>27.3956988567778</v>
      </c>
      <c r="F71" s="16" t="n">
        <f aca="false">c_net*F70</f>
        <v>31.0030541284998</v>
      </c>
      <c r="G71" s="16" t="n">
        <f aca="false">c_net*G70</f>
        <v>35.1816771201973</v>
      </c>
    </row>
    <row r="72" customFormat="false" ht="17.15" hidden="false" customHeight="false" outlineLevel="0" collapsed="false">
      <c r="A72" s="0" t="s">
        <v>693</v>
      </c>
      <c r="B72" s="0" t="s">
        <v>309</v>
      </c>
      <c r="D72" s="16" t="n">
        <f aca="false">a27_edge</f>
        <v>29.1792025</v>
      </c>
      <c r="E72" s="16" t="n">
        <f aca="false">D72*(1+eg)</f>
        <v>31.5135387</v>
      </c>
      <c r="F72" s="16" t="n">
        <f aca="false">E72*(1+eg)</f>
        <v>34.034621796</v>
      </c>
      <c r="G72" s="16" t="n">
        <f aca="false">F72*(1+eg)</f>
        <v>36.75739153968</v>
      </c>
    </row>
    <row r="73" customFormat="false" ht="17.15" hidden="false" customHeight="false" outlineLevel="0" collapsed="false">
      <c r="A73" s="0" t="s">
        <v>694</v>
      </c>
      <c r="B73" s="0" t="s">
        <v>309</v>
      </c>
      <c r="D73" s="16" t="n">
        <f aca="false">(1-gm_edge)*D72</f>
        <v>11.671681</v>
      </c>
      <c r="E73" s="16" t="n">
        <f aca="false">(1-gm_edge)*E72</f>
        <v>12.60541548</v>
      </c>
      <c r="F73" s="16" t="n">
        <f aca="false">(1-gm_edge)*F72</f>
        <v>13.6138487184</v>
      </c>
      <c r="G73" s="16" t="n">
        <f aca="false">(1-gm_edge)*G72</f>
        <v>14.702956615872</v>
      </c>
    </row>
    <row r="74" customFormat="false" ht="15" hidden="false" customHeight="false" outlineLevel="0" collapsed="false">
      <c r="A74" s="5" t="s">
        <v>695</v>
      </c>
      <c r="B74" s="0" t="s">
        <v>309</v>
      </c>
      <c r="D74" s="16" t="n">
        <f aca="false">D65+D68+D70+D72</f>
        <v>404.636</v>
      </c>
      <c r="E74" s="16" t="n">
        <f aca="false">E65+E68+E70+E72</f>
        <v>623.636265272295</v>
      </c>
      <c r="F74" s="16" t="n">
        <f aca="false">F65+F68+F70+F72</f>
        <v>697.463239994261</v>
      </c>
      <c r="G74" s="16" t="n">
        <f aca="false">G65+G68+G70+G72</f>
        <v>781.001504567963</v>
      </c>
    </row>
    <row r="75" customFormat="false" ht="15" hidden="false" customHeight="false" outlineLevel="0" collapsed="false">
      <c r="A75" s="5" t="s">
        <v>696</v>
      </c>
      <c r="B75" s="0" t="s">
        <v>309</v>
      </c>
      <c r="D75" s="16" t="n">
        <f aca="false">D66+D69+D71+D73</f>
        <v>106.475</v>
      </c>
      <c r="E75" s="16" t="n">
        <f aca="false">E66+E69+E71+E73</f>
        <v>195.403928110442</v>
      </c>
      <c r="F75" s="16" t="n">
        <f aca="false">F66+F69+F71+F73</f>
        <v>242.022849724477</v>
      </c>
      <c r="G75" s="16" t="n">
        <f aca="false">G66+G69+G71+G73</f>
        <v>262.458758335171</v>
      </c>
    </row>
    <row r="76" customFormat="false" ht="17.15" hidden="false" customHeight="false" outlineLevel="0" collapsed="false">
      <c r="A76" s="5" t="s">
        <v>697</v>
      </c>
      <c r="B76" s="0" t="s">
        <v>41</v>
      </c>
      <c r="D76" s="17" t="n">
        <f aca="false">1-D75/D74</f>
        <v>0.736862266333198</v>
      </c>
      <c r="E76" s="17" t="n">
        <f aca="false">1-E75/E74</f>
        <v>0.686670036699799</v>
      </c>
      <c r="F76" s="17" t="n">
        <f aca="false">1-F75/F74</f>
        <v>0.652995547512342</v>
      </c>
      <c r="G76" s="17" t="n">
        <f aca="false">1-G75/G74</f>
        <v>0.663945899207507</v>
      </c>
      <c r="H76" s="8" t="s">
        <v>698</v>
      </c>
    </row>
    <row r="77" customFormat="false" ht="17.15" hidden="false" customHeight="false" outlineLevel="0" collapsed="false">
      <c r="A77" s="0" t="s">
        <v>699</v>
      </c>
      <c r="B77" s="0" t="s">
        <v>41</v>
      </c>
      <c r="D77" s="17" t="n">
        <f aca="false">D67/D74</f>
        <v>0.0635268143771917</v>
      </c>
      <c r="E77" s="17" t="n">
        <f aca="false">E67/E74</f>
        <v>0.105899088279973</v>
      </c>
      <c r="F77" s="17" t="n">
        <f aca="false">F67/F74</f>
        <v>0.148365934551678</v>
      </c>
      <c r="G77" s="17" t="n">
        <f aca="false">G67/G74</f>
        <v>0.142147149263984</v>
      </c>
    </row>
    <row r="78" customFormat="false" ht="17.15" hidden="false" customHeight="false" outlineLevel="0" collapsed="false">
      <c r="A78" s="1" t="s">
        <v>700</v>
      </c>
    </row>
    <row r="79" customFormat="false" ht="15" hidden="false" customHeight="false" outlineLevel="0" collapsed="false">
      <c r="A79" s="5" t="s">
        <v>527</v>
      </c>
      <c r="B79" s="0" t="s">
        <v>309</v>
      </c>
      <c r="C79" s="16" t="n">
        <f aca="false">a26_rev</f>
        <v>215.938</v>
      </c>
      <c r="D79" s="16" t="n">
        <f aca="false">a27_rev</f>
        <v>404.636</v>
      </c>
      <c r="E79" s="16" t="n">
        <f aca="false">E74</f>
        <v>623.636265272295</v>
      </c>
      <c r="F79" s="16" t="n">
        <f aca="false">F74</f>
        <v>697.463239994261</v>
      </c>
      <c r="G79" s="16" t="n">
        <f aca="false">G74</f>
        <v>781.001504567963</v>
      </c>
    </row>
    <row r="80" customFormat="false" ht="17.15" hidden="false" customHeight="false" outlineLevel="0" collapsed="false">
      <c r="A80" s="0" t="s">
        <v>701</v>
      </c>
      <c r="B80" s="0" t="s">
        <v>309</v>
      </c>
      <c r="C80" s="16" t="n">
        <f aca="false">a26_dc</f>
        <v>193.7</v>
      </c>
      <c r="D80" s="16" t="n">
        <f aca="false">a27_dc</f>
        <v>375.4567975</v>
      </c>
      <c r="E80" s="16" t="n">
        <f aca="false">E65+E68+E70</f>
        <v>592.122726572295</v>
      </c>
      <c r="F80" s="16" t="n">
        <f aca="false">F65+F68+F70</f>
        <v>663.428618198261</v>
      </c>
      <c r="G80" s="16" t="n">
        <f aca="false">G65+G68+G70</f>
        <v>744.244113028283</v>
      </c>
    </row>
    <row r="81" customFormat="false" ht="15" hidden="false" customHeight="false" outlineLevel="0" collapsed="false">
      <c r="A81" s="0" t="s">
        <v>647</v>
      </c>
      <c r="B81" s="0" t="s">
        <v>309</v>
      </c>
      <c r="C81" s="16" t="n">
        <f aca="false">a26_edge</f>
        <v>22.238</v>
      </c>
      <c r="D81" s="16" t="n">
        <f aca="false">a27_edge</f>
        <v>29.1792025</v>
      </c>
      <c r="E81" s="16" t="n">
        <f aca="false">E72</f>
        <v>31.5135387</v>
      </c>
      <c r="F81" s="16" t="n">
        <f aca="false">F72</f>
        <v>34.034621796</v>
      </c>
      <c r="G81" s="16" t="n">
        <f aca="false">G72</f>
        <v>36.75739153968</v>
      </c>
    </row>
    <row r="82" customFormat="false" ht="15" hidden="false" customHeight="false" outlineLevel="0" collapsed="false">
      <c r="A82" s="5" t="s">
        <v>702</v>
      </c>
      <c r="B82" s="0" t="s">
        <v>41</v>
      </c>
      <c r="D82" s="17" t="n">
        <f aca="false">D79/C79-1</f>
        <v>0.873852679935908</v>
      </c>
      <c r="E82" s="17" t="n">
        <f aca="false">E79/D79-1</f>
        <v>0.541227832600892</v>
      </c>
      <c r="F82" s="17" t="n">
        <f aca="false">F79/E79-1</f>
        <v>0.118381465019087</v>
      </c>
      <c r="G82" s="17" t="n">
        <f aca="false">G79/F79-1</f>
        <v>0.119774433666769</v>
      </c>
    </row>
    <row r="83" customFormat="false" ht="15" hidden="false" customHeight="false" outlineLevel="0" collapsed="false">
      <c r="A83" s="5" t="s">
        <v>703</v>
      </c>
      <c r="B83" s="0" t="s">
        <v>309</v>
      </c>
      <c r="C83" s="16" t="n">
        <f aca="false">a26_gp</f>
        <v>153.463</v>
      </c>
      <c r="D83" s="16" t="n">
        <f aca="false">a27_gp</f>
        <v>298.161</v>
      </c>
      <c r="E83" s="16" t="n">
        <f aca="false">E79-E75</f>
        <v>428.232337161852</v>
      </c>
      <c r="F83" s="16" t="n">
        <f aca="false">F79-F75</f>
        <v>455.440390269784</v>
      </c>
      <c r="G83" s="16" t="n">
        <f aca="false">G79-G75</f>
        <v>518.542746232792</v>
      </c>
    </row>
    <row r="84" customFormat="false" ht="15" hidden="false" customHeight="false" outlineLevel="0" collapsed="false">
      <c r="A84" s="5" t="s">
        <v>543</v>
      </c>
      <c r="B84" s="0" t="s">
        <v>41</v>
      </c>
      <c r="C84" s="17" t="n">
        <f aca="false">C83/C79</f>
        <v>0.710680843575471</v>
      </c>
      <c r="D84" s="17" t="n">
        <f aca="false">D83/D79</f>
        <v>0.736862266333198</v>
      </c>
      <c r="E84" s="17" t="n">
        <f aca="false">E83/E79</f>
        <v>0.686670036699799</v>
      </c>
      <c r="F84" s="17" t="n">
        <f aca="false">F83/F79</f>
        <v>0.652995547512342</v>
      </c>
      <c r="G84" s="17" t="n">
        <f aca="false">G83/G79</f>
        <v>0.663945899207507</v>
      </c>
    </row>
    <row r="85" customFormat="false" ht="17.15" hidden="false" customHeight="false" outlineLevel="0" collapsed="false">
      <c r="A85" s="5" t="s">
        <v>704</v>
      </c>
      <c r="B85" s="0" t="s">
        <v>309</v>
      </c>
      <c r="C85" s="16" t="n">
        <f aca="false">a26_opx</f>
        <v>23.076</v>
      </c>
      <c r="D85" s="16" t="n">
        <f aca="false">a27_opx</f>
        <v>35.165</v>
      </c>
      <c r="E85" s="16" t="n">
        <f aca="false">D85*(1+MAX(g_opx_min,phi*E82))</f>
        <v>46.5843660400462</v>
      </c>
      <c r="F85" s="16" t="n">
        <f aca="false">E85*(1+MAX(g_opx_min,phi*F82))</f>
        <v>49.8932013393299</v>
      </c>
      <c r="G85" s="16" t="n">
        <f aca="false">F85*(1+MAX(g_opx_min,phi*G82))</f>
        <v>53.478759299874</v>
      </c>
      <c r="H85" s="5" t="s">
        <v>705</v>
      </c>
    </row>
    <row r="86" customFormat="false" ht="15" hidden="false" customHeight="false" outlineLevel="0" collapsed="false">
      <c r="A86" s="5" t="s">
        <v>706</v>
      </c>
      <c r="B86" s="0" t="s">
        <v>309</v>
      </c>
      <c r="C86" s="16" t="n">
        <f aca="false">C85</f>
        <v>23.076</v>
      </c>
      <c r="D86" s="16" t="n">
        <f aca="false">D85</f>
        <v>35.165</v>
      </c>
      <c r="E86" s="16" t="n">
        <f aca="false">E85+0*E79</f>
        <v>46.5843660400462</v>
      </c>
      <c r="F86" s="16" t="n">
        <f aca="false">F85+0*F79</f>
        <v>49.8932013393299</v>
      </c>
      <c r="G86" s="16" t="n">
        <f aca="false">G85+0*G79</f>
        <v>53.478759299874</v>
      </c>
    </row>
    <row r="87" customFormat="false" ht="15" hidden="false" customHeight="false" outlineLevel="0" collapsed="false">
      <c r="A87" s="5" t="s">
        <v>546</v>
      </c>
      <c r="B87" s="0" t="s">
        <v>309</v>
      </c>
      <c r="C87" s="16" t="n">
        <f aca="false">C83-C86</f>
        <v>130.387</v>
      </c>
      <c r="D87" s="16" t="n">
        <f aca="false">D83-D86</f>
        <v>262.996</v>
      </c>
      <c r="E87" s="16" t="n">
        <f aca="false">E83-E86</f>
        <v>381.647971121806</v>
      </c>
      <c r="F87" s="16" t="n">
        <f aca="false">F83-F86</f>
        <v>405.547188930454</v>
      </c>
      <c r="G87" s="16" t="n">
        <f aca="false">G83-G86</f>
        <v>465.063986932918</v>
      </c>
    </row>
    <row r="88" customFormat="false" ht="15" hidden="false" customHeight="false" outlineLevel="0" collapsed="false">
      <c r="A88" s="5" t="s">
        <v>648</v>
      </c>
      <c r="B88" s="0" t="s">
        <v>41</v>
      </c>
      <c r="C88" s="17" t="n">
        <f aca="false">C87/C79</f>
        <v>0.603816836314127</v>
      </c>
      <c r="D88" s="17" t="n">
        <f aca="false">D87/D79</f>
        <v>0.649956998388675</v>
      </c>
      <c r="E88" s="17" t="n">
        <f aca="false">E87/E79</f>
        <v>0.611972061879964</v>
      </c>
      <c r="F88" s="17" t="n">
        <f aca="false">F87/F79</f>
        <v>0.581460305970808</v>
      </c>
      <c r="G88" s="17" t="n">
        <f aca="false">G87/G79</f>
        <v>0.595471307305846</v>
      </c>
    </row>
    <row r="89" customFormat="false" ht="15" hidden="false" customHeight="false" outlineLevel="0" collapsed="false">
      <c r="A89" s="5" t="s">
        <v>551</v>
      </c>
      <c r="B89" s="0" t="s">
        <v>309</v>
      </c>
      <c r="C89" s="20" t="n">
        <f aca="false">a26_oth</f>
        <v>2.145</v>
      </c>
      <c r="D89" s="20" t="n">
        <f aca="false">a27_oth</f>
        <v>1.133</v>
      </c>
      <c r="E89" s="20" t="n">
        <f aca="false">oth_f</f>
        <v>1.2</v>
      </c>
      <c r="F89" s="20" t="n">
        <f aca="false">oth_f</f>
        <v>1.2</v>
      </c>
      <c r="G89" s="20" t="n">
        <f aca="false">oth_f</f>
        <v>1.2</v>
      </c>
    </row>
    <row r="90" customFormat="false" ht="15" hidden="false" customHeight="false" outlineLevel="0" collapsed="false">
      <c r="A90" s="5" t="s">
        <v>560</v>
      </c>
      <c r="B90" s="0" t="s">
        <v>41</v>
      </c>
      <c r="C90" s="17" t="n">
        <f aca="false">1-a26_ni/(a26_oi+a26_oth)</f>
        <v>0.151187565812244</v>
      </c>
      <c r="D90" s="17" t="n">
        <f aca="false">a27_etr</f>
        <v>0.167980835756566</v>
      </c>
      <c r="E90" s="17" t="n">
        <f aca="false">tx_f</f>
        <v>0.17</v>
      </c>
      <c r="F90" s="17" t="n">
        <f aca="false">tx_f</f>
        <v>0.17</v>
      </c>
      <c r="G90" s="17" t="n">
        <f aca="false">tx_f</f>
        <v>0.17</v>
      </c>
    </row>
    <row r="91" customFormat="false" ht="15" hidden="false" customHeight="false" outlineLevel="0" collapsed="false">
      <c r="A91" s="5" t="s">
        <v>649</v>
      </c>
      <c r="B91" s="0" t="s">
        <v>309</v>
      </c>
      <c r="C91" s="16" t="n">
        <f aca="false">a26_ni</f>
        <v>112.494809527772</v>
      </c>
      <c r="D91" s="16" t="n">
        <f aca="false">a27_ni</f>
        <v>219.760389832454</v>
      </c>
      <c r="E91" s="16" t="n">
        <f aca="false">(E87+E89)*(1-E90)</f>
        <v>317.763816031099</v>
      </c>
      <c r="F91" s="16" t="n">
        <f aca="false">(F87+F89)*(1-F90)</f>
        <v>337.600166812277</v>
      </c>
      <c r="G91" s="16" t="n">
        <f aca="false">(G87+G89)*(1-G90)</f>
        <v>386.999109154322</v>
      </c>
    </row>
    <row r="92" customFormat="false" ht="15" hidden="false" customHeight="false" outlineLevel="0" collapsed="false">
      <c r="A92" s="5" t="s">
        <v>707</v>
      </c>
      <c r="B92" s="5" t="s">
        <v>708</v>
      </c>
      <c r="C92" s="18" t="n">
        <f aca="false">a26_sh</f>
        <v>24.5145</v>
      </c>
      <c r="D92" s="18" t="n">
        <f aca="false">a27_sh</f>
        <v>24.25691339125</v>
      </c>
      <c r="E92" s="18" t="n">
        <f aca="false">D92*(1+sh_g)</f>
        <v>23.965830430555</v>
      </c>
      <c r="F92" s="18" t="n">
        <f aca="false">E92*(1+sh_g)</f>
        <v>23.6782404653883</v>
      </c>
      <c r="G92" s="18" t="n">
        <f aca="false">F92*(1+sh_g)</f>
        <v>23.3941015798037</v>
      </c>
    </row>
    <row r="93" customFormat="false" ht="17.15" hidden="false" customHeight="false" outlineLevel="0" collapsed="false">
      <c r="A93" s="0" t="s">
        <v>650</v>
      </c>
      <c r="B93" s="0" t="s">
        <v>420</v>
      </c>
      <c r="C93" s="20" t="n">
        <f aca="false">C91/C92</f>
        <v>4.58890899376988</v>
      </c>
      <c r="D93" s="20" t="n">
        <f aca="false">D91/D92</f>
        <v>9.05970130196888</v>
      </c>
      <c r="E93" s="20" t="n">
        <f aca="false">E91/E92</f>
        <v>13.2590363163869</v>
      </c>
      <c r="F93" s="20" t="n">
        <f aca="false">F91/F92</f>
        <v>14.2578232240594</v>
      </c>
      <c r="G93" s="20" t="n">
        <f aca="false">G91/G92</f>
        <v>16.5425933470521</v>
      </c>
    </row>
    <row r="94" customFormat="false" ht="17.15" hidden="false" customHeight="false" outlineLevel="0" collapsed="false">
      <c r="A94" s="0" t="s">
        <v>709</v>
      </c>
      <c r="B94" s="0" t="s">
        <v>41</v>
      </c>
      <c r="D94" s="17" t="n">
        <f aca="false">D93/C93-1</f>
        <v>0.974260399207908</v>
      </c>
      <c r="E94" s="17" t="n">
        <f aca="false">E93/D93-1</f>
        <v>0.463518042642908</v>
      </c>
      <c r="F94" s="17" t="n">
        <f aca="false">F93/E93-1</f>
        <v>0.0753287707974744</v>
      </c>
      <c r="G94" s="17" t="n">
        <f aca="false">G93/F93-1</f>
        <v>0.160246770287998</v>
      </c>
    </row>
    <row r="97" customFormat="false" ht="17.15" hidden="false" customHeight="false" outlineLevel="0" collapsed="false">
      <c r="A97" s="4" t="s">
        <v>1091</v>
      </c>
    </row>
    <row r="98" customFormat="false" ht="15" hidden="false" customHeight="false" outlineLevel="0" collapsed="false">
      <c r="A98" s="6" t="s">
        <v>19</v>
      </c>
      <c r="B98" s="6" t="s">
        <v>20</v>
      </c>
      <c r="C98" s="12" t="s">
        <v>639</v>
      </c>
      <c r="D98" s="12" t="s">
        <v>640</v>
      </c>
      <c r="E98" s="12" t="s">
        <v>641</v>
      </c>
      <c r="F98" s="12" t="s">
        <v>642</v>
      </c>
      <c r="G98" s="12" t="s">
        <v>643</v>
      </c>
      <c r="H98" s="6" t="s">
        <v>592</v>
      </c>
    </row>
    <row r="99" customFormat="false" ht="17.15" hidden="false" customHeight="false" outlineLevel="0" collapsed="false">
      <c r="A99" s="1" t="s">
        <v>658</v>
      </c>
    </row>
    <row r="100" customFormat="false" ht="17.15" hidden="false" customHeight="false" outlineLevel="0" collapsed="false">
      <c r="A100" s="0" t="s">
        <v>659</v>
      </c>
      <c r="B100" s="0" t="s">
        <v>126</v>
      </c>
      <c r="D100" s="18" t="n">
        <f aca="false">k_rec</f>
        <v>0.828370921864097</v>
      </c>
      <c r="E100" s="18" t="n">
        <f aca="false">k_rec*uk_hi</f>
        <v>0.911208014050507</v>
      </c>
      <c r="F100" s="18" t="n">
        <f aca="false">k_rec*uk_hi</f>
        <v>0.911208014050507</v>
      </c>
      <c r="G100" s="18" t="n">
        <f aca="false">k_rec*uk_hi</f>
        <v>0.911208014050507</v>
      </c>
    </row>
    <row r="101" customFormat="false" ht="17.15" hidden="false" customHeight="false" outlineLevel="0" collapsed="false">
      <c r="A101" s="0" t="s">
        <v>660</v>
      </c>
      <c r="B101" s="5" t="s">
        <v>30</v>
      </c>
      <c r="D101" s="20" t="n">
        <f aca="false">(u_bw_26)*D100</f>
        <v>4.47320297806612</v>
      </c>
      <c r="E101" s="20" t="n">
        <f aca="false">(u_bw_27)*E100</f>
        <v>2.18689923372122</v>
      </c>
      <c r="F101" s="20" t="n">
        <f aca="false">(u_bw_28*um28_A)*F100</f>
        <v>0.455604007025253</v>
      </c>
      <c r="G101" s="20" t="n">
        <f aca="false">(u_bw_28*(1+g29_bw)*um29_A)*G100</f>
        <v>0.227802003512627</v>
      </c>
    </row>
    <row r="102" customFormat="false" ht="17.15" hidden="false" customHeight="false" outlineLevel="0" collapsed="false">
      <c r="A102" s="0" t="s">
        <v>661</v>
      </c>
      <c r="B102" s="5" t="s">
        <v>30</v>
      </c>
      <c r="D102" s="20" t="n">
        <f aca="false">(u_rb_26)*D100</f>
        <v>1.40823056716896</v>
      </c>
      <c r="E102" s="20" t="n">
        <f aca="false">(u_rb_27)*E100</f>
        <v>6.37845609835355</v>
      </c>
      <c r="F102" s="20" t="n">
        <f aca="false">(u_rb_28*um28_A)*F100</f>
        <v>6.37845609835355</v>
      </c>
      <c r="G102" s="20" t="n">
        <f aca="false">(u_rb_28*(1+g29_rb)*um29_A)*G100</f>
        <v>7.33522451310658</v>
      </c>
    </row>
    <row r="103" customFormat="false" ht="17.15" hidden="false" customHeight="false" outlineLevel="0" collapsed="false">
      <c r="A103" s="0" t="s">
        <v>662</v>
      </c>
      <c r="B103" s="5" t="s">
        <v>30</v>
      </c>
      <c r="D103" s="20" t="n">
        <f aca="false">(u_ru_26)*D100</f>
        <v>0</v>
      </c>
      <c r="E103" s="20" t="n">
        <f aca="false">(u_ru_27)*E100</f>
        <v>0.273362404215152</v>
      </c>
      <c r="F103" s="20" t="n">
        <f aca="false">(u_ru_28*um28_A)*F100</f>
        <v>1.82241602810101</v>
      </c>
      <c r="G103" s="20" t="n">
        <f aca="false">(u_ru_28*(1+g29_ru)*um29_A)*G100</f>
        <v>2.09577843231617</v>
      </c>
    </row>
    <row r="104" customFormat="false" ht="17.15" hidden="false" customHeight="false" outlineLevel="0" collapsed="false">
      <c r="A104" s="0" t="s">
        <v>663</v>
      </c>
      <c r="B104" s="5" t="s">
        <v>30</v>
      </c>
      <c r="D104" s="20" t="n">
        <f aca="false">(u_hp_26)*D100</f>
        <v>0.414185460932049</v>
      </c>
      <c r="E104" s="20" t="n">
        <f aca="false">(u_hp_27)*E100</f>
        <v>0</v>
      </c>
      <c r="F104" s="20" t="n">
        <f aca="false">(u_hp_28*um28_A)*F100</f>
        <v>0</v>
      </c>
      <c r="G104" s="20" t="n">
        <f aca="false">(u_hp_28*(1+g29_hp)*um29_A)*G100</f>
        <v>0</v>
      </c>
    </row>
    <row r="105" customFormat="false" ht="17.15" hidden="false" customHeight="false" outlineLevel="0" collapsed="false">
      <c r="A105" s="0" t="s">
        <v>664</v>
      </c>
      <c r="B105" s="5" t="s">
        <v>30</v>
      </c>
      <c r="D105" s="20" t="n">
        <f aca="false">SUM(D101:D104)</f>
        <v>6.29561900616714</v>
      </c>
      <c r="E105" s="20" t="n">
        <f aca="false">SUM(E101:E104)</f>
        <v>8.83871773628992</v>
      </c>
      <c r="F105" s="20" t="n">
        <f aca="false">SUM(F101:F104)</f>
        <v>8.65647613347981</v>
      </c>
      <c r="G105" s="20" t="n">
        <f aca="false">SUM(G101:G104)</f>
        <v>9.65880494893537</v>
      </c>
      <c r="H105" s="8" t="s">
        <v>665</v>
      </c>
    </row>
    <row r="106" customFormat="false" ht="17.15" hidden="false" customHeight="false" outlineLevel="0" collapsed="false">
      <c r="A106" s="0" t="s">
        <v>666</v>
      </c>
      <c r="B106" s="0" t="s">
        <v>174</v>
      </c>
      <c r="D106" s="20" t="n">
        <f aca="false">1*(pm_bw+pcpu_bw+plp_bw+k_tray*pres_bw)+(1-abs_mem)*(gb_bw_26*hpx_bw*(hbm_A_26/hbm_A_26-1)/1000+plp_bw*(cdx_A_26/cdx_A_26-1))</f>
        <v>47.005555</v>
      </c>
      <c r="E106" s="20" t="n">
        <f aca="false">1*(pm_bw+pcpu_bw+plp_bw+k_tray*pres_bw)+(1-abs_mem)*(gb_bw_27*hpx_bw*(hbm_A_27/hbm_A_26-1)/1000+plp_bw*(cdx_A_27/cdx_A_26-1))</f>
        <v>49.1868731800491</v>
      </c>
      <c r="F106" s="20" t="n">
        <f aca="false">1*(pm_bw+pcpu_bw+plp_bw+k_tray*pres_bw)+(1-abs_mem)*(gb_bw_28*hpx_bw*(hbm_A_28/hbm_A_26-1)/1000+plp_bw*(cdx_A_28/cdx_A_26-1))</f>
        <v>49.4475301208957</v>
      </c>
      <c r="G106" s="20" t="n">
        <f aca="false">1*(pm_bw+pcpu_bw+plp_bw+k_tray*pres_bw)+(1-abs_mem)*(gb_bw_28*hpx_bw*(hbm_A_29/hbm_A_26-1)/1000+plp_bw*(cdx_A_29/cdx_A_26-1))</f>
        <v>49.0541422400875</v>
      </c>
      <c r="H106" s="5" t="s">
        <v>667</v>
      </c>
    </row>
    <row r="107" customFormat="false" ht="17.15" hidden="false" customHeight="false" outlineLevel="0" collapsed="false">
      <c r="A107" s="0" t="s">
        <v>668</v>
      </c>
      <c r="B107" s="0" t="s">
        <v>174</v>
      </c>
      <c r="D107" s="20" t="n">
        <f aca="false">1*(pm_rb+pcpu_rb+plp_rb+k_tray*pres_rb)+(1-abs_mem)*(gb_rb_26*hpx_rb*(hbm_A_26/hbm_A_26-1)/1000+plp_rb*(cdx_A_26/cdx_A_26-1))</f>
        <v>72.166667</v>
      </c>
      <c r="E107" s="20" t="n">
        <f aca="false">1*(pm_rb+pcpu_rb+plp_rb+k_tray*pres_rb)+(1-abs_mem)*(gb_rb_27*hpx_rb*(hbm_A_27/hbm_A_26-1)/1000+plp_rb*(cdx_A_27/cdx_A_26-1))</f>
        <v>74.8239724084115</v>
      </c>
      <c r="F107" s="20" t="n">
        <f aca="false">1*(pm_rb+pcpu_rb+plp_rb+k_tray*pres_rb)+(1-abs_mem)*(gb_rb_28*hpx_rb*(hbm_A_28/hbm_A_26-1)/1000+plp_rb*(cdx_A_28/cdx_A_26-1))</f>
        <v>74.9427371790653</v>
      </c>
      <c r="G107" s="20" t="n">
        <f aca="false">1*(pm_rb+pcpu_rb+plp_rb+k_tray*pres_rb)+(1-abs_mem)*(gb_rb_28*hpx_rb*(hbm_A_29/hbm_A_26-1)/1000+plp_rb*(cdx_A_29/cdx_A_26-1))</f>
        <v>74.4206762269425</v>
      </c>
    </row>
    <row r="108" customFormat="false" ht="17.15" hidden="false" customHeight="false" outlineLevel="0" collapsed="false">
      <c r="A108" s="0" t="s">
        <v>669</v>
      </c>
      <c r="B108" s="0" t="s">
        <v>174</v>
      </c>
      <c r="D108" s="20" t="n">
        <f aca="false">1*(pm_ru+pcpu_ru+plp_ru+k_tray*pres_ru)+(1-abs_mem)*(gb_ru_26*hpx_ru*(hbm_A_26/hbm_A_26-1)/1000+plp_ru*(cdx_A_26/cdx_A_26-1))</f>
        <v>92.166667</v>
      </c>
      <c r="E108" s="20" t="n">
        <f aca="false">1*(pm_ru+pcpu_ru+plp_ru+k_tray*pres_ru)+(1-abs_mem)*(gb_ru_27*hpx_ru*(hbm_A_27/hbm_A_26-1)/1000+plp_ru*(cdx_A_27/cdx_A_26-1))</f>
        <v>99.7404524084115</v>
      </c>
      <c r="F108" s="20" t="n">
        <f aca="false">1*(pm_ru+pcpu_ru+plp_ru+k_tray*pres_ru)+(1-abs_mem)*(gb_ru_28*hpx_ru*(hbm_A_28/hbm_A_26-1)/1000+plp_ru*(cdx_A_28/cdx_A_26-1))</f>
        <v>100.965425179065</v>
      </c>
      <c r="G108" s="20" t="n">
        <f aca="false">1*(pm_ru+pcpu_ru+plp_ru+k_tray*pres_ru)+(1-abs_mem)*(gb_ru_28*hpx_ru*(hbm_A_29/hbm_A_26-1)/1000+plp_ru*(cdx_A_29/cdx_A_26-1))</f>
        <v>99.8349498269425</v>
      </c>
    </row>
    <row r="109" customFormat="false" ht="17.15" hidden="false" customHeight="false" outlineLevel="0" collapsed="false">
      <c r="A109" s="0" t="s">
        <v>670</v>
      </c>
      <c r="B109" s="0" t="s">
        <v>174</v>
      </c>
      <c r="D109" s="20" t="n">
        <f aca="false">1*(pm_hp+pcpu_hp+plp_hp+k_tray*pres_hp)+(1-abs_mem)*(gb_hp_26*hpx_hp*(hbm_A_26/hbm_A_26-1)/1000+plp_hp*(cdx_A_26/cdx_A_26-1))</f>
        <v>30</v>
      </c>
      <c r="E109" s="20" t="n">
        <f aca="false">1*(pm_hp+pcpu_hp+plp_hp+k_tray*pres_hp)+(1-abs_mem)*(gb_hp_27*hpx_hp*(hbm_A_27/hbm_A_26-1)/1000+plp_hp*(cdx_A_27/cdx_A_26-1))</f>
        <v>30.8742</v>
      </c>
      <c r="F109" s="20" t="n">
        <f aca="false">1*(pm_hp+pcpu_hp+plp_hp+k_tray*pres_hp)+(1-abs_mem)*(gb_hp_28*hpx_hp*(hbm_A_28/hbm_A_26-1)/1000+plp_hp*(cdx_A_28/cdx_A_26-1))</f>
        <v>31.070895</v>
      </c>
      <c r="G109" s="20" t="n">
        <f aca="false">1*(pm_hp+pcpu_hp+plp_hp+k_tray*pres_hp)+(1-abs_mem)*(gb_hp_28*hpx_hp*(hbm_A_29/hbm_A_26-1)/1000+plp_hp*(cdx_A_29/cdx_A_26-1))</f>
        <v>30.96271275</v>
      </c>
    </row>
    <row r="110" customFormat="false" ht="17.15" hidden="false" customHeight="false" outlineLevel="0" collapsed="false">
      <c r="A110" s="0" t="s">
        <v>671</v>
      </c>
      <c r="B110" s="0" t="s">
        <v>174</v>
      </c>
      <c r="D110" s="20" t="n">
        <f aca="false">gb_bw_26*hpx_bw*hbm_A_26/hbm_A_26/1000</f>
        <v>4.03</v>
      </c>
      <c r="E110" s="20" t="n">
        <f aca="false">gb_bw_27*hpx_bw*hbm_A_27/hbm_A_26/1000</f>
        <v>7.812</v>
      </c>
      <c r="F110" s="20" t="n">
        <f aca="false">gb_bw_28*hpx_bw*hbm_A_28/hbm_A_26/1000</f>
        <v>8.83872</v>
      </c>
      <c r="G110" s="20" t="n">
        <f aca="false">gb_bw_28*hpx_bw*hbm_A_29/hbm_A_26/1000</f>
        <v>8.396784</v>
      </c>
      <c r="H110" s="5" t="s">
        <v>672</v>
      </c>
    </row>
    <row r="111" customFormat="false" ht="17.15" hidden="false" customHeight="false" outlineLevel="0" collapsed="false">
      <c r="A111" s="0" t="s">
        <v>673</v>
      </c>
      <c r="B111" s="0" t="s">
        <v>174</v>
      </c>
      <c r="D111" s="20" t="n">
        <f aca="false">gb_rb_26*hpx_rb*hbm_A_26/hbm_A_26/1000</f>
        <v>4.8096</v>
      </c>
      <c r="E111" s="20" t="n">
        <f aca="false">gb_rb_27*hpx_rb*hbm_A_27/hbm_A_26/1000</f>
        <v>8.65728</v>
      </c>
      <c r="F111" s="20" t="n">
        <f aca="false">gb_rb_28*hpx_rb*hbm_A_28/hbm_A_26/1000</f>
        <v>9.523008</v>
      </c>
      <c r="G111" s="20" t="n">
        <f aca="false">gb_rb_28*hpx_rb*hbm_A_29/hbm_A_26/1000</f>
        <v>9.0468576</v>
      </c>
    </row>
    <row r="112" customFormat="false" ht="17.15" hidden="false" customHeight="false" outlineLevel="0" collapsed="false">
      <c r="A112" s="0" t="s">
        <v>674</v>
      </c>
      <c r="B112" s="0" t="s">
        <v>174</v>
      </c>
      <c r="D112" s="20" t="n">
        <f aca="false">gb_ru_26*hpx_ru*hbm_A_26/hbm_A_26/1000</f>
        <v>17.1008</v>
      </c>
      <c r="E112" s="20" t="n">
        <f aca="false">gb_ru_27*hpx_ru*hbm_A_27/hbm_A_26/1000</f>
        <v>30.78144</v>
      </c>
      <c r="F112" s="20" t="n">
        <f aca="false">gb_ru_28*hpx_ru*hbm_A_28/hbm_A_26/1000</f>
        <v>33.859584</v>
      </c>
      <c r="G112" s="20" t="n">
        <f aca="false">gb_ru_28*hpx_ru*hbm_A_29/hbm_A_26/1000</f>
        <v>32.1666048</v>
      </c>
    </row>
    <row r="113" customFormat="false" ht="17.15" hidden="false" customHeight="false" outlineLevel="0" collapsed="false">
      <c r="A113" s="0" t="s">
        <v>675</v>
      </c>
      <c r="B113" s="0" t="s">
        <v>174</v>
      </c>
      <c r="D113" s="20" t="n">
        <f aca="false">gb_hp_26*hpx_hp*hbm_A_26/hbm_A_26/1000</f>
        <v>2.1855</v>
      </c>
      <c r="E113" s="20" t="n">
        <f aca="false">gb_hp_27*hpx_hp*hbm_A_27/hbm_A_26/1000</f>
        <v>3.9339</v>
      </c>
      <c r="F113" s="20" t="n">
        <f aca="false">gb_hp_28*hpx_hp*hbm_A_28/hbm_A_26/1000</f>
        <v>4.32729</v>
      </c>
      <c r="G113" s="20" t="n">
        <f aca="false">gb_hp_28*hpx_hp*hbm_A_29/hbm_A_26/1000</f>
        <v>4.1109255</v>
      </c>
    </row>
    <row r="114" customFormat="false" ht="17.15" hidden="false" customHeight="false" outlineLevel="0" collapsed="false">
      <c r="A114" s="0" t="s">
        <v>676</v>
      </c>
      <c r="B114" s="0" t="s">
        <v>174</v>
      </c>
      <c r="D114" s="20" t="n">
        <f aca="false">1*c_nh*(pm_bw+pcpu_bw+plp_bw+k_tray*pres_bw)+D110+plp_bw*(cdx_A_26/cdx_A_26-1)</f>
        <v>11.8212823332139</v>
      </c>
      <c r="E114" s="20" t="n">
        <f aca="false">1*c_nh*(pm_bw+pcpu_bw+plp_bw+k_tray*pres_bw)+E110+plp_bw*(cdx_A_27/cdx_A_26-1)</f>
        <v>16.493918693312</v>
      </c>
      <c r="F114" s="20" t="n">
        <f aca="false">1*c_nh*(pm_bw+pcpu_bw+plp_bw+k_tray*pres_bw)+F110+plp_bw*(cdx_A_28/cdx_A_26-1)</f>
        <v>17.1392325750052</v>
      </c>
      <c r="G114" s="20" t="n">
        <f aca="false">1*c_nh*(pm_bw+pcpu_bw+plp_bw+k_tray*pres_bw)+G110+plp_bw*(cdx_A_29/cdx_A_26-1)</f>
        <v>16.3524568133889</v>
      </c>
      <c r="H114" s="5" t="s">
        <v>677</v>
      </c>
    </row>
    <row r="115" customFormat="false" ht="17.15" hidden="false" customHeight="false" outlineLevel="0" collapsed="false">
      <c r="A115" s="0" t="s">
        <v>678</v>
      </c>
      <c r="B115" s="0" t="s">
        <v>174</v>
      </c>
      <c r="D115" s="20" t="n">
        <f aca="false">1*c_nh*(pm_rb+pcpu_rb+plp_rb+k_tray*pres_rb)+D111+plp_rb*(cdx_A_26/cdx_A_26-1)</f>
        <v>16.7713963801093</v>
      </c>
      <c r="E115" s="20" t="n">
        <f aca="false">1*c_nh*(pm_rb+pcpu_rb+plp_rb+k_tray*pres_rb)+E111+plp_rb*(cdx_A_27/cdx_A_26-1)</f>
        <v>22.0860071969322</v>
      </c>
      <c r="F115" s="20" t="n">
        <f aca="false">1*c_nh*(pm_rb+pcpu_rb+plp_rb+k_tray*pres_rb)+F111+plp_rb*(cdx_A_28/cdx_A_26-1)</f>
        <v>22.3235367382399</v>
      </c>
      <c r="G115" s="20" t="n">
        <f aca="false">1*c_nh*(pm_rb+pcpu_rb+plp_rb+k_tray*pres_rb)+G111+plp_rb*(cdx_A_29/cdx_A_26-1)</f>
        <v>21.2794148339942</v>
      </c>
    </row>
    <row r="116" customFormat="false" ht="17.15" hidden="false" customHeight="false" outlineLevel="0" collapsed="false">
      <c r="A116" s="0" t="s">
        <v>679</v>
      </c>
      <c r="B116" s="0" t="s">
        <v>174</v>
      </c>
      <c r="D116" s="20" t="n">
        <f aca="false">1*c_nh*(pm_ru+pcpu_ru+plp_ru+k_tray*pres_ru)+D112+plp_ru*(cdx_A_26/cdx_A_26-1)</f>
        <v>32.3776438604396</v>
      </c>
      <c r="E116" s="20" t="n">
        <f aca="false">1*c_nh*(pm_ru+pcpu_ru+plp_ru+k_tray*pres_ru)+E112+plp_ru*(cdx_A_27/cdx_A_26-1)</f>
        <v>47.5252146772625</v>
      </c>
      <c r="F116" s="20" t="n">
        <f aca="false">1*c_nh*(pm_ru+pcpu_ru+plp_ru+k_tray*pres_ru)+F112+plp_ru*(cdx_A_28/cdx_A_26-1)</f>
        <v>49.9751602185702</v>
      </c>
      <c r="G116" s="20" t="n">
        <f aca="false">1*c_nh*(pm_ru+pcpu_ru+plp_ru+k_tray*pres_ru)+G112+plp_ru*(cdx_A_29/cdx_A_26-1)</f>
        <v>47.7142095143245</v>
      </c>
    </row>
    <row r="117" customFormat="false" ht="17.15" hidden="false" customHeight="false" outlineLevel="0" collapsed="false">
      <c r="A117" s="0" t="s">
        <v>680</v>
      </c>
      <c r="B117" s="0" t="s">
        <v>174</v>
      </c>
      <c r="D117" s="20" t="n">
        <f aca="false">1*c_nh*(pm_hp+pcpu_hp+plp_hp+k_tray*pres_hp)+D113+plp_hp*(cdx_A_26/cdx_A_26-1)</f>
        <v>7.15807122049545</v>
      </c>
      <c r="E117" s="20" t="n">
        <f aca="false">1*c_nh*(pm_hp+pcpu_hp+plp_hp+k_tray*pres_hp)+E113+plp_hp*(cdx_A_27/cdx_A_26-1)</f>
        <v>8.90647122049545</v>
      </c>
      <c r="F117" s="20" t="n">
        <f aca="false">1*c_nh*(pm_hp+pcpu_hp+plp_hp+k_tray*pres_hp)+F113+plp_hp*(cdx_A_28/cdx_A_26-1)</f>
        <v>9.29986122049545</v>
      </c>
      <c r="G117" s="20" t="n">
        <f aca="false">1*c_nh*(pm_hp+pcpu_hp+plp_hp+k_tray*pres_hp)+G113+plp_hp*(cdx_A_29/cdx_A_26-1)</f>
        <v>9.08349672049545</v>
      </c>
    </row>
    <row r="118" customFormat="false" ht="17.15" hidden="false" customHeight="false" outlineLevel="0" collapsed="false">
      <c r="A118" s="0" t="s">
        <v>681</v>
      </c>
      <c r="B118" s="0" t="s">
        <v>309</v>
      </c>
      <c r="D118" s="16" t="n">
        <f aca="false">D101*D106</f>
        <v>210.265388611651</v>
      </c>
      <c r="E118" s="16" t="n">
        <f aca="false">E101*E106</f>
        <v>107.566735266592</v>
      </c>
      <c r="F118" s="16" t="n">
        <f aca="false">F101*F106</f>
        <v>22.528492860582</v>
      </c>
      <c r="G118" s="16" t="n">
        <f aca="false">G101*G106</f>
        <v>11.1746318828853</v>
      </c>
    </row>
    <row r="119" customFormat="false" ht="17.15" hidden="false" customHeight="false" outlineLevel="0" collapsed="false">
      <c r="A119" s="0" t="s">
        <v>682</v>
      </c>
      <c r="B119" s="0" t="s">
        <v>309</v>
      </c>
      <c r="D119" s="16" t="n">
        <f aca="false">D102*D107</f>
        <v>101.627306400104</v>
      </c>
      <c r="E119" s="16" t="n">
        <f aca="false">E102*E107</f>
        <v>477.26142311147</v>
      </c>
      <c r="F119" s="16" t="n">
        <f aca="false">F102*F107</f>
        <v>478.018958987116</v>
      </c>
      <c r="G119" s="16" t="n">
        <f aca="false">G102*G107</f>
        <v>545.892368541836</v>
      </c>
    </row>
    <row r="120" customFormat="false" ht="17.15" hidden="false" customHeight="false" outlineLevel="0" collapsed="false">
      <c r="A120" s="0" t="s">
        <v>683</v>
      </c>
      <c r="B120" s="0" t="s">
        <v>309</v>
      </c>
      <c r="D120" s="16" t="n">
        <f aca="false">D103*D108</f>
        <v>0</v>
      </c>
      <c r="E120" s="16" t="n">
        <f aca="false">E103*E108</f>
        <v>27.2652898678703</v>
      </c>
      <c r="F120" s="16" t="n">
        <f aca="false">F103*F108</f>
        <v>184.001009130362</v>
      </c>
      <c r="G120" s="16" t="n">
        <f aca="false">G103*G108</f>
        <v>209.231934638672</v>
      </c>
    </row>
    <row r="121" customFormat="false" ht="17.15" hidden="false" customHeight="false" outlineLevel="0" collapsed="false">
      <c r="A121" s="0" t="s">
        <v>684</v>
      </c>
      <c r="B121" s="0" t="s">
        <v>309</v>
      </c>
      <c r="D121" s="16" t="n">
        <f aca="false">D104*D109</f>
        <v>12.4255638279615</v>
      </c>
      <c r="E121" s="16" t="n">
        <f aca="false">E104*E109</f>
        <v>0</v>
      </c>
      <c r="F121" s="16" t="n">
        <f aca="false">F104*F109</f>
        <v>0</v>
      </c>
      <c r="G121" s="16" t="n">
        <f aca="false">G104*G109</f>
        <v>0</v>
      </c>
    </row>
    <row r="122" customFormat="false" ht="17.15" hidden="false" customHeight="false" outlineLevel="0" collapsed="false">
      <c r="A122" s="5" t="s">
        <v>685</v>
      </c>
      <c r="B122" s="0" t="s">
        <v>309</v>
      </c>
      <c r="D122" s="16" t="n">
        <f aca="false">SUM(D118:D121)</f>
        <v>324.318258839716</v>
      </c>
      <c r="E122" s="16" t="n">
        <f aca="false">SUM(E118:E121)</f>
        <v>612.093448245932</v>
      </c>
      <c r="F122" s="16" t="n">
        <f aca="false">SUM(F118:F121)</f>
        <v>684.54846097806</v>
      </c>
      <c r="G122" s="16" t="n">
        <f aca="false">SUM(G118:G121)</f>
        <v>766.298935063394</v>
      </c>
    </row>
    <row r="123" customFormat="false" ht="15" hidden="false" customHeight="false" outlineLevel="0" collapsed="false">
      <c r="A123" s="5" t="s">
        <v>686</v>
      </c>
      <c r="B123" s="0" t="s">
        <v>309</v>
      </c>
      <c r="D123" s="16" t="n">
        <f aca="false">D101*D114+D102*D115+D103*D116+D104*D117</f>
        <v>79.4617574019149</v>
      </c>
      <c r="E123" s="16" t="n">
        <f aca="false">E101*E114+E102*E115+E103*E116+E104*E117</f>
        <v>189.936772390034</v>
      </c>
      <c r="F123" s="16" t="n">
        <f aca="false">F101*F114+F102*F115+F103*F116+F104*F117</f>
        <v>241.273935072594</v>
      </c>
      <c r="G123" s="16" t="n">
        <f aca="false">G101*G114+G102*G115+G103*G116+G104*G117</f>
        <v>259.812818954458</v>
      </c>
    </row>
    <row r="124" customFormat="false" ht="17.15" hidden="false" customHeight="false" outlineLevel="0" collapsed="false">
      <c r="A124" s="5" t="s">
        <v>687</v>
      </c>
      <c r="B124" s="0" t="s">
        <v>309</v>
      </c>
      <c r="D124" s="16" t="n">
        <f aca="false">D101*D110+D102*D111+D103*D112+D104*D113</f>
        <v>25.7052360623293</v>
      </c>
      <c r="E124" s="16" t="n">
        <f aca="false">E101*E110+E102*E111+E103*E112+E104*E113</f>
        <v>80.7186256685888</v>
      </c>
      <c r="F124" s="16" t="n">
        <f aca="false">F101*F110+F102*F111+F103*F112+F104*F113</f>
        <v>126.475293287676</v>
      </c>
      <c r="G124" s="16" t="n">
        <f aca="false">G101*G110+G102*G111+G103*G112+G104*G113</f>
        <v>135.687612433045</v>
      </c>
    </row>
    <row r="125" customFormat="false" ht="17.15" hidden="false" customHeight="false" outlineLevel="0" collapsed="false">
      <c r="A125" s="5" t="s">
        <v>688</v>
      </c>
      <c r="B125" s="0" t="s">
        <v>309</v>
      </c>
      <c r="D125" s="16" t="n">
        <f aca="false">0</f>
        <v>0</v>
      </c>
      <c r="E125" s="16" t="n">
        <f aca="false">0</f>
        <v>0</v>
      </c>
      <c r="F125" s="16" t="n">
        <f aca="false">0</f>
        <v>0</v>
      </c>
      <c r="G125" s="16" t="n">
        <f aca="false">0</f>
        <v>0</v>
      </c>
    </row>
    <row r="126" customFormat="false" ht="15" hidden="false" customHeight="false" outlineLevel="0" collapsed="false">
      <c r="A126" s="5" t="s">
        <v>689</v>
      </c>
      <c r="B126" s="0" t="s">
        <v>309</v>
      </c>
      <c r="D126" s="16" t="n">
        <f aca="false">D125*D123/D122</f>
        <v>0</v>
      </c>
      <c r="E126" s="16" t="n">
        <f aca="false">E125*E123/E122</f>
        <v>0</v>
      </c>
      <c r="F126" s="16" t="n">
        <f aca="false">F125*F123/F122</f>
        <v>0</v>
      </c>
      <c r="G126" s="16" t="n">
        <f aca="false">G125*G123/G122</f>
        <v>0</v>
      </c>
    </row>
    <row r="127" customFormat="false" ht="17.15" hidden="false" customHeight="false" outlineLevel="0" collapsed="false">
      <c r="A127" s="0" t="s">
        <v>690</v>
      </c>
      <c r="B127" s="0" t="s">
        <v>309</v>
      </c>
      <c r="D127" s="16" t="n">
        <f aca="false">net_26*1*D100</f>
        <v>51.1385386602837</v>
      </c>
      <c r="E127" s="16" t="n">
        <f aca="false">net_27*1*E100</f>
        <v>111.612106453539</v>
      </c>
      <c r="F127" s="16" t="n">
        <f aca="false">net_28*um28_A*F100</f>
        <v>126.308739042036</v>
      </c>
      <c r="G127" s="16" t="n">
        <f aca="false">net_29*um29_A*G100</f>
        <v>143.332758637841</v>
      </c>
      <c r="H127" s="8" t="s">
        <v>691</v>
      </c>
    </row>
    <row r="128" customFormat="false" ht="17.15" hidden="false" customHeight="false" outlineLevel="0" collapsed="false">
      <c r="A128" s="5" t="s">
        <v>692</v>
      </c>
      <c r="B128" s="0" t="s">
        <v>309</v>
      </c>
      <c r="D128" s="16" t="n">
        <f aca="false">c_net*D127</f>
        <v>15.3415615980851</v>
      </c>
      <c r="E128" s="16" t="n">
        <f aca="false">c_net*E127</f>
        <v>33.4836319360618</v>
      </c>
      <c r="F128" s="16" t="n">
        <f aca="false">c_net*F127</f>
        <v>37.8926217126109</v>
      </c>
      <c r="G128" s="16" t="n">
        <f aca="false">c_net*G127</f>
        <v>42.9998275913522</v>
      </c>
    </row>
    <row r="129" customFormat="false" ht="17.15" hidden="false" customHeight="false" outlineLevel="0" collapsed="false">
      <c r="A129" s="0" t="s">
        <v>693</v>
      </c>
      <c r="B129" s="0" t="s">
        <v>309</v>
      </c>
      <c r="D129" s="16" t="n">
        <f aca="false">a27_edge</f>
        <v>29.1792025</v>
      </c>
      <c r="E129" s="16" t="n">
        <f aca="false">D129*(1+eg)</f>
        <v>31.5135387</v>
      </c>
      <c r="F129" s="16" t="n">
        <f aca="false">E129*(1+eg)</f>
        <v>34.034621796</v>
      </c>
      <c r="G129" s="16" t="n">
        <f aca="false">F129*(1+eg)</f>
        <v>36.75739153968</v>
      </c>
    </row>
    <row r="130" customFormat="false" ht="17.15" hidden="false" customHeight="false" outlineLevel="0" collapsed="false">
      <c r="A130" s="0" t="s">
        <v>694</v>
      </c>
      <c r="B130" s="0" t="s">
        <v>309</v>
      </c>
      <c r="D130" s="16" t="n">
        <f aca="false">(1-gm_edge)*D129</f>
        <v>11.671681</v>
      </c>
      <c r="E130" s="16" t="n">
        <f aca="false">(1-gm_edge)*E129</f>
        <v>12.60541548</v>
      </c>
      <c r="F130" s="16" t="n">
        <f aca="false">(1-gm_edge)*F129</f>
        <v>13.6138487184</v>
      </c>
      <c r="G130" s="16" t="n">
        <f aca="false">(1-gm_edge)*G129</f>
        <v>14.702956615872</v>
      </c>
    </row>
    <row r="131" customFormat="false" ht="15" hidden="false" customHeight="false" outlineLevel="0" collapsed="false">
      <c r="A131" s="5" t="s">
        <v>695</v>
      </c>
      <c r="B131" s="0" t="s">
        <v>309</v>
      </c>
      <c r="D131" s="16" t="n">
        <f aca="false">D122+D125+D127+D129</f>
        <v>404.636</v>
      </c>
      <c r="E131" s="16" t="n">
        <f aca="false">E122+E125+E127+E129</f>
        <v>755.219093399471</v>
      </c>
      <c r="F131" s="16" t="n">
        <f aca="false">F122+F125+F127+F129</f>
        <v>844.891821816097</v>
      </c>
      <c r="G131" s="16" t="n">
        <f aca="false">G122+G125+G127+G129</f>
        <v>946.389085240915</v>
      </c>
    </row>
    <row r="132" customFormat="false" ht="15" hidden="false" customHeight="false" outlineLevel="0" collapsed="false">
      <c r="A132" s="5" t="s">
        <v>696</v>
      </c>
      <c r="B132" s="0" t="s">
        <v>309</v>
      </c>
      <c r="D132" s="16" t="n">
        <f aca="false">D123+D126+D128+D130</f>
        <v>106.475</v>
      </c>
      <c r="E132" s="16" t="n">
        <f aca="false">E123+E126+E128+E130</f>
        <v>236.025819806096</v>
      </c>
      <c r="F132" s="16" t="n">
        <f aca="false">F123+F126+F128+F130</f>
        <v>292.780405503605</v>
      </c>
      <c r="G132" s="16" t="n">
        <f aca="false">G123+G126+G128+G130</f>
        <v>317.515603161682</v>
      </c>
    </row>
    <row r="133" customFormat="false" ht="17.15" hidden="false" customHeight="false" outlineLevel="0" collapsed="false">
      <c r="A133" s="5" t="s">
        <v>697</v>
      </c>
      <c r="B133" s="0" t="s">
        <v>41</v>
      </c>
      <c r="D133" s="17" t="n">
        <f aca="false">1-D132/D131</f>
        <v>0.736862266333198</v>
      </c>
      <c r="E133" s="17" t="n">
        <f aca="false">1-E132/E131</f>
        <v>0.687473712106944</v>
      </c>
      <c r="F133" s="17" t="n">
        <f aca="false">1-F132/F131</f>
        <v>0.653469949709925</v>
      </c>
      <c r="G133" s="17" t="n">
        <f aca="false">1-G132/G131</f>
        <v>0.664497817955229</v>
      </c>
      <c r="H133" s="8" t="s">
        <v>698</v>
      </c>
    </row>
    <row r="134" customFormat="false" ht="17.15" hidden="false" customHeight="false" outlineLevel="0" collapsed="false">
      <c r="A134" s="0" t="s">
        <v>699</v>
      </c>
      <c r="B134" s="0" t="s">
        <v>41</v>
      </c>
      <c r="D134" s="17" t="n">
        <f aca="false">D124/D131</f>
        <v>0.0635268143771917</v>
      </c>
      <c r="E134" s="17" t="n">
        <f aca="false">E124/E131</f>
        <v>0.106881071167374</v>
      </c>
      <c r="F134" s="17" t="n">
        <f aca="false">F124/F131</f>
        <v>0.149694067360976</v>
      </c>
      <c r="G134" s="17" t="n">
        <f aca="false">G124/G131</f>
        <v>0.143374025069725</v>
      </c>
    </row>
    <row r="135" customFormat="false" ht="17.15" hidden="false" customHeight="false" outlineLevel="0" collapsed="false">
      <c r="A135" s="1" t="s">
        <v>700</v>
      </c>
    </row>
    <row r="136" customFormat="false" ht="15" hidden="false" customHeight="false" outlineLevel="0" collapsed="false">
      <c r="A136" s="5" t="s">
        <v>527</v>
      </c>
      <c r="B136" s="0" t="s">
        <v>309</v>
      </c>
      <c r="C136" s="16" t="n">
        <f aca="false">a26_rev</f>
        <v>215.938</v>
      </c>
      <c r="D136" s="16" t="n">
        <f aca="false">a27_rev</f>
        <v>404.636</v>
      </c>
      <c r="E136" s="16" t="n">
        <f aca="false">E131</f>
        <v>755.219093399471</v>
      </c>
      <c r="F136" s="16" t="n">
        <f aca="false">F131</f>
        <v>844.891821816097</v>
      </c>
      <c r="G136" s="16" t="n">
        <f aca="false">G131</f>
        <v>946.389085240915</v>
      </c>
    </row>
    <row r="137" customFormat="false" ht="17.15" hidden="false" customHeight="false" outlineLevel="0" collapsed="false">
      <c r="A137" s="0" t="s">
        <v>701</v>
      </c>
      <c r="B137" s="0" t="s">
        <v>309</v>
      </c>
      <c r="C137" s="16" t="n">
        <f aca="false">a26_dc</f>
        <v>193.7</v>
      </c>
      <c r="D137" s="16" t="n">
        <f aca="false">a27_dc</f>
        <v>375.4567975</v>
      </c>
      <c r="E137" s="16" t="n">
        <f aca="false">E122+E125+E127</f>
        <v>723.705554699471</v>
      </c>
      <c r="F137" s="16" t="n">
        <f aca="false">F122+F125+F127</f>
        <v>810.857200020097</v>
      </c>
      <c r="G137" s="16" t="n">
        <f aca="false">G122+G125+G127</f>
        <v>909.631693701235</v>
      </c>
    </row>
    <row r="138" customFormat="false" ht="15" hidden="false" customHeight="false" outlineLevel="0" collapsed="false">
      <c r="A138" s="0" t="s">
        <v>647</v>
      </c>
      <c r="B138" s="0" t="s">
        <v>309</v>
      </c>
      <c r="C138" s="16" t="n">
        <f aca="false">a26_edge</f>
        <v>22.238</v>
      </c>
      <c r="D138" s="16" t="n">
        <f aca="false">a27_edge</f>
        <v>29.1792025</v>
      </c>
      <c r="E138" s="16" t="n">
        <f aca="false">E129</f>
        <v>31.5135387</v>
      </c>
      <c r="F138" s="16" t="n">
        <f aca="false">F129</f>
        <v>34.034621796</v>
      </c>
      <c r="G138" s="16" t="n">
        <f aca="false">G129</f>
        <v>36.75739153968</v>
      </c>
    </row>
    <row r="139" customFormat="false" ht="15" hidden="false" customHeight="false" outlineLevel="0" collapsed="false">
      <c r="A139" s="5" t="s">
        <v>702</v>
      </c>
      <c r="B139" s="0" t="s">
        <v>41</v>
      </c>
      <c r="D139" s="17" t="n">
        <f aca="false">D136/C136-1</f>
        <v>0.873852679935908</v>
      </c>
      <c r="E139" s="17" t="n">
        <f aca="false">E136/D136-1</f>
        <v>0.866415972378808</v>
      </c>
      <c r="F139" s="17" t="n">
        <f aca="false">F136/E136-1</f>
        <v>0.118737369328126</v>
      </c>
      <c r="G139" s="17" t="n">
        <f aca="false">G136/F136-1</f>
        <v>0.120130483931836</v>
      </c>
    </row>
    <row r="140" customFormat="false" ht="15" hidden="false" customHeight="false" outlineLevel="0" collapsed="false">
      <c r="A140" s="5" t="s">
        <v>703</v>
      </c>
      <c r="B140" s="0" t="s">
        <v>309</v>
      </c>
      <c r="C140" s="16" t="n">
        <f aca="false">a26_gp</f>
        <v>153.463</v>
      </c>
      <c r="D140" s="16" t="n">
        <f aca="false">a27_gp</f>
        <v>298.161</v>
      </c>
      <c r="E140" s="16" t="n">
        <f aca="false">E136-E132</f>
        <v>519.193273593375</v>
      </c>
      <c r="F140" s="16" t="n">
        <f aca="false">F136-F132</f>
        <v>552.111416312492</v>
      </c>
      <c r="G140" s="16" t="n">
        <f aca="false">G136-G132</f>
        <v>628.873482079233</v>
      </c>
    </row>
    <row r="141" customFormat="false" ht="15" hidden="false" customHeight="false" outlineLevel="0" collapsed="false">
      <c r="A141" s="5" t="s">
        <v>543</v>
      </c>
      <c r="B141" s="0" t="s">
        <v>41</v>
      </c>
      <c r="C141" s="17" t="n">
        <f aca="false">C140/C136</f>
        <v>0.710680843575471</v>
      </c>
      <c r="D141" s="17" t="n">
        <f aca="false">D140/D136</f>
        <v>0.736862266333198</v>
      </c>
      <c r="E141" s="17" t="n">
        <f aca="false">E140/E136</f>
        <v>0.687473712106944</v>
      </c>
      <c r="F141" s="17" t="n">
        <f aca="false">F140/F136</f>
        <v>0.653469949709925</v>
      </c>
      <c r="G141" s="17" t="n">
        <f aca="false">G140/G136</f>
        <v>0.664497817955229</v>
      </c>
    </row>
    <row r="142" customFormat="false" ht="17.15" hidden="false" customHeight="false" outlineLevel="0" collapsed="false">
      <c r="A142" s="5" t="s">
        <v>704</v>
      </c>
      <c r="B142" s="0" t="s">
        <v>309</v>
      </c>
      <c r="C142" s="16" t="n">
        <f aca="false">a26_opx</f>
        <v>23.076</v>
      </c>
      <c r="D142" s="16" t="n">
        <f aca="false">a27_opx</f>
        <v>35.165</v>
      </c>
      <c r="E142" s="16" t="n">
        <f aca="false">D142*(1+MAX(g_opx_min,phi*E139))</f>
        <v>53.4455106012205</v>
      </c>
      <c r="F142" s="16" t="n">
        <f aca="false">E142*(1+MAX(g_opx_min,phi*F139))</f>
        <v>57.2530981999329</v>
      </c>
      <c r="G142" s="16" t="n">
        <f aca="false">F142*(1+MAX(g_opx_min,phi*G139))</f>
        <v>61.3798036359458</v>
      </c>
      <c r="H142" s="5" t="s">
        <v>705</v>
      </c>
    </row>
    <row r="143" customFormat="false" ht="15" hidden="false" customHeight="false" outlineLevel="0" collapsed="false">
      <c r="A143" s="5" t="s">
        <v>706</v>
      </c>
      <c r="B143" s="0" t="s">
        <v>309</v>
      </c>
      <c r="C143" s="16" t="n">
        <f aca="false">C142</f>
        <v>23.076</v>
      </c>
      <c r="D143" s="16" t="n">
        <f aca="false">D142</f>
        <v>35.165</v>
      </c>
      <c r="E143" s="16" t="n">
        <f aca="false">E142+0*E136</f>
        <v>53.4455106012205</v>
      </c>
      <c r="F143" s="16" t="n">
        <f aca="false">F142+0*F136</f>
        <v>57.2530981999329</v>
      </c>
      <c r="G143" s="16" t="n">
        <f aca="false">G142+0*G136</f>
        <v>61.3798036359458</v>
      </c>
    </row>
    <row r="144" customFormat="false" ht="15" hidden="false" customHeight="false" outlineLevel="0" collapsed="false">
      <c r="A144" s="5" t="s">
        <v>546</v>
      </c>
      <c r="B144" s="0" t="s">
        <v>309</v>
      </c>
      <c r="C144" s="16" t="n">
        <f aca="false">C140-C143</f>
        <v>130.387</v>
      </c>
      <c r="D144" s="16" t="n">
        <f aca="false">D140-D143</f>
        <v>262.996</v>
      </c>
      <c r="E144" s="16" t="n">
        <f aca="false">E140-E143</f>
        <v>465.747762992155</v>
      </c>
      <c r="F144" s="16" t="n">
        <f aca="false">F140-F143</f>
        <v>494.858318112559</v>
      </c>
      <c r="G144" s="16" t="n">
        <f aca="false">G140-G143</f>
        <v>567.493678443287</v>
      </c>
    </row>
    <row r="145" customFormat="false" ht="15" hidden="false" customHeight="false" outlineLevel="0" collapsed="false">
      <c r="A145" s="5" t="s">
        <v>648</v>
      </c>
      <c r="B145" s="0" t="s">
        <v>41</v>
      </c>
      <c r="C145" s="17" t="n">
        <f aca="false">C144/C136</f>
        <v>0.603816836314127</v>
      </c>
      <c r="D145" s="17" t="n">
        <f aca="false">D144/D136</f>
        <v>0.649956998388675</v>
      </c>
      <c r="E145" s="17" t="n">
        <f aca="false">E144/E136</f>
        <v>0.616705492568629</v>
      </c>
      <c r="F145" s="17" t="n">
        <f aca="false">F144/F136</f>
        <v>0.585706128683859</v>
      </c>
      <c r="G145" s="17" t="n">
        <f aca="false">G144/G136</f>
        <v>0.599640979902917</v>
      </c>
    </row>
    <row r="146" customFormat="false" ht="15" hidden="false" customHeight="false" outlineLevel="0" collapsed="false">
      <c r="A146" s="5" t="s">
        <v>551</v>
      </c>
      <c r="B146" s="0" t="s">
        <v>309</v>
      </c>
      <c r="C146" s="20" t="n">
        <f aca="false">a26_oth</f>
        <v>2.145</v>
      </c>
      <c r="D146" s="20" t="n">
        <f aca="false">a27_oth</f>
        <v>1.133</v>
      </c>
      <c r="E146" s="20" t="n">
        <f aca="false">oth_f</f>
        <v>1.2</v>
      </c>
      <c r="F146" s="20" t="n">
        <f aca="false">oth_f</f>
        <v>1.2</v>
      </c>
      <c r="G146" s="20" t="n">
        <f aca="false">oth_f</f>
        <v>1.2</v>
      </c>
    </row>
    <row r="147" customFormat="false" ht="15" hidden="false" customHeight="false" outlineLevel="0" collapsed="false">
      <c r="A147" s="5" t="s">
        <v>560</v>
      </c>
      <c r="B147" s="0" t="s">
        <v>41</v>
      </c>
      <c r="C147" s="17" t="n">
        <f aca="false">1-a26_ni/(a26_oi+a26_oth)</f>
        <v>0.151187565812244</v>
      </c>
      <c r="D147" s="17" t="n">
        <f aca="false">a27_etr</f>
        <v>0.167980835756566</v>
      </c>
      <c r="E147" s="17" t="n">
        <f aca="false">tx_f</f>
        <v>0.17</v>
      </c>
      <c r="F147" s="17" t="n">
        <f aca="false">tx_f</f>
        <v>0.17</v>
      </c>
      <c r="G147" s="17" t="n">
        <f aca="false">tx_f</f>
        <v>0.17</v>
      </c>
    </row>
    <row r="148" customFormat="false" ht="15" hidden="false" customHeight="false" outlineLevel="0" collapsed="false">
      <c r="A148" s="5" t="s">
        <v>649</v>
      </c>
      <c r="B148" s="0" t="s">
        <v>309</v>
      </c>
      <c r="C148" s="16" t="n">
        <f aca="false">a26_ni</f>
        <v>112.494809527772</v>
      </c>
      <c r="D148" s="16" t="n">
        <f aca="false">a27_ni</f>
        <v>219.760389832454</v>
      </c>
      <c r="E148" s="16" t="n">
        <f aca="false">(E144+E146)*(1-E147)</f>
        <v>387.566643283488</v>
      </c>
      <c r="F148" s="16" t="n">
        <f aca="false">(F144+F146)*(1-F147)</f>
        <v>411.728404033424</v>
      </c>
      <c r="G148" s="16" t="n">
        <f aca="false">(G144+G146)*(1-G147)</f>
        <v>472.015753107929</v>
      </c>
    </row>
    <row r="149" customFormat="false" ht="15" hidden="false" customHeight="false" outlineLevel="0" collapsed="false">
      <c r="A149" s="5" t="s">
        <v>707</v>
      </c>
      <c r="B149" s="5" t="s">
        <v>708</v>
      </c>
      <c r="C149" s="18" t="n">
        <f aca="false">a26_sh</f>
        <v>24.5145</v>
      </c>
      <c r="D149" s="18" t="n">
        <f aca="false">a27_sh</f>
        <v>24.25691339125</v>
      </c>
      <c r="E149" s="18" t="n">
        <f aca="false">D149*(1+sh_g)</f>
        <v>23.965830430555</v>
      </c>
      <c r="F149" s="18" t="n">
        <f aca="false">E149*(1+sh_g)</f>
        <v>23.6782404653883</v>
      </c>
      <c r="G149" s="18" t="n">
        <f aca="false">F149*(1+sh_g)</f>
        <v>23.3941015798037</v>
      </c>
    </row>
    <row r="150" customFormat="false" ht="17.15" hidden="false" customHeight="false" outlineLevel="0" collapsed="false">
      <c r="A150" s="0" t="s">
        <v>650</v>
      </c>
      <c r="B150" s="0" t="s">
        <v>420</v>
      </c>
      <c r="C150" s="20" t="n">
        <f aca="false">C148/C149</f>
        <v>4.58890899376988</v>
      </c>
      <c r="D150" s="20" t="n">
        <f aca="false">D148/D149</f>
        <v>9.05970130196888</v>
      </c>
      <c r="E150" s="20" t="n">
        <f aca="false">E148/E149</f>
        <v>16.171634210904</v>
      </c>
      <c r="F150" s="20" t="n">
        <f aca="false">F148/F149</f>
        <v>17.388471269023</v>
      </c>
      <c r="G150" s="20" t="n">
        <f aca="false">G148/G149</f>
        <v>20.1766993059235</v>
      </c>
    </row>
    <row r="151" customFormat="false" ht="17.15" hidden="false" customHeight="false" outlineLevel="0" collapsed="false">
      <c r="A151" s="0" t="s">
        <v>709</v>
      </c>
      <c r="B151" s="0" t="s">
        <v>41</v>
      </c>
      <c r="D151" s="17" t="n">
        <f aca="false">D150/C150-1</f>
        <v>0.974260399207908</v>
      </c>
      <c r="E151" s="17" t="n">
        <f aca="false">E150/D150-1</f>
        <v>0.785007438091759</v>
      </c>
      <c r="F151" s="17" t="n">
        <f aca="false">F150/E150-1</f>
        <v>0.0752451510001706</v>
      </c>
      <c r="G151" s="17" t="n">
        <f aca="false">G150/F150-1</f>
        <v>0.160349233337584</v>
      </c>
    </row>
    <row r="154" customFormat="false" ht="17.15" hidden="false" customHeight="false" outlineLevel="0" collapsed="false">
      <c r="A154" s="4" t="s">
        <v>1092</v>
      </c>
    </row>
    <row r="155" customFormat="false" ht="15" hidden="false" customHeight="false" outlineLevel="0" collapsed="false">
      <c r="A155" s="6" t="s">
        <v>19</v>
      </c>
      <c r="B155" s="6" t="s">
        <v>20</v>
      </c>
      <c r="C155" s="12" t="s">
        <v>639</v>
      </c>
      <c r="D155" s="12" t="s">
        <v>640</v>
      </c>
      <c r="E155" s="12" t="s">
        <v>641</v>
      </c>
      <c r="F155" s="12" t="s">
        <v>642</v>
      </c>
      <c r="G155" s="12" t="s">
        <v>643</v>
      </c>
      <c r="H155" s="6" t="s">
        <v>592</v>
      </c>
    </row>
    <row r="156" customFormat="false" ht="17.15" hidden="false" customHeight="false" outlineLevel="0" collapsed="false">
      <c r="A156" s="1" t="s">
        <v>658</v>
      </c>
    </row>
    <row r="157" customFormat="false" ht="17.15" hidden="false" customHeight="false" outlineLevel="0" collapsed="false">
      <c r="A157" s="0" t="s">
        <v>659</v>
      </c>
      <c r="B157" s="0" t="s">
        <v>126</v>
      </c>
      <c r="D157" s="18" t="n">
        <f aca="false">k_rec</f>
        <v>0.828370921864097</v>
      </c>
      <c r="E157" s="18" t="n">
        <f aca="false">k_rec*1</f>
        <v>0.828370921864097</v>
      </c>
      <c r="F157" s="18" t="n">
        <f aca="false">k_rec*1</f>
        <v>0.828370921864097</v>
      </c>
      <c r="G157" s="18" t="n">
        <f aca="false">k_rec*1</f>
        <v>0.828370921864097</v>
      </c>
    </row>
    <row r="158" customFormat="false" ht="17.15" hidden="false" customHeight="false" outlineLevel="0" collapsed="false">
      <c r="A158" s="0" t="s">
        <v>660</v>
      </c>
      <c r="B158" s="5" t="s">
        <v>30</v>
      </c>
      <c r="D158" s="20" t="n">
        <f aca="false">(u_bw_26)*D157</f>
        <v>4.47320297806612</v>
      </c>
      <c r="E158" s="20" t="n">
        <f aca="false">(u_bw_27)*E157</f>
        <v>1.98809021247383</v>
      </c>
      <c r="F158" s="20" t="n">
        <f aca="false">(u_bw_28*um28_A)*F157</f>
        <v>0.414185460932049</v>
      </c>
      <c r="G158" s="20" t="n">
        <f aca="false">(u_bw_28*(1+g29_bw)*um29_A)*G157</f>
        <v>0.207092730466024</v>
      </c>
    </row>
    <row r="159" customFormat="false" ht="17.15" hidden="false" customHeight="false" outlineLevel="0" collapsed="false">
      <c r="A159" s="0" t="s">
        <v>661</v>
      </c>
      <c r="B159" s="5" t="s">
        <v>30</v>
      </c>
      <c r="D159" s="20" t="n">
        <f aca="false">(u_rb_26)*D157</f>
        <v>1.40823056716896</v>
      </c>
      <c r="E159" s="20" t="n">
        <f aca="false">(u_rb_27)*E157</f>
        <v>5.79859645304868</v>
      </c>
      <c r="F159" s="20" t="n">
        <f aca="false">(u_rb_28*um28_A)*F157</f>
        <v>5.79859645304868</v>
      </c>
      <c r="G159" s="20" t="n">
        <f aca="false">(u_rb_28*(1+g29_rb)*um29_A)*G157</f>
        <v>6.66838592100598</v>
      </c>
    </row>
    <row r="160" customFormat="false" ht="17.15" hidden="false" customHeight="false" outlineLevel="0" collapsed="false">
      <c r="A160" s="0" t="s">
        <v>662</v>
      </c>
      <c r="B160" s="5" t="s">
        <v>30</v>
      </c>
      <c r="D160" s="20" t="n">
        <f aca="false">(u_ru_26)*D157</f>
        <v>0</v>
      </c>
      <c r="E160" s="20" t="n">
        <f aca="false">(u_ru_27)*E157</f>
        <v>0.248511276559229</v>
      </c>
      <c r="F160" s="20" t="n">
        <f aca="false">(u_ru_28*um28_A)*F157</f>
        <v>1.65674184372819</v>
      </c>
      <c r="G160" s="20" t="n">
        <f aca="false">(u_ru_28*(1+g29_ru)*um29_A)*G157</f>
        <v>1.90525312028742</v>
      </c>
    </row>
    <row r="161" customFormat="false" ht="17.15" hidden="false" customHeight="false" outlineLevel="0" collapsed="false">
      <c r="A161" s="0" t="s">
        <v>663</v>
      </c>
      <c r="B161" s="5" t="s">
        <v>30</v>
      </c>
      <c r="D161" s="20" t="n">
        <f aca="false">(u_hp_26)*D157</f>
        <v>0.414185460932049</v>
      </c>
      <c r="E161" s="20" t="n">
        <f aca="false">(u_hp_27)*E157</f>
        <v>0</v>
      </c>
      <c r="F161" s="20" t="n">
        <f aca="false">(u_hp_28*um28_A)*F157</f>
        <v>0</v>
      </c>
      <c r="G161" s="20" t="n">
        <f aca="false">(u_hp_28*(1+g29_hp)*um29_A)*G157</f>
        <v>0</v>
      </c>
    </row>
    <row r="162" customFormat="false" ht="17.15" hidden="false" customHeight="false" outlineLevel="0" collapsed="false">
      <c r="A162" s="0" t="s">
        <v>664</v>
      </c>
      <c r="B162" s="5" t="s">
        <v>30</v>
      </c>
      <c r="D162" s="20" t="n">
        <f aca="false">SUM(D158:D161)</f>
        <v>6.29561900616714</v>
      </c>
      <c r="E162" s="20" t="n">
        <f aca="false">SUM(E158:E161)</f>
        <v>8.03519794208174</v>
      </c>
      <c r="F162" s="20" t="n">
        <f aca="false">SUM(F158:F161)</f>
        <v>7.86952375770892</v>
      </c>
      <c r="G162" s="20" t="n">
        <f aca="false">SUM(G158:G161)</f>
        <v>8.78073177175943</v>
      </c>
      <c r="H162" s="8" t="s">
        <v>665</v>
      </c>
    </row>
    <row r="163" customFormat="false" ht="17.15" hidden="false" customHeight="false" outlineLevel="0" collapsed="false">
      <c r="A163" s="0" t="s">
        <v>666</v>
      </c>
      <c r="B163" s="0" t="s">
        <v>174</v>
      </c>
      <c r="D163" s="20" t="n">
        <f aca="false">1*(pm_bw+pcpu_bw+plp_bw+k_tray*pres_bw)+(1-abs_mem)*(gb_bw_26*hpx_bw*(hbm_A_26/hbm_A_26-1)/1000+plp_bw*(cdx_A_26/cdx_A_26-1))</f>
        <v>47.005555</v>
      </c>
      <c r="E163" s="20" t="n">
        <f aca="false">1*(pm_bw+pcpu_bw+plp_bw+k_tray*pres_bw)+(1-abs_mem)*(gb_bw_27*hpx_bw*(hbm_A_27/hbm_A_26-1)/1000+plp_bw*(cdx_A_27/cdx_A_26-1))</f>
        <v>49.1868731800491</v>
      </c>
      <c r="F163" s="20" t="n">
        <f aca="false">1*(pm_bw+pcpu_bw+plp_bw+k_tray*pres_bw)+(1-abs_mem)*(gb_bw_28*hpx_bw*(hbm_A_28/hbm_A_26-1)/1000+plp_bw*(cdx_A_28/cdx_A_26-1))</f>
        <v>49.4475301208957</v>
      </c>
      <c r="G163" s="20" t="n">
        <f aca="false">1*(pm_bw+pcpu_bw+plp_bw+k_tray*pres_bw)+(1-abs_mem)*(gb_bw_28*hpx_bw*(hbm_A_29/hbm_A_26-1)/1000+plp_bw*(cdx_A_29/cdx_A_26-1))</f>
        <v>49.0541422400875</v>
      </c>
      <c r="H163" s="5" t="s">
        <v>667</v>
      </c>
    </row>
    <row r="164" customFormat="false" ht="17.15" hidden="false" customHeight="false" outlineLevel="0" collapsed="false">
      <c r="A164" s="0" t="s">
        <v>668</v>
      </c>
      <c r="B164" s="0" t="s">
        <v>174</v>
      </c>
      <c r="D164" s="20" t="n">
        <f aca="false">1*(pm_rb+pcpu_rb+plp_rb+k_tray*pres_rb)+(1-abs_mem)*(gb_rb_26*hpx_rb*(hbm_A_26/hbm_A_26-1)/1000+plp_rb*(cdx_A_26/cdx_A_26-1))</f>
        <v>72.166667</v>
      </c>
      <c r="E164" s="20" t="n">
        <f aca="false">1*(pm_rb+pcpu_rb+plp_rb+k_tray*pres_rb)+(1-abs_mem)*(gb_rb_27*hpx_rb*(hbm_A_27/hbm_A_26-1)/1000+plp_rb*(cdx_A_27/cdx_A_26-1))</f>
        <v>74.8239724084115</v>
      </c>
      <c r="F164" s="20" t="n">
        <f aca="false">1*(pm_rb+pcpu_rb+plp_rb+k_tray*pres_rb)+(1-abs_mem)*(gb_rb_28*hpx_rb*(hbm_A_28/hbm_A_26-1)/1000+plp_rb*(cdx_A_28/cdx_A_26-1))</f>
        <v>74.9427371790653</v>
      </c>
      <c r="G164" s="20" t="n">
        <f aca="false">1*(pm_rb+pcpu_rb+plp_rb+k_tray*pres_rb)+(1-abs_mem)*(gb_rb_28*hpx_rb*(hbm_A_29/hbm_A_26-1)/1000+plp_rb*(cdx_A_29/cdx_A_26-1))</f>
        <v>74.4206762269425</v>
      </c>
    </row>
    <row r="165" customFormat="false" ht="17.15" hidden="false" customHeight="false" outlineLevel="0" collapsed="false">
      <c r="A165" s="0" t="s">
        <v>669</v>
      </c>
      <c r="B165" s="0" t="s">
        <v>174</v>
      </c>
      <c r="D165" s="20" t="n">
        <f aca="false">1*(pm_ru_lo+pcpu_ru+plp_ru+k_tray*pres_ru)+(1-abs_mem)*(gb_ru_26*hpx_ru*(hbm_A_26/hbm_A_26-1)/1000+plp_ru*(cdx_A_26/cdx_A_26-1))</f>
        <v>77.166667</v>
      </c>
      <c r="E165" s="20" t="n">
        <f aca="false">1*(pm_ru_lo+pcpu_ru+plp_ru+k_tray*pres_ru)+(1-abs_mem)*(gb_ru_27*hpx_ru*(hbm_A_27/hbm_A_26-1)/1000+plp_ru*(cdx_A_27/cdx_A_26-1))</f>
        <v>84.7404524084115</v>
      </c>
      <c r="F165" s="20" t="n">
        <f aca="false">1*(pm_ru_lo+pcpu_ru+plp_ru+k_tray*pres_ru)+(1-abs_mem)*(gb_ru_28*hpx_ru*(hbm_A_28/hbm_A_26-1)/1000+plp_ru*(cdx_A_28/cdx_A_26-1))</f>
        <v>85.9654251790653</v>
      </c>
      <c r="G165" s="20" t="n">
        <f aca="false">1*(pm_ru_lo+pcpu_ru+plp_ru+k_tray*pres_ru)+(1-abs_mem)*(gb_ru_28*hpx_ru*(hbm_A_29/hbm_A_26-1)/1000+plp_ru*(cdx_A_29/cdx_A_26-1))</f>
        <v>84.8349498269425</v>
      </c>
    </row>
    <row r="166" customFormat="false" ht="17.15" hidden="false" customHeight="false" outlineLevel="0" collapsed="false">
      <c r="A166" s="0" t="s">
        <v>670</v>
      </c>
      <c r="B166" s="0" t="s">
        <v>174</v>
      </c>
      <c r="D166" s="20" t="n">
        <f aca="false">1*(pm_hp+pcpu_hp+plp_hp+k_tray*pres_hp)+(1-abs_mem)*(gb_hp_26*hpx_hp*(hbm_A_26/hbm_A_26-1)/1000+plp_hp*(cdx_A_26/cdx_A_26-1))</f>
        <v>30</v>
      </c>
      <c r="E166" s="20" t="n">
        <f aca="false">1*(pm_hp+pcpu_hp+plp_hp+k_tray*pres_hp)+(1-abs_mem)*(gb_hp_27*hpx_hp*(hbm_A_27/hbm_A_26-1)/1000+plp_hp*(cdx_A_27/cdx_A_26-1))</f>
        <v>30.8742</v>
      </c>
      <c r="F166" s="20" t="n">
        <f aca="false">1*(pm_hp+pcpu_hp+plp_hp+k_tray*pres_hp)+(1-abs_mem)*(gb_hp_28*hpx_hp*(hbm_A_28/hbm_A_26-1)/1000+plp_hp*(cdx_A_28/cdx_A_26-1))</f>
        <v>31.070895</v>
      </c>
      <c r="G166" s="20" t="n">
        <f aca="false">1*(pm_hp+pcpu_hp+plp_hp+k_tray*pres_hp)+(1-abs_mem)*(gb_hp_28*hpx_hp*(hbm_A_29/hbm_A_26-1)/1000+plp_hp*(cdx_A_29/cdx_A_26-1))</f>
        <v>30.96271275</v>
      </c>
    </row>
    <row r="167" customFormat="false" ht="17.15" hidden="false" customHeight="false" outlineLevel="0" collapsed="false">
      <c r="A167" s="0" t="s">
        <v>671</v>
      </c>
      <c r="B167" s="0" t="s">
        <v>174</v>
      </c>
      <c r="D167" s="20" t="n">
        <f aca="false">gb_bw_26*hpx_bw*hbm_A_26/hbm_A_26/1000</f>
        <v>4.03</v>
      </c>
      <c r="E167" s="20" t="n">
        <f aca="false">gb_bw_27*hpx_bw*hbm_A_27/hbm_A_26/1000</f>
        <v>7.812</v>
      </c>
      <c r="F167" s="20" t="n">
        <f aca="false">gb_bw_28*hpx_bw*hbm_A_28/hbm_A_26/1000</f>
        <v>8.83872</v>
      </c>
      <c r="G167" s="20" t="n">
        <f aca="false">gb_bw_28*hpx_bw*hbm_A_29/hbm_A_26/1000</f>
        <v>8.396784</v>
      </c>
      <c r="H167" s="5" t="s">
        <v>672</v>
      </c>
    </row>
    <row r="168" customFormat="false" ht="17.15" hidden="false" customHeight="false" outlineLevel="0" collapsed="false">
      <c r="A168" s="0" t="s">
        <v>673</v>
      </c>
      <c r="B168" s="0" t="s">
        <v>174</v>
      </c>
      <c r="D168" s="20" t="n">
        <f aca="false">gb_rb_26*hpx_rb*hbm_A_26/hbm_A_26/1000</f>
        <v>4.8096</v>
      </c>
      <c r="E168" s="20" t="n">
        <f aca="false">gb_rb_27*hpx_rb*hbm_A_27/hbm_A_26/1000</f>
        <v>8.65728</v>
      </c>
      <c r="F168" s="20" t="n">
        <f aca="false">gb_rb_28*hpx_rb*hbm_A_28/hbm_A_26/1000</f>
        <v>9.523008</v>
      </c>
      <c r="G168" s="20" t="n">
        <f aca="false">gb_rb_28*hpx_rb*hbm_A_29/hbm_A_26/1000</f>
        <v>9.0468576</v>
      </c>
    </row>
    <row r="169" customFormat="false" ht="17.15" hidden="false" customHeight="false" outlineLevel="0" collapsed="false">
      <c r="A169" s="0" t="s">
        <v>674</v>
      </c>
      <c r="B169" s="0" t="s">
        <v>174</v>
      </c>
      <c r="D169" s="20" t="n">
        <f aca="false">gb_ru_26*hpx_ru*hbm_A_26/hbm_A_26/1000</f>
        <v>17.1008</v>
      </c>
      <c r="E169" s="20" t="n">
        <f aca="false">gb_ru_27*hpx_ru*hbm_A_27/hbm_A_26/1000</f>
        <v>30.78144</v>
      </c>
      <c r="F169" s="20" t="n">
        <f aca="false">gb_ru_28*hpx_ru*hbm_A_28/hbm_A_26/1000</f>
        <v>33.859584</v>
      </c>
      <c r="G169" s="20" t="n">
        <f aca="false">gb_ru_28*hpx_ru*hbm_A_29/hbm_A_26/1000</f>
        <v>32.1666048</v>
      </c>
    </row>
    <row r="170" customFormat="false" ht="17.15" hidden="false" customHeight="false" outlineLevel="0" collapsed="false">
      <c r="A170" s="0" t="s">
        <v>675</v>
      </c>
      <c r="B170" s="0" t="s">
        <v>174</v>
      </c>
      <c r="D170" s="20" t="n">
        <f aca="false">gb_hp_26*hpx_hp*hbm_A_26/hbm_A_26/1000</f>
        <v>2.1855</v>
      </c>
      <c r="E170" s="20" t="n">
        <f aca="false">gb_hp_27*hpx_hp*hbm_A_27/hbm_A_26/1000</f>
        <v>3.9339</v>
      </c>
      <c r="F170" s="20" t="n">
        <f aca="false">gb_hp_28*hpx_hp*hbm_A_28/hbm_A_26/1000</f>
        <v>4.32729</v>
      </c>
      <c r="G170" s="20" t="n">
        <f aca="false">gb_hp_28*hpx_hp*hbm_A_29/hbm_A_26/1000</f>
        <v>4.1109255</v>
      </c>
    </row>
    <row r="171" customFormat="false" ht="17.15" hidden="false" customHeight="false" outlineLevel="0" collapsed="false">
      <c r="A171" s="0" t="s">
        <v>676</v>
      </c>
      <c r="B171" s="0" t="s">
        <v>174</v>
      </c>
      <c r="D171" s="20" t="n">
        <f aca="false">1*c_nh*(pm_bw+pcpu_bw+plp_bw+k_tray*pres_bw)+D167+plp_bw*(cdx_A_26/cdx_A_26-1)</f>
        <v>11.8212823332139</v>
      </c>
      <c r="E171" s="20" t="n">
        <f aca="false">1*c_nh*(pm_bw+pcpu_bw+plp_bw+k_tray*pres_bw)+E167+plp_bw*(cdx_A_27/cdx_A_26-1)</f>
        <v>16.493918693312</v>
      </c>
      <c r="F171" s="20" t="n">
        <f aca="false">1*c_nh*(pm_bw+pcpu_bw+plp_bw+k_tray*pres_bw)+F167+plp_bw*(cdx_A_28/cdx_A_26-1)</f>
        <v>17.1392325750052</v>
      </c>
      <c r="G171" s="20" t="n">
        <f aca="false">1*c_nh*(pm_bw+pcpu_bw+plp_bw+k_tray*pres_bw)+G167+plp_bw*(cdx_A_29/cdx_A_26-1)</f>
        <v>16.3524568133889</v>
      </c>
      <c r="H171" s="5" t="s">
        <v>677</v>
      </c>
    </row>
    <row r="172" customFormat="false" ht="17.15" hidden="false" customHeight="false" outlineLevel="0" collapsed="false">
      <c r="A172" s="0" t="s">
        <v>678</v>
      </c>
      <c r="B172" s="0" t="s">
        <v>174</v>
      </c>
      <c r="D172" s="20" t="n">
        <f aca="false">1*c_nh*(pm_rb+pcpu_rb+plp_rb+k_tray*pres_rb)+D168+plp_rb*(cdx_A_26/cdx_A_26-1)</f>
        <v>16.7713963801093</v>
      </c>
      <c r="E172" s="20" t="n">
        <f aca="false">1*c_nh*(pm_rb+pcpu_rb+plp_rb+k_tray*pres_rb)+E168+plp_rb*(cdx_A_27/cdx_A_26-1)</f>
        <v>22.0860071969322</v>
      </c>
      <c r="F172" s="20" t="n">
        <f aca="false">1*c_nh*(pm_rb+pcpu_rb+plp_rb+k_tray*pres_rb)+F168+plp_rb*(cdx_A_28/cdx_A_26-1)</f>
        <v>22.3235367382399</v>
      </c>
      <c r="G172" s="20" t="n">
        <f aca="false">1*c_nh*(pm_rb+pcpu_rb+plp_rb+k_tray*pres_rb)+G168+plp_rb*(cdx_A_29/cdx_A_26-1)</f>
        <v>21.2794148339942</v>
      </c>
    </row>
    <row r="173" customFormat="false" ht="17.15" hidden="false" customHeight="false" outlineLevel="0" collapsed="false">
      <c r="A173" s="0" t="s">
        <v>679</v>
      </c>
      <c r="B173" s="0" t="s">
        <v>174</v>
      </c>
      <c r="D173" s="20" t="n">
        <f aca="false">1*c_nh*(pm_ru_lo+pcpu_ru+plp_ru+k_tray*pres_ru)+D169+plp_ru*(cdx_A_26/cdx_A_26-1)</f>
        <v>29.8913582501919</v>
      </c>
      <c r="E173" s="20" t="n">
        <f aca="false">1*c_nh*(pm_ru_lo+pcpu_ru+plp_ru+k_tray*pres_ru)+E169+plp_ru*(cdx_A_27/cdx_A_26-1)</f>
        <v>45.0389290670148</v>
      </c>
      <c r="F173" s="20" t="n">
        <f aca="false">1*c_nh*(pm_ru_lo+pcpu_ru+plp_ru+k_tray*pres_ru)+F169+plp_ru*(cdx_A_28/cdx_A_26-1)</f>
        <v>47.4888746083224</v>
      </c>
      <c r="G173" s="20" t="n">
        <f aca="false">1*c_nh*(pm_ru_lo+pcpu_ru+plp_ru+k_tray*pres_ru)+G169+plp_ru*(cdx_A_29/cdx_A_26-1)</f>
        <v>45.2279239040768</v>
      </c>
    </row>
    <row r="174" customFormat="false" ht="17.15" hidden="false" customHeight="false" outlineLevel="0" collapsed="false">
      <c r="A174" s="0" t="s">
        <v>680</v>
      </c>
      <c r="B174" s="0" t="s">
        <v>174</v>
      </c>
      <c r="D174" s="20" t="n">
        <f aca="false">1*c_nh*(pm_hp+pcpu_hp+plp_hp+k_tray*pres_hp)+D170+plp_hp*(cdx_A_26/cdx_A_26-1)</f>
        <v>7.15807122049545</v>
      </c>
      <c r="E174" s="20" t="n">
        <f aca="false">1*c_nh*(pm_hp+pcpu_hp+plp_hp+k_tray*pres_hp)+E170+plp_hp*(cdx_A_27/cdx_A_26-1)</f>
        <v>8.90647122049545</v>
      </c>
      <c r="F174" s="20" t="n">
        <f aca="false">1*c_nh*(pm_hp+pcpu_hp+plp_hp+k_tray*pres_hp)+F170+plp_hp*(cdx_A_28/cdx_A_26-1)</f>
        <v>9.29986122049545</v>
      </c>
      <c r="G174" s="20" t="n">
        <f aca="false">1*c_nh*(pm_hp+pcpu_hp+plp_hp+k_tray*pres_hp)+G170+plp_hp*(cdx_A_29/cdx_A_26-1)</f>
        <v>9.08349672049545</v>
      </c>
    </row>
    <row r="175" customFormat="false" ht="17.15" hidden="false" customHeight="false" outlineLevel="0" collapsed="false">
      <c r="A175" s="0" t="s">
        <v>681</v>
      </c>
      <c r="B175" s="0" t="s">
        <v>309</v>
      </c>
      <c r="D175" s="16" t="n">
        <f aca="false">D158*D163</f>
        <v>210.265388611651</v>
      </c>
      <c r="E175" s="16" t="n">
        <f aca="false">E158*E163</f>
        <v>97.7879411514472</v>
      </c>
      <c r="F175" s="16" t="n">
        <f aca="false">F158*F163</f>
        <v>20.4804480550745</v>
      </c>
      <c r="G175" s="16" t="n">
        <f aca="false">G158*G163</f>
        <v>10.1587562571685</v>
      </c>
    </row>
    <row r="176" customFormat="false" ht="17.15" hidden="false" customHeight="false" outlineLevel="0" collapsed="false">
      <c r="A176" s="0" t="s">
        <v>682</v>
      </c>
      <c r="B176" s="0" t="s">
        <v>309</v>
      </c>
      <c r="D176" s="16" t="n">
        <f aca="false">D159*D164</f>
        <v>101.627306400104</v>
      </c>
      <c r="E176" s="16" t="n">
        <f aca="false">E159*E164</f>
        <v>433.874021010427</v>
      </c>
      <c r="F176" s="16" t="n">
        <f aca="false">F159*F164</f>
        <v>434.562689988287</v>
      </c>
      <c r="G176" s="16" t="n">
        <f aca="false">G159*G164</f>
        <v>496.265789583488</v>
      </c>
    </row>
    <row r="177" customFormat="false" ht="17.15" hidden="false" customHeight="false" outlineLevel="0" collapsed="false">
      <c r="A177" s="0" t="s">
        <v>683</v>
      </c>
      <c r="B177" s="0" t="s">
        <v>309</v>
      </c>
      <c r="D177" s="16" t="n">
        <f aca="false">D160*D165</f>
        <v>0</v>
      </c>
      <c r="E177" s="16" t="n">
        <f aca="false">E160*E165</f>
        <v>21.0589580042209</v>
      </c>
      <c r="F177" s="16" t="n">
        <f aca="false">F160*F165</f>
        <v>142.422517008043</v>
      </c>
      <c r="G177" s="16" t="n">
        <f aca="false">G160*G165</f>
        <v>161.632052867209</v>
      </c>
    </row>
    <row r="178" customFormat="false" ht="17.15" hidden="false" customHeight="false" outlineLevel="0" collapsed="false">
      <c r="A178" s="0" t="s">
        <v>684</v>
      </c>
      <c r="B178" s="0" t="s">
        <v>309</v>
      </c>
      <c r="D178" s="16" t="n">
        <f aca="false">D161*D166</f>
        <v>12.4255638279615</v>
      </c>
      <c r="E178" s="16" t="n">
        <f aca="false">E161*E166</f>
        <v>0</v>
      </c>
      <c r="F178" s="16" t="n">
        <f aca="false">F161*F166</f>
        <v>0</v>
      </c>
      <c r="G178" s="16" t="n">
        <f aca="false">G161*G166</f>
        <v>0</v>
      </c>
    </row>
    <row r="179" customFormat="false" ht="17.15" hidden="false" customHeight="false" outlineLevel="0" collapsed="false">
      <c r="A179" s="5" t="s">
        <v>685</v>
      </c>
      <c r="B179" s="0" t="s">
        <v>309</v>
      </c>
      <c r="D179" s="16" t="n">
        <f aca="false">SUM(D175:D178)</f>
        <v>324.318258839716</v>
      </c>
      <c r="E179" s="16" t="n">
        <f aca="false">SUM(E175:E178)</f>
        <v>552.720920166095</v>
      </c>
      <c r="F179" s="16" t="n">
        <f aca="false">SUM(F175:F178)</f>
        <v>597.465655051405</v>
      </c>
      <c r="G179" s="16" t="n">
        <f aca="false">SUM(G175:G178)</f>
        <v>668.056598707865</v>
      </c>
    </row>
    <row r="180" customFormat="false" ht="15" hidden="false" customHeight="false" outlineLevel="0" collapsed="false">
      <c r="A180" s="5" t="s">
        <v>686</v>
      </c>
      <c r="B180" s="0" t="s">
        <v>309</v>
      </c>
      <c r="D180" s="16" t="n">
        <f aca="false">D158*D171+D159*D172+D160*D173+D161*D174</f>
        <v>79.4617574019149</v>
      </c>
      <c r="E180" s="16" t="n">
        <f aca="false">E158*E171+E159*E172+E160*E173+E161*E174</f>
        <v>172.051923070956</v>
      </c>
      <c r="F180" s="16" t="n">
        <f aca="false">F158*F171+F159*F172+F160*F173+F161*F174</f>
        <v>215.220807569129</v>
      </c>
      <c r="G180" s="16" t="n">
        <f aca="false">G158*G171+G159*G172+G160*G173+G161*G174</f>
        <v>231.45646835993</v>
      </c>
    </row>
    <row r="181" customFormat="false" ht="17.15" hidden="false" customHeight="false" outlineLevel="0" collapsed="false">
      <c r="A181" s="5" t="s">
        <v>687</v>
      </c>
      <c r="B181" s="0" t="s">
        <v>309</v>
      </c>
      <c r="D181" s="16" t="n">
        <f aca="false">D158*D167+D159*D168+D160*D169+D161*D170</f>
        <v>25.7052360623293</v>
      </c>
      <c r="E181" s="16" t="n">
        <f aca="false">E158*E167+E159*E168+E160*E169+E161*E170</f>
        <v>73.3805687896262</v>
      </c>
      <c r="F181" s="16" t="n">
        <f aca="false">F158*F167+F159*F168+F160*F169+F161*F170</f>
        <v>114.977539352433</v>
      </c>
      <c r="G181" s="16" t="n">
        <f aca="false">G158*G167+G159*G168+G160*G169+G161*G170</f>
        <v>123.352374939132</v>
      </c>
    </row>
    <row r="182" customFormat="false" ht="17.15" hidden="false" customHeight="false" outlineLevel="0" collapsed="false">
      <c r="A182" s="5" t="s">
        <v>688</v>
      </c>
      <c r="B182" s="0" t="s">
        <v>309</v>
      </c>
      <c r="D182" s="16" t="n">
        <f aca="false">0</f>
        <v>0</v>
      </c>
      <c r="E182" s="16" t="n">
        <f aca="false">0</f>
        <v>0</v>
      </c>
      <c r="F182" s="16" t="n">
        <f aca="false">0</f>
        <v>0</v>
      </c>
      <c r="G182" s="16" t="n">
        <f aca="false">0</f>
        <v>0</v>
      </c>
    </row>
    <row r="183" customFormat="false" ht="15" hidden="false" customHeight="false" outlineLevel="0" collapsed="false">
      <c r="A183" s="5" t="s">
        <v>689</v>
      </c>
      <c r="B183" s="0" t="s">
        <v>309</v>
      </c>
      <c r="D183" s="16" t="n">
        <f aca="false">D182*D180/D179</f>
        <v>0</v>
      </c>
      <c r="E183" s="16" t="n">
        <f aca="false">E182*E180/E179</f>
        <v>0</v>
      </c>
      <c r="F183" s="16" t="n">
        <f aca="false">F182*F180/F179</f>
        <v>0</v>
      </c>
      <c r="G183" s="16" t="n">
        <f aca="false">G182*G180/G179</f>
        <v>0</v>
      </c>
    </row>
    <row r="184" customFormat="false" ht="17.15" hidden="false" customHeight="false" outlineLevel="0" collapsed="false">
      <c r="A184" s="0" t="s">
        <v>690</v>
      </c>
      <c r="B184" s="0" t="s">
        <v>309</v>
      </c>
      <c r="D184" s="16" t="n">
        <f aca="false">net_26*1*D157</f>
        <v>51.1385386602837</v>
      </c>
      <c r="E184" s="16" t="n">
        <f aca="false">net_27*1*E157</f>
        <v>101.465551321399</v>
      </c>
      <c r="F184" s="16" t="n">
        <f aca="false">net_28*um28_A*F157</f>
        <v>114.826126401851</v>
      </c>
      <c r="G184" s="16" t="n">
        <f aca="false">net_29*um29_A*G157</f>
        <v>130.302507852582</v>
      </c>
      <c r="H184" s="8" t="s">
        <v>691</v>
      </c>
    </row>
    <row r="185" customFormat="false" ht="17.15" hidden="false" customHeight="false" outlineLevel="0" collapsed="false">
      <c r="A185" s="5" t="s">
        <v>692</v>
      </c>
      <c r="B185" s="0" t="s">
        <v>309</v>
      </c>
      <c r="D185" s="16" t="n">
        <f aca="false">c_net*D184</f>
        <v>15.3415615980851</v>
      </c>
      <c r="E185" s="16" t="n">
        <f aca="false">c_net*E184</f>
        <v>30.4396653964198</v>
      </c>
      <c r="F185" s="16" t="n">
        <f aca="false">c_net*F184</f>
        <v>34.4478379205554</v>
      </c>
      <c r="G185" s="16" t="n">
        <f aca="false">c_net*G184</f>
        <v>39.0907523557747</v>
      </c>
    </row>
    <row r="186" customFormat="false" ht="17.15" hidden="false" customHeight="false" outlineLevel="0" collapsed="false">
      <c r="A186" s="0" t="s">
        <v>693</v>
      </c>
      <c r="B186" s="0" t="s">
        <v>309</v>
      </c>
      <c r="D186" s="16" t="n">
        <f aca="false">a27_edge</f>
        <v>29.1792025</v>
      </c>
      <c r="E186" s="16" t="n">
        <f aca="false">D186*(1+eg)</f>
        <v>31.5135387</v>
      </c>
      <c r="F186" s="16" t="n">
        <f aca="false">E186*(1+eg)</f>
        <v>34.034621796</v>
      </c>
      <c r="G186" s="16" t="n">
        <f aca="false">F186*(1+eg)</f>
        <v>36.75739153968</v>
      </c>
    </row>
    <row r="187" customFormat="false" ht="17.15" hidden="false" customHeight="false" outlineLevel="0" collapsed="false">
      <c r="A187" s="0" t="s">
        <v>694</v>
      </c>
      <c r="B187" s="0" t="s">
        <v>309</v>
      </c>
      <c r="D187" s="16" t="n">
        <f aca="false">(1-gm_edge)*D186</f>
        <v>11.671681</v>
      </c>
      <c r="E187" s="16" t="n">
        <f aca="false">(1-gm_edge)*E186</f>
        <v>12.60541548</v>
      </c>
      <c r="F187" s="16" t="n">
        <f aca="false">(1-gm_edge)*F186</f>
        <v>13.6138487184</v>
      </c>
      <c r="G187" s="16" t="n">
        <f aca="false">(1-gm_edge)*G186</f>
        <v>14.702956615872</v>
      </c>
    </row>
    <row r="188" customFormat="false" ht="15" hidden="false" customHeight="false" outlineLevel="0" collapsed="false">
      <c r="A188" s="5" t="s">
        <v>695</v>
      </c>
      <c r="B188" s="0" t="s">
        <v>309</v>
      </c>
      <c r="D188" s="16" t="n">
        <f aca="false">D179+D182+D184+D186</f>
        <v>404.636</v>
      </c>
      <c r="E188" s="16" t="n">
        <f aca="false">E179+E182+E184+E186</f>
        <v>685.700010187495</v>
      </c>
      <c r="F188" s="16" t="n">
        <f aca="false">F179+F182+F184+F186</f>
        <v>746.326403249256</v>
      </c>
      <c r="G188" s="16" t="n">
        <f aca="false">G179+G182+G184+G186</f>
        <v>835.116498100128</v>
      </c>
    </row>
    <row r="189" customFormat="false" ht="15" hidden="false" customHeight="false" outlineLevel="0" collapsed="false">
      <c r="A189" s="5" t="s">
        <v>696</v>
      </c>
      <c r="B189" s="0" t="s">
        <v>309</v>
      </c>
      <c r="D189" s="16" t="n">
        <f aca="false">D180+D183+D185+D187</f>
        <v>106.475</v>
      </c>
      <c r="E189" s="16" t="n">
        <f aca="false">E180+E183+E185+E187</f>
        <v>215.097003947376</v>
      </c>
      <c r="F189" s="16" t="n">
        <f aca="false">F180+F183+F185+F187</f>
        <v>263.282494208084</v>
      </c>
      <c r="G189" s="16" t="n">
        <f aca="false">G180+G183+G185+G187</f>
        <v>285.250177331576</v>
      </c>
    </row>
    <row r="190" customFormat="false" ht="17.15" hidden="false" customHeight="false" outlineLevel="0" collapsed="false">
      <c r="A190" s="5" t="s">
        <v>697</v>
      </c>
      <c r="B190" s="0" t="s">
        <v>41</v>
      </c>
      <c r="D190" s="17" t="n">
        <f aca="false">1-D189/D188</f>
        <v>0.736862266333198</v>
      </c>
      <c r="E190" s="17" t="n">
        <f aca="false">1-E189/E188</f>
        <v>0.686310338702546</v>
      </c>
      <c r="F190" s="17" t="n">
        <f aca="false">1-F189/F188</f>
        <v>0.647228755324962</v>
      </c>
      <c r="G190" s="17" t="n">
        <f aca="false">1-G189/G188</f>
        <v>0.65843067646189</v>
      </c>
      <c r="H190" s="8" t="s">
        <v>698</v>
      </c>
    </row>
    <row r="191" customFormat="false" ht="17.15" hidden="false" customHeight="false" outlineLevel="0" collapsed="false">
      <c r="A191" s="0" t="s">
        <v>699</v>
      </c>
      <c r="B191" s="0" t="s">
        <v>41</v>
      </c>
      <c r="D191" s="17" t="n">
        <f aca="false">D181/D188</f>
        <v>0.0635268143771917</v>
      </c>
      <c r="E191" s="17" t="n">
        <f aca="false">E181/E188</f>
        <v>0.107015557385746</v>
      </c>
      <c r="F191" s="17" t="n">
        <f aca="false">F181/F188</f>
        <v>0.154057981671102</v>
      </c>
      <c r="G191" s="17" t="n">
        <f aca="false">G181/G188</f>
        <v>0.147706787280285</v>
      </c>
    </row>
    <row r="192" customFormat="false" ht="17.15" hidden="false" customHeight="false" outlineLevel="0" collapsed="false">
      <c r="A192" s="1" t="s">
        <v>700</v>
      </c>
    </row>
    <row r="193" customFormat="false" ht="15" hidden="false" customHeight="false" outlineLevel="0" collapsed="false">
      <c r="A193" s="5" t="s">
        <v>527</v>
      </c>
      <c r="B193" s="0" t="s">
        <v>309</v>
      </c>
      <c r="C193" s="16" t="n">
        <f aca="false">a26_rev</f>
        <v>215.938</v>
      </c>
      <c r="D193" s="16" t="n">
        <f aca="false">a27_rev</f>
        <v>404.636</v>
      </c>
      <c r="E193" s="16" t="n">
        <f aca="false">E188</f>
        <v>685.700010187495</v>
      </c>
      <c r="F193" s="16" t="n">
        <f aca="false">F188</f>
        <v>746.326403249256</v>
      </c>
      <c r="G193" s="16" t="n">
        <f aca="false">G188</f>
        <v>835.116498100128</v>
      </c>
    </row>
    <row r="194" customFormat="false" ht="17.15" hidden="false" customHeight="false" outlineLevel="0" collapsed="false">
      <c r="A194" s="0" t="s">
        <v>701</v>
      </c>
      <c r="B194" s="0" t="s">
        <v>309</v>
      </c>
      <c r="C194" s="16" t="n">
        <f aca="false">a26_dc</f>
        <v>193.7</v>
      </c>
      <c r="D194" s="16" t="n">
        <f aca="false">a27_dc</f>
        <v>375.4567975</v>
      </c>
      <c r="E194" s="16" t="n">
        <f aca="false">E179+E182+E184</f>
        <v>654.186471487495</v>
      </c>
      <c r="F194" s="16" t="n">
        <f aca="false">F179+F182+F184</f>
        <v>712.291781453256</v>
      </c>
      <c r="G194" s="16" t="n">
        <f aca="false">G179+G182+G184</f>
        <v>798.359106560448</v>
      </c>
    </row>
    <row r="195" customFormat="false" ht="15" hidden="false" customHeight="false" outlineLevel="0" collapsed="false">
      <c r="A195" s="0" t="s">
        <v>647</v>
      </c>
      <c r="B195" s="0" t="s">
        <v>309</v>
      </c>
      <c r="C195" s="16" t="n">
        <f aca="false">a26_edge</f>
        <v>22.238</v>
      </c>
      <c r="D195" s="16" t="n">
        <f aca="false">a27_edge</f>
        <v>29.1792025</v>
      </c>
      <c r="E195" s="16" t="n">
        <f aca="false">E186</f>
        <v>31.5135387</v>
      </c>
      <c r="F195" s="16" t="n">
        <f aca="false">F186</f>
        <v>34.034621796</v>
      </c>
      <c r="G195" s="16" t="n">
        <f aca="false">G186</f>
        <v>36.75739153968</v>
      </c>
    </row>
    <row r="196" customFormat="false" ht="15" hidden="false" customHeight="false" outlineLevel="0" collapsed="false">
      <c r="A196" s="5" t="s">
        <v>702</v>
      </c>
      <c r="B196" s="0" t="s">
        <v>41</v>
      </c>
      <c r="D196" s="17" t="n">
        <f aca="false">D193/C193-1</f>
        <v>0.873852679935908</v>
      </c>
      <c r="E196" s="17" t="n">
        <f aca="false">E193/D193-1</f>
        <v>0.694609501348112</v>
      </c>
      <c r="F196" s="17" t="n">
        <f aca="false">F193/E193-1</f>
        <v>0.0884153305542228</v>
      </c>
      <c r="G196" s="17" t="n">
        <f aca="false">G193/F193-1</f>
        <v>0.118969521196502</v>
      </c>
    </row>
    <row r="197" customFormat="false" ht="15" hidden="false" customHeight="false" outlineLevel="0" collapsed="false">
      <c r="A197" s="5" t="s">
        <v>703</v>
      </c>
      <c r="B197" s="0" t="s">
        <v>309</v>
      </c>
      <c r="C197" s="16" t="n">
        <f aca="false">a26_gp</f>
        <v>153.463</v>
      </c>
      <c r="D197" s="16" t="n">
        <f aca="false">a27_gp</f>
        <v>298.161</v>
      </c>
      <c r="E197" s="16" t="n">
        <f aca="false">E193-E189</f>
        <v>470.603006240119</v>
      </c>
      <c r="F197" s="16" t="n">
        <f aca="false">F193-F189</f>
        <v>483.043909041172</v>
      </c>
      <c r="G197" s="16" t="n">
        <f aca="false">G193-G189</f>
        <v>549.866320768551</v>
      </c>
    </row>
    <row r="198" customFormat="false" ht="15" hidden="false" customHeight="false" outlineLevel="0" collapsed="false">
      <c r="A198" s="5" t="s">
        <v>543</v>
      </c>
      <c r="B198" s="0" t="s">
        <v>41</v>
      </c>
      <c r="C198" s="17" t="n">
        <f aca="false">C197/C193</f>
        <v>0.710680843575471</v>
      </c>
      <c r="D198" s="17" t="n">
        <f aca="false">D197/D193</f>
        <v>0.736862266333198</v>
      </c>
      <c r="E198" s="17" t="n">
        <f aca="false">E197/E193</f>
        <v>0.686310338702546</v>
      </c>
      <c r="F198" s="17" t="n">
        <f aca="false">F197/F193</f>
        <v>0.647228755324962</v>
      </c>
      <c r="G198" s="17" t="n">
        <f aca="false">G197/G193</f>
        <v>0.65843067646189</v>
      </c>
    </row>
    <row r="199" customFormat="false" ht="17.15" hidden="false" customHeight="false" outlineLevel="0" collapsed="false">
      <c r="A199" s="5" t="s">
        <v>704</v>
      </c>
      <c r="B199" s="0" t="s">
        <v>309</v>
      </c>
      <c r="C199" s="16" t="n">
        <f aca="false">a26_opx</f>
        <v>23.076</v>
      </c>
      <c r="D199" s="16" t="n">
        <f aca="false">a27_opx</f>
        <v>35.165</v>
      </c>
      <c r="E199" s="16" t="n">
        <f aca="false">D199*(1+MAX(g_opx_min,phi*E196))</f>
        <v>49.8205658689438</v>
      </c>
      <c r="F199" s="16" t="n">
        <f aca="false">E199*(1+MAX(g_opx_min,phi*F196))</f>
        <v>52.4635069487645</v>
      </c>
      <c r="G199" s="16" t="n">
        <f aca="false">F199*(1+MAX(g_opx_min,phi*G196))</f>
        <v>56.2084419299548</v>
      </c>
      <c r="H199" s="5" t="s">
        <v>705</v>
      </c>
    </row>
    <row r="200" customFormat="false" ht="15" hidden="false" customHeight="false" outlineLevel="0" collapsed="false">
      <c r="A200" s="5" t="s">
        <v>706</v>
      </c>
      <c r="B200" s="0" t="s">
        <v>309</v>
      </c>
      <c r="C200" s="16" t="n">
        <f aca="false">C199</f>
        <v>23.076</v>
      </c>
      <c r="D200" s="16" t="n">
        <f aca="false">D199</f>
        <v>35.165</v>
      </c>
      <c r="E200" s="16" t="n">
        <f aca="false">E199+0*E193</f>
        <v>49.8205658689438</v>
      </c>
      <c r="F200" s="16" t="n">
        <f aca="false">F199+0*F193</f>
        <v>52.4635069487645</v>
      </c>
      <c r="G200" s="16" t="n">
        <f aca="false">G199+0*G193</f>
        <v>56.2084419299548</v>
      </c>
    </row>
    <row r="201" customFormat="false" ht="15" hidden="false" customHeight="false" outlineLevel="0" collapsed="false">
      <c r="A201" s="5" t="s">
        <v>546</v>
      </c>
      <c r="B201" s="0" t="s">
        <v>309</v>
      </c>
      <c r="C201" s="16" t="n">
        <f aca="false">C197-C200</f>
        <v>130.387</v>
      </c>
      <c r="D201" s="16" t="n">
        <f aca="false">D197-D200</f>
        <v>262.996</v>
      </c>
      <c r="E201" s="16" t="n">
        <f aca="false">E197-E200</f>
        <v>420.782440371175</v>
      </c>
      <c r="F201" s="16" t="n">
        <f aca="false">F197-F200</f>
        <v>430.580402092407</v>
      </c>
      <c r="G201" s="16" t="n">
        <f aca="false">G197-G200</f>
        <v>493.657878838597</v>
      </c>
    </row>
    <row r="202" customFormat="false" ht="15" hidden="false" customHeight="false" outlineLevel="0" collapsed="false">
      <c r="A202" s="5" t="s">
        <v>648</v>
      </c>
      <c r="B202" s="0" t="s">
        <v>41</v>
      </c>
      <c r="C202" s="17" t="n">
        <f aca="false">C201/C193</f>
        <v>0.603816836314127</v>
      </c>
      <c r="D202" s="17" t="n">
        <f aca="false">D201/D193</f>
        <v>0.649956998388675</v>
      </c>
      <c r="E202" s="17" t="n">
        <f aca="false">E201/E193</f>
        <v>0.6136538342126</v>
      </c>
      <c r="F202" s="17" t="n">
        <f aca="false">F201/F193</f>
        <v>0.576933095516659</v>
      </c>
      <c r="G202" s="17" t="n">
        <f aca="false">G201/G193</f>
        <v>0.59112456760423</v>
      </c>
    </row>
    <row r="203" customFormat="false" ht="15" hidden="false" customHeight="false" outlineLevel="0" collapsed="false">
      <c r="A203" s="5" t="s">
        <v>551</v>
      </c>
      <c r="B203" s="0" t="s">
        <v>309</v>
      </c>
      <c r="C203" s="20" t="n">
        <f aca="false">a26_oth</f>
        <v>2.145</v>
      </c>
      <c r="D203" s="20" t="n">
        <f aca="false">a27_oth</f>
        <v>1.133</v>
      </c>
      <c r="E203" s="20" t="n">
        <f aca="false">oth_f</f>
        <v>1.2</v>
      </c>
      <c r="F203" s="20" t="n">
        <f aca="false">oth_f</f>
        <v>1.2</v>
      </c>
      <c r="G203" s="20" t="n">
        <f aca="false">oth_f</f>
        <v>1.2</v>
      </c>
    </row>
    <row r="204" customFormat="false" ht="15" hidden="false" customHeight="false" outlineLevel="0" collapsed="false">
      <c r="A204" s="5" t="s">
        <v>560</v>
      </c>
      <c r="B204" s="0" t="s">
        <v>41</v>
      </c>
      <c r="C204" s="17" t="n">
        <f aca="false">1-a26_ni/(a26_oi+a26_oth)</f>
        <v>0.151187565812244</v>
      </c>
      <c r="D204" s="17" t="n">
        <f aca="false">a27_etr</f>
        <v>0.167980835756566</v>
      </c>
      <c r="E204" s="17" t="n">
        <f aca="false">tx_f</f>
        <v>0.17</v>
      </c>
      <c r="F204" s="17" t="n">
        <f aca="false">tx_f</f>
        <v>0.17</v>
      </c>
      <c r="G204" s="17" t="n">
        <f aca="false">tx_f</f>
        <v>0.17</v>
      </c>
    </row>
    <row r="205" customFormat="false" ht="15" hidden="false" customHeight="false" outlineLevel="0" collapsed="false">
      <c r="A205" s="5" t="s">
        <v>649</v>
      </c>
      <c r="B205" s="0" t="s">
        <v>309</v>
      </c>
      <c r="C205" s="16" t="n">
        <f aca="false">a26_ni</f>
        <v>112.494809527772</v>
      </c>
      <c r="D205" s="16" t="n">
        <f aca="false">a27_ni</f>
        <v>219.760389832454</v>
      </c>
      <c r="E205" s="16" t="n">
        <f aca="false">(E201+E203)*(1-E204)</f>
        <v>350.245425508075</v>
      </c>
      <c r="F205" s="16" t="n">
        <f aca="false">(F201+F203)*(1-F204)</f>
        <v>358.377733736698</v>
      </c>
      <c r="G205" s="16" t="n">
        <f aca="false">(G201+G203)*(1-G204)</f>
        <v>410.732039436035</v>
      </c>
    </row>
    <row r="206" customFormat="false" ht="15" hidden="false" customHeight="false" outlineLevel="0" collapsed="false">
      <c r="A206" s="5" t="s">
        <v>707</v>
      </c>
      <c r="B206" s="5" t="s">
        <v>708</v>
      </c>
      <c r="C206" s="18" t="n">
        <f aca="false">a26_sh</f>
        <v>24.5145</v>
      </c>
      <c r="D206" s="18" t="n">
        <f aca="false">a27_sh</f>
        <v>24.25691339125</v>
      </c>
      <c r="E206" s="18" t="n">
        <f aca="false">D206*(1+sh_g)</f>
        <v>23.965830430555</v>
      </c>
      <c r="F206" s="18" t="n">
        <f aca="false">E206*(1+sh_g)</f>
        <v>23.6782404653883</v>
      </c>
      <c r="G206" s="18" t="n">
        <f aca="false">F206*(1+sh_g)</f>
        <v>23.3941015798037</v>
      </c>
    </row>
    <row r="207" customFormat="false" ht="17.15" hidden="false" customHeight="false" outlineLevel="0" collapsed="false">
      <c r="A207" s="0" t="s">
        <v>650</v>
      </c>
      <c r="B207" s="0" t="s">
        <v>420</v>
      </c>
      <c r="C207" s="20" t="n">
        <f aca="false">C205/C206</f>
        <v>4.58890899376988</v>
      </c>
      <c r="D207" s="20" t="n">
        <f aca="false">D205/D206</f>
        <v>9.05970130196888</v>
      </c>
      <c r="E207" s="20" t="n">
        <f aca="false">E205/E206</f>
        <v>14.6143663380649</v>
      </c>
      <c r="F207" s="20" t="n">
        <f aca="false">F205/F206</f>
        <v>15.1353194617884</v>
      </c>
      <c r="G207" s="20" t="n">
        <f aca="false">G205/G206</f>
        <v>17.5570768569554</v>
      </c>
    </row>
    <row r="208" customFormat="false" ht="17.15" hidden="false" customHeight="false" outlineLevel="0" collapsed="false">
      <c r="A208" s="0" t="s">
        <v>709</v>
      </c>
      <c r="B208" s="0" t="s">
        <v>41</v>
      </c>
      <c r="D208" s="17" t="n">
        <f aca="false">D207/C207-1</f>
        <v>0.974260399207908</v>
      </c>
      <c r="E208" s="17" t="n">
        <f aca="false">E207/D207-1</f>
        <v>0.613117899912318</v>
      </c>
      <c r="F208" s="17" t="n">
        <f aca="false">F207/E207-1</f>
        <v>0.0356466446558543</v>
      </c>
      <c r="G208" s="17" t="n">
        <f aca="false">G207/F207-1</f>
        <v>0.160007022070537</v>
      </c>
    </row>
    <row r="211" customFormat="false" ht="17.15" hidden="false" customHeight="false" outlineLevel="0" collapsed="false">
      <c r="A211" s="4" t="s">
        <v>1093</v>
      </c>
    </row>
    <row r="212" customFormat="false" ht="15" hidden="false" customHeight="false" outlineLevel="0" collapsed="false">
      <c r="A212" s="6" t="s">
        <v>19</v>
      </c>
      <c r="B212" s="6" t="s">
        <v>20</v>
      </c>
      <c r="C212" s="12" t="s">
        <v>639</v>
      </c>
      <c r="D212" s="12" t="s">
        <v>640</v>
      </c>
      <c r="E212" s="12" t="s">
        <v>641</v>
      </c>
      <c r="F212" s="12" t="s">
        <v>642</v>
      </c>
      <c r="G212" s="12" t="s">
        <v>643</v>
      </c>
      <c r="H212" s="6" t="s">
        <v>592</v>
      </c>
    </row>
    <row r="213" customFormat="false" ht="17.15" hidden="false" customHeight="false" outlineLevel="0" collapsed="false">
      <c r="A213" s="1" t="s">
        <v>658</v>
      </c>
    </row>
    <row r="214" customFormat="false" ht="17.15" hidden="false" customHeight="false" outlineLevel="0" collapsed="false">
      <c r="A214" s="0" t="s">
        <v>659</v>
      </c>
      <c r="B214" s="0" t="s">
        <v>126</v>
      </c>
      <c r="D214" s="18" t="n">
        <f aca="false">k_rec</f>
        <v>0.828370921864097</v>
      </c>
      <c r="E214" s="18" t="n">
        <f aca="false">k_rec*1</f>
        <v>0.828370921864097</v>
      </c>
      <c r="F214" s="18" t="n">
        <f aca="false">k_rec*1</f>
        <v>0.828370921864097</v>
      </c>
      <c r="G214" s="18" t="n">
        <f aca="false">k_rec*1</f>
        <v>0.828370921864097</v>
      </c>
    </row>
    <row r="215" customFormat="false" ht="17.15" hidden="false" customHeight="false" outlineLevel="0" collapsed="false">
      <c r="A215" s="0" t="s">
        <v>660</v>
      </c>
      <c r="B215" s="5" t="s">
        <v>30</v>
      </c>
      <c r="D215" s="20" t="n">
        <f aca="false">(u_bw_26)*D214</f>
        <v>4.47320297806612</v>
      </c>
      <c r="E215" s="20" t="n">
        <f aca="false">(u_bw_27)*E214</f>
        <v>1.98809021247383</v>
      </c>
      <c r="F215" s="20" t="n">
        <f aca="false">(u_bw_28*um28_A)*F214</f>
        <v>0.414185460932049</v>
      </c>
      <c r="G215" s="20" t="n">
        <f aca="false">(u_bw_28*(1+g29_bw)*um29_A)*G214</f>
        <v>0.207092730466024</v>
      </c>
    </row>
    <row r="216" customFormat="false" ht="17.15" hidden="false" customHeight="false" outlineLevel="0" collapsed="false">
      <c r="A216" s="0" t="s">
        <v>661</v>
      </c>
      <c r="B216" s="5" t="s">
        <v>30</v>
      </c>
      <c r="D216" s="20" t="n">
        <f aca="false">(u_rb_26)*D214</f>
        <v>1.40823056716896</v>
      </c>
      <c r="E216" s="20" t="n">
        <f aca="false">(u_rb_27)*E214</f>
        <v>5.79859645304868</v>
      </c>
      <c r="F216" s="20" t="n">
        <f aca="false">(u_rb_28*um28_A)*F214</f>
        <v>5.79859645304868</v>
      </c>
      <c r="G216" s="20" t="n">
        <f aca="false">(u_rb_28*(1+g29_rb)*um29_A)*G214</f>
        <v>6.66838592100598</v>
      </c>
    </row>
    <row r="217" customFormat="false" ht="17.15" hidden="false" customHeight="false" outlineLevel="0" collapsed="false">
      <c r="A217" s="0" t="s">
        <v>662</v>
      </c>
      <c r="B217" s="5" t="s">
        <v>30</v>
      </c>
      <c r="D217" s="20" t="n">
        <f aca="false">(u_ru_26)*D214</f>
        <v>0</v>
      </c>
      <c r="E217" s="20" t="n">
        <f aca="false">(u_ru_27)*E214</f>
        <v>0.248511276559229</v>
      </c>
      <c r="F217" s="20" t="n">
        <f aca="false">(u_ru_28*um28_A)*F214</f>
        <v>1.65674184372819</v>
      </c>
      <c r="G217" s="20" t="n">
        <f aca="false">(u_ru_28*(1+g29_ru)*um29_A)*G214</f>
        <v>1.90525312028742</v>
      </c>
    </row>
    <row r="218" customFormat="false" ht="17.15" hidden="false" customHeight="false" outlineLevel="0" collapsed="false">
      <c r="A218" s="0" t="s">
        <v>663</v>
      </c>
      <c r="B218" s="5" t="s">
        <v>30</v>
      </c>
      <c r="D218" s="20" t="n">
        <f aca="false">(u_hp_26)*D214</f>
        <v>0.414185460932049</v>
      </c>
      <c r="E218" s="20" t="n">
        <f aca="false">(u_hp_27)*E214</f>
        <v>0</v>
      </c>
      <c r="F218" s="20" t="n">
        <f aca="false">(u_hp_28*um28_A)*F214</f>
        <v>0</v>
      </c>
      <c r="G218" s="20" t="n">
        <f aca="false">(u_hp_28*(1+g29_hp)*um29_A)*G214</f>
        <v>0</v>
      </c>
    </row>
    <row r="219" customFormat="false" ht="17.15" hidden="false" customHeight="false" outlineLevel="0" collapsed="false">
      <c r="A219" s="0" t="s">
        <v>664</v>
      </c>
      <c r="B219" s="5" t="s">
        <v>30</v>
      </c>
      <c r="D219" s="20" t="n">
        <f aca="false">SUM(D215:D218)</f>
        <v>6.29561900616714</v>
      </c>
      <c r="E219" s="20" t="n">
        <f aca="false">SUM(E215:E218)</f>
        <v>8.03519794208174</v>
      </c>
      <c r="F219" s="20" t="n">
        <f aca="false">SUM(F215:F218)</f>
        <v>7.86952375770892</v>
      </c>
      <c r="G219" s="20" t="n">
        <f aca="false">SUM(G215:G218)</f>
        <v>8.78073177175943</v>
      </c>
      <c r="H219" s="8" t="s">
        <v>665</v>
      </c>
    </row>
    <row r="220" customFormat="false" ht="17.15" hidden="false" customHeight="false" outlineLevel="0" collapsed="false">
      <c r="A220" s="0" t="s">
        <v>666</v>
      </c>
      <c r="B220" s="0" t="s">
        <v>174</v>
      </c>
      <c r="D220" s="20" t="n">
        <f aca="false">1*(pm_bw+pcpu_bw+plp_bw+k_tray*pres_bw)+(1-abs_mem)*(gb_bw_26*hpx_bw*(hbm_A_26/hbm_A_26-1)/1000+plp_bw*(cdx_A_26/cdx_A_26-1))</f>
        <v>47.005555</v>
      </c>
      <c r="E220" s="20" t="n">
        <f aca="false">1*(pm_bw+pcpu_bw+plp_bw+k_tray*pres_bw)+(1-abs_mem)*(gb_bw_27*hpx_bw*(hbm_A_27/hbm_A_26-1)/1000+plp_bw*(cdx_A_27/cdx_A_26-1))</f>
        <v>49.1868731800491</v>
      </c>
      <c r="F220" s="20" t="n">
        <f aca="false">1*(pm_bw+pcpu_bw+plp_bw+k_tray*pres_bw)+(1-abs_mem)*(gb_bw_28*hpx_bw*(hbm_A_28/hbm_A_26-1)/1000+plp_bw*(cdx_A_28/cdx_A_26-1))</f>
        <v>49.4475301208957</v>
      </c>
      <c r="G220" s="20" t="n">
        <f aca="false">1*(pm_bw+pcpu_bw+plp_bw+k_tray*pres_bw)+(1-abs_mem)*(gb_bw_28*hpx_bw*(hbm_A_29/hbm_A_26-1)/1000+plp_bw*(cdx_A_29/cdx_A_26-1))</f>
        <v>49.0541422400875</v>
      </c>
      <c r="H220" s="5" t="s">
        <v>667</v>
      </c>
    </row>
    <row r="221" customFormat="false" ht="17.15" hidden="false" customHeight="false" outlineLevel="0" collapsed="false">
      <c r="A221" s="0" t="s">
        <v>668</v>
      </c>
      <c r="B221" s="0" t="s">
        <v>174</v>
      </c>
      <c r="D221" s="20" t="n">
        <f aca="false">1*(pm_rb+pcpu_rb+plp_rb+k_tray*pres_rb)+(1-abs_mem)*(gb_rb_26*hpx_rb*(hbm_A_26/hbm_A_26-1)/1000+plp_rb*(cdx_A_26/cdx_A_26-1))</f>
        <v>72.166667</v>
      </c>
      <c r="E221" s="20" t="n">
        <f aca="false">1*(pm_rb+pcpu_rb+plp_rb+k_tray*pres_rb)+(1-abs_mem)*(gb_rb_27*hpx_rb*(hbm_A_27/hbm_A_26-1)/1000+plp_rb*(cdx_A_27/cdx_A_26-1))</f>
        <v>74.8239724084115</v>
      </c>
      <c r="F221" s="20" t="n">
        <f aca="false">1*(pm_rb+pcpu_rb+plp_rb+k_tray*pres_rb)+(1-abs_mem)*(gb_rb_28*hpx_rb*(hbm_A_28/hbm_A_26-1)/1000+plp_rb*(cdx_A_28/cdx_A_26-1))</f>
        <v>74.9427371790653</v>
      </c>
      <c r="G221" s="20" t="n">
        <f aca="false">1*(pm_rb+pcpu_rb+plp_rb+k_tray*pres_rb)+(1-abs_mem)*(gb_rb_28*hpx_rb*(hbm_A_29/hbm_A_26-1)/1000+plp_rb*(cdx_A_29/cdx_A_26-1))</f>
        <v>74.4206762269425</v>
      </c>
    </row>
    <row r="222" customFormat="false" ht="17.15" hidden="false" customHeight="false" outlineLevel="0" collapsed="false">
      <c r="A222" s="0" t="s">
        <v>669</v>
      </c>
      <c r="B222" s="0" t="s">
        <v>174</v>
      </c>
      <c r="D222" s="20" t="n">
        <f aca="false">1*(pm_ru_hi+pcpu_ru+plp_ru+k_tray*pres_ru)+(1-abs_mem)*(gb_ru_26*hpx_ru*(hbm_A_26/hbm_A_26-1)/1000+plp_ru*(cdx_A_26/cdx_A_26-1))</f>
        <v>117.166667</v>
      </c>
      <c r="E222" s="20" t="n">
        <f aca="false">1*(pm_ru_hi+pcpu_ru+plp_ru+k_tray*pres_ru)+(1-abs_mem)*(gb_ru_27*hpx_ru*(hbm_A_27/hbm_A_26-1)/1000+plp_ru*(cdx_A_27/cdx_A_26-1))</f>
        <v>124.740452408411</v>
      </c>
      <c r="F222" s="20" t="n">
        <f aca="false">1*(pm_ru_hi+pcpu_ru+plp_ru+k_tray*pres_ru)+(1-abs_mem)*(gb_ru_28*hpx_ru*(hbm_A_28/hbm_A_26-1)/1000+plp_ru*(cdx_A_28/cdx_A_26-1))</f>
        <v>125.965425179065</v>
      </c>
      <c r="G222" s="20" t="n">
        <f aca="false">1*(pm_ru_hi+pcpu_ru+plp_ru+k_tray*pres_ru)+(1-abs_mem)*(gb_ru_28*hpx_ru*(hbm_A_29/hbm_A_26-1)/1000+plp_ru*(cdx_A_29/cdx_A_26-1))</f>
        <v>124.834949826942</v>
      </c>
    </row>
    <row r="223" customFormat="false" ht="17.15" hidden="false" customHeight="false" outlineLevel="0" collapsed="false">
      <c r="A223" s="0" t="s">
        <v>670</v>
      </c>
      <c r="B223" s="0" t="s">
        <v>174</v>
      </c>
      <c r="D223" s="20" t="n">
        <f aca="false">1*(pm_hp+pcpu_hp+plp_hp+k_tray*pres_hp)+(1-abs_mem)*(gb_hp_26*hpx_hp*(hbm_A_26/hbm_A_26-1)/1000+plp_hp*(cdx_A_26/cdx_A_26-1))</f>
        <v>30</v>
      </c>
      <c r="E223" s="20" t="n">
        <f aca="false">1*(pm_hp+pcpu_hp+plp_hp+k_tray*pres_hp)+(1-abs_mem)*(gb_hp_27*hpx_hp*(hbm_A_27/hbm_A_26-1)/1000+plp_hp*(cdx_A_27/cdx_A_26-1))</f>
        <v>30.8742</v>
      </c>
      <c r="F223" s="20" t="n">
        <f aca="false">1*(pm_hp+pcpu_hp+plp_hp+k_tray*pres_hp)+(1-abs_mem)*(gb_hp_28*hpx_hp*(hbm_A_28/hbm_A_26-1)/1000+plp_hp*(cdx_A_28/cdx_A_26-1))</f>
        <v>31.070895</v>
      </c>
      <c r="G223" s="20" t="n">
        <f aca="false">1*(pm_hp+pcpu_hp+plp_hp+k_tray*pres_hp)+(1-abs_mem)*(gb_hp_28*hpx_hp*(hbm_A_29/hbm_A_26-1)/1000+plp_hp*(cdx_A_29/cdx_A_26-1))</f>
        <v>30.96271275</v>
      </c>
    </row>
    <row r="224" customFormat="false" ht="17.15" hidden="false" customHeight="false" outlineLevel="0" collapsed="false">
      <c r="A224" s="0" t="s">
        <v>671</v>
      </c>
      <c r="B224" s="0" t="s">
        <v>174</v>
      </c>
      <c r="D224" s="20" t="n">
        <f aca="false">gb_bw_26*hpx_bw*hbm_A_26/hbm_A_26/1000</f>
        <v>4.03</v>
      </c>
      <c r="E224" s="20" t="n">
        <f aca="false">gb_bw_27*hpx_bw*hbm_A_27/hbm_A_26/1000</f>
        <v>7.812</v>
      </c>
      <c r="F224" s="20" t="n">
        <f aca="false">gb_bw_28*hpx_bw*hbm_A_28/hbm_A_26/1000</f>
        <v>8.83872</v>
      </c>
      <c r="G224" s="20" t="n">
        <f aca="false">gb_bw_28*hpx_bw*hbm_A_29/hbm_A_26/1000</f>
        <v>8.396784</v>
      </c>
      <c r="H224" s="5" t="s">
        <v>672</v>
      </c>
    </row>
    <row r="225" customFormat="false" ht="17.15" hidden="false" customHeight="false" outlineLevel="0" collapsed="false">
      <c r="A225" s="0" t="s">
        <v>673</v>
      </c>
      <c r="B225" s="0" t="s">
        <v>174</v>
      </c>
      <c r="D225" s="20" t="n">
        <f aca="false">gb_rb_26*hpx_rb*hbm_A_26/hbm_A_26/1000</f>
        <v>4.8096</v>
      </c>
      <c r="E225" s="20" t="n">
        <f aca="false">gb_rb_27*hpx_rb*hbm_A_27/hbm_A_26/1000</f>
        <v>8.65728</v>
      </c>
      <c r="F225" s="20" t="n">
        <f aca="false">gb_rb_28*hpx_rb*hbm_A_28/hbm_A_26/1000</f>
        <v>9.523008</v>
      </c>
      <c r="G225" s="20" t="n">
        <f aca="false">gb_rb_28*hpx_rb*hbm_A_29/hbm_A_26/1000</f>
        <v>9.0468576</v>
      </c>
    </row>
    <row r="226" customFormat="false" ht="17.15" hidden="false" customHeight="false" outlineLevel="0" collapsed="false">
      <c r="A226" s="0" t="s">
        <v>674</v>
      </c>
      <c r="B226" s="0" t="s">
        <v>174</v>
      </c>
      <c r="D226" s="20" t="n">
        <f aca="false">gb_ru_26*hpx_ru*hbm_A_26/hbm_A_26/1000</f>
        <v>17.1008</v>
      </c>
      <c r="E226" s="20" t="n">
        <f aca="false">gb_ru_27*hpx_ru*hbm_A_27/hbm_A_26/1000</f>
        <v>30.78144</v>
      </c>
      <c r="F226" s="20" t="n">
        <f aca="false">gb_ru_28*hpx_ru*hbm_A_28/hbm_A_26/1000</f>
        <v>33.859584</v>
      </c>
      <c r="G226" s="20" t="n">
        <f aca="false">gb_ru_28*hpx_ru*hbm_A_29/hbm_A_26/1000</f>
        <v>32.1666048</v>
      </c>
    </row>
    <row r="227" customFormat="false" ht="17.15" hidden="false" customHeight="false" outlineLevel="0" collapsed="false">
      <c r="A227" s="0" t="s">
        <v>675</v>
      </c>
      <c r="B227" s="0" t="s">
        <v>174</v>
      </c>
      <c r="D227" s="20" t="n">
        <f aca="false">gb_hp_26*hpx_hp*hbm_A_26/hbm_A_26/1000</f>
        <v>2.1855</v>
      </c>
      <c r="E227" s="20" t="n">
        <f aca="false">gb_hp_27*hpx_hp*hbm_A_27/hbm_A_26/1000</f>
        <v>3.9339</v>
      </c>
      <c r="F227" s="20" t="n">
        <f aca="false">gb_hp_28*hpx_hp*hbm_A_28/hbm_A_26/1000</f>
        <v>4.32729</v>
      </c>
      <c r="G227" s="20" t="n">
        <f aca="false">gb_hp_28*hpx_hp*hbm_A_29/hbm_A_26/1000</f>
        <v>4.1109255</v>
      </c>
    </row>
    <row r="228" customFormat="false" ht="17.15" hidden="false" customHeight="false" outlineLevel="0" collapsed="false">
      <c r="A228" s="0" t="s">
        <v>676</v>
      </c>
      <c r="B228" s="0" t="s">
        <v>174</v>
      </c>
      <c r="D228" s="20" t="n">
        <f aca="false">1*c_nh*(pm_bw+pcpu_bw+plp_bw+k_tray*pres_bw)+D224+plp_bw*(cdx_A_26/cdx_A_26-1)</f>
        <v>11.8212823332139</v>
      </c>
      <c r="E228" s="20" t="n">
        <f aca="false">1*c_nh*(pm_bw+pcpu_bw+plp_bw+k_tray*pres_bw)+E224+plp_bw*(cdx_A_27/cdx_A_26-1)</f>
        <v>16.493918693312</v>
      </c>
      <c r="F228" s="20" t="n">
        <f aca="false">1*c_nh*(pm_bw+pcpu_bw+plp_bw+k_tray*pres_bw)+F224+plp_bw*(cdx_A_28/cdx_A_26-1)</f>
        <v>17.1392325750052</v>
      </c>
      <c r="G228" s="20" t="n">
        <f aca="false">1*c_nh*(pm_bw+pcpu_bw+plp_bw+k_tray*pres_bw)+G224+plp_bw*(cdx_A_29/cdx_A_26-1)</f>
        <v>16.3524568133889</v>
      </c>
      <c r="H228" s="5" t="s">
        <v>677</v>
      </c>
    </row>
    <row r="229" customFormat="false" ht="17.15" hidden="false" customHeight="false" outlineLevel="0" collapsed="false">
      <c r="A229" s="0" t="s">
        <v>678</v>
      </c>
      <c r="B229" s="0" t="s">
        <v>174</v>
      </c>
      <c r="D229" s="20" t="n">
        <f aca="false">1*c_nh*(pm_rb+pcpu_rb+plp_rb+k_tray*pres_rb)+D225+plp_rb*(cdx_A_26/cdx_A_26-1)</f>
        <v>16.7713963801093</v>
      </c>
      <c r="E229" s="20" t="n">
        <f aca="false">1*c_nh*(pm_rb+pcpu_rb+plp_rb+k_tray*pres_rb)+E225+plp_rb*(cdx_A_27/cdx_A_26-1)</f>
        <v>22.0860071969322</v>
      </c>
      <c r="F229" s="20" t="n">
        <f aca="false">1*c_nh*(pm_rb+pcpu_rb+plp_rb+k_tray*pres_rb)+F225+plp_rb*(cdx_A_28/cdx_A_26-1)</f>
        <v>22.3235367382399</v>
      </c>
      <c r="G229" s="20" t="n">
        <f aca="false">1*c_nh*(pm_rb+pcpu_rb+plp_rb+k_tray*pres_rb)+G225+plp_rb*(cdx_A_29/cdx_A_26-1)</f>
        <v>21.2794148339942</v>
      </c>
    </row>
    <row r="230" customFormat="false" ht="17.15" hidden="false" customHeight="false" outlineLevel="0" collapsed="false">
      <c r="A230" s="0" t="s">
        <v>679</v>
      </c>
      <c r="B230" s="0" t="s">
        <v>174</v>
      </c>
      <c r="D230" s="20" t="n">
        <f aca="false">1*c_nh*(pm_ru_hi+pcpu_ru+plp_ru+k_tray*pres_ru)+D226+plp_ru*(cdx_A_26/cdx_A_26-1)</f>
        <v>36.5214532108525</v>
      </c>
      <c r="E230" s="20" t="n">
        <f aca="false">1*c_nh*(pm_ru_hi+pcpu_ru+plp_ru+k_tray*pres_ru)+E226+plp_ru*(cdx_A_27/cdx_A_26-1)</f>
        <v>51.6690240276754</v>
      </c>
      <c r="F230" s="20" t="n">
        <f aca="false">1*c_nh*(pm_ru_hi+pcpu_ru+plp_ru+k_tray*pres_ru)+F226+plp_ru*(cdx_A_28/cdx_A_26-1)</f>
        <v>54.118969568983</v>
      </c>
      <c r="G230" s="20" t="n">
        <f aca="false">1*c_nh*(pm_ru_hi+pcpu_ru+plp_ru+k_tray*pres_ru)+G226+plp_ru*(cdx_A_29/cdx_A_26-1)</f>
        <v>51.8580188647374</v>
      </c>
    </row>
    <row r="231" customFormat="false" ht="17.15" hidden="false" customHeight="false" outlineLevel="0" collapsed="false">
      <c r="A231" s="0" t="s">
        <v>680</v>
      </c>
      <c r="B231" s="0" t="s">
        <v>174</v>
      </c>
      <c r="D231" s="20" t="n">
        <f aca="false">1*c_nh*(pm_hp+pcpu_hp+plp_hp+k_tray*pres_hp)+D227+plp_hp*(cdx_A_26/cdx_A_26-1)</f>
        <v>7.15807122049545</v>
      </c>
      <c r="E231" s="20" t="n">
        <f aca="false">1*c_nh*(pm_hp+pcpu_hp+plp_hp+k_tray*pres_hp)+E227+plp_hp*(cdx_A_27/cdx_A_26-1)</f>
        <v>8.90647122049545</v>
      </c>
      <c r="F231" s="20" t="n">
        <f aca="false">1*c_nh*(pm_hp+pcpu_hp+plp_hp+k_tray*pres_hp)+F227+plp_hp*(cdx_A_28/cdx_A_26-1)</f>
        <v>9.29986122049545</v>
      </c>
      <c r="G231" s="20" t="n">
        <f aca="false">1*c_nh*(pm_hp+pcpu_hp+plp_hp+k_tray*pres_hp)+G227+plp_hp*(cdx_A_29/cdx_A_26-1)</f>
        <v>9.08349672049545</v>
      </c>
    </row>
    <row r="232" customFormat="false" ht="17.15" hidden="false" customHeight="false" outlineLevel="0" collapsed="false">
      <c r="A232" s="0" t="s">
        <v>681</v>
      </c>
      <c r="B232" s="0" t="s">
        <v>309</v>
      </c>
      <c r="D232" s="16" t="n">
        <f aca="false">D215*D220</f>
        <v>210.265388611651</v>
      </c>
      <c r="E232" s="16" t="n">
        <f aca="false">E215*E220</f>
        <v>97.7879411514472</v>
      </c>
      <c r="F232" s="16" t="n">
        <f aca="false">F215*F220</f>
        <v>20.4804480550745</v>
      </c>
      <c r="G232" s="16" t="n">
        <f aca="false">G215*G220</f>
        <v>10.1587562571685</v>
      </c>
    </row>
    <row r="233" customFormat="false" ht="17.15" hidden="false" customHeight="false" outlineLevel="0" collapsed="false">
      <c r="A233" s="0" t="s">
        <v>682</v>
      </c>
      <c r="B233" s="0" t="s">
        <v>309</v>
      </c>
      <c r="D233" s="16" t="n">
        <f aca="false">D216*D221</f>
        <v>101.627306400104</v>
      </c>
      <c r="E233" s="16" t="n">
        <f aca="false">E216*E221</f>
        <v>433.874021010427</v>
      </c>
      <c r="F233" s="16" t="n">
        <f aca="false">F216*F221</f>
        <v>434.562689988287</v>
      </c>
      <c r="G233" s="16" t="n">
        <f aca="false">G216*G221</f>
        <v>496.265789583488</v>
      </c>
    </row>
    <row r="234" customFormat="false" ht="17.15" hidden="false" customHeight="false" outlineLevel="0" collapsed="false">
      <c r="A234" s="0" t="s">
        <v>683</v>
      </c>
      <c r="B234" s="0" t="s">
        <v>309</v>
      </c>
      <c r="D234" s="16" t="n">
        <f aca="false">D217*D222</f>
        <v>0</v>
      </c>
      <c r="E234" s="16" t="n">
        <f aca="false">E217*E222</f>
        <v>30.9994090665901</v>
      </c>
      <c r="F234" s="16" t="n">
        <f aca="false">F217*F222</f>
        <v>208.692190757171</v>
      </c>
      <c r="G234" s="16" t="n">
        <f aca="false">G217*G222</f>
        <v>237.842177678706</v>
      </c>
    </row>
    <row r="235" customFormat="false" ht="17.15" hidden="false" customHeight="false" outlineLevel="0" collapsed="false">
      <c r="A235" s="0" t="s">
        <v>684</v>
      </c>
      <c r="B235" s="0" t="s">
        <v>309</v>
      </c>
      <c r="D235" s="16" t="n">
        <f aca="false">D218*D223</f>
        <v>12.4255638279615</v>
      </c>
      <c r="E235" s="16" t="n">
        <f aca="false">E218*E223</f>
        <v>0</v>
      </c>
      <c r="F235" s="16" t="n">
        <f aca="false">F218*F223</f>
        <v>0</v>
      </c>
      <c r="G235" s="16" t="n">
        <f aca="false">G218*G223</f>
        <v>0</v>
      </c>
    </row>
    <row r="236" customFormat="false" ht="17.15" hidden="false" customHeight="false" outlineLevel="0" collapsed="false">
      <c r="A236" s="5" t="s">
        <v>685</v>
      </c>
      <c r="B236" s="0" t="s">
        <v>309</v>
      </c>
      <c r="D236" s="16" t="n">
        <f aca="false">SUM(D232:D235)</f>
        <v>324.318258839716</v>
      </c>
      <c r="E236" s="16" t="n">
        <f aca="false">SUM(E232:E235)</f>
        <v>562.661371228464</v>
      </c>
      <c r="F236" s="16" t="n">
        <f aca="false">SUM(F232:F235)</f>
        <v>663.735328800532</v>
      </c>
      <c r="G236" s="16" t="n">
        <f aca="false">SUM(G232:G235)</f>
        <v>744.266723519362</v>
      </c>
    </row>
    <row r="237" customFormat="false" ht="15" hidden="false" customHeight="false" outlineLevel="0" collapsed="false">
      <c r="A237" s="5" t="s">
        <v>686</v>
      </c>
      <c r="B237" s="0" t="s">
        <v>309</v>
      </c>
      <c r="D237" s="16" t="n">
        <f aca="false">D215*D228+D216*D229+D217*D230+D218*D231</f>
        <v>79.4617574019149</v>
      </c>
      <c r="E237" s="16" t="n">
        <f aca="false">E215*E228+E216*E229+E217*E230+E218*E231</f>
        <v>173.699576433339</v>
      </c>
      <c r="F237" s="16" t="n">
        <f aca="false">F215*F228+F216*F229+F217*F230+F218*F231</f>
        <v>226.205163318347</v>
      </c>
      <c r="G237" s="16" t="n">
        <f aca="false">G215*G228+G216*G229+G217*G230+G218*G231</f>
        <v>244.08847747153</v>
      </c>
    </row>
    <row r="238" customFormat="false" ht="17.15" hidden="false" customHeight="false" outlineLevel="0" collapsed="false">
      <c r="A238" s="5" t="s">
        <v>687</v>
      </c>
      <c r="B238" s="0" t="s">
        <v>309</v>
      </c>
      <c r="D238" s="16" t="n">
        <f aca="false">D215*D224+D216*D225+D217*D226+D218*D227</f>
        <v>25.7052360623293</v>
      </c>
      <c r="E238" s="16" t="n">
        <f aca="false">E215*E224+E216*E225+E217*E226+E218*E227</f>
        <v>73.3805687896262</v>
      </c>
      <c r="F238" s="16" t="n">
        <f aca="false">F215*F224+F216*F225+F217*F226+F218*F227</f>
        <v>114.977539352433</v>
      </c>
      <c r="G238" s="16" t="n">
        <f aca="false">G215*G224+G216*G225+G217*G226+G218*G227</f>
        <v>123.352374939132</v>
      </c>
    </row>
    <row r="239" customFormat="false" ht="17.15" hidden="false" customHeight="false" outlineLevel="0" collapsed="false">
      <c r="A239" s="5" t="s">
        <v>688</v>
      </c>
      <c r="B239" s="0" t="s">
        <v>309</v>
      </c>
      <c r="D239" s="16" t="n">
        <f aca="false">0</f>
        <v>0</v>
      </c>
      <c r="E239" s="16" t="n">
        <f aca="false">0</f>
        <v>0</v>
      </c>
      <c r="F239" s="16" t="n">
        <f aca="false">0</f>
        <v>0</v>
      </c>
      <c r="G239" s="16" t="n">
        <f aca="false">0</f>
        <v>0</v>
      </c>
    </row>
    <row r="240" customFormat="false" ht="15" hidden="false" customHeight="false" outlineLevel="0" collapsed="false">
      <c r="A240" s="5" t="s">
        <v>689</v>
      </c>
      <c r="B240" s="0" t="s">
        <v>309</v>
      </c>
      <c r="D240" s="16" t="n">
        <f aca="false">D239*D237/D236</f>
        <v>0</v>
      </c>
      <c r="E240" s="16" t="n">
        <f aca="false">E239*E237/E236</f>
        <v>0</v>
      </c>
      <c r="F240" s="16" t="n">
        <f aca="false">F239*F237/F236</f>
        <v>0</v>
      </c>
      <c r="G240" s="16" t="n">
        <f aca="false">G239*G237/G236</f>
        <v>0</v>
      </c>
    </row>
    <row r="241" customFormat="false" ht="17.15" hidden="false" customHeight="false" outlineLevel="0" collapsed="false">
      <c r="A241" s="0" t="s">
        <v>690</v>
      </c>
      <c r="B241" s="0" t="s">
        <v>309</v>
      </c>
      <c r="D241" s="16" t="n">
        <f aca="false">net_26*1*D214</f>
        <v>51.1385386602837</v>
      </c>
      <c r="E241" s="16" t="n">
        <f aca="false">net_27*1*E214</f>
        <v>101.465551321399</v>
      </c>
      <c r="F241" s="16" t="n">
        <f aca="false">net_28*um28_A*F214</f>
        <v>114.826126401851</v>
      </c>
      <c r="G241" s="16" t="n">
        <f aca="false">net_29*um29_A*G214</f>
        <v>130.302507852582</v>
      </c>
      <c r="H241" s="8" t="s">
        <v>691</v>
      </c>
    </row>
    <row r="242" customFormat="false" ht="17.15" hidden="false" customHeight="false" outlineLevel="0" collapsed="false">
      <c r="A242" s="5" t="s">
        <v>692</v>
      </c>
      <c r="B242" s="0" t="s">
        <v>309</v>
      </c>
      <c r="D242" s="16" t="n">
        <f aca="false">c_net*D241</f>
        <v>15.3415615980851</v>
      </c>
      <c r="E242" s="16" t="n">
        <f aca="false">c_net*E241</f>
        <v>30.4396653964198</v>
      </c>
      <c r="F242" s="16" t="n">
        <f aca="false">c_net*F241</f>
        <v>34.4478379205554</v>
      </c>
      <c r="G242" s="16" t="n">
        <f aca="false">c_net*G241</f>
        <v>39.0907523557747</v>
      </c>
    </row>
    <row r="243" customFormat="false" ht="17.15" hidden="false" customHeight="false" outlineLevel="0" collapsed="false">
      <c r="A243" s="0" t="s">
        <v>693</v>
      </c>
      <c r="B243" s="0" t="s">
        <v>309</v>
      </c>
      <c r="D243" s="16" t="n">
        <f aca="false">a27_edge</f>
        <v>29.1792025</v>
      </c>
      <c r="E243" s="16" t="n">
        <f aca="false">D243*(1+eg)</f>
        <v>31.5135387</v>
      </c>
      <c r="F243" s="16" t="n">
        <f aca="false">E243*(1+eg)</f>
        <v>34.034621796</v>
      </c>
      <c r="G243" s="16" t="n">
        <f aca="false">F243*(1+eg)</f>
        <v>36.75739153968</v>
      </c>
    </row>
    <row r="244" customFormat="false" ht="17.15" hidden="false" customHeight="false" outlineLevel="0" collapsed="false">
      <c r="A244" s="0" t="s">
        <v>694</v>
      </c>
      <c r="B244" s="0" t="s">
        <v>309</v>
      </c>
      <c r="D244" s="16" t="n">
        <f aca="false">(1-gm_edge)*D243</f>
        <v>11.671681</v>
      </c>
      <c r="E244" s="16" t="n">
        <f aca="false">(1-gm_edge)*E243</f>
        <v>12.60541548</v>
      </c>
      <c r="F244" s="16" t="n">
        <f aca="false">(1-gm_edge)*F243</f>
        <v>13.6138487184</v>
      </c>
      <c r="G244" s="16" t="n">
        <f aca="false">(1-gm_edge)*G243</f>
        <v>14.702956615872</v>
      </c>
    </row>
    <row r="245" customFormat="false" ht="15" hidden="false" customHeight="false" outlineLevel="0" collapsed="false">
      <c r="A245" s="5" t="s">
        <v>695</v>
      </c>
      <c r="B245" s="0" t="s">
        <v>309</v>
      </c>
      <c r="D245" s="16" t="n">
        <f aca="false">D236+D239+D241+D243</f>
        <v>404.636</v>
      </c>
      <c r="E245" s="16" t="n">
        <f aca="false">E236+E239+E241+E243</f>
        <v>695.640461249864</v>
      </c>
      <c r="F245" s="16" t="n">
        <f aca="false">F236+F239+F241+F243</f>
        <v>812.596076998384</v>
      </c>
      <c r="G245" s="16" t="n">
        <f aca="false">G236+G239+G241+G243</f>
        <v>911.326622911624</v>
      </c>
    </row>
    <row r="246" customFormat="false" ht="15" hidden="false" customHeight="false" outlineLevel="0" collapsed="false">
      <c r="A246" s="5" t="s">
        <v>696</v>
      </c>
      <c r="B246" s="0" t="s">
        <v>309</v>
      </c>
      <c r="D246" s="16" t="n">
        <f aca="false">D237+D240+D242+D244</f>
        <v>106.475</v>
      </c>
      <c r="E246" s="16" t="n">
        <f aca="false">E237+E240+E242+E244</f>
        <v>216.744657309758</v>
      </c>
      <c r="F246" s="16" t="n">
        <f aca="false">F237+F240+F242+F244</f>
        <v>274.266849957302</v>
      </c>
      <c r="G246" s="16" t="n">
        <f aca="false">G237+G240+G242+G244</f>
        <v>297.882186443177</v>
      </c>
    </row>
    <row r="247" customFormat="false" ht="17.15" hidden="false" customHeight="false" outlineLevel="0" collapsed="false">
      <c r="A247" s="5" t="s">
        <v>697</v>
      </c>
      <c r="B247" s="0" t="s">
        <v>41</v>
      </c>
      <c r="D247" s="17" t="n">
        <f aca="false">1-D246/D245</f>
        <v>0.736862266333198</v>
      </c>
      <c r="E247" s="17" t="n">
        <f aca="false">1-E246/E245</f>
        <v>0.688424309131859</v>
      </c>
      <c r="F247" s="17" t="n">
        <f aca="false">1-F246/F245</f>
        <v>0.662480711240441</v>
      </c>
      <c r="G247" s="17" t="n">
        <f aca="false">1-G246/G245</f>
        <v>0.673133452974891</v>
      </c>
      <c r="H247" s="8" t="s">
        <v>698</v>
      </c>
    </row>
    <row r="248" customFormat="false" ht="17.15" hidden="false" customHeight="false" outlineLevel="0" collapsed="false">
      <c r="A248" s="0" t="s">
        <v>699</v>
      </c>
      <c r="B248" s="0" t="s">
        <v>41</v>
      </c>
      <c r="D248" s="17" t="n">
        <f aca="false">D238/D245</f>
        <v>0.0635268143771917</v>
      </c>
      <c r="E248" s="17" t="n">
        <f aca="false">E238/E245</f>
        <v>0.105486343703733</v>
      </c>
      <c r="F248" s="17" t="n">
        <f aca="false">F238/F245</f>
        <v>0.141494086185038</v>
      </c>
      <c r="G248" s="17" t="n">
        <f aca="false">G238/G245</f>
        <v>0.135354736532364</v>
      </c>
    </row>
    <row r="249" customFormat="false" ht="17.15" hidden="false" customHeight="false" outlineLevel="0" collapsed="false">
      <c r="A249" s="1" t="s">
        <v>700</v>
      </c>
    </row>
    <row r="250" customFormat="false" ht="15" hidden="false" customHeight="false" outlineLevel="0" collapsed="false">
      <c r="A250" s="5" t="s">
        <v>527</v>
      </c>
      <c r="B250" s="0" t="s">
        <v>309</v>
      </c>
      <c r="C250" s="16" t="n">
        <f aca="false">a26_rev</f>
        <v>215.938</v>
      </c>
      <c r="D250" s="16" t="n">
        <f aca="false">a27_rev</f>
        <v>404.636</v>
      </c>
      <c r="E250" s="16" t="n">
        <f aca="false">E245</f>
        <v>695.640461249864</v>
      </c>
      <c r="F250" s="16" t="n">
        <f aca="false">F245</f>
        <v>812.596076998384</v>
      </c>
      <c r="G250" s="16" t="n">
        <f aca="false">G245</f>
        <v>911.326622911624</v>
      </c>
    </row>
    <row r="251" customFormat="false" ht="17.15" hidden="false" customHeight="false" outlineLevel="0" collapsed="false">
      <c r="A251" s="0" t="s">
        <v>701</v>
      </c>
      <c r="B251" s="0" t="s">
        <v>309</v>
      </c>
      <c r="C251" s="16" t="n">
        <f aca="false">a26_dc</f>
        <v>193.7</v>
      </c>
      <c r="D251" s="16" t="n">
        <f aca="false">a27_dc</f>
        <v>375.4567975</v>
      </c>
      <c r="E251" s="16" t="n">
        <f aca="false">E236+E239+E241</f>
        <v>664.126922549864</v>
      </c>
      <c r="F251" s="16" t="n">
        <f aca="false">F236+F239+F241</f>
        <v>778.561455202384</v>
      </c>
      <c r="G251" s="16" t="n">
        <f aca="false">G236+G239+G241</f>
        <v>874.569231371944</v>
      </c>
    </row>
    <row r="252" customFormat="false" ht="15" hidden="false" customHeight="false" outlineLevel="0" collapsed="false">
      <c r="A252" s="0" t="s">
        <v>647</v>
      </c>
      <c r="B252" s="0" t="s">
        <v>309</v>
      </c>
      <c r="C252" s="16" t="n">
        <f aca="false">a26_edge</f>
        <v>22.238</v>
      </c>
      <c r="D252" s="16" t="n">
        <f aca="false">a27_edge</f>
        <v>29.1792025</v>
      </c>
      <c r="E252" s="16" t="n">
        <f aca="false">E243</f>
        <v>31.5135387</v>
      </c>
      <c r="F252" s="16" t="n">
        <f aca="false">F243</f>
        <v>34.034621796</v>
      </c>
      <c r="G252" s="16" t="n">
        <f aca="false">G243</f>
        <v>36.75739153968</v>
      </c>
    </row>
    <row r="253" customFormat="false" ht="15" hidden="false" customHeight="false" outlineLevel="0" collapsed="false">
      <c r="A253" s="5" t="s">
        <v>702</v>
      </c>
      <c r="B253" s="0" t="s">
        <v>41</v>
      </c>
      <c r="D253" s="17" t="n">
        <f aca="false">D250/C250-1</f>
        <v>0.873852679935908</v>
      </c>
      <c r="E253" s="17" t="n">
        <f aca="false">E250/D250-1</f>
        <v>0.719175904392747</v>
      </c>
      <c r="F253" s="17" t="n">
        <f aca="false">F250/E250-1</f>
        <v>0.168126528377008</v>
      </c>
      <c r="G253" s="17" t="n">
        <f aca="false">G250/F250-1</f>
        <v>0.121500150822704</v>
      </c>
    </row>
    <row r="254" customFormat="false" ht="15" hidden="false" customHeight="false" outlineLevel="0" collapsed="false">
      <c r="A254" s="5" t="s">
        <v>703</v>
      </c>
      <c r="B254" s="0" t="s">
        <v>309</v>
      </c>
      <c r="C254" s="16" t="n">
        <f aca="false">a26_gp</f>
        <v>153.463</v>
      </c>
      <c r="D254" s="16" t="n">
        <f aca="false">a27_gp</f>
        <v>298.161</v>
      </c>
      <c r="E254" s="16" t="n">
        <f aca="false">E250-E246</f>
        <v>478.895803940105</v>
      </c>
      <c r="F254" s="16" t="n">
        <f aca="false">F250-F246</f>
        <v>538.329227041082</v>
      </c>
      <c r="G254" s="16" t="n">
        <f aca="false">G250-G246</f>
        <v>613.444436468448</v>
      </c>
    </row>
    <row r="255" customFormat="false" ht="15" hidden="false" customHeight="false" outlineLevel="0" collapsed="false">
      <c r="A255" s="5" t="s">
        <v>543</v>
      </c>
      <c r="B255" s="0" t="s">
        <v>41</v>
      </c>
      <c r="C255" s="17" t="n">
        <f aca="false">C254/C250</f>
        <v>0.710680843575471</v>
      </c>
      <c r="D255" s="17" t="n">
        <f aca="false">D254/D250</f>
        <v>0.736862266333198</v>
      </c>
      <c r="E255" s="17" t="n">
        <f aca="false">E254/E250</f>
        <v>0.688424309131859</v>
      </c>
      <c r="F255" s="17" t="n">
        <f aca="false">F254/F250</f>
        <v>0.662480711240441</v>
      </c>
      <c r="G255" s="17" t="n">
        <f aca="false">G254/G250</f>
        <v>0.67313345297489</v>
      </c>
    </row>
    <row r="256" customFormat="false" ht="17.15" hidden="false" customHeight="false" outlineLevel="0" collapsed="false">
      <c r="A256" s="5" t="s">
        <v>704</v>
      </c>
      <c r="B256" s="0" t="s">
        <v>309</v>
      </c>
      <c r="C256" s="16" t="n">
        <f aca="false">a26_opx</f>
        <v>23.076</v>
      </c>
      <c r="D256" s="16" t="n">
        <f aca="false">a27_opx</f>
        <v>35.165</v>
      </c>
      <c r="E256" s="16" t="n">
        <f aca="false">D256*(1+MAX(g_opx_min,phi*E253))</f>
        <v>50.3388924067826</v>
      </c>
      <c r="F256" s="16" t="n">
        <f aca="false">E256*(1+MAX(g_opx_min,phi*F253))</f>
        <v>55.4168743404002</v>
      </c>
      <c r="G256" s="16" t="n">
        <f aca="false">F256*(1+MAX(g_opx_min,phi*G253))</f>
        <v>59.4567694946891</v>
      </c>
      <c r="H256" s="5" t="s">
        <v>705</v>
      </c>
    </row>
    <row r="257" customFormat="false" ht="15" hidden="false" customHeight="false" outlineLevel="0" collapsed="false">
      <c r="A257" s="5" t="s">
        <v>706</v>
      </c>
      <c r="B257" s="0" t="s">
        <v>309</v>
      </c>
      <c r="C257" s="16" t="n">
        <f aca="false">C256</f>
        <v>23.076</v>
      </c>
      <c r="D257" s="16" t="n">
        <f aca="false">D256</f>
        <v>35.165</v>
      </c>
      <c r="E257" s="16" t="n">
        <f aca="false">E256+0*E250</f>
        <v>50.3388924067826</v>
      </c>
      <c r="F257" s="16" t="n">
        <f aca="false">F256+0*F250</f>
        <v>55.4168743404002</v>
      </c>
      <c r="G257" s="16" t="n">
        <f aca="false">G256+0*G250</f>
        <v>59.4567694946891</v>
      </c>
    </row>
    <row r="258" customFormat="false" ht="15" hidden="false" customHeight="false" outlineLevel="0" collapsed="false">
      <c r="A258" s="5" t="s">
        <v>546</v>
      </c>
      <c r="B258" s="0" t="s">
        <v>309</v>
      </c>
      <c r="C258" s="16" t="n">
        <f aca="false">C254-C257</f>
        <v>130.387</v>
      </c>
      <c r="D258" s="16" t="n">
        <f aca="false">D254-D257</f>
        <v>262.996</v>
      </c>
      <c r="E258" s="16" t="n">
        <f aca="false">E254-E257</f>
        <v>428.556911533323</v>
      </c>
      <c r="F258" s="16" t="n">
        <f aca="false">F254-F257</f>
        <v>482.912352700681</v>
      </c>
      <c r="G258" s="16" t="n">
        <f aca="false">G254-G257</f>
        <v>553.987666973759</v>
      </c>
    </row>
    <row r="259" customFormat="false" ht="15" hidden="false" customHeight="false" outlineLevel="0" collapsed="false">
      <c r="A259" s="5" t="s">
        <v>648</v>
      </c>
      <c r="B259" s="0" t="s">
        <v>41</v>
      </c>
      <c r="C259" s="17" t="n">
        <f aca="false">C258/C250</f>
        <v>0.603816836314127</v>
      </c>
      <c r="D259" s="17" t="n">
        <f aca="false">D258/D250</f>
        <v>0.649956998388675</v>
      </c>
      <c r="E259" s="17" t="n">
        <f aca="false">E258/E250</f>
        <v>0.616060932918322</v>
      </c>
      <c r="F259" s="17" t="n">
        <f aca="false">F258/F250</f>
        <v>0.594283391675348</v>
      </c>
      <c r="G259" s="17" t="n">
        <f aca="false">G258/G250</f>
        <v>0.607891455210435</v>
      </c>
    </row>
    <row r="260" customFormat="false" ht="15" hidden="false" customHeight="false" outlineLevel="0" collapsed="false">
      <c r="A260" s="5" t="s">
        <v>551</v>
      </c>
      <c r="B260" s="0" t="s">
        <v>309</v>
      </c>
      <c r="C260" s="20" t="n">
        <f aca="false">a26_oth</f>
        <v>2.145</v>
      </c>
      <c r="D260" s="20" t="n">
        <f aca="false">a27_oth</f>
        <v>1.133</v>
      </c>
      <c r="E260" s="20" t="n">
        <f aca="false">oth_f</f>
        <v>1.2</v>
      </c>
      <c r="F260" s="20" t="n">
        <f aca="false">oth_f</f>
        <v>1.2</v>
      </c>
      <c r="G260" s="20" t="n">
        <f aca="false">oth_f</f>
        <v>1.2</v>
      </c>
    </row>
    <row r="261" customFormat="false" ht="15" hidden="false" customHeight="false" outlineLevel="0" collapsed="false">
      <c r="A261" s="5" t="s">
        <v>560</v>
      </c>
      <c r="B261" s="0" t="s">
        <v>41</v>
      </c>
      <c r="C261" s="17" t="n">
        <f aca="false">1-a26_ni/(a26_oi+a26_oth)</f>
        <v>0.151187565812244</v>
      </c>
      <c r="D261" s="17" t="n">
        <f aca="false">a27_etr</f>
        <v>0.167980835756566</v>
      </c>
      <c r="E261" s="17" t="n">
        <f aca="false">tx_f</f>
        <v>0.17</v>
      </c>
      <c r="F261" s="17" t="n">
        <f aca="false">tx_f</f>
        <v>0.17</v>
      </c>
      <c r="G261" s="17" t="n">
        <f aca="false">tx_f</f>
        <v>0.17</v>
      </c>
    </row>
    <row r="262" customFormat="false" ht="15" hidden="false" customHeight="false" outlineLevel="0" collapsed="false">
      <c r="A262" s="5" t="s">
        <v>649</v>
      </c>
      <c r="B262" s="0" t="s">
        <v>309</v>
      </c>
      <c r="C262" s="16" t="n">
        <f aca="false">a26_ni</f>
        <v>112.494809527772</v>
      </c>
      <c r="D262" s="16" t="n">
        <f aca="false">a27_ni</f>
        <v>219.760389832454</v>
      </c>
      <c r="E262" s="16" t="n">
        <f aca="false">(E258+E260)*(1-E261)</f>
        <v>356.698236572658</v>
      </c>
      <c r="F262" s="16" t="n">
        <f aca="false">(F258+F260)*(1-F261)</f>
        <v>401.813252741566</v>
      </c>
      <c r="G262" s="16" t="n">
        <f aca="false">(G258+G260)*(1-G261)</f>
        <v>460.80576358822</v>
      </c>
    </row>
    <row r="263" customFormat="false" ht="15" hidden="false" customHeight="false" outlineLevel="0" collapsed="false">
      <c r="A263" s="5" t="s">
        <v>707</v>
      </c>
      <c r="B263" s="5" t="s">
        <v>708</v>
      </c>
      <c r="C263" s="18" t="n">
        <f aca="false">a26_sh</f>
        <v>24.5145</v>
      </c>
      <c r="D263" s="18" t="n">
        <f aca="false">a27_sh</f>
        <v>24.25691339125</v>
      </c>
      <c r="E263" s="18" t="n">
        <f aca="false">D263*(1+sh_g)</f>
        <v>23.965830430555</v>
      </c>
      <c r="F263" s="18" t="n">
        <f aca="false">E263*(1+sh_g)</f>
        <v>23.6782404653883</v>
      </c>
      <c r="G263" s="18" t="n">
        <f aca="false">F263*(1+sh_g)</f>
        <v>23.3941015798037</v>
      </c>
    </row>
    <row r="264" customFormat="false" ht="17.15" hidden="false" customHeight="false" outlineLevel="0" collapsed="false">
      <c r="A264" s="0" t="s">
        <v>650</v>
      </c>
      <c r="B264" s="0" t="s">
        <v>420</v>
      </c>
      <c r="C264" s="20" t="n">
        <f aca="false">C262/C263</f>
        <v>4.58890899376988</v>
      </c>
      <c r="D264" s="20" t="n">
        <f aca="false">D262/D263</f>
        <v>9.05970130196888</v>
      </c>
      <c r="E264" s="20" t="n">
        <f aca="false">E262/E263</f>
        <v>14.8836168062797</v>
      </c>
      <c r="F264" s="20" t="n">
        <f aca="false">F262/F263</f>
        <v>16.9697259950086</v>
      </c>
      <c r="G264" s="20" t="n">
        <f aca="false">G262/G263</f>
        <v>19.697519138159</v>
      </c>
    </row>
    <row r="265" customFormat="false" ht="17.15" hidden="false" customHeight="false" outlineLevel="0" collapsed="false">
      <c r="A265" s="0" t="s">
        <v>709</v>
      </c>
      <c r="B265" s="0" t="s">
        <v>41</v>
      </c>
      <c r="D265" s="17" t="n">
        <f aca="false">D264/C264-1</f>
        <v>0.974260399207908</v>
      </c>
      <c r="E265" s="17" t="n">
        <f aca="false">E264/D264-1</f>
        <v>0.642837474459026</v>
      </c>
      <c r="F265" s="17" t="n">
        <f aca="false">F264/E264-1</f>
        <v>0.140161441663074</v>
      </c>
      <c r="G265" s="17" t="n">
        <f aca="false">G264/F264-1</f>
        <v>0.16074467813757</v>
      </c>
    </row>
    <row r="268" customFormat="false" ht="17.15" hidden="false" customHeight="false" outlineLevel="0" collapsed="false">
      <c r="A268" s="4" t="s">
        <v>1094</v>
      </c>
    </row>
    <row r="269" customFormat="false" ht="15" hidden="false" customHeight="false" outlineLevel="0" collapsed="false">
      <c r="A269" s="6" t="s">
        <v>19</v>
      </c>
      <c r="B269" s="6" t="s">
        <v>20</v>
      </c>
      <c r="C269" s="12" t="s">
        <v>639</v>
      </c>
      <c r="D269" s="12" t="s">
        <v>640</v>
      </c>
      <c r="E269" s="12" t="s">
        <v>641</v>
      </c>
      <c r="F269" s="12" t="s">
        <v>642</v>
      </c>
      <c r="G269" s="12" t="s">
        <v>643</v>
      </c>
      <c r="H269" s="6" t="s">
        <v>592</v>
      </c>
    </row>
    <row r="270" customFormat="false" ht="17.15" hidden="false" customHeight="false" outlineLevel="0" collapsed="false">
      <c r="A270" s="1" t="s">
        <v>658</v>
      </c>
    </row>
    <row r="271" customFormat="false" ht="17.15" hidden="false" customHeight="false" outlineLevel="0" collapsed="false">
      <c r="A271" s="0" t="s">
        <v>659</v>
      </c>
      <c r="B271" s="0" t="s">
        <v>126</v>
      </c>
      <c r="D271" s="18" t="n">
        <f aca="false">k_rec</f>
        <v>0.828370921864097</v>
      </c>
      <c r="E271" s="18" t="n">
        <f aca="false">k_rec*1*((Units!D32+-dsh)/Units!D32)</f>
        <v>0.773240887848034</v>
      </c>
      <c r="F271" s="18" t="n">
        <f aca="false">k_rec*1*((Units!E32+-dsh)/Units!E32)</f>
        <v>0.771435341211478</v>
      </c>
      <c r="G271" s="18" t="n">
        <f aca="false">k_rec*1*((Units!F32+-dsh)/Units!F32)</f>
        <v>0.771109541797126</v>
      </c>
    </row>
    <row r="272" customFormat="false" ht="17.15" hidden="false" customHeight="false" outlineLevel="0" collapsed="false">
      <c r="A272" s="0" t="s">
        <v>660</v>
      </c>
      <c r="B272" s="5" t="s">
        <v>30</v>
      </c>
      <c r="D272" s="20" t="n">
        <f aca="false">(u_bw_26)*D271</f>
        <v>4.47320297806612</v>
      </c>
      <c r="E272" s="20" t="n">
        <f aca="false">(u_bw_27)*E271</f>
        <v>1.85577813083528</v>
      </c>
      <c r="F272" s="20" t="n">
        <f aca="false">(u_bw_28*um28_A)*F271</f>
        <v>0.385717670605739</v>
      </c>
      <c r="G272" s="20" t="n">
        <f aca="false">(u_bw_28*(1+g29_bw)*um29_A)*G271</f>
        <v>0.192777385449282</v>
      </c>
    </row>
    <row r="273" customFormat="false" ht="17.15" hidden="false" customHeight="false" outlineLevel="0" collapsed="false">
      <c r="A273" s="0" t="s">
        <v>661</v>
      </c>
      <c r="B273" s="5" t="s">
        <v>30</v>
      </c>
      <c r="D273" s="20" t="n">
        <f aca="false">(u_rb_26)*D271</f>
        <v>1.40823056716896</v>
      </c>
      <c r="E273" s="20" t="n">
        <f aca="false">(u_rb_27)*E271</f>
        <v>5.41268621493624</v>
      </c>
      <c r="F273" s="20" t="n">
        <f aca="false">(u_rb_28*um28_A)*F271</f>
        <v>5.40004738848035</v>
      </c>
      <c r="G273" s="20" t="n">
        <f aca="false">(u_rb_28*(1+g29_rb)*um29_A)*G271</f>
        <v>6.20743181146686</v>
      </c>
    </row>
    <row r="274" customFormat="false" ht="17.15" hidden="false" customHeight="false" outlineLevel="0" collapsed="false">
      <c r="A274" s="0" t="s">
        <v>662</v>
      </c>
      <c r="B274" s="5" t="s">
        <v>30</v>
      </c>
      <c r="D274" s="20" t="n">
        <f aca="false">(u_ru_26)*D271</f>
        <v>0</v>
      </c>
      <c r="E274" s="20" t="n">
        <f aca="false">(u_ru_27)*E271</f>
        <v>0.23197226635441</v>
      </c>
      <c r="F274" s="20" t="n">
        <f aca="false">(u_ru_28*um28_A)*F271</f>
        <v>1.54287068242296</v>
      </c>
      <c r="G274" s="20" t="n">
        <f aca="false">(u_ru_28*(1+g29_ru)*um29_A)*G271</f>
        <v>1.77355194613339</v>
      </c>
    </row>
    <row r="275" customFormat="false" ht="17.15" hidden="false" customHeight="false" outlineLevel="0" collapsed="false">
      <c r="A275" s="0" t="s">
        <v>663</v>
      </c>
      <c r="B275" s="5" t="s">
        <v>30</v>
      </c>
      <c r="D275" s="20" t="n">
        <f aca="false">(u_hp_26)*D271</f>
        <v>0.414185460932049</v>
      </c>
      <c r="E275" s="20" t="n">
        <f aca="false">(u_hp_27)*E271</f>
        <v>0</v>
      </c>
      <c r="F275" s="20" t="n">
        <f aca="false">(u_hp_28*um28_A)*F271</f>
        <v>0</v>
      </c>
      <c r="G275" s="20" t="n">
        <f aca="false">(u_hp_28*(1+g29_hp)*um29_A)*G271</f>
        <v>0</v>
      </c>
    </row>
    <row r="276" customFormat="false" ht="17.15" hidden="false" customHeight="false" outlineLevel="0" collapsed="false">
      <c r="A276" s="0" t="s">
        <v>664</v>
      </c>
      <c r="B276" s="5" t="s">
        <v>30</v>
      </c>
      <c r="D276" s="20" t="n">
        <f aca="false">SUM(D272:D275)</f>
        <v>6.29561900616714</v>
      </c>
      <c r="E276" s="20" t="n">
        <f aca="false">SUM(E272:E275)</f>
        <v>7.50043661212593</v>
      </c>
      <c r="F276" s="20" t="n">
        <f aca="false">SUM(F272:F275)</f>
        <v>7.32863574150904</v>
      </c>
      <c r="G276" s="20" t="n">
        <f aca="false">SUM(G272:G275)</f>
        <v>8.17376114304954</v>
      </c>
      <c r="H276" s="8" t="s">
        <v>665</v>
      </c>
    </row>
    <row r="277" customFormat="false" ht="17.15" hidden="false" customHeight="false" outlineLevel="0" collapsed="false">
      <c r="A277" s="0" t="s">
        <v>666</v>
      </c>
      <c r="B277" s="0" t="s">
        <v>174</v>
      </c>
      <c r="D277" s="20" t="n">
        <f aca="false">1*(pm_bw+pcpu_bw+plp_bw+k_tray*pres_bw)+(1-abs_mem)*(gb_bw_26*hpx_bw*(hbm_A_26/hbm_A_26-1)/1000+plp_bw*(cdx_A_26/cdx_A_26-1))</f>
        <v>47.005555</v>
      </c>
      <c r="E277" s="20" t="n">
        <f aca="false">1*(pm_bw+pcpu_bw+plp_bw+k_tray*pres_bw)+(1-abs_mem)*(gb_bw_27*hpx_bw*(hbm_A_27/hbm_A_26-1)/1000+plp_bw*(cdx_A_27/cdx_A_26-1))</f>
        <v>49.1868731800491</v>
      </c>
      <c r="F277" s="20" t="n">
        <f aca="false">1*(pm_bw+pcpu_bw+plp_bw+k_tray*pres_bw)+(1-abs_mem)*(gb_bw_28*hpx_bw*(hbm_A_28/hbm_A_26-1)/1000+plp_bw*(cdx_A_28/cdx_A_26-1))</f>
        <v>49.4475301208957</v>
      </c>
      <c r="G277" s="20" t="n">
        <f aca="false">1*(pm_bw+pcpu_bw+plp_bw+k_tray*pres_bw)+(1-abs_mem)*(gb_bw_28*hpx_bw*(hbm_A_29/hbm_A_26-1)/1000+plp_bw*(cdx_A_29/cdx_A_26-1))</f>
        <v>49.0541422400875</v>
      </c>
      <c r="H277" s="5" t="s">
        <v>667</v>
      </c>
    </row>
    <row r="278" customFormat="false" ht="17.15" hidden="false" customHeight="false" outlineLevel="0" collapsed="false">
      <c r="A278" s="0" t="s">
        <v>668</v>
      </c>
      <c r="B278" s="0" t="s">
        <v>174</v>
      </c>
      <c r="D278" s="20" t="n">
        <f aca="false">1*(pm_rb+pcpu_rb+plp_rb+k_tray*pres_rb)+(1-abs_mem)*(gb_rb_26*hpx_rb*(hbm_A_26/hbm_A_26-1)/1000+plp_rb*(cdx_A_26/cdx_A_26-1))</f>
        <v>72.166667</v>
      </c>
      <c r="E278" s="20" t="n">
        <f aca="false">1*(pm_rb+pcpu_rb+plp_rb+k_tray*pres_rb)+(1-abs_mem)*(gb_rb_27*hpx_rb*(hbm_A_27/hbm_A_26-1)/1000+plp_rb*(cdx_A_27/cdx_A_26-1))</f>
        <v>74.8239724084115</v>
      </c>
      <c r="F278" s="20" t="n">
        <f aca="false">1*(pm_rb+pcpu_rb+plp_rb+k_tray*pres_rb)+(1-abs_mem)*(gb_rb_28*hpx_rb*(hbm_A_28/hbm_A_26-1)/1000+plp_rb*(cdx_A_28/cdx_A_26-1))</f>
        <v>74.9427371790653</v>
      </c>
      <c r="G278" s="20" t="n">
        <f aca="false">1*(pm_rb+pcpu_rb+plp_rb+k_tray*pres_rb)+(1-abs_mem)*(gb_rb_28*hpx_rb*(hbm_A_29/hbm_A_26-1)/1000+plp_rb*(cdx_A_29/cdx_A_26-1))</f>
        <v>74.4206762269425</v>
      </c>
    </row>
    <row r="279" customFormat="false" ht="17.15" hidden="false" customHeight="false" outlineLevel="0" collapsed="false">
      <c r="A279" s="0" t="s">
        <v>669</v>
      </c>
      <c r="B279" s="0" t="s">
        <v>174</v>
      </c>
      <c r="D279" s="20" t="n">
        <f aca="false">1*(pm_ru+pcpu_ru+plp_ru+k_tray*pres_ru)+(1-abs_mem)*(gb_ru_26*hpx_ru*(hbm_A_26/hbm_A_26-1)/1000+plp_ru*(cdx_A_26/cdx_A_26-1))</f>
        <v>92.166667</v>
      </c>
      <c r="E279" s="20" t="n">
        <f aca="false">1*(pm_ru+pcpu_ru+plp_ru+k_tray*pres_ru)+(1-abs_mem)*(gb_ru_27*hpx_ru*(hbm_A_27/hbm_A_26-1)/1000+plp_ru*(cdx_A_27/cdx_A_26-1))</f>
        <v>99.7404524084115</v>
      </c>
      <c r="F279" s="20" t="n">
        <f aca="false">1*(pm_ru+pcpu_ru+plp_ru+k_tray*pres_ru)+(1-abs_mem)*(gb_ru_28*hpx_ru*(hbm_A_28/hbm_A_26-1)/1000+plp_ru*(cdx_A_28/cdx_A_26-1))</f>
        <v>100.965425179065</v>
      </c>
      <c r="G279" s="20" t="n">
        <f aca="false">1*(pm_ru+pcpu_ru+plp_ru+k_tray*pres_ru)+(1-abs_mem)*(gb_ru_28*hpx_ru*(hbm_A_29/hbm_A_26-1)/1000+plp_ru*(cdx_A_29/cdx_A_26-1))</f>
        <v>99.8349498269425</v>
      </c>
    </row>
    <row r="280" customFormat="false" ht="17.15" hidden="false" customHeight="false" outlineLevel="0" collapsed="false">
      <c r="A280" s="0" t="s">
        <v>670</v>
      </c>
      <c r="B280" s="0" t="s">
        <v>174</v>
      </c>
      <c r="D280" s="20" t="n">
        <f aca="false">1*(pm_hp+pcpu_hp+plp_hp+k_tray*pres_hp)+(1-abs_mem)*(gb_hp_26*hpx_hp*(hbm_A_26/hbm_A_26-1)/1000+plp_hp*(cdx_A_26/cdx_A_26-1))</f>
        <v>30</v>
      </c>
      <c r="E280" s="20" t="n">
        <f aca="false">1*(pm_hp+pcpu_hp+plp_hp+k_tray*pres_hp)+(1-abs_mem)*(gb_hp_27*hpx_hp*(hbm_A_27/hbm_A_26-1)/1000+plp_hp*(cdx_A_27/cdx_A_26-1))</f>
        <v>30.8742</v>
      </c>
      <c r="F280" s="20" t="n">
        <f aca="false">1*(pm_hp+pcpu_hp+plp_hp+k_tray*pres_hp)+(1-abs_mem)*(gb_hp_28*hpx_hp*(hbm_A_28/hbm_A_26-1)/1000+plp_hp*(cdx_A_28/cdx_A_26-1))</f>
        <v>31.070895</v>
      </c>
      <c r="G280" s="20" t="n">
        <f aca="false">1*(pm_hp+pcpu_hp+plp_hp+k_tray*pres_hp)+(1-abs_mem)*(gb_hp_28*hpx_hp*(hbm_A_29/hbm_A_26-1)/1000+plp_hp*(cdx_A_29/cdx_A_26-1))</f>
        <v>30.96271275</v>
      </c>
    </row>
    <row r="281" customFormat="false" ht="17.15" hidden="false" customHeight="false" outlineLevel="0" collapsed="false">
      <c r="A281" s="0" t="s">
        <v>671</v>
      </c>
      <c r="B281" s="0" t="s">
        <v>174</v>
      </c>
      <c r="D281" s="20" t="n">
        <f aca="false">gb_bw_26*hpx_bw*hbm_A_26/hbm_A_26/1000</f>
        <v>4.03</v>
      </c>
      <c r="E281" s="20" t="n">
        <f aca="false">gb_bw_27*hpx_bw*hbm_A_27/hbm_A_26/1000</f>
        <v>7.812</v>
      </c>
      <c r="F281" s="20" t="n">
        <f aca="false">gb_bw_28*hpx_bw*hbm_A_28/hbm_A_26/1000</f>
        <v>8.83872</v>
      </c>
      <c r="G281" s="20" t="n">
        <f aca="false">gb_bw_28*hpx_bw*hbm_A_29/hbm_A_26/1000</f>
        <v>8.396784</v>
      </c>
      <c r="H281" s="5" t="s">
        <v>672</v>
      </c>
    </row>
    <row r="282" customFormat="false" ht="17.15" hidden="false" customHeight="false" outlineLevel="0" collapsed="false">
      <c r="A282" s="0" t="s">
        <v>673</v>
      </c>
      <c r="B282" s="0" t="s">
        <v>174</v>
      </c>
      <c r="D282" s="20" t="n">
        <f aca="false">gb_rb_26*hpx_rb*hbm_A_26/hbm_A_26/1000</f>
        <v>4.8096</v>
      </c>
      <c r="E282" s="20" t="n">
        <f aca="false">gb_rb_27*hpx_rb*hbm_A_27/hbm_A_26/1000</f>
        <v>8.65728</v>
      </c>
      <c r="F282" s="20" t="n">
        <f aca="false">gb_rb_28*hpx_rb*hbm_A_28/hbm_A_26/1000</f>
        <v>9.523008</v>
      </c>
      <c r="G282" s="20" t="n">
        <f aca="false">gb_rb_28*hpx_rb*hbm_A_29/hbm_A_26/1000</f>
        <v>9.0468576</v>
      </c>
    </row>
    <row r="283" customFormat="false" ht="17.15" hidden="false" customHeight="false" outlineLevel="0" collapsed="false">
      <c r="A283" s="0" t="s">
        <v>674</v>
      </c>
      <c r="B283" s="0" t="s">
        <v>174</v>
      </c>
      <c r="D283" s="20" t="n">
        <f aca="false">gb_ru_26*hpx_ru*hbm_A_26/hbm_A_26/1000</f>
        <v>17.1008</v>
      </c>
      <c r="E283" s="20" t="n">
        <f aca="false">gb_ru_27*hpx_ru*hbm_A_27/hbm_A_26/1000</f>
        <v>30.78144</v>
      </c>
      <c r="F283" s="20" t="n">
        <f aca="false">gb_ru_28*hpx_ru*hbm_A_28/hbm_A_26/1000</f>
        <v>33.859584</v>
      </c>
      <c r="G283" s="20" t="n">
        <f aca="false">gb_ru_28*hpx_ru*hbm_A_29/hbm_A_26/1000</f>
        <v>32.1666048</v>
      </c>
    </row>
    <row r="284" customFormat="false" ht="17.15" hidden="false" customHeight="false" outlineLevel="0" collapsed="false">
      <c r="A284" s="0" t="s">
        <v>675</v>
      </c>
      <c r="B284" s="0" t="s">
        <v>174</v>
      </c>
      <c r="D284" s="20" t="n">
        <f aca="false">gb_hp_26*hpx_hp*hbm_A_26/hbm_A_26/1000</f>
        <v>2.1855</v>
      </c>
      <c r="E284" s="20" t="n">
        <f aca="false">gb_hp_27*hpx_hp*hbm_A_27/hbm_A_26/1000</f>
        <v>3.9339</v>
      </c>
      <c r="F284" s="20" t="n">
        <f aca="false">gb_hp_28*hpx_hp*hbm_A_28/hbm_A_26/1000</f>
        <v>4.32729</v>
      </c>
      <c r="G284" s="20" t="n">
        <f aca="false">gb_hp_28*hpx_hp*hbm_A_29/hbm_A_26/1000</f>
        <v>4.1109255</v>
      </c>
    </row>
    <row r="285" customFormat="false" ht="17.15" hidden="false" customHeight="false" outlineLevel="0" collapsed="false">
      <c r="A285" s="0" t="s">
        <v>676</v>
      </c>
      <c r="B285" s="0" t="s">
        <v>174</v>
      </c>
      <c r="D285" s="20" t="n">
        <f aca="false">1*c_nh*(pm_bw+pcpu_bw+plp_bw+k_tray*pres_bw)+D281+plp_bw*(cdx_A_26/cdx_A_26-1)</f>
        <v>11.8212823332139</v>
      </c>
      <c r="E285" s="20" t="n">
        <f aca="false">1*c_nh*(pm_bw+pcpu_bw+plp_bw+k_tray*pres_bw)+E281+plp_bw*(cdx_A_27/cdx_A_26-1)</f>
        <v>16.493918693312</v>
      </c>
      <c r="F285" s="20" t="n">
        <f aca="false">1*c_nh*(pm_bw+pcpu_bw+plp_bw+k_tray*pres_bw)+F281+plp_bw*(cdx_A_28/cdx_A_26-1)</f>
        <v>17.1392325750052</v>
      </c>
      <c r="G285" s="20" t="n">
        <f aca="false">1*c_nh*(pm_bw+pcpu_bw+plp_bw+k_tray*pres_bw)+G281+plp_bw*(cdx_A_29/cdx_A_26-1)</f>
        <v>16.3524568133889</v>
      </c>
      <c r="H285" s="5" t="s">
        <v>677</v>
      </c>
    </row>
    <row r="286" customFormat="false" ht="17.15" hidden="false" customHeight="false" outlineLevel="0" collapsed="false">
      <c r="A286" s="0" t="s">
        <v>678</v>
      </c>
      <c r="B286" s="0" t="s">
        <v>174</v>
      </c>
      <c r="D286" s="20" t="n">
        <f aca="false">1*c_nh*(pm_rb+pcpu_rb+plp_rb+k_tray*pres_rb)+D282+plp_rb*(cdx_A_26/cdx_A_26-1)</f>
        <v>16.7713963801093</v>
      </c>
      <c r="E286" s="20" t="n">
        <f aca="false">1*c_nh*(pm_rb+pcpu_rb+plp_rb+k_tray*pres_rb)+E282+plp_rb*(cdx_A_27/cdx_A_26-1)</f>
        <v>22.0860071969322</v>
      </c>
      <c r="F286" s="20" t="n">
        <f aca="false">1*c_nh*(pm_rb+pcpu_rb+plp_rb+k_tray*pres_rb)+F282+plp_rb*(cdx_A_28/cdx_A_26-1)</f>
        <v>22.3235367382399</v>
      </c>
      <c r="G286" s="20" t="n">
        <f aca="false">1*c_nh*(pm_rb+pcpu_rb+plp_rb+k_tray*pres_rb)+G282+plp_rb*(cdx_A_29/cdx_A_26-1)</f>
        <v>21.2794148339942</v>
      </c>
    </row>
    <row r="287" customFormat="false" ht="17.15" hidden="false" customHeight="false" outlineLevel="0" collapsed="false">
      <c r="A287" s="0" t="s">
        <v>679</v>
      </c>
      <c r="B287" s="0" t="s">
        <v>174</v>
      </c>
      <c r="D287" s="20" t="n">
        <f aca="false">1*c_nh*(pm_ru+pcpu_ru+plp_ru+k_tray*pres_ru)+D283+plp_ru*(cdx_A_26/cdx_A_26-1)</f>
        <v>32.3776438604396</v>
      </c>
      <c r="E287" s="20" t="n">
        <f aca="false">1*c_nh*(pm_ru+pcpu_ru+plp_ru+k_tray*pres_ru)+E283+plp_ru*(cdx_A_27/cdx_A_26-1)</f>
        <v>47.5252146772625</v>
      </c>
      <c r="F287" s="20" t="n">
        <f aca="false">1*c_nh*(pm_ru+pcpu_ru+plp_ru+k_tray*pres_ru)+F283+plp_ru*(cdx_A_28/cdx_A_26-1)</f>
        <v>49.9751602185702</v>
      </c>
      <c r="G287" s="20" t="n">
        <f aca="false">1*c_nh*(pm_ru+pcpu_ru+plp_ru+k_tray*pres_ru)+G283+plp_ru*(cdx_A_29/cdx_A_26-1)</f>
        <v>47.7142095143245</v>
      </c>
    </row>
    <row r="288" customFormat="false" ht="17.15" hidden="false" customHeight="false" outlineLevel="0" collapsed="false">
      <c r="A288" s="0" t="s">
        <v>680</v>
      </c>
      <c r="B288" s="0" t="s">
        <v>174</v>
      </c>
      <c r="D288" s="20" t="n">
        <f aca="false">1*c_nh*(pm_hp+pcpu_hp+plp_hp+k_tray*pres_hp)+D284+plp_hp*(cdx_A_26/cdx_A_26-1)</f>
        <v>7.15807122049545</v>
      </c>
      <c r="E288" s="20" t="n">
        <f aca="false">1*c_nh*(pm_hp+pcpu_hp+plp_hp+k_tray*pres_hp)+E284+plp_hp*(cdx_A_27/cdx_A_26-1)</f>
        <v>8.90647122049545</v>
      </c>
      <c r="F288" s="20" t="n">
        <f aca="false">1*c_nh*(pm_hp+pcpu_hp+plp_hp+k_tray*pres_hp)+F284+plp_hp*(cdx_A_28/cdx_A_26-1)</f>
        <v>9.29986122049545</v>
      </c>
      <c r="G288" s="20" t="n">
        <f aca="false">1*c_nh*(pm_hp+pcpu_hp+plp_hp+k_tray*pres_hp)+G284+plp_hp*(cdx_A_29/cdx_A_26-1)</f>
        <v>9.08349672049545</v>
      </c>
    </row>
    <row r="289" customFormat="false" ht="17.15" hidden="false" customHeight="false" outlineLevel="0" collapsed="false">
      <c r="A289" s="0" t="s">
        <v>681</v>
      </c>
      <c r="B289" s="0" t="s">
        <v>309</v>
      </c>
      <c r="D289" s="16" t="n">
        <f aca="false">D272*D277</f>
        <v>210.265388611651</v>
      </c>
      <c r="E289" s="16" t="n">
        <f aca="false">E272*E277</f>
        <v>91.2799235717034</v>
      </c>
      <c r="F289" s="16" t="n">
        <f aca="false">F272*F277</f>
        <v>19.072786135439</v>
      </c>
      <c r="G289" s="16" t="n">
        <f aca="false">G272*G277</f>
        <v>9.45652928650124</v>
      </c>
    </row>
    <row r="290" customFormat="false" ht="17.15" hidden="false" customHeight="false" outlineLevel="0" collapsed="false">
      <c r="A290" s="0" t="s">
        <v>682</v>
      </c>
      <c r="B290" s="0" t="s">
        <v>309</v>
      </c>
      <c r="D290" s="16" t="n">
        <f aca="false">D273*D278</f>
        <v>101.627306400104</v>
      </c>
      <c r="E290" s="16" t="n">
        <f aca="false">E273*E278</f>
        <v>404.998684001778</v>
      </c>
      <c r="F290" s="16" t="n">
        <f aca="false">F273*F278</f>
        <v>404.694332189381</v>
      </c>
      <c r="G290" s="16" t="n">
        <f aca="false">G273*G278</f>
        <v>461.961273041998</v>
      </c>
    </row>
    <row r="291" customFormat="false" ht="17.15" hidden="false" customHeight="false" outlineLevel="0" collapsed="false">
      <c r="A291" s="0" t="s">
        <v>683</v>
      </c>
      <c r="B291" s="0" t="s">
        <v>309</v>
      </c>
      <c r="D291" s="16" t="n">
        <f aca="false">D274*D279</f>
        <v>0</v>
      </c>
      <c r="E291" s="16" t="n">
        <f aca="false">E274*E279</f>
        <v>23.1370187923934</v>
      </c>
      <c r="F291" s="16" t="n">
        <f aca="false">F274*F279</f>
        <v>155.776594447148</v>
      </c>
      <c r="G291" s="16" t="n">
        <f aca="false">G274*G279</f>
        <v>177.062469557703</v>
      </c>
    </row>
    <row r="292" customFormat="false" ht="17.15" hidden="false" customHeight="false" outlineLevel="0" collapsed="false">
      <c r="A292" s="0" t="s">
        <v>684</v>
      </c>
      <c r="B292" s="0" t="s">
        <v>309</v>
      </c>
      <c r="D292" s="16" t="n">
        <f aca="false">D275*D280</f>
        <v>12.4255638279615</v>
      </c>
      <c r="E292" s="16" t="n">
        <f aca="false">E275*E280</f>
        <v>0</v>
      </c>
      <c r="F292" s="16" t="n">
        <f aca="false">F275*F280</f>
        <v>0</v>
      </c>
      <c r="G292" s="16" t="n">
        <f aca="false">G275*G280</f>
        <v>0</v>
      </c>
    </row>
    <row r="293" customFormat="false" ht="17.15" hidden="false" customHeight="false" outlineLevel="0" collapsed="false">
      <c r="A293" s="5" t="s">
        <v>685</v>
      </c>
      <c r="B293" s="0" t="s">
        <v>309</v>
      </c>
      <c r="D293" s="16" t="n">
        <f aca="false">SUM(D289:D292)</f>
        <v>324.318258839716</v>
      </c>
      <c r="E293" s="16" t="n">
        <f aca="false">SUM(E289:E292)</f>
        <v>519.415626365875</v>
      </c>
      <c r="F293" s="16" t="n">
        <f aca="false">SUM(F289:F292)</f>
        <v>579.543712771968</v>
      </c>
      <c r="G293" s="16" t="n">
        <f aca="false">SUM(G289:G292)</f>
        <v>648.480271886203</v>
      </c>
    </row>
    <row r="294" customFormat="false" ht="15" hidden="false" customHeight="false" outlineLevel="0" collapsed="false">
      <c r="A294" s="5" t="s">
        <v>686</v>
      </c>
      <c r="B294" s="0" t="s">
        <v>309</v>
      </c>
      <c r="D294" s="16" t="n">
        <f aca="false">D272*D285+D273*D286+D274*D287+D275*D288</f>
        <v>79.4617574019149</v>
      </c>
      <c r="E294" s="16" t="n">
        <f aca="false">E272*E285+E273*E286+E274*E287+E275*E288</f>
        <v>161.178212058306</v>
      </c>
      <c r="F294" s="16" t="n">
        <f aca="false">F272*F285+F273*F286+F274*F287+F275*F288</f>
        <v>204.2642706804</v>
      </c>
      <c r="G294" s="16" t="n">
        <f aca="false">G272*G285+G273*G286+G274*G287+G275*G288</f>
        <v>219.866529582439</v>
      </c>
    </row>
    <row r="295" customFormat="false" ht="17.15" hidden="false" customHeight="false" outlineLevel="0" collapsed="false">
      <c r="A295" s="5" t="s">
        <v>687</v>
      </c>
      <c r="B295" s="0" t="s">
        <v>309</v>
      </c>
      <c r="D295" s="16" t="n">
        <f aca="false">D272*D281+D273*D282+D274*D283+D275*D284</f>
        <v>25.7052360623293</v>
      </c>
      <c r="E295" s="16" t="n">
        <f aca="false">E272*E281+E273*E282+E274*E283+E275*E284</f>
        <v>68.4969192713807</v>
      </c>
      <c r="F295" s="16" t="n">
        <f aca="false">F272*F281+F273*F282+F274*F283+F275*F284</f>
        <v>107.074904443051</v>
      </c>
      <c r="G295" s="16" t="n">
        <f aca="false">G272*G281+G273*G282+G274*G283+G275*G284</f>
        <v>114.825606269297</v>
      </c>
    </row>
    <row r="296" customFormat="false" ht="17.15" hidden="false" customHeight="false" outlineLevel="0" collapsed="false">
      <c r="A296" s="5" t="s">
        <v>688</v>
      </c>
      <c r="B296" s="0" t="s">
        <v>309</v>
      </c>
      <c r="D296" s="16" t="n">
        <f aca="false">0</f>
        <v>0</v>
      </c>
      <c r="E296" s="16" t="n">
        <f aca="false">0</f>
        <v>0</v>
      </c>
      <c r="F296" s="16" t="n">
        <f aca="false">0</f>
        <v>0</v>
      </c>
      <c r="G296" s="16" t="n">
        <f aca="false">0</f>
        <v>0</v>
      </c>
    </row>
    <row r="297" customFormat="false" ht="15" hidden="false" customHeight="false" outlineLevel="0" collapsed="false">
      <c r="A297" s="5" t="s">
        <v>689</v>
      </c>
      <c r="B297" s="0" t="s">
        <v>309</v>
      </c>
      <c r="D297" s="16" t="n">
        <f aca="false">D296*D294/D293</f>
        <v>0</v>
      </c>
      <c r="E297" s="16" t="n">
        <f aca="false">E296*E294/E293</f>
        <v>0</v>
      </c>
      <c r="F297" s="16" t="n">
        <f aca="false">F296*F294/F293</f>
        <v>0</v>
      </c>
      <c r="G297" s="16" t="n">
        <f aca="false">G296*G294/G293</f>
        <v>0</v>
      </c>
    </row>
    <row r="298" customFormat="false" ht="17.15" hidden="false" customHeight="false" outlineLevel="0" collapsed="false">
      <c r="A298" s="0" t="s">
        <v>690</v>
      </c>
      <c r="B298" s="0" t="s">
        <v>309</v>
      </c>
      <c r="D298" s="16" t="n">
        <f aca="false">net_26*1*D271</f>
        <v>51.1385386602837</v>
      </c>
      <c r="E298" s="16" t="n">
        <f aca="false">net_27*1*E271</f>
        <v>94.7127801313877</v>
      </c>
      <c r="F298" s="16" t="n">
        <f aca="false">net_28*um28_A*F271</f>
        <v>106.933898405643</v>
      </c>
      <c r="G298" s="16" t="n">
        <f aca="false">net_29*um29_A*G271</f>
        <v>121.295309230695</v>
      </c>
      <c r="H298" s="8" t="s">
        <v>691</v>
      </c>
    </row>
    <row r="299" customFormat="false" ht="17.15" hidden="false" customHeight="false" outlineLevel="0" collapsed="false">
      <c r="A299" s="5" t="s">
        <v>692</v>
      </c>
      <c r="B299" s="0" t="s">
        <v>309</v>
      </c>
      <c r="D299" s="16" t="n">
        <f aca="false">c_net*D298</f>
        <v>15.3415615980851</v>
      </c>
      <c r="E299" s="16" t="n">
        <f aca="false">c_net*E298</f>
        <v>28.4138340394163</v>
      </c>
      <c r="F299" s="16" t="n">
        <f aca="false">c_net*F298</f>
        <v>32.080169521693</v>
      </c>
      <c r="G299" s="16" t="n">
        <f aca="false">c_net*G298</f>
        <v>36.3885927692084</v>
      </c>
    </row>
    <row r="300" customFormat="false" ht="17.15" hidden="false" customHeight="false" outlineLevel="0" collapsed="false">
      <c r="A300" s="0" t="s">
        <v>693</v>
      </c>
      <c r="B300" s="0" t="s">
        <v>309</v>
      </c>
      <c r="D300" s="16" t="n">
        <f aca="false">a27_edge</f>
        <v>29.1792025</v>
      </c>
      <c r="E300" s="16" t="n">
        <f aca="false">D300*(1+eg)</f>
        <v>31.5135387</v>
      </c>
      <c r="F300" s="16" t="n">
        <f aca="false">E300*(1+eg)</f>
        <v>34.034621796</v>
      </c>
      <c r="G300" s="16" t="n">
        <f aca="false">F300*(1+eg)</f>
        <v>36.75739153968</v>
      </c>
    </row>
    <row r="301" customFormat="false" ht="17.15" hidden="false" customHeight="false" outlineLevel="0" collapsed="false">
      <c r="A301" s="0" t="s">
        <v>694</v>
      </c>
      <c r="B301" s="0" t="s">
        <v>309</v>
      </c>
      <c r="D301" s="16" t="n">
        <f aca="false">(1-gm_edge)*D300</f>
        <v>11.671681</v>
      </c>
      <c r="E301" s="16" t="n">
        <f aca="false">(1-gm_edge)*E300</f>
        <v>12.60541548</v>
      </c>
      <c r="F301" s="16" t="n">
        <f aca="false">(1-gm_edge)*F300</f>
        <v>13.6138487184</v>
      </c>
      <c r="G301" s="16" t="n">
        <f aca="false">(1-gm_edge)*G300</f>
        <v>14.702956615872</v>
      </c>
    </row>
    <row r="302" customFormat="false" ht="15" hidden="false" customHeight="false" outlineLevel="0" collapsed="false">
      <c r="A302" s="5" t="s">
        <v>695</v>
      </c>
      <c r="B302" s="0" t="s">
        <v>309</v>
      </c>
      <c r="D302" s="16" t="n">
        <f aca="false">D293+D296+D298+D300</f>
        <v>404.636</v>
      </c>
      <c r="E302" s="16" t="n">
        <f aca="false">E293+E296+E298+E300</f>
        <v>645.641945197262</v>
      </c>
      <c r="F302" s="16" t="n">
        <f aca="false">F293+F296+F298+F300</f>
        <v>720.512232973611</v>
      </c>
      <c r="G302" s="16" t="n">
        <f aca="false">G293+G296+G298+G300</f>
        <v>806.532972656578</v>
      </c>
    </row>
    <row r="303" customFormat="false" ht="15" hidden="false" customHeight="false" outlineLevel="0" collapsed="false">
      <c r="A303" s="5" t="s">
        <v>696</v>
      </c>
      <c r="B303" s="0" t="s">
        <v>309</v>
      </c>
      <c r="D303" s="16" t="n">
        <f aca="false">D294+D297+D299+D301</f>
        <v>106.475</v>
      </c>
      <c r="E303" s="16" t="n">
        <f aca="false">E294+E297+E299+E301</f>
        <v>202.197461577722</v>
      </c>
      <c r="F303" s="16" t="n">
        <f aca="false">F294+F297+F299+F301</f>
        <v>249.958288920493</v>
      </c>
      <c r="G303" s="16" t="n">
        <f aca="false">G294+G297+G299+G301</f>
        <v>270.95807896752</v>
      </c>
    </row>
    <row r="304" customFormat="false" ht="17.15" hidden="false" customHeight="false" outlineLevel="0" collapsed="false">
      <c r="A304" s="5" t="s">
        <v>697</v>
      </c>
      <c r="B304" s="0" t="s">
        <v>41</v>
      </c>
      <c r="D304" s="17" t="n">
        <f aca="false">1-D303/D302</f>
        <v>0.736862266333198</v>
      </c>
      <c r="E304" s="17" t="n">
        <f aca="false">1-E303/E302</f>
        <v>0.686827252966124</v>
      </c>
      <c r="F304" s="17" t="n">
        <f aca="false">1-F303/F302</f>
        <v>0.65308251896169</v>
      </c>
      <c r="G304" s="17" t="n">
        <f aca="false">1-G303/G302</f>
        <v>0.664045875179744</v>
      </c>
      <c r="H304" s="8" t="s">
        <v>698</v>
      </c>
    </row>
    <row r="305" customFormat="false" ht="17.15" hidden="false" customHeight="false" outlineLevel="0" collapsed="false">
      <c r="A305" s="0" t="s">
        <v>699</v>
      </c>
      <c r="B305" s="0" t="s">
        <v>41</v>
      </c>
      <c r="D305" s="17" t="n">
        <f aca="false">D295/D302</f>
        <v>0.0635268143771917</v>
      </c>
      <c r="E305" s="17" t="n">
        <f aca="false">E295/E302</f>
        <v>0.106091185340278</v>
      </c>
      <c r="F305" s="17" t="n">
        <f aca="false">F295/F302</f>
        <v>0.148609419164397</v>
      </c>
      <c r="G305" s="17" t="n">
        <f aca="false">G295/G302</f>
        <v>0.142369388682376</v>
      </c>
    </row>
    <row r="306" customFormat="false" ht="17.15" hidden="false" customHeight="false" outlineLevel="0" collapsed="false">
      <c r="A306" s="1" t="s">
        <v>700</v>
      </c>
    </row>
    <row r="307" customFormat="false" ht="15" hidden="false" customHeight="false" outlineLevel="0" collapsed="false">
      <c r="A307" s="5" t="s">
        <v>527</v>
      </c>
      <c r="B307" s="0" t="s">
        <v>309</v>
      </c>
      <c r="C307" s="16" t="n">
        <f aca="false">a26_rev</f>
        <v>215.938</v>
      </c>
      <c r="D307" s="16" t="n">
        <f aca="false">a27_rev</f>
        <v>404.636</v>
      </c>
      <c r="E307" s="16" t="n">
        <f aca="false">E302</f>
        <v>645.641945197262</v>
      </c>
      <c r="F307" s="16" t="n">
        <f aca="false">F302</f>
        <v>720.512232973611</v>
      </c>
      <c r="G307" s="16" t="n">
        <f aca="false">G302</f>
        <v>806.532972656578</v>
      </c>
    </row>
    <row r="308" customFormat="false" ht="17.15" hidden="false" customHeight="false" outlineLevel="0" collapsed="false">
      <c r="A308" s="0" t="s">
        <v>701</v>
      </c>
      <c r="B308" s="0" t="s">
        <v>309</v>
      </c>
      <c r="C308" s="16" t="n">
        <f aca="false">a26_dc</f>
        <v>193.7</v>
      </c>
      <c r="D308" s="16" t="n">
        <f aca="false">a27_dc</f>
        <v>375.4567975</v>
      </c>
      <c r="E308" s="16" t="n">
        <f aca="false">E293+E296+E298</f>
        <v>614.128406497262</v>
      </c>
      <c r="F308" s="16" t="n">
        <f aca="false">F293+F296+F298</f>
        <v>686.477611177611</v>
      </c>
      <c r="G308" s="16" t="n">
        <f aca="false">G293+G296+G298</f>
        <v>769.775581116898</v>
      </c>
    </row>
    <row r="309" customFormat="false" ht="15" hidden="false" customHeight="false" outlineLevel="0" collapsed="false">
      <c r="A309" s="0" t="s">
        <v>647</v>
      </c>
      <c r="B309" s="0" t="s">
        <v>309</v>
      </c>
      <c r="C309" s="16" t="n">
        <f aca="false">a26_edge</f>
        <v>22.238</v>
      </c>
      <c r="D309" s="16" t="n">
        <f aca="false">a27_edge</f>
        <v>29.1792025</v>
      </c>
      <c r="E309" s="16" t="n">
        <f aca="false">E300</f>
        <v>31.5135387</v>
      </c>
      <c r="F309" s="16" t="n">
        <f aca="false">F300</f>
        <v>34.034621796</v>
      </c>
      <c r="G309" s="16" t="n">
        <f aca="false">G300</f>
        <v>36.75739153968</v>
      </c>
    </row>
    <row r="310" customFormat="false" ht="15" hidden="false" customHeight="false" outlineLevel="0" collapsed="false">
      <c r="A310" s="5" t="s">
        <v>702</v>
      </c>
      <c r="B310" s="0" t="s">
        <v>41</v>
      </c>
      <c r="D310" s="17" t="n">
        <f aca="false">D307/C307-1</f>
        <v>0.873852679935908</v>
      </c>
      <c r="E310" s="17" t="n">
        <f aca="false">E307/D307-1</f>
        <v>0.59561172312217</v>
      </c>
      <c r="F310" s="17" t="n">
        <f aca="false">F307/E307-1</f>
        <v>0.115962552206043</v>
      </c>
      <c r="G310" s="17" t="n">
        <f aca="false">G307/F307-1</f>
        <v>0.119388312573059</v>
      </c>
    </row>
    <row r="311" customFormat="false" ht="15" hidden="false" customHeight="false" outlineLevel="0" collapsed="false">
      <c r="A311" s="5" t="s">
        <v>703</v>
      </c>
      <c r="B311" s="0" t="s">
        <v>309</v>
      </c>
      <c r="C311" s="16" t="n">
        <f aca="false">a26_gp</f>
        <v>153.463</v>
      </c>
      <c r="D311" s="16" t="n">
        <f aca="false">a27_gp</f>
        <v>298.161</v>
      </c>
      <c r="E311" s="16" t="n">
        <f aca="false">E307-E303</f>
        <v>443.444483619541</v>
      </c>
      <c r="F311" s="16" t="n">
        <f aca="false">F307-F303</f>
        <v>470.553944053118</v>
      </c>
      <c r="G311" s="16" t="n">
        <f aca="false">G307-G303</f>
        <v>535.574893689058</v>
      </c>
    </row>
    <row r="312" customFormat="false" ht="15" hidden="false" customHeight="false" outlineLevel="0" collapsed="false">
      <c r="A312" s="5" t="s">
        <v>543</v>
      </c>
      <c r="B312" s="0" t="s">
        <v>41</v>
      </c>
      <c r="C312" s="17" t="n">
        <f aca="false">C311/C307</f>
        <v>0.710680843575471</v>
      </c>
      <c r="D312" s="17" t="n">
        <f aca="false">D311/D307</f>
        <v>0.736862266333198</v>
      </c>
      <c r="E312" s="17" t="n">
        <f aca="false">E311/E307</f>
        <v>0.686827252966124</v>
      </c>
      <c r="F312" s="17" t="n">
        <f aca="false">F311/F307</f>
        <v>0.65308251896169</v>
      </c>
      <c r="G312" s="17" t="n">
        <f aca="false">G311/G307</f>
        <v>0.664045875179744</v>
      </c>
    </row>
    <row r="313" customFormat="false" ht="17.15" hidden="false" customHeight="false" outlineLevel="0" collapsed="false">
      <c r="A313" s="5" t="s">
        <v>704</v>
      </c>
      <c r="B313" s="0" t="s">
        <v>309</v>
      </c>
      <c r="C313" s="16" t="n">
        <f aca="false">a26_opx</f>
        <v>23.076</v>
      </c>
      <c r="D313" s="16" t="n">
        <f aca="false">a27_opx</f>
        <v>35.165</v>
      </c>
      <c r="E313" s="16" t="n">
        <f aca="false">D313*(1+MAX(g_opx_min,phi*E310))</f>
        <v>47.7318117461547</v>
      </c>
      <c r="F313" s="16" t="n">
        <f aca="false">E313*(1+MAX(g_opx_min,phi*F310))</f>
        <v>51.0528733730562</v>
      </c>
      <c r="G313" s="16" t="n">
        <f aca="false">F313*(1+MAX(g_opx_min,phi*G310))</f>
        <v>54.7099432154653</v>
      </c>
      <c r="H313" s="5" t="s">
        <v>705</v>
      </c>
    </row>
    <row r="314" customFormat="false" ht="15" hidden="false" customHeight="false" outlineLevel="0" collapsed="false">
      <c r="A314" s="5" t="s">
        <v>706</v>
      </c>
      <c r="B314" s="0" t="s">
        <v>309</v>
      </c>
      <c r="C314" s="16" t="n">
        <f aca="false">C313</f>
        <v>23.076</v>
      </c>
      <c r="D314" s="16" t="n">
        <f aca="false">D313</f>
        <v>35.165</v>
      </c>
      <c r="E314" s="16" t="n">
        <f aca="false">E313+0*E307</f>
        <v>47.7318117461547</v>
      </c>
      <c r="F314" s="16" t="n">
        <f aca="false">F313+0*F307</f>
        <v>51.0528733730562</v>
      </c>
      <c r="G314" s="16" t="n">
        <f aca="false">G313+0*G307</f>
        <v>54.7099432154653</v>
      </c>
    </row>
    <row r="315" customFormat="false" ht="15" hidden="false" customHeight="false" outlineLevel="0" collapsed="false">
      <c r="A315" s="5" t="s">
        <v>546</v>
      </c>
      <c r="B315" s="0" t="s">
        <v>309</v>
      </c>
      <c r="C315" s="16" t="n">
        <f aca="false">C311-C314</f>
        <v>130.387</v>
      </c>
      <c r="D315" s="16" t="n">
        <f aca="false">D311-D314</f>
        <v>262.996</v>
      </c>
      <c r="E315" s="16" t="n">
        <f aca="false">E311-E314</f>
        <v>395.712671873386</v>
      </c>
      <c r="F315" s="16" t="n">
        <f aca="false">F311-F314</f>
        <v>419.501070680062</v>
      </c>
      <c r="G315" s="16" t="n">
        <f aca="false">G311-G314</f>
        <v>480.864950473592</v>
      </c>
    </row>
    <row r="316" customFormat="false" ht="15" hidden="false" customHeight="false" outlineLevel="0" collapsed="false">
      <c r="A316" s="5" t="s">
        <v>648</v>
      </c>
      <c r="B316" s="0" t="s">
        <v>41</v>
      </c>
      <c r="C316" s="17" t="n">
        <f aca="false">C315/C307</f>
        <v>0.603816836314127</v>
      </c>
      <c r="D316" s="17" t="n">
        <f aca="false">D315/D307</f>
        <v>0.649956998388675</v>
      </c>
      <c r="E316" s="17" t="n">
        <f aca="false">E315/E307</f>
        <v>0.612898023148859</v>
      </c>
      <c r="F316" s="17" t="n">
        <f aca="false">F315/F307</f>
        <v>0.582226160059417</v>
      </c>
      <c r="G316" s="17" t="n">
        <f aca="false">G315/G307</f>
        <v>0.596212389048036</v>
      </c>
    </row>
    <row r="317" customFormat="false" ht="15" hidden="false" customHeight="false" outlineLevel="0" collapsed="false">
      <c r="A317" s="5" t="s">
        <v>551</v>
      </c>
      <c r="B317" s="0" t="s">
        <v>309</v>
      </c>
      <c r="C317" s="20" t="n">
        <f aca="false">a26_oth</f>
        <v>2.145</v>
      </c>
      <c r="D317" s="20" t="n">
        <f aca="false">a27_oth</f>
        <v>1.133</v>
      </c>
      <c r="E317" s="20" t="n">
        <f aca="false">oth_f</f>
        <v>1.2</v>
      </c>
      <c r="F317" s="20" t="n">
        <f aca="false">oth_f</f>
        <v>1.2</v>
      </c>
      <c r="G317" s="20" t="n">
        <f aca="false">oth_f</f>
        <v>1.2</v>
      </c>
    </row>
    <row r="318" customFormat="false" ht="15" hidden="false" customHeight="false" outlineLevel="0" collapsed="false">
      <c r="A318" s="5" t="s">
        <v>560</v>
      </c>
      <c r="B318" s="0" t="s">
        <v>41</v>
      </c>
      <c r="C318" s="17" t="n">
        <f aca="false">1-a26_ni/(a26_oi+a26_oth)</f>
        <v>0.151187565812244</v>
      </c>
      <c r="D318" s="17" t="n">
        <f aca="false">a27_etr</f>
        <v>0.167980835756566</v>
      </c>
      <c r="E318" s="17" t="n">
        <f aca="false">tx_f</f>
        <v>0.17</v>
      </c>
      <c r="F318" s="17" t="n">
        <f aca="false">tx_f</f>
        <v>0.17</v>
      </c>
      <c r="G318" s="17" t="n">
        <f aca="false">tx_f</f>
        <v>0.17</v>
      </c>
    </row>
    <row r="319" customFormat="false" ht="15" hidden="false" customHeight="false" outlineLevel="0" collapsed="false">
      <c r="A319" s="5" t="s">
        <v>649</v>
      </c>
      <c r="B319" s="0" t="s">
        <v>309</v>
      </c>
      <c r="C319" s="16" t="n">
        <f aca="false">a26_ni</f>
        <v>112.494809527772</v>
      </c>
      <c r="D319" s="16" t="n">
        <f aca="false">a27_ni</f>
        <v>219.760389832454</v>
      </c>
      <c r="E319" s="16" t="n">
        <f aca="false">(E315+E317)*(1-E318)</f>
        <v>329.43751765491</v>
      </c>
      <c r="F319" s="16" t="n">
        <f aca="false">(F315+F317)*(1-F318)</f>
        <v>349.181888664451</v>
      </c>
      <c r="G319" s="16" t="n">
        <f aca="false">(G315+G317)*(1-G318)</f>
        <v>400.113908893082</v>
      </c>
    </row>
    <row r="320" customFormat="false" ht="15" hidden="false" customHeight="false" outlineLevel="0" collapsed="false">
      <c r="A320" s="5" t="s">
        <v>707</v>
      </c>
      <c r="B320" s="5" t="s">
        <v>708</v>
      </c>
      <c r="C320" s="18" t="n">
        <f aca="false">a26_sh</f>
        <v>24.5145</v>
      </c>
      <c r="D320" s="18" t="n">
        <f aca="false">a27_sh</f>
        <v>24.25691339125</v>
      </c>
      <c r="E320" s="18" t="n">
        <f aca="false">D320*(1+sh_g)</f>
        <v>23.965830430555</v>
      </c>
      <c r="F320" s="18" t="n">
        <f aca="false">E320*(1+sh_g)</f>
        <v>23.6782404653883</v>
      </c>
      <c r="G320" s="18" t="n">
        <f aca="false">F320*(1+sh_g)</f>
        <v>23.3941015798037</v>
      </c>
    </row>
    <row r="321" customFormat="false" ht="17.15" hidden="false" customHeight="false" outlineLevel="0" collapsed="false">
      <c r="A321" s="0" t="s">
        <v>650</v>
      </c>
      <c r="B321" s="0" t="s">
        <v>420</v>
      </c>
      <c r="C321" s="20" t="n">
        <f aca="false">C319/C320</f>
        <v>4.58890899376988</v>
      </c>
      <c r="D321" s="20" t="n">
        <f aca="false">D319/D320</f>
        <v>9.05970130196888</v>
      </c>
      <c r="E321" s="20" t="n">
        <f aca="false">E319/E320</f>
        <v>13.7461340473684</v>
      </c>
      <c r="F321" s="20" t="n">
        <f aca="false">F319/F320</f>
        <v>14.7469525522755</v>
      </c>
      <c r="G321" s="20" t="n">
        <f aca="false">G319/G320</f>
        <v>17.1031961850804</v>
      </c>
    </row>
    <row r="322" customFormat="false" ht="17.15" hidden="false" customHeight="false" outlineLevel="0" collapsed="false">
      <c r="A322" s="0" t="s">
        <v>709</v>
      </c>
      <c r="B322" s="0" t="s">
        <v>41</v>
      </c>
      <c r="D322" s="17" t="n">
        <f aca="false">D321/C321-1</f>
        <v>0.974260399207908</v>
      </c>
      <c r="E322" s="17" t="n">
        <f aca="false">E321/D321-1</f>
        <v>0.517283361691083</v>
      </c>
      <c r="F322" s="17" t="n">
        <f aca="false">F321/E321-1</f>
        <v>0.072807270863088</v>
      </c>
      <c r="G322" s="17" t="n">
        <f aca="false">G321/F321-1</f>
        <v>0.159778342301735</v>
      </c>
    </row>
    <row r="325" customFormat="false" ht="17.15" hidden="false" customHeight="false" outlineLevel="0" collapsed="false">
      <c r="A325" s="4" t="s">
        <v>1095</v>
      </c>
    </row>
    <row r="326" customFormat="false" ht="15" hidden="false" customHeight="false" outlineLevel="0" collapsed="false">
      <c r="A326" s="6" t="s">
        <v>19</v>
      </c>
      <c r="B326" s="6" t="s">
        <v>20</v>
      </c>
      <c r="C326" s="12" t="s">
        <v>639</v>
      </c>
      <c r="D326" s="12" t="s">
        <v>640</v>
      </c>
      <c r="E326" s="12" t="s">
        <v>641</v>
      </c>
      <c r="F326" s="12" t="s">
        <v>642</v>
      </c>
      <c r="G326" s="12" t="s">
        <v>643</v>
      </c>
      <c r="H326" s="6" t="s">
        <v>592</v>
      </c>
    </row>
    <row r="327" customFormat="false" ht="17.15" hidden="false" customHeight="false" outlineLevel="0" collapsed="false">
      <c r="A327" s="1" t="s">
        <v>658</v>
      </c>
    </row>
    <row r="328" customFormat="false" ht="17.15" hidden="false" customHeight="false" outlineLevel="0" collapsed="false">
      <c r="A328" s="0" t="s">
        <v>659</v>
      </c>
      <c r="B328" s="0" t="s">
        <v>126</v>
      </c>
      <c r="D328" s="18" t="n">
        <f aca="false">k_rec</f>
        <v>0.828370921864097</v>
      </c>
      <c r="E328" s="18" t="n">
        <f aca="false">k_rec*1*((Units!D32+dsh)/Units!D32)</f>
        <v>0.88350095588016</v>
      </c>
      <c r="F328" s="18" t="n">
        <f aca="false">k_rec*1*((Units!E32+dsh)/Units!E32)</f>
        <v>0.885306502516716</v>
      </c>
      <c r="G328" s="18" t="n">
        <f aca="false">k_rec*1*((Units!F32+dsh)/Units!F32)</f>
        <v>0.885632301931068</v>
      </c>
    </row>
    <row r="329" customFormat="false" ht="17.15" hidden="false" customHeight="false" outlineLevel="0" collapsed="false">
      <c r="A329" s="0" t="s">
        <v>660</v>
      </c>
      <c r="B329" s="5" t="s">
        <v>30</v>
      </c>
      <c r="D329" s="20" t="n">
        <f aca="false">(u_bw_26)*D328</f>
        <v>4.47320297806612</v>
      </c>
      <c r="E329" s="20" t="n">
        <f aca="false">(u_bw_27)*E328</f>
        <v>2.12040229411239</v>
      </c>
      <c r="F329" s="20" t="n">
        <f aca="false">(u_bw_28*um28_A)*F328</f>
        <v>0.442653251258358</v>
      </c>
      <c r="G329" s="20" t="n">
        <f aca="false">(u_bw_28*(1+g29_bw)*um29_A)*G328</f>
        <v>0.221408075482767</v>
      </c>
    </row>
    <row r="330" customFormat="false" ht="17.15" hidden="false" customHeight="false" outlineLevel="0" collapsed="false">
      <c r="A330" s="0" t="s">
        <v>661</v>
      </c>
      <c r="B330" s="5" t="s">
        <v>30</v>
      </c>
      <c r="D330" s="20" t="n">
        <f aca="false">(u_rb_26)*D328</f>
        <v>1.40823056716896</v>
      </c>
      <c r="E330" s="20" t="n">
        <f aca="false">(u_rb_27)*E328</f>
        <v>6.18450669116112</v>
      </c>
      <c r="F330" s="20" t="n">
        <f aca="false">(u_rb_28*um28_A)*F328</f>
        <v>6.19714551761701</v>
      </c>
      <c r="G330" s="20" t="n">
        <f aca="false">(u_rb_28*(1+g29_rb)*um29_A)*G328</f>
        <v>7.1293400305451</v>
      </c>
    </row>
    <row r="331" customFormat="false" ht="17.15" hidden="false" customHeight="false" outlineLevel="0" collapsed="false">
      <c r="A331" s="0" t="s">
        <v>662</v>
      </c>
      <c r="B331" s="5" t="s">
        <v>30</v>
      </c>
      <c r="D331" s="20" t="n">
        <f aca="false">(u_ru_26)*D328</f>
        <v>0</v>
      </c>
      <c r="E331" s="20" t="n">
        <f aca="false">(u_ru_27)*E328</f>
        <v>0.265050286764048</v>
      </c>
      <c r="F331" s="20" t="n">
        <f aca="false">(u_ru_28*um28_A)*F328</f>
        <v>1.77061300503343</v>
      </c>
      <c r="G331" s="20" t="n">
        <f aca="false">(u_ru_28*(1+g29_ru)*um29_A)*G328</f>
        <v>2.03695429444146</v>
      </c>
    </row>
    <row r="332" customFormat="false" ht="17.15" hidden="false" customHeight="false" outlineLevel="0" collapsed="false">
      <c r="A332" s="0" t="s">
        <v>663</v>
      </c>
      <c r="B332" s="5" t="s">
        <v>30</v>
      </c>
      <c r="D332" s="20" t="n">
        <f aca="false">(u_hp_26)*D328</f>
        <v>0.414185460932049</v>
      </c>
      <c r="E332" s="20" t="n">
        <f aca="false">(u_hp_27)*E328</f>
        <v>0</v>
      </c>
      <c r="F332" s="20" t="n">
        <f aca="false">(u_hp_28*um28_A)*F328</f>
        <v>0</v>
      </c>
      <c r="G332" s="20" t="n">
        <f aca="false">(u_hp_28*(1+g29_hp)*um29_A)*G328</f>
        <v>0</v>
      </c>
    </row>
    <row r="333" customFormat="false" ht="17.15" hidden="false" customHeight="false" outlineLevel="0" collapsed="false">
      <c r="A333" s="0" t="s">
        <v>664</v>
      </c>
      <c r="B333" s="5" t="s">
        <v>30</v>
      </c>
      <c r="D333" s="20" t="n">
        <f aca="false">SUM(D329:D332)</f>
        <v>6.29561900616714</v>
      </c>
      <c r="E333" s="20" t="n">
        <f aca="false">SUM(E329:E332)</f>
        <v>8.56995927203756</v>
      </c>
      <c r="F333" s="20" t="n">
        <f aca="false">SUM(F329:F332)</f>
        <v>8.4104117739088</v>
      </c>
      <c r="G333" s="20" t="n">
        <f aca="false">SUM(G329:G332)</f>
        <v>9.38770240046932</v>
      </c>
      <c r="H333" s="8" t="s">
        <v>665</v>
      </c>
    </row>
    <row r="334" customFormat="false" ht="17.15" hidden="false" customHeight="false" outlineLevel="0" collapsed="false">
      <c r="A334" s="0" t="s">
        <v>666</v>
      </c>
      <c r="B334" s="0" t="s">
        <v>174</v>
      </c>
      <c r="D334" s="20" t="n">
        <f aca="false">1*(pm_bw+pcpu_bw+plp_bw+k_tray*pres_bw)+(1-abs_mem)*(gb_bw_26*hpx_bw*(hbm_A_26/hbm_A_26-1)/1000+plp_bw*(cdx_A_26/cdx_A_26-1))</f>
        <v>47.005555</v>
      </c>
      <c r="E334" s="20" t="n">
        <f aca="false">1*(pm_bw+pcpu_bw+plp_bw+k_tray*pres_bw)+(1-abs_mem)*(gb_bw_27*hpx_bw*(hbm_A_27/hbm_A_26-1)/1000+plp_bw*(cdx_A_27/cdx_A_26-1))</f>
        <v>49.1868731800491</v>
      </c>
      <c r="F334" s="20" t="n">
        <f aca="false">1*(pm_bw+pcpu_bw+plp_bw+k_tray*pres_bw)+(1-abs_mem)*(gb_bw_28*hpx_bw*(hbm_A_28/hbm_A_26-1)/1000+plp_bw*(cdx_A_28/cdx_A_26-1))</f>
        <v>49.4475301208957</v>
      </c>
      <c r="G334" s="20" t="n">
        <f aca="false">1*(pm_bw+pcpu_bw+plp_bw+k_tray*pres_bw)+(1-abs_mem)*(gb_bw_28*hpx_bw*(hbm_A_29/hbm_A_26-1)/1000+plp_bw*(cdx_A_29/cdx_A_26-1))</f>
        <v>49.0541422400875</v>
      </c>
      <c r="H334" s="5" t="s">
        <v>667</v>
      </c>
    </row>
    <row r="335" customFormat="false" ht="17.15" hidden="false" customHeight="false" outlineLevel="0" collapsed="false">
      <c r="A335" s="0" t="s">
        <v>668</v>
      </c>
      <c r="B335" s="0" t="s">
        <v>174</v>
      </c>
      <c r="D335" s="20" t="n">
        <f aca="false">1*(pm_rb+pcpu_rb+plp_rb+k_tray*pres_rb)+(1-abs_mem)*(gb_rb_26*hpx_rb*(hbm_A_26/hbm_A_26-1)/1000+plp_rb*(cdx_A_26/cdx_A_26-1))</f>
        <v>72.166667</v>
      </c>
      <c r="E335" s="20" t="n">
        <f aca="false">1*(pm_rb+pcpu_rb+plp_rb+k_tray*pres_rb)+(1-abs_mem)*(gb_rb_27*hpx_rb*(hbm_A_27/hbm_A_26-1)/1000+plp_rb*(cdx_A_27/cdx_A_26-1))</f>
        <v>74.8239724084115</v>
      </c>
      <c r="F335" s="20" t="n">
        <f aca="false">1*(pm_rb+pcpu_rb+plp_rb+k_tray*pres_rb)+(1-abs_mem)*(gb_rb_28*hpx_rb*(hbm_A_28/hbm_A_26-1)/1000+plp_rb*(cdx_A_28/cdx_A_26-1))</f>
        <v>74.9427371790653</v>
      </c>
      <c r="G335" s="20" t="n">
        <f aca="false">1*(pm_rb+pcpu_rb+plp_rb+k_tray*pres_rb)+(1-abs_mem)*(gb_rb_28*hpx_rb*(hbm_A_29/hbm_A_26-1)/1000+plp_rb*(cdx_A_29/cdx_A_26-1))</f>
        <v>74.4206762269425</v>
      </c>
    </row>
    <row r="336" customFormat="false" ht="17.15" hidden="false" customHeight="false" outlineLevel="0" collapsed="false">
      <c r="A336" s="0" t="s">
        <v>669</v>
      </c>
      <c r="B336" s="0" t="s">
        <v>174</v>
      </c>
      <c r="D336" s="20" t="n">
        <f aca="false">1*(pm_ru+pcpu_ru+plp_ru+k_tray*pres_ru)+(1-abs_mem)*(gb_ru_26*hpx_ru*(hbm_A_26/hbm_A_26-1)/1000+plp_ru*(cdx_A_26/cdx_A_26-1))</f>
        <v>92.166667</v>
      </c>
      <c r="E336" s="20" t="n">
        <f aca="false">1*(pm_ru+pcpu_ru+plp_ru+k_tray*pres_ru)+(1-abs_mem)*(gb_ru_27*hpx_ru*(hbm_A_27/hbm_A_26-1)/1000+plp_ru*(cdx_A_27/cdx_A_26-1))</f>
        <v>99.7404524084115</v>
      </c>
      <c r="F336" s="20" t="n">
        <f aca="false">1*(pm_ru+pcpu_ru+plp_ru+k_tray*pres_ru)+(1-abs_mem)*(gb_ru_28*hpx_ru*(hbm_A_28/hbm_A_26-1)/1000+plp_ru*(cdx_A_28/cdx_A_26-1))</f>
        <v>100.965425179065</v>
      </c>
      <c r="G336" s="20" t="n">
        <f aca="false">1*(pm_ru+pcpu_ru+plp_ru+k_tray*pres_ru)+(1-abs_mem)*(gb_ru_28*hpx_ru*(hbm_A_29/hbm_A_26-1)/1000+plp_ru*(cdx_A_29/cdx_A_26-1))</f>
        <v>99.8349498269425</v>
      </c>
    </row>
    <row r="337" customFormat="false" ht="17.15" hidden="false" customHeight="false" outlineLevel="0" collapsed="false">
      <c r="A337" s="0" t="s">
        <v>670</v>
      </c>
      <c r="B337" s="0" t="s">
        <v>174</v>
      </c>
      <c r="D337" s="20" t="n">
        <f aca="false">1*(pm_hp+pcpu_hp+plp_hp+k_tray*pres_hp)+(1-abs_mem)*(gb_hp_26*hpx_hp*(hbm_A_26/hbm_A_26-1)/1000+plp_hp*(cdx_A_26/cdx_A_26-1))</f>
        <v>30</v>
      </c>
      <c r="E337" s="20" t="n">
        <f aca="false">1*(pm_hp+pcpu_hp+plp_hp+k_tray*pres_hp)+(1-abs_mem)*(gb_hp_27*hpx_hp*(hbm_A_27/hbm_A_26-1)/1000+plp_hp*(cdx_A_27/cdx_A_26-1))</f>
        <v>30.8742</v>
      </c>
      <c r="F337" s="20" t="n">
        <f aca="false">1*(pm_hp+pcpu_hp+plp_hp+k_tray*pres_hp)+(1-abs_mem)*(gb_hp_28*hpx_hp*(hbm_A_28/hbm_A_26-1)/1000+plp_hp*(cdx_A_28/cdx_A_26-1))</f>
        <v>31.070895</v>
      </c>
      <c r="G337" s="20" t="n">
        <f aca="false">1*(pm_hp+pcpu_hp+plp_hp+k_tray*pres_hp)+(1-abs_mem)*(gb_hp_28*hpx_hp*(hbm_A_29/hbm_A_26-1)/1000+plp_hp*(cdx_A_29/cdx_A_26-1))</f>
        <v>30.96271275</v>
      </c>
    </row>
    <row r="338" customFormat="false" ht="17.15" hidden="false" customHeight="false" outlineLevel="0" collapsed="false">
      <c r="A338" s="0" t="s">
        <v>671</v>
      </c>
      <c r="B338" s="0" t="s">
        <v>174</v>
      </c>
      <c r="D338" s="20" t="n">
        <f aca="false">gb_bw_26*hpx_bw*hbm_A_26/hbm_A_26/1000</f>
        <v>4.03</v>
      </c>
      <c r="E338" s="20" t="n">
        <f aca="false">gb_bw_27*hpx_bw*hbm_A_27/hbm_A_26/1000</f>
        <v>7.812</v>
      </c>
      <c r="F338" s="20" t="n">
        <f aca="false">gb_bw_28*hpx_bw*hbm_A_28/hbm_A_26/1000</f>
        <v>8.83872</v>
      </c>
      <c r="G338" s="20" t="n">
        <f aca="false">gb_bw_28*hpx_bw*hbm_A_29/hbm_A_26/1000</f>
        <v>8.396784</v>
      </c>
      <c r="H338" s="5" t="s">
        <v>672</v>
      </c>
    </row>
    <row r="339" customFormat="false" ht="17.15" hidden="false" customHeight="false" outlineLevel="0" collapsed="false">
      <c r="A339" s="0" t="s">
        <v>673</v>
      </c>
      <c r="B339" s="0" t="s">
        <v>174</v>
      </c>
      <c r="D339" s="20" t="n">
        <f aca="false">gb_rb_26*hpx_rb*hbm_A_26/hbm_A_26/1000</f>
        <v>4.8096</v>
      </c>
      <c r="E339" s="20" t="n">
        <f aca="false">gb_rb_27*hpx_rb*hbm_A_27/hbm_A_26/1000</f>
        <v>8.65728</v>
      </c>
      <c r="F339" s="20" t="n">
        <f aca="false">gb_rb_28*hpx_rb*hbm_A_28/hbm_A_26/1000</f>
        <v>9.523008</v>
      </c>
      <c r="G339" s="20" t="n">
        <f aca="false">gb_rb_28*hpx_rb*hbm_A_29/hbm_A_26/1000</f>
        <v>9.0468576</v>
      </c>
    </row>
    <row r="340" customFormat="false" ht="17.15" hidden="false" customHeight="false" outlineLevel="0" collapsed="false">
      <c r="A340" s="0" t="s">
        <v>674</v>
      </c>
      <c r="B340" s="0" t="s">
        <v>174</v>
      </c>
      <c r="D340" s="20" t="n">
        <f aca="false">gb_ru_26*hpx_ru*hbm_A_26/hbm_A_26/1000</f>
        <v>17.1008</v>
      </c>
      <c r="E340" s="20" t="n">
        <f aca="false">gb_ru_27*hpx_ru*hbm_A_27/hbm_A_26/1000</f>
        <v>30.78144</v>
      </c>
      <c r="F340" s="20" t="n">
        <f aca="false">gb_ru_28*hpx_ru*hbm_A_28/hbm_A_26/1000</f>
        <v>33.859584</v>
      </c>
      <c r="G340" s="20" t="n">
        <f aca="false">gb_ru_28*hpx_ru*hbm_A_29/hbm_A_26/1000</f>
        <v>32.1666048</v>
      </c>
    </row>
    <row r="341" customFormat="false" ht="17.15" hidden="false" customHeight="false" outlineLevel="0" collapsed="false">
      <c r="A341" s="0" t="s">
        <v>675</v>
      </c>
      <c r="B341" s="0" t="s">
        <v>174</v>
      </c>
      <c r="D341" s="20" t="n">
        <f aca="false">gb_hp_26*hpx_hp*hbm_A_26/hbm_A_26/1000</f>
        <v>2.1855</v>
      </c>
      <c r="E341" s="20" t="n">
        <f aca="false">gb_hp_27*hpx_hp*hbm_A_27/hbm_A_26/1000</f>
        <v>3.9339</v>
      </c>
      <c r="F341" s="20" t="n">
        <f aca="false">gb_hp_28*hpx_hp*hbm_A_28/hbm_A_26/1000</f>
        <v>4.32729</v>
      </c>
      <c r="G341" s="20" t="n">
        <f aca="false">gb_hp_28*hpx_hp*hbm_A_29/hbm_A_26/1000</f>
        <v>4.1109255</v>
      </c>
    </row>
    <row r="342" customFormat="false" ht="17.15" hidden="false" customHeight="false" outlineLevel="0" collapsed="false">
      <c r="A342" s="0" t="s">
        <v>676</v>
      </c>
      <c r="B342" s="0" t="s">
        <v>174</v>
      </c>
      <c r="D342" s="20" t="n">
        <f aca="false">1*c_nh*(pm_bw+pcpu_bw+plp_bw+k_tray*pres_bw)+D338+plp_bw*(cdx_A_26/cdx_A_26-1)</f>
        <v>11.8212823332139</v>
      </c>
      <c r="E342" s="20" t="n">
        <f aca="false">1*c_nh*(pm_bw+pcpu_bw+plp_bw+k_tray*pres_bw)+E338+plp_bw*(cdx_A_27/cdx_A_26-1)</f>
        <v>16.493918693312</v>
      </c>
      <c r="F342" s="20" t="n">
        <f aca="false">1*c_nh*(pm_bw+pcpu_bw+plp_bw+k_tray*pres_bw)+F338+plp_bw*(cdx_A_28/cdx_A_26-1)</f>
        <v>17.1392325750052</v>
      </c>
      <c r="G342" s="20" t="n">
        <f aca="false">1*c_nh*(pm_bw+pcpu_bw+plp_bw+k_tray*pres_bw)+G338+plp_bw*(cdx_A_29/cdx_A_26-1)</f>
        <v>16.3524568133889</v>
      </c>
      <c r="H342" s="5" t="s">
        <v>677</v>
      </c>
    </row>
    <row r="343" customFormat="false" ht="17.15" hidden="false" customHeight="false" outlineLevel="0" collapsed="false">
      <c r="A343" s="0" t="s">
        <v>678</v>
      </c>
      <c r="B343" s="0" t="s">
        <v>174</v>
      </c>
      <c r="D343" s="20" t="n">
        <f aca="false">1*c_nh*(pm_rb+pcpu_rb+plp_rb+k_tray*pres_rb)+D339+plp_rb*(cdx_A_26/cdx_A_26-1)</f>
        <v>16.7713963801093</v>
      </c>
      <c r="E343" s="20" t="n">
        <f aca="false">1*c_nh*(pm_rb+pcpu_rb+plp_rb+k_tray*pres_rb)+E339+plp_rb*(cdx_A_27/cdx_A_26-1)</f>
        <v>22.0860071969322</v>
      </c>
      <c r="F343" s="20" t="n">
        <f aca="false">1*c_nh*(pm_rb+pcpu_rb+plp_rb+k_tray*pres_rb)+F339+plp_rb*(cdx_A_28/cdx_A_26-1)</f>
        <v>22.3235367382399</v>
      </c>
      <c r="G343" s="20" t="n">
        <f aca="false">1*c_nh*(pm_rb+pcpu_rb+plp_rb+k_tray*pres_rb)+G339+plp_rb*(cdx_A_29/cdx_A_26-1)</f>
        <v>21.2794148339942</v>
      </c>
    </row>
    <row r="344" customFormat="false" ht="17.15" hidden="false" customHeight="false" outlineLevel="0" collapsed="false">
      <c r="A344" s="0" t="s">
        <v>679</v>
      </c>
      <c r="B344" s="0" t="s">
        <v>174</v>
      </c>
      <c r="D344" s="20" t="n">
        <f aca="false">1*c_nh*(pm_ru+pcpu_ru+plp_ru+k_tray*pres_ru)+D340+plp_ru*(cdx_A_26/cdx_A_26-1)</f>
        <v>32.3776438604396</v>
      </c>
      <c r="E344" s="20" t="n">
        <f aca="false">1*c_nh*(pm_ru+pcpu_ru+plp_ru+k_tray*pres_ru)+E340+plp_ru*(cdx_A_27/cdx_A_26-1)</f>
        <v>47.5252146772625</v>
      </c>
      <c r="F344" s="20" t="n">
        <f aca="false">1*c_nh*(pm_ru+pcpu_ru+plp_ru+k_tray*pres_ru)+F340+plp_ru*(cdx_A_28/cdx_A_26-1)</f>
        <v>49.9751602185702</v>
      </c>
      <c r="G344" s="20" t="n">
        <f aca="false">1*c_nh*(pm_ru+pcpu_ru+plp_ru+k_tray*pres_ru)+G340+plp_ru*(cdx_A_29/cdx_A_26-1)</f>
        <v>47.7142095143245</v>
      </c>
    </row>
    <row r="345" customFormat="false" ht="17.15" hidden="false" customHeight="false" outlineLevel="0" collapsed="false">
      <c r="A345" s="0" t="s">
        <v>680</v>
      </c>
      <c r="B345" s="0" t="s">
        <v>174</v>
      </c>
      <c r="D345" s="20" t="n">
        <f aca="false">1*c_nh*(pm_hp+pcpu_hp+plp_hp+k_tray*pres_hp)+D341+plp_hp*(cdx_A_26/cdx_A_26-1)</f>
        <v>7.15807122049545</v>
      </c>
      <c r="E345" s="20" t="n">
        <f aca="false">1*c_nh*(pm_hp+pcpu_hp+plp_hp+k_tray*pres_hp)+E341+plp_hp*(cdx_A_27/cdx_A_26-1)</f>
        <v>8.90647122049545</v>
      </c>
      <c r="F345" s="20" t="n">
        <f aca="false">1*c_nh*(pm_hp+pcpu_hp+plp_hp+k_tray*pres_hp)+F341+plp_hp*(cdx_A_28/cdx_A_26-1)</f>
        <v>9.29986122049545</v>
      </c>
      <c r="G345" s="20" t="n">
        <f aca="false">1*c_nh*(pm_hp+pcpu_hp+plp_hp+k_tray*pres_hp)+G341+plp_hp*(cdx_A_29/cdx_A_26-1)</f>
        <v>9.08349672049545</v>
      </c>
    </row>
    <row r="346" customFormat="false" ht="17.15" hidden="false" customHeight="false" outlineLevel="0" collapsed="false">
      <c r="A346" s="0" t="s">
        <v>681</v>
      </c>
      <c r="B346" s="0" t="s">
        <v>309</v>
      </c>
      <c r="D346" s="16" t="n">
        <f aca="false">D329*D334</f>
        <v>210.265388611651</v>
      </c>
      <c r="E346" s="16" t="n">
        <f aca="false">E329*E334</f>
        <v>104.295958731191</v>
      </c>
      <c r="F346" s="16" t="n">
        <f aca="false">F329*F334</f>
        <v>21.8881099747101</v>
      </c>
      <c r="G346" s="16" t="n">
        <f aca="false">G329*G334</f>
        <v>10.8609832278357</v>
      </c>
    </row>
    <row r="347" customFormat="false" ht="17.15" hidden="false" customHeight="false" outlineLevel="0" collapsed="false">
      <c r="A347" s="0" t="s">
        <v>682</v>
      </c>
      <c r="B347" s="0" t="s">
        <v>309</v>
      </c>
      <c r="D347" s="16" t="n">
        <f aca="false">D330*D335</f>
        <v>101.627306400104</v>
      </c>
      <c r="E347" s="16" t="n">
        <f aca="false">E330*E335</f>
        <v>462.749358019076</v>
      </c>
      <c r="F347" s="16" t="n">
        <f aca="false">F330*F335</f>
        <v>464.431047787194</v>
      </c>
      <c r="G347" s="16" t="n">
        <f aca="false">G330*G335</f>
        <v>530.570306124977</v>
      </c>
    </row>
    <row r="348" customFormat="false" ht="17.15" hidden="false" customHeight="false" outlineLevel="0" collapsed="false">
      <c r="A348" s="0" t="s">
        <v>683</v>
      </c>
      <c r="B348" s="0" t="s">
        <v>309</v>
      </c>
      <c r="D348" s="16" t="n">
        <f aca="false">D331*D336</f>
        <v>0</v>
      </c>
      <c r="E348" s="16" t="n">
        <f aca="false">E331*E336</f>
        <v>26.4362355128254</v>
      </c>
      <c r="F348" s="16" t="n">
        <f aca="false">F331*F336</f>
        <v>178.770694880783</v>
      </c>
      <c r="G348" s="16" t="n">
        <f aca="false">G331*G336</f>
        <v>203.359229785338</v>
      </c>
    </row>
    <row r="349" customFormat="false" ht="17.15" hidden="false" customHeight="false" outlineLevel="0" collapsed="false">
      <c r="A349" s="0" t="s">
        <v>684</v>
      </c>
      <c r="B349" s="0" t="s">
        <v>309</v>
      </c>
      <c r="D349" s="16" t="n">
        <f aca="false">D332*D337</f>
        <v>12.4255638279615</v>
      </c>
      <c r="E349" s="16" t="n">
        <f aca="false">E332*E337</f>
        <v>0</v>
      </c>
      <c r="F349" s="16" t="n">
        <f aca="false">F332*F337</f>
        <v>0</v>
      </c>
      <c r="G349" s="16" t="n">
        <f aca="false">G332*G337</f>
        <v>0</v>
      </c>
    </row>
    <row r="350" customFormat="false" ht="17.15" hidden="false" customHeight="false" outlineLevel="0" collapsed="false">
      <c r="A350" s="5" t="s">
        <v>685</v>
      </c>
      <c r="B350" s="0" t="s">
        <v>309</v>
      </c>
      <c r="D350" s="16" t="n">
        <f aca="false">SUM(D346:D349)</f>
        <v>324.318258839716</v>
      </c>
      <c r="E350" s="16" t="n">
        <f aca="false">SUM(E346:E349)</f>
        <v>593.481552263092</v>
      </c>
      <c r="F350" s="16" t="n">
        <f aca="false">SUM(F346:F349)</f>
        <v>665.089852642687</v>
      </c>
      <c r="G350" s="16" t="n">
        <f aca="false">SUM(G346:G349)</f>
        <v>744.79051913815</v>
      </c>
    </row>
    <row r="351" customFormat="false" ht="15" hidden="false" customHeight="false" outlineLevel="0" collapsed="false">
      <c r="A351" s="5" t="s">
        <v>686</v>
      </c>
      <c r="B351" s="0" t="s">
        <v>309</v>
      </c>
      <c r="D351" s="16" t="n">
        <f aca="false">D329*D342+D330*D343+D331*D344+D332*D345</f>
        <v>79.4617574019149</v>
      </c>
      <c r="E351" s="16" t="n">
        <f aca="false">E329*E342+E330*E343+E331*E344+E332*E345</f>
        <v>184.161374105393</v>
      </c>
      <c r="F351" s="16" t="n">
        <f aca="false">F329*F342+F330*F343+F331*F344+F332*F345</f>
        <v>234.415611269771</v>
      </c>
      <c r="G351" s="16" t="n">
        <f aca="false">G329*G342+G330*G343+G331*G344+G332*G345</f>
        <v>252.52041397112</v>
      </c>
    </row>
    <row r="352" customFormat="false" ht="17.15" hidden="false" customHeight="false" outlineLevel="0" collapsed="false">
      <c r="A352" s="5" t="s">
        <v>687</v>
      </c>
      <c r="B352" s="0" t="s">
        <v>309</v>
      </c>
      <c r="D352" s="16" t="n">
        <f aca="false">D329*D338+D330*D339+D331*D340+D332*D341</f>
        <v>25.7052360623293</v>
      </c>
      <c r="E352" s="16" t="n">
        <f aca="false">E329*E338+E330*E339+E331*E340+E332*E341</f>
        <v>78.2642183078717</v>
      </c>
      <c r="F352" s="16" t="n">
        <f aca="false">F329*F338+F330*F339+F331*F340+F332*F341</f>
        <v>122.880174261815</v>
      </c>
      <c r="G352" s="16" t="n">
        <f aca="false">G329*G338+G330*G339+G331*G340+G332*G341</f>
        <v>131.879143608967</v>
      </c>
    </row>
    <row r="353" customFormat="false" ht="17.15" hidden="false" customHeight="false" outlineLevel="0" collapsed="false">
      <c r="A353" s="5" t="s">
        <v>688</v>
      </c>
      <c r="B353" s="0" t="s">
        <v>309</v>
      </c>
      <c r="D353" s="16" t="n">
        <f aca="false">0</f>
        <v>0</v>
      </c>
      <c r="E353" s="16" t="n">
        <f aca="false">0</f>
        <v>0</v>
      </c>
      <c r="F353" s="16" t="n">
        <f aca="false">0</f>
        <v>0</v>
      </c>
      <c r="G353" s="16" t="n">
        <f aca="false">0</f>
        <v>0</v>
      </c>
    </row>
    <row r="354" customFormat="false" ht="15" hidden="false" customHeight="false" outlineLevel="0" collapsed="false">
      <c r="A354" s="5" t="s">
        <v>689</v>
      </c>
      <c r="B354" s="0" t="s">
        <v>309</v>
      </c>
      <c r="D354" s="16" t="n">
        <f aca="false">D353*D351/D350</f>
        <v>0</v>
      </c>
      <c r="E354" s="16" t="n">
        <f aca="false">E353*E351/E350</f>
        <v>0</v>
      </c>
      <c r="F354" s="16" t="n">
        <f aca="false">F353*F351/F350</f>
        <v>0</v>
      </c>
      <c r="G354" s="16" t="n">
        <f aca="false">G353*G351/G350</f>
        <v>0</v>
      </c>
    </row>
    <row r="355" customFormat="false" ht="17.15" hidden="false" customHeight="false" outlineLevel="0" collapsed="false">
      <c r="A355" s="0" t="s">
        <v>690</v>
      </c>
      <c r="B355" s="0" t="s">
        <v>309</v>
      </c>
      <c r="D355" s="16" t="n">
        <f aca="false">net_26*1*D328</f>
        <v>51.1385386602837</v>
      </c>
      <c r="E355" s="16" t="n">
        <f aca="false">net_27*1*E328</f>
        <v>108.218322511411</v>
      </c>
      <c r="F355" s="16" t="n">
        <f aca="false">net_28*um28_A*F328</f>
        <v>122.718354398059</v>
      </c>
      <c r="G355" s="16" t="n">
        <f aca="false">net_29*um29_A*G328</f>
        <v>139.30970647447</v>
      </c>
      <c r="H355" s="8" t="s">
        <v>691</v>
      </c>
    </row>
    <row r="356" customFormat="false" ht="17.15" hidden="false" customHeight="false" outlineLevel="0" collapsed="false">
      <c r="A356" s="5" t="s">
        <v>692</v>
      </c>
      <c r="B356" s="0" t="s">
        <v>309</v>
      </c>
      <c r="D356" s="16" t="n">
        <f aca="false">c_net*D355</f>
        <v>15.3415615980851</v>
      </c>
      <c r="E356" s="16" t="n">
        <f aca="false">c_net*E355</f>
        <v>32.4654967534234</v>
      </c>
      <c r="F356" s="16" t="n">
        <f aca="false">c_net*F355</f>
        <v>36.8155063194177</v>
      </c>
      <c r="G356" s="16" t="n">
        <f aca="false">c_net*G355</f>
        <v>41.7929119423411</v>
      </c>
    </row>
    <row r="357" customFormat="false" ht="17.15" hidden="false" customHeight="false" outlineLevel="0" collapsed="false">
      <c r="A357" s="0" t="s">
        <v>693</v>
      </c>
      <c r="B357" s="0" t="s">
        <v>309</v>
      </c>
      <c r="D357" s="16" t="n">
        <f aca="false">a27_edge</f>
        <v>29.1792025</v>
      </c>
      <c r="E357" s="16" t="n">
        <f aca="false">D357*(1+eg)</f>
        <v>31.5135387</v>
      </c>
      <c r="F357" s="16" t="n">
        <f aca="false">E357*(1+eg)</f>
        <v>34.034621796</v>
      </c>
      <c r="G357" s="16" t="n">
        <f aca="false">F357*(1+eg)</f>
        <v>36.75739153968</v>
      </c>
    </row>
    <row r="358" customFormat="false" ht="17.15" hidden="false" customHeight="false" outlineLevel="0" collapsed="false">
      <c r="A358" s="0" t="s">
        <v>694</v>
      </c>
      <c r="B358" s="0" t="s">
        <v>309</v>
      </c>
      <c r="D358" s="16" t="n">
        <f aca="false">(1-gm_edge)*D357</f>
        <v>11.671681</v>
      </c>
      <c r="E358" s="16" t="n">
        <f aca="false">(1-gm_edge)*E357</f>
        <v>12.60541548</v>
      </c>
      <c r="F358" s="16" t="n">
        <f aca="false">(1-gm_edge)*F357</f>
        <v>13.6138487184</v>
      </c>
      <c r="G358" s="16" t="n">
        <f aca="false">(1-gm_edge)*G357</f>
        <v>14.702956615872</v>
      </c>
    </row>
    <row r="359" customFormat="false" ht="15" hidden="false" customHeight="false" outlineLevel="0" collapsed="false">
      <c r="A359" s="5" t="s">
        <v>695</v>
      </c>
      <c r="B359" s="0" t="s">
        <v>309</v>
      </c>
      <c r="D359" s="16" t="n">
        <f aca="false">D350+D353+D355+D357</f>
        <v>404.636</v>
      </c>
      <c r="E359" s="16" t="n">
        <f aca="false">E350+E353+E355+E357</f>
        <v>733.213413474504</v>
      </c>
      <c r="F359" s="16" t="n">
        <f aca="false">F350+F353+F355+F357</f>
        <v>821.842828836746</v>
      </c>
      <c r="G359" s="16" t="n">
        <f aca="false">G350+G353+G355+G357</f>
        <v>920.8576171523</v>
      </c>
    </row>
    <row r="360" customFormat="false" ht="15" hidden="false" customHeight="false" outlineLevel="0" collapsed="false">
      <c r="A360" s="5" t="s">
        <v>696</v>
      </c>
      <c r="B360" s="0" t="s">
        <v>309</v>
      </c>
      <c r="D360" s="16" t="n">
        <f aca="false">D351+D354+D356+D358</f>
        <v>106.475</v>
      </c>
      <c r="E360" s="16" t="n">
        <f aca="false">E351+E354+E356+E358</f>
        <v>229.232286338817</v>
      </c>
      <c r="F360" s="16" t="n">
        <f aca="false">F351+F354+F356+F358</f>
        <v>284.844966307589</v>
      </c>
      <c r="G360" s="16" t="n">
        <f aca="false">G351+G354+G356+G358</f>
        <v>309.016282529333</v>
      </c>
    </row>
    <row r="361" customFormat="false" ht="17.15" hidden="false" customHeight="false" outlineLevel="0" collapsed="false">
      <c r="A361" s="5" t="s">
        <v>697</v>
      </c>
      <c r="B361" s="0" t="s">
        <v>41</v>
      </c>
      <c r="D361" s="17" t="n">
        <f aca="false">1-D360/D359</f>
        <v>0.736862266333198</v>
      </c>
      <c r="E361" s="17" t="n">
        <f aca="false">1-E360/E359</f>
        <v>0.687359393423334</v>
      </c>
      <c r="F361" s="17" t="n">
        <f aca="false">1-F360/F359</f>
        <v>0.653407006409286</v>
      </c>
      <c r="G361" s="17" t="n">
        <f aca="false">1-G360/G359</f>
        <v>0.664425556379771</v>
      </c>
      <c r="H361" s="8" t="s">
        <v>698</v>
      </c>
    </row>
    <row r="362" customFormat="false" ht="17.15" hidden="false" customHeight="false" outlineLevel="0" collapsed="false">
      <c r="A362" s="0" t="s">
        <v>699</v>
      </c>
      <c r="B362" s="0" t="s">
        <v>41</v>
      </c>
      <c r="D362" s="17" t="n">
        <f aca="false">D352/D359</f>
        <v>0.0635268143771917</v>
      </c>
      <c r="E362" s="17" t="n">
        <f aca="false">E352/E359</f>
        <v>0.106741389163898</v>
      </c>
      <c r="F362" s="17" t="n">
        <f aca="false">F352/F359</f>
        <v>0.149517851771904</v>
      </c>
      <c r="G362" s="17" t="n">
        <f aca="false">G352/G359</f>
        <v>0.143213392768358</v>
      </c>
    </row>
    <row r="363" customFormat="false" ht="17.15" hidden="false" customHeight="false" outlineLevel="0" collapsed="false">
      <c r="A363" s="1" t="s">
        <v>700</v>
      </c>
    </row>
    <row r="364" customFormat="false" ht="15" hidden="false" customHeight="false" outlineLevel="0" collapsed="false">
      <c r="A364" s="5" t="s">
        <v>527</v>
      </c>
      <c r="B364" s="0" t="s">
        <v>309</v>
      </c>
      <c r="C364" s="16" t="n">
        <f aca="false">a26_rev</f>
        <v>215.938</v>
      </c>
      <c r="D364" s="16" t="n">
        <f aca="false">a27_rev</f>
        <v>404.636</v>
      </c>
      <c r="E364" s="16" t="n">
        <f aca="false">E359</f>
        <v>733.213413474504</v>
      </c>
      <c r="F364" s="16" t="n">
        <f aca="false">F359</f>
        <v>821.842828836746</v>
      </c>
      <c r="G364" s="16" t="n">
        <f aca="false">G359</f>
        <v>920.8576171523</v>
      </c>
    </row>
    <row r="365" customFormat="false" ht="17.15" hidden="false" customHeight="false" outlineLevel="0" collapsed="false">
      <c r="A365" s="0" t="s">
        <v>701</v>
      </c>
      <c r="B365" s="0" t="s">
        <v>309</v>
      </c>
      <c r="C365" s="16" t="n">
        <f aca="false">a26_dc</f>
        <v>193.7</v>
      </c>
      <c r="D365" s="16" t="n">
        <f aca="false">a27_dc</f>
        <v>375.4567975</v>
      </c>
      <c r="E365" s="16" t="n">
        <f aca="false">E350+E353+E355</f>
        <v>701.699874774503</v>
      </c>
      <c r="F365" s="16" t="n">
        <f aca="false">F350+F353+F355</f>
        <v>787.808207040746</v>
      </c>
      <c r="G365" s="16" t="n">
        <f aca="false">G350+G353+G355</f>
        <v>884.10022561262</v>
      </c>
    </row>
    <row r="366" customFormat="false" ht="15" hidden="false" customHeight="false" outlineLevel="0" collapsed="false">
      <c r="A366" s="0" t="s">
        <v>647</v>
      </c>
      <c r="B366" s="0" t="s">
        <v>309</v>
      </c>
      <c r="C366" s="16" t="n">
        <f aca="false">a26_edge</f>
        <v>22.238</v>
      </c>
      <c r="D366" s="16" t="n">
        <f aca="false">a27_edge</f>
        <v>29.1792025</v>
      </c>
      <c r="E366" s="16" t="n">
        <f aca="false">E357</f>
        <v>31.5135387</v>
      </c>
      <c r="F366" s="16" t="n">
        <f aca="false">F357</f>
        <v>34.034621796</v>
      </c>
      <c r="G366" s="16" t="n">
        <f aca="false">G357</f>
        <v>36.75739153968</v>
      </c>
    </row>
    <row r="367" customFormat="false" ht="15" hidden="false" customHeight="false" outlineLevel="0" collapsed="false">
      <c r="A367" s="5" t="s">
        <v>702</v>
      </c>
      <c r="B367" s="0" t="s">
        <v>41</v>
      </c>
      <c r="D367" s="17" t="n">
        <f aca="false">D364/C364-1</f>
        <v>0.873852679935908</v>
      </c>
      <c r="E367" s="17" t="n">
        <f aca="false">E364/D364-1</f>
        <v>0.81203208185753</v>
      </c>
      <c r="F367" s="17" t="n">
        <f aca="false">F364/E364-1</f>
        <v>0.120878060512084</v>
      </c>
      <c r="G367" s="17" t="n">
        <f aca="false">G364/F364-1</f>
        <v>0.120478983135622</v>
      </c>
    </row>
    <row r="368" customFormat="false" ht="15" hidden="false" customHeight="false" outlineLevel="0" collapsed="false">
      <c r="A368" s="5" t="s">
        <v>703</v>
      </c>
      <c r="B368" s="0" t="s">
        <v>309</v>
      </c>
      <c r="C368" s="16" t="n">
        <f aca="false">a26_gp</f>
        <v>153.463</v>
      </c>
      <c r="D368" s="16" t="n">
        <f aca="false">a27_gp</f>
        <v>298.161</v>
      </c>
      <c r="E368" s="16" t="n">
        <f aca="false">E364-E360</f>
        <v>503.981127135687</v>
      </c>
      <c r="F368" s="16" t="n">
        <f aca="false">F364-F360</f>
        <v>536.997862529158</v>
      </c>
      <c r="G368" s="16" t="n">
        <f aca="false">G364-G360</f>
        <v>611.841334622967</v>
      </c>
    </row>
    <row r="369" customFormat="false" ht="15" hidden="false" customHeight="false" outlineLevel="0" collapsed="false">
      <c r="A369" s="5" t="s">
        <v>543</v>
      </c>
      <c r="B369" s="0" t="s">
        <v>41</v>
      </c>
      <c r="C369" s="17" t="n">
        <f aca="false">C368/C364</f>
        <v>0.710680843575471</v>
      </c>
      <c r="D369" s="17" t="n">
        <f aca="false">D368/D364</f>
        <v>0.736862266333198</v>
      </c>
      <c r="E369" s="17" t="n">
        <f aca="false">E368/E364</f>
        <v>0.687359393423334</v>
      </c>
      <c r="F369" s="17" t="n">
        <f aca="false">F368/F364</f>
        <v>0.653407006409286</v>
      </c>
      <c r="G369" s="17" t="n">
        <f aca="false">G368/G364</f>
        <v>0.664425556379771</v>
      </c>
    </row>
    <row r="370" customFormat="false" ht="17.15" hidden="false" customHeight="false" outlineLevel="0" collapsed="false">
      <c r="A370" s="5" t="s">
        <v>704</v>
      </c>
      <c r="B370" s="0" t="s">
        <v>309</v>
      </c>
      <c r="C370" s="16" t="n">
        <f aca="false">a26_opx</f>
        <v>23.076</v>
      </c>
      <c r="D370" s="16" t="n">
        <f aca="false">a27_opx</f>
        <v>35.165</v>
      </c>
      <c r="E370" s="16" t="n">
        <f aca="false">D370*(1+MAX(g_opx_min,phi*E367))</f>
        <v>52.298064895112</v>
      </c>
      <c r="F370" s="16" t="n">
        <f aca="false">E370*(1+MAX(g_opx_min,phi*F367))</f>
        <v>56.0910780869458</v>
      </c>
      <c r="G370" s="16" t="n">
        <f aca="false">F370*(1+MAX(g_opx_min,phi*G367))</f>
        <v>60.1457557174834</v>
      </c>
      <c r="H370" s="5" t="s">
        <v>705</v>
      </c>
    </row>
    <row r="371" customFormat="false" ht="15" hidden="false" customHeight="false" outlineLevel="0" collapsed="false">
      <c r="A371" s="5" t="s">
        <v>706</v>
      </c>
      <c r="B371" s="0" t="s">
        <v>309</v>
      </c>
      <c r="C371" s="16" t="n">
        <f aca="false">C370</f>
        <v>23.076</v>
      </c>
      <c r="D371" s="16" t="n">
        <f aca="false">D370</f>
        <v>35.165</v>
      </c>
      <c r="E371" s="16" t="n">
        <f aca="false">E370+0*E364</f>
        <v>52.298064895112</v>
      </c>
      <c r="F371" s="16" t="n">
        <f aca="false">F370+0*F364</f>
        <v>56.0910780869458</v>
      </c>
      <c r="G371" s="16" t="n">
        <f aca="false">G370+0*G364</f>
        <v>60.1457557174834</v>
      </c>
    </row>
    <row r="372" customFormat="false" ht="15" hidden="false" customHeight="false" outlineLevel="0" collapsed="false">
      <c r="A372" s="5" t="s">
        <v>546</v>
      </c>
      <c r="B372" s="0" t="s">
        <v>309</v>
      </c>
      <c r="C372" s="16" t="n">
        <f aca="false">C368-C371</f>
        <v>130.387</v>
      </c>
      <c r="D372" s="16" t="n">
        <f aca="false">D368-D371</f>
        <v>262.996</v>
      </c>
      <c r="E372" s="16" t="n">
        <f aca="false">E368-E371</f>
        <v>451.683062240575</v>
      </c>
      <c r="F372" s="16" t="n">
        <f aca="false">F368-F371</f>
        <v>480.906784442212</v>
      </c>
      <c r="G372" s="16" t="n">
        <f aca="false">G368-G371</f>
        <v>551.695578905484</v>
      </c>
    </row>
    <row r="373" customFormat="false" ht="15" hidden="false" customHeight="false" outlineLevel="0" collapsed="false">
      <c r="A373" s="5" t="s">
        <v>648</v>
      </c>
      <c r="B373" s="0" t="s">
        <v>41</v>
      </c>
      <c r="C373" s="17" t="n">
        <f aca="false">C372/C364</f>
        <v>0.603816836314127</v>
      </c>
      <c r="D373" s="17" t="n">
        <f aca="false">D372/D364</f>
        <v>0.649956998388675</v>
      </c>
      <c r="E373" s="17" t="n">
        <f aca="false">E372/E364</f>
        <v>0.616032186454649</v>
      </c>
      <c r="F373" s="17" t="n">
        <f aca="false">F372/F364</f>
        <v>0.585156635269176</v>
      </c>
      <c r="G373" s="17" t="n">
        <f aca="false">G372/G364</f>
        <v>0.599110621044295</v>
      </c>
    </row>
    <row r="374" customFormat="false" ht="15" hidden="false" customHeight="false" outlineLevel="0" collapsed="false">
      <c r="A374" s="5" t="s">
        <v>551</v>
      </c>
      <c r="B374" s="0" t="s">
        <v>309</v>
      </c>
      <c r="C374" s="20" t="n">
        <f aca="false">a26_oth</f>
        <v>2.145</v>
      </c>
      <c r="D374" s="20" t="n">
        <f aca="false">a27_oth</f>
        <v>1.133</v>
      </c>
      <c r="E374" s="20" t="n">
        <f aca="false">oth_f</f>
        <v>1.2</v>
      </c>
      <c r="F374" s="20" t="n">
        <f aca="false">oth_f</f>
        <v>1.2</v>
      </c>
      <c r="G374" s="20" t="n">
        <f aca="false">oth_f</f>
        <v>1.2</v>
      </c>
    </row>
    <row r="375" customFormat="false" ht="15" hidden="false" customHeight="false" outlineLevel="0" collapsed="false">
      <c r="A375" s="5" t="s">
        <v>560</v>
      </c>
      <c r="B375" s="0" t="s">
        <v>41</v>
      </c>
      <c r="C375" s="17" t="n">
        <f aca="false">1-a26_ni/(a26_oi+a26_oth)</f>
        <v>0.151187565812244</v>
      </c>
      <c r="D375" s="17" t="n">
        <f aca="false">a27_etr</f>
        <v>0.167980835756566</v>
      </c>
      <c r="E375" s="17" t="n">
        <f aca="false">tx_f</f>
        <v>0.17</v>
      </c>
      <c r="F375" s="17" t="n">
        <f aca="false">tx_f</f>
        <v>0.17</v>
      </c>
      <c r="G375" s="17" t="n">
        <f aca="false">tx_f</f>
        <v>0.17</v>
      </c>
    </row>
    <row r="376" customFormat="false" ht="15" hidden="false" customHeight="false" outlineLevel="0" collapsed="false">
      <c r="A376" s="5" t="s">
        <v>649</v>
      </c>
      <c r="B376" s="0" t="s">
        <v>309</v>
      </c>
      <c r="C376" s="16" t="n">
        <f aca="false">a26_ni</f>
        <v>112.494809527772</v>
      </c>
      <c r="D376" s="16" t="n">
        <f aca="false">a27_ni</f>
        <v>219.760389832454</v>
      </c>
      <c r="E376" s="16" t="n">
        <f aca="false">(E372+E374)*(1-E375)</f>
        <v>375.892941659677</v>
      </c>
      <c r="F376" s="16" t="n">
        <f aca="false">(F372+F374)*(1-F375)</f>
        <v>400.148631087036</v>
      </c>
      <c r="G376" s="16" t="n">
        <f aca="false">(G372+G374)*(1-G375)</f>
        <v>458.903330491552</v>
      </c>
    </row>
    <row r="377" customFormat="false" ht="15" hidden="false" customHeight="false" outlineLevel="0" collapsed="false">
      <c r="A377" s="5" t="s">
        <v>707</v>
      </c>
      <c r="B377" s="5" t="s">
        <v>708</v>
      </c>
      <c r="C377" s="18" t="n">
        <f aca="false">a26_sh</f>
        <v>24.5145</v>
      </c>
      <c r="D377" s="18" t="n">
        <f aca="false">a27_sh</f>
        <v>24.25691339125</v>
      </c>
      <c r="E377" s="18" t="n">
        <f aca="false">D377*(1+sh_g)</f>
        <v>23.965830430555</v>
      </c>
      <c r="F377" s="18" t="n">
        <f aca="false">E377*(1+sh_g)</f>
        <v>23.6782404653883</v>
      </c>
      <c r="G377" s="18" t="n">
        <f aca="false">F377*(1+sh_g)</f>
        <v>23.3941015798037</v>
      </c>
    </row>
    <row r="378" customFormat="false" ht="17.15" hidden="false" customHeight="false" outlineLevel="0" collapsed="false">
      <c r="A378" s="0" t="s">
        <v>650</v>
      </c>
      <c r="B378" s="0" t="s">
        <v>420</v>
      </c>
      <c r="C378" s="20" t="n">
        <f aca="false">C376/C377</f>
        <v>4.58890899376988</v>
      </c>
      <c r="D378" s="20" t="n">
        <f aca="false">D376/D377</f>
        <v>9.05970130196888</v>
      </c>
      <c r="E378" s="20" t="n">
        <f aca="false">E376/E377</f>
        <v>15.6845364799225</v>
      </c>
      <c r="F378" s="20" t="n">
        <f aca="false">F376/F377</f>
        <v>16.8994242486874</v>
      </c>
      <c r="G378" s="20" t="n">
        <f aca="false">G376/G377</f>
        <v>19.6161980799351</v>
      </c>
    </row>
    <row r="379" customFormat="false" ht="17.15" hidden="false" customHeight="false" outlineLevel="0" collapsed="false">
      <c r="A379" s="0" t="s">
        <v>709</v>
      </c>
      <c r="B379" s="0" t="s">
        <v>41</v>
      </c>
      <c r="D379" s="17" t="n">
        <f aca="false">D378/C378-1</f>
        <v>0.974260399207908</v>
      </c>
      <c r="E379" s="17" t="n">
        <f aca="false">E378/D378-1</f>
        <v>0.731242119043584</v>
      </c>
      <c r="F379" s="17" t="n">
        <f aca="false">F378/E378-1</f>
        <v>0.0774576775233413</v>
      </c>
      <c r="G379" s="17" t="n">
        <f aca="false">G378/F378-1</f>
        <v>0.160761324839731</v>
      </c>
    </row>
    <row r="382" customFormat="false" ht="17.15" hidden="false" customHeight="false" outlineLevel="0" collapsed="false">
      <c r="A382" s="4" t="s">
        <v>1096</v>
      </c>
    </row>
    <row r="383" customFormat="false" ht="15" hidden="false" customHeight="false" outlineLevel="0" collapsed="false">
      <c r="A383" s="6" t="s">
        <v>19</v>
      </c>
      <c r="B383" s="6" t="s">
        <v>20</v>
      </c>
      <c r="C383" s="12" t="s">
        <v>639</v>
      </c>
      <c r="D383" s="12" t="s">
        <v>640</v>
      </c>
      <c r="E383" s="12" t="s">
        <v>641</v>
      </c>
      <c r="F383" s="12" t="s">
        <v>642</v>
      </c>
      <c r="G383" s="12" t="s">
        <v>643</v>
      </c>
      <c r="H383" s="6" t="s">
        <v>592</v>
      </c>
    </row>
    <row r="384" customFormat="false" ht="17.15" hidden="false" customHeight="false" outlineLevel="0" collapsed="false">
      <c r="A384" s="1" t="s">
        <v>658</v>
      </c>
    </row>
    <row r="385" customFormat="false" ht="17.15" hidden="false" customHeight="false" outlineLevel="0" collapsed="false">
      <c r="A385" s="0" t="s">
        <v>659</v>
      </c>
      <c r="B385" s="0" t="s">
        <v>126</v>
      </c>
      <c r="D385" s="18" t="n">
        <f aca="false">k_rec</f>
        <v>0.828370921864097</v>
      </c>
      <c r="E385" s="18" t="n">
        <f aca="false">k_rec*1</f>
        <v>0.828370921864097</v>
      </c>
      <c r="F385" s="18" t="n">
        <f aca="false">k_rec*1</f>
        <v>0.828370921864097</v>
      </c>
      <c r="G385" s="18" t="n">
        <f aca="false">k_rec*1</f>
        <v>0.828370921864097</v>
      </c>
    </row>
    <row r="386" customFormat="false" ht="17.15" hidden="false" customHeight="false" outlineLevel="0" collapsed="false">
      <c r="A386" s="0" t="s">
        <v>660</v>
      </c>
      <c r="B386" s="5" t="s">
        <v>30</v>
      </c>
      <c r="D386" s="20" t="n">
        <f aca="false">(u_bw_26)*D385</f>
        <v>4.47320297806612</v>
      </c>
      <c r="E386" s="20" t="n">
        <f aca="false">(u_bw_27)*E385</f>
        <v>1.98809021247383</v>
      </c>
      <c r="F386" s="20" t="n">
        <f aca="false">(u_bw_28*um28_A)*F385</f>
        <v>0.414185460932049</v>
      </c>
      <c r="G386" s="20" t="n">
        <f aca="false">(u_bw_28*(1+g29_bw)*um29_A)*G385</f>
        <v>0.207092730466024</v>
      </c>
    </row>
    <row r="387" customFormat="false" ht="17.15" hidden="false" customHeight="false" outlineLevel="0" collapsed="false">
      <c r="A387" s="0" t="s">
        <v>661</v>
      </c>
      <c r="B387" s="5" t="s">
        <v>30</v>
      </c>
      <c r="D387" s="20" t="n">
        <f aca="false">(u_rb_26)*D385</f>
        <v>1.40823056716896</v>
      </c>
      <c r="E387" s="20" t="n">
        <f aca="false">(u_rb_27)*E385</f>
        <v>5.79859645304868</v>
      </c>
      <c r="F387" s="20" t="n">
        <f aca="false">(u_rb_28*um28_A)*F385</f>
        <v>5.79859645304868</v>
      </c>
      <c r="G387" s="20" t="n">
        <f aca="false">(u_rb_28*(1+g29_rb)*um29_A)*G385</f>
        <v>6.66838592100598</v>
      </c>
    </row>
    <row r="388" customFormat="false" ht="17.15" hidden="false" customHeight="false" outlineLevel="0" collapsed="false">
      <c r="A388" s="0" t="s">
        <v>662</v>
      </c>
      <c r="B388" s="5" t="s">
        <v>30</v>
      </c>
      <c r="D388" s="20" t="n">
        <f aca="false">(u_ru_26)*D385</f>
        <v>0</v>
      </c>
      <c r="E388" s="20" t="n">
        <f aca="false">(u_ru_27)*E385</f>
        <v>0.248511276559229</v>
      </c>
      <c r="F388" s="20" t="n">
        <f aca="false">(u_ru_28*um28_A)*F385</f>
        <v>1.65674184372819</v>
      </c>
      <c r="G388" s="20" t="n">
        <f aca="false">(u_ru_28*(1+g29_ru)*um29_A)*G385</f>
        <v>1.90525312028742</v>
      </c>
    </row>
    <row r="389" customFormat="false" ht="17.15" hidden="false" customHeight="false" outlineLevel="0" collapsed="false">
      <c r="A389" s="0" t="s">
        <v>663</v>
      </c>
      <c r="B389" s="5" t="s">
        <v>30</v>
      </c>
      <c r="D389" s="20" t="n">
        <f aca="false">(u_hp_26)*D385</f>
        <v>0.414185460932049</v>
      </c>
      <c r="E389" s="20" t="n">
        <f aca="false">(u_hp_27)*E385</f>
        <v>0</v>
      </c>
      <c r="F389" s="20" t="n">
        <f aca="false">(u_hp_28*um28_A)*F385</f>
        <v>0</v>
      </c>
      <c r="G389" s="20" t="n">
        <f aca="false">(u_hp_28*(1+g29_hp)*um29_A)*G385</f>
        <v>0</v>
      </c>
    </row>
    <row r="390" customFormat="false" ht="17.15" hidden="false" customHeight="false" outlineLevel="0" collapsed="false">
      <c r="A390" s="0" t="s">
        <v>664</v>
      </c>
      <c r="B390" s="5" t="s">
        <v>30</v>
      </c>
      <c r="D390" s="20" t="n">
        <f aca="false">SUM(D386:D389)</f>
        <v>6.29561900616714</v>
      </c>
      <c r="E390" s="20" t="n">
        <f aca="false">SUM(E386:E389)</f>
        <v>8.03519794208174</v>
      </c>
      <c r="F390" s="20" t="n">
        <f aca="false">SUM(F386:F389)</f>
        <v>7.86952375770892</v>
      </c>
      <c r="G390" s="20" t="n">
        <f aca="false">SUM(G386:G389)</f>
        <v>8.78073177175943</v>
      </c>
      <c r="H390" s="8" t="s">
        <v>665</v>
      </c>
    </row>
    <row r="391" customFormat="false" ht="17.15" hidden="false" customHeight="false" outlineLevel="0" collapsed="false">
      <c r="A391" s="0" t="s">
        <v>666</v>
      </c>
      <c r="B391" s="0" t="s">
        <v>174</v>
      </c>
      <c r="D391" s="20" t="n">
        <f aca="false">1*(pm_bw+pcpu_bw+plp_bw+k_tray*pres_bw)+(1-abs_mem_lo)*(gb_bw_26*hpx_bw*(hbm_A_26/hbm_A_26-1)/1000+plp_bw*(cdx_A_26/cdx_A_26-1))</f>
        <v>47.005555</v>
      </c>
      <c r="E391" s="20" t="n">
        <f aca="false">1*(pm_bw+pcpu_bw+plp_bw+k_tray*pres_bw)+(1-abs_mem_lo)*(gb_bw_27*hpx_bw*(hbm_A_27/hbm_A_26-1)/1000+plp_bw*(cdx_A_27/cdx_A_26-1))</f>
        <v>51.3681913600981</v>
      </c>
      <c r="F391" s="20" t="n">
        <f aca="false">1*(pm_bw+pcpu_bw+plp_bw+k_tray*pres_bw)+(1-abs_mem_lo)*(gb_bw_28*hpx_bw*(hbm_A_28/hbm_A_26-1)/1000+plp_bw*(cdx_A_28/cdx_A_26-1))</f>
        <v>51.8895052417914</v>
      </c>
      <c r="G391" s="20" t="n">
        <f aca="false">1*(pm_bw+pcpu_bw+plp_bw+k_tray*pres_bw)+(1-abs_mem_lo)*(gb_bw_28*hpx_bw*(hbm_A_29/hbm_A_26-1)/1000+plp_bw*(cdx_A_29/cdx_A_26-1))</f>
        <v>51.1027294801751</v>
      </c>
      <c r="H391" s="5" t="s">
        <v>667</v>
      </c>
    </row>
    <row r="392" customFormat="false" ht="17.15" hidden="false" customHeight="false" outlineLevel="0" collapsed="false">
      <c r="A392" s="0" t="s">
        <v>668</v>
      </c>
      <c r="B392" s="0" t="s">
        <v>174</v>
      </c>
      <c r="D392" s="20" t="n">
        <f aca="false">1*(pm_rb+pcpu_rb+plp_rb+k_tray*pres_rb)+(1-abs_mem_lo)*(gb_rb_26*hpx_rb*(hbm_A_26/hbm_A_26-1)/1000+plp_rb*(cdx_A_26/cdx_A_26-1))</f>
        <v>72.166667</v>
      </c>
      <c r="E392" s="20" t="n">
        <f aca="false">1*(pm_rb+pcpu_rb+plp_rb+k_tray*pres_rb)+(1-abs_mem_lo)*(gb_rb_27*hpx_rb*(hbm_A_27/hbm_A_26-1)/1000+plp_rb*(cdx_A_27/cdx_A_26-1))</f>
        <v>77.4812778168229</v>
      </c>
      <c r="F392" s="20" t="n">
        <f aca="false">1*(pm_rb+pcpu_rb+plp_rb+k_tray*pres_rb)+(1-abs_mem_lo)*(gb_rb_28*hpx_rb*(hbm_A_28/hbm_A_26-1)/1000+plp_rb*(cdx_A_28/cdx_A_26-1))</f>
        <v>77.7188073581306</v>
      </c>
      <c r="G392" s="20" t="n">
        <f aca="false">1*(pm_rb+pcpu_rb+plp_rb+k_tray*pres_rb)+(1-abs_mem_lo)*(gb_rb_28*hpx_rb*(hbm_A_29/hbm_A_26-1)/1000+plp_rb*(cdx_A_29/cdx_A_26-1))</f>
        <v>76.6746854538849</v>
      </c>
    </row>
    <row r="393" customFormat="false" ht="17.15" hidden="false" customHeight="false" outlineLevel="0" collapsed="false">
      <c r="A393" s="0" t="s">
        <v>669</v>
      </c>
      <c r="B393" s="0" t="s">
        <v>174</v>
      </c>
      <c r="D393" s="20" t="n">
        <f aca="false">1*(pm_ru+pcpu_ru+plp_ru+k_tray*pres_ru)+(1-abs_mem_lo)*(gb_ru_26*hpx_ru*(hbm_A_26/hbm_A_26-1)/1000+plp_ru*(cdx_A_26/cdx_A_26-1))</f>
        <v>92.166667</v>
      </c>
      <c r="E393" s="20" t="n">
        <f aca="false">1*(pm_ru+pcpu_ru+plp_ru+k_tray*pres_ru)+(1-abs_mem_lo)*(gb_ru_27*hpx_ru*(hbm_A_27/hbm_A_26-1)/1000+plp_ru*(cdx_A_27/cdx_A_26-1))</f>
        <v>107.314237816823</v>
      </c>
      <c r="F393" s="20" t="n">
        <f aca="false">1*(pm_ru+pcpu_ru+plp_ru+k_tray*pres_ru)+(1-abs_mem_lo)*(gb_ru_28*hpx_ru*(hbm_A_28/hbm_A_26-1)/1000+plp_ru*(cdx_A_28/cdx_A_26-1))</f>
        <v>109.764183358131</v>
      </c>
      <c r="G393" s="20" t="n">
        <f aca="false">1*(pm_ru+pcpu_ru+plp_ru+k_tray*pres_ru)+(1-abs_mem_lo)*(gb_ru_28*hpx_ru*(hbm_A_29/hbm_A_26-1)/1000+plp_ru*(cdx_A_29/cdx_A_26-1))</f>
        <v>107.503232653885</v>
      </c>
    </row>
    <row r="394" customFormat="false" ht="17.15" hidden="false" customHeight="false" outlineLevel="0" collapsed="false">
      <c r="A394" s="0" t="s">
        <v>670</v>
      </c>
      <c r="B394" s="0" t="s">
        <v>174</v>
      </c>
      <c r="D394" s="20" t="n">
        <f aca="false">1*(pm_hp+pcpu_hp+plp_hp+k_tray*pres_hp)+(1-abs_mem_lo)*(gb_hp_26*hpx_hp*(hbm_A_26/hbm_A_26-1)/1000+plp_hp*(cdx_A_26/cdx_A_26-1))</f>
        <v>30</v>
      </c>
      <c r="E394" s="20" t="n">
        <f aca="false">1*(pm_hp+pcpu_hp+plp_hp+k_tray*pres_hp)+(1-abs_mem_lo)*(gb_hp_27*hpx_hp*(hbm_A_27/hbm_A_26-1)/1000+plp_hp*(cdx_A_27/cdx_A_26-1))</f>
        <v>31.7484</v>
      </c>
      <c r="F394" s="20" t="n">
        <f aca="false">1*(pm_hp+pcpu_hp+plp_hp+k_tray*pres_hp)+(1-abs_mem_lo)*(gb_hp_28*hpx_hp*(hbm_A_28/hbm_A_26-1)/1000+plp_hp*(cdx_A_28/cdx_A_26-1))</f>
        <v>32.14179</v>
      </c>
      <c r="G394" s="20" t="n">
        <f aca="false">1*(pm_hp+pcpu_hp+plp_hp+k_tray*pres_hp)+(1-abs_mem_lo)*(gb_hp_28*hpx_hp*(hbm_A_29/hbm_A_26-1)/1000+plp_hp*(cdx_A_29/cdx_A_26-1))</f>
        <v>31.9254255</v>
      </c>
    </row>
    <row r="395" customFormat="false" ht="17.15" hidden="false" customHeight="false" outlineLevel="0" collapsed="false">
      <c r="A395" s="0" t="s">
        <v>671</v>
      </c>
      <c r="B395" s="0" t="s">
        <v>174</v>
      </c>
      <c r="D395" s="20" t="n">
        <f aca="false">gb_bw_26*hpx_bw*hbm_A_26/hbm_A_26/1000</f>
        <v>4.03</v>
      </c>
      <c r="E395" s="20" t="n">
        <f aca="false">gb_bw_27*hpx_bw*hbm_A_27/hbm_A_26/1000</f>
        <v>7.812</v>
      </c>
      <c r="F395" s="20" t="n">
        <f aca="false">gb_bw_28*hpx_bw*hbm_A_28/hbm_A_26/1000</f>
        <v>8.83872</v>
      </c>
      <c r="G395" s="20" t="n">
        <f aca="false">gb_bw_28*hpx_bw*hbm_A_29/hbm_A_26/1000</f>
        <v>8.396784</v>
      </c>
      <c r="H395" s="5" t="s">
        <v>672</v>
      </c>
    </row>
    <row r="396" customFormat="false" ht="17.15" hidden="false" customHeight="false" outlineLevel="0" collapsed="false">
      <c r="A396" s="0" t="s">
        <v>673</v>
      </c>
      <c r="B396" s="0" t="s">
        <v>174</v>
      </c>
      <c r="D396" s="20" t="n">
        <f aca="false">gb_rb_26*hpx_rb*hbm_A_26/hbm_A_26/1000</f>
        <v>4.8096</v>
      </c>
      <c r="E396" s="20" t="n">
        <f aca="false">gb_rb_27*hpx_rb*hbm_A_27/hbm_A_26/1000</f>
        <v>8.65728</v>
      </c>
      <c r="F396" s="20" t="n">
        <f aca="false">gb_rb_28*hpx_rb*hbm_A_28/hbm_A_26/1000</f>
        <v>9.523008</v>
      </c>
      <c r="G396" s="20" t="n">
        <f aca="false">gb_rb_28*hpx_rb*hbm_A_29/hbm_A_26/1000</f>
        <v>9.0468576</v>
      </c>
    </row>
    <row r="397" customFormat="false" ht="17.15" hidden="false" customHeight="false" outlineLevel="0" collapsed="false">
      <c r="A397" s="0" t="s">
        <v>674</v>
      </c>
      <c r="B397" s="0" t="s">
        <v>174</v>
      </c>
      <c r="D397" s="20" t="n">
        <f aca="false">gb_ru_26*hpx_ru*hbm_A_26/hbm_A_26/1000</f>
        <v>17.1008</v>
      </c>
      <c r="E397" s="20" t="n">
        <f aca="false">gb_ru_27*hpx_ru*hbm_A_27/hbm_A_26/1000</f>
        <v>30.78144</v>
      </c>
      <c r="F397" s="20" t="n">
        <f aca="false">gb_ru_28*hpx_ru*hbm_A_28/hbm_A_26/1000</f>
        <v>33.859584</v>
      </c>
      <c r="G397" s="20" t="n">
        <f aca="false">gb_ru_28*hpx_ru*hbm_A_29/hbm_A_26/1000</f>
        <v>32.1666048</v>
      </c>
    </row>
    <row r="398" customFormat="false" ht="17.15" hidden="false" customHeight="false" outlineLevel="0" collapsed="false">
      <c r="A398" s="0" t="s">
        <v>675</v>
      </c>
      <c r="B398" s="0" t="s">
        <v>174</v>
      </c>
      <c r="D398" s="20" t="n">
        <f aca="false">gb_hp_26*hpx_hp*hbm_A_26/hbm_A_26/1000</f>
        <v>2.1855</v>
      </c>
      <c r="E398" s="20" t="n">
        <f aca="false">gb_hp_27*hpx_hp*hbm_A_27/hbm_A_26/1000</f>
        <v>3.9339</v>
      </c>
      <c r="F398" s="20" t="n">
        <f aca="false">gb_hp_28*hpx_hp*hbm_A_28/hbm_A_26/1000</f>
        <v>4.32729</v>
      </c>
      <c r="G398" s="20" t="n">
        <f aca="false">gb_hp_28*hpx_hp*hbm_A_29/hbm_A_26/1000</f>
        <v>4.1109255</v>
      </c>
    </row>
    <row r="399" customFormat="false" ht="17.15" hidden="false" customHeight="false" outlineLevel="0" collapsed="false">
      <c r="A399" s="0" t="s">
        <v>676</v>
      </c>
      <c r="B399" s="0" t="s">
        <v>174</v>
      </c>
      <c r="D399" s="20" t="n">
        <f aca="false">1*c_nh*(pm_bw+pcpu_bw+plp_bw+k_tray*pres_bw)+D395+plp_bw*(cdx_A_26/cdx_A_26-1)</f>
        <v>11.8212823332139</v>
      </c>
      <c r="E399" s="20" t="n">
        <f aca="false">1*c_nh*(pm_bw+pcpu_bw+plp_bw+k_tray*pres_bw)+E395+plp_bw*(cdx_A_27/cdx_A_26-1)</f>
        <v>16.493918693312</v>
      </c>
      <c r="F399" s="20" t="n">
        <f aca="false">1*c_nh*(pm_bw+pcpu_bw+plp_bw+k_tray*pres_bw)+F395+plp_bw*(cdx_A_28/cdx_A_26-1)</f>
        <v>17.1392325750052</v>
      </c>
      <c r="G399" s="20" t="n">
        <f aca="false">1*c_nh*(pm_bw+pcpu_bw+plp_bw+k_tray*pres_bw)+G395+plp_bw*(cdx_A_29/cdx_A_26-1)</f>
        <v>16.3524568133889</v>
      </c>
      <c r="H399" s="5" t="s">
        <v>677</v>
      </c>
    </row>
    <row r="400" customFormat="false" ht="17.15" hidden="false" customHeight="false" outlineLevel="0" collapsed="false">
      <c r="A400" s="0" t="s">
        <v>678</v>
      </c>
      <c r="B400" s="0" t="s">
        <v>174</v>
      </c>
      <c r="D400" s="20" t="n">
        <f aca="false">1*c_nh*(pm_rb+pcpu_rb+plp_rb+k_tray*pres_rb)+D396+plp_rb*(cdx_A_26/cdx_A_26-1)</f>
        <v>16.7713963801093</v>
      </c>
      <c r="E400" s="20" t="n">
        <f aca="false">1*c_nh*(pm_rb+pcpu_rb+plp_rb+k_tray*pres_rb)+E396+plp_rb*(cdx_A_27/cdx_A_26-1)</f>
        <v>22.0860071969322</v>
      </c>
      <c r="F400" s="20" t="n">
        <f aca="false">1*c_nh*(pm_rb+pcpu_rb+plp_rb+k_tray*pres_rb)+F396+plp_rb*(cdx_A_28/cdx_A_26-1)</f>
        <v>22.3235367382399</v>
      </c>
      <c r="G400" s="20" t="n">
        <f aca="false">1*c_nh*(pm_rb+pcpu_rb+plp_rb+k_tray*pres_rb)+G396+plp_rb*(cdx_A_29/cdx_A_26-1)</f>
        <v>21.2794148339942</v>
      </c>
    </row>
    <row r="401" customFormat="false" ht="17.15" hidden="false" customHeight="false" outlineLevel="0" collapsed="false">
      <c r="A401" s="0" t="s">
        <v>679</v>
      </c>
      <c r="B401" s="0" t="s">
        <v>174</v>
      </c>
      <c r="D401" s="20" t="n">
        <f aca="false">1*c_nh*(pm_ru+pcpu_ru+plp_ru+k_tray*pres_ru)+D397+plp_ru*(cdx_A_26/cdx_A_26-1)</f>
        <v>32.3776438604396</v>
      </c>
      <c r="E401" s="20" t="n">
        <f aca="false">1*c_nh*(pm_ru+pcpu_ru+plp_ru+k_tray*pres_ru)+E397+plp_ru*(cdx_A_27/cdx_A_26-1)</f>
        <v>47.5252146772625</v>
      </c>
      <c r="F401" s="20" t="n">
        <f aca="false">1*c_nh*(pm_ru+pcpu_ru+plp_ru+k_tray*pres_ru)+F397+plp_ru*(cdx_A_28/cdx_A_26-1)</f>
        <v>49.9751602185702</v>
      </c>
      <c r="G401" s="20" t="n">
        <f aca="false">1*c_nh*(pm_ru+pcpu_ru+plp_ru+k_tray*pres_ru)+G397+plp_ru*(cdx_A_29/cdx_A_26-1)</f>
        <v>47.7142095143245</v>
      </c>
    </row>
    <row r="402" customFormat="false" ht="17.15" hidden="false" customHeight="false" outlineLevel="0" collapsed="false">
      <c r="A402" s="0" t="s">
        <v>680</v>
      </c>
      <c r="B402" s="0" t="s">
        <v>174</v>
      </c>
      <c r="D402" s="20" t="n">
        <f aca="false">1*c_nh*(pm_hp+pcpu_hp+plp_hp+k_tray*pres_hp)+D398+plp_hp*(cdx_A_26/cdx_A_26-1)</f>
        <v>7.15807122049545</v>
      </c>
      <c r="E402" s="20" t="n">
        <f aca="false">1*c_nh*(pm_hp+pcpu_hp+plp_hp+k_tray*pres_hp)+E398+plp_hp*(cdx_A_27/cdx_A_26-1)</f>
        <v>8.90647122049545</v>
      </c>
      <c r="F402" s="20" t="n">
        <f aca="false">1*c_nh*(pm_hp+pcpu_hp+plp_hp+k_tray*pres_hp)+F398+plp_hp*(cdx_A_28/cdx_A_26-1)</f>
        <v>9.29986122049545</v>
      </c>
      <c r="G402" s="20" t="n">
        <f aca="false">1*c_nh*(pm_hp+pcpu_hp+plp_hp+k_tray*pres_hp)+G398+plp_hp*(cdx_A_29/cdx_A_26-1)</f>
        <v>9.08349672049545</v>
      </c>
    </row>
    <row r="403" customFormat="false" ht="17.15" hidden="false" customHeight="false" outlineLevel="0" collapsed="false">
      <c r="A403" s="0" t="s">
        <v>681</v>
      </c>
      <c r="B403" s="0" t="s">
        <v>309</v>
      </c>
      <c r="D403" s="16" t="n">
        <f aca="false">D386*D391</f>
        <v>210.265388611651</v>
      </c>
      <c r="E403" s="16" t="n">
        <f aca="false">E386*E391</f>
        <v>102.124598475494</v>
      </c>
      <c r="F403" s="16" t="n">
        <f aca="false">F386*F391</f>
        <v>21.4918786461073</v>
      </c>
      <c r="G403" s="16" t="n">
        <f aca="false">G386*G391</f>
        <v>10.583003782316</v>
      </c>
    </row>
    <row r="404" customFormat="false" ht="17.15" hidden="false" customHeight="false" outlineLevel="0" collapsed="false">
      <c r="A404" s="0" t="s">
        <v>682</v>
      </c>
      <c r="B404" s="0" t="s">
        <v>309</v>
      </c>
      <c r="D404" s="16" t="n">
        <f aca="false">D387*D392</f>
        <v>101.627306400104</v>
      </c>
      <c r="E404" s="16" t="n">
        <f aca="false">E387*E392</f>
        <v>449.282662726309</v>
      </c>
      <c r="F404" s="16" t="n">
        <f aca="false">F387*F392</f>
        <v>450.66000068203</v>
      </c>
      <c r="G404" s="16" t="n">
        <f aca="false">G387*G392</f>
        <v>511.296392978248</v>
      </c>
    </row>
    <row r="405" customFormat="false" ht="17.15" hidden="false" customHeight="false" outlineLevel="0" collapsed="false">
      <c r="A405" s="0" t="s">
        <v>683</v>
      </c>
      <c r="B405" s="0" t="s">
        <v>309</v>
      </c>
      <c r="D405" s="16" t="n">
        <f aca="false">D388*D393</f>
        <v>0</v>
      </c>
      <c r="E405" s="16" t="n">
        <f aca="false">E388*E393</f>
        <v>26.6687982328394</v>
      </c>
      <c r="F405" s="16" t="n">
        <f aca="false">F388*F393</f>
        <v>181.850915512069</v>
      </c>
      <c r="G405" s="16" t="n">
        <f aca="false">G388*G393</f>
        <v>204.820869454799</v>
      </c>
    </row>
    <row r="406" customFormat="false" ht="17.15" hidden="false" customHeight="false" outlineLevel="0" collapsed="false">
      <c r="A406" s="0" t="s">
        <v>684</v>
      </c>
      <c r="B406" s="0" t="s">
        <v>309</v>
      </c>
      <c r="D406" s="16" t="n">
        <f aca="false">D389*D394</f>
        <v>12.4255638279615</v>
      </c>
      <c r="E406" s="16" t="n">
        <f aca="false">E389*E394</f>
        <v>0</v>
      </c>
      <c r="F406" s="16" t="n">
        <f aca="false">F389*F394</f>
        <v>0</v>
      </c>
      <c r="G406" s="16" t="n">
        <f aca="false">G389*G394</f>
        <v>0</v>
      </c>
    </row>
    <row r="407" customFormat="false" ht="17.15" hidden="false" customHeight="false" outlineLevel="0" collapsed="false">
      <c r="A407" s="5" t="s">
        <v>685</v>
      </c>
      <c r="B407" s="0" t="s">
        <v>309</v>
      </c>
      <c r="D407" s="16" t="n">
        <f aca="false">SUM(D403:D406)</f>
        <v>324.318258839716</v>
      </c>
      <c r="E407" s="16" t="n">
        <f aca="false">SUM(E403:E406)</f>
        <v>578.076059434642</v>
      </c>
      <c r="F407" s="16" t="n">
        <f aca="false">SUM(F403:F406)</f>
        <v>654.002794840206</v>
      </c>
      <c r="G407" s="16" t="n">
        <f aca="false">SUM(G403:G406)</f>
        <v>726.700266215363</v>
      </c>
    </row>
    <row r="408" customFormat="false" ht="15" hidden="false" customHeight="false" outlineLevel="0" collapsed="false">
      <c r="A408" s="5" t="s">
        <v>686</v>
      </c>
      <c r="B408" s="0" t="s">
        <v>309</v>
      </c>
      <c r="D408" s="16" t="n">
        <f aca="false">D386*D399+D387*D400+D388*D401+D389*D402</f>
        <v>79.4617574019149</v>
      </c>
      <c r="E408" s="16" t="n">
        <f aca="false">E386*E399+E387*E400+E388*E401+E389*E402</f>
        <v>172.669793081849</v>
      </c>
      <c r="F408" s="16" t="n">
        <f aca="false">F386*F399+F387*F400+F388*F401+F389*F402</f>
        <v>219.339940975085</v>
      </c>
      <c r="G408" s="16" t="n">
        <f aca="false">G386*G399+G387*G400+G388*G401+G389*G402</f>
        <v>236.19347177678</v>
      </c>
    </row>
    <row r="409" customFormat="false" ht="17.15" hidden="false" customHeight="false" outlineLevel="0" collapsed="false">
      <c r="A409" s="5" t="s">
        <v>687</v>
      </c>
      <c r="B409" s="0" t="s">
        <v>309</v>
      </c>
      <c r="D409" s="16" t="n">
        <f aca="false">D386*D395+D387*D396+D388*D397+D389*D398</f>
        <v>25.7052360623293</v>
      </c>
      <c r="E409" s="16" t="n">
        <f aca="false">E386*E395+E387*E396+E388*E397+E389*E398</f>
        <v>73.3805687896262</v>
      </c>
      <c r="F409" s="16" t="n">
        <f aca="false">F386*F395+F387*F396+F388*F397+F389*F398</f>
        <v>114.977539352433</v>
      </c>
      <c r="G409" s="16" t="n">
        <f aca="false">G386*G395+G387*G396+G388*G397+G389*G398</f>
        <v>123.352374939132</v>
      </c>
    </row>
    <row r="410" customFormat="false" ht="17.15" hidden="false" customHeight="false" outlineLevel="0" collapsed="false">
      <c r="A410" s="5" t="s">
        <v>688</v>
      </c>
      <c r="B410" s="0" t="s">
        <v>309</v>
      </c>
      <c r="D410" s="16" t="n">
        <f aca="false">0</f>
        <v>0</v>
      </c>
      <c r="E410" s="16" t="n">
        <f aca="false">0</f>
        <v>0</v>
      </c>
      <c r="F410" s="16" t="n">
        <f aca="false">0</f>
        <v>0</v>
      </c>
      <c r="G410" s="16" t="n">
        <f aca="false">0</f>
        <v>0</v>
      </c>
    </row>
    <row r="411" customFormat="false" ht="15" hidden="false" customHeight="false" outlineLevel="0" collapsed="false">
      <c r="A411" s="5" t="s">
        <v>689</v>
      </c>
      <c r="B411" s="0" t="s">
        <v>309</v>
      </c>
      <c r="D411" s="16" t="n">
        <f aca="false">D410*D408/D407</f>
        <v>0</v>
      </c>
      <c r="E411" s="16" t="n">
        <f aca="false">E410*E408/E407</f>
        <v>0</v>
      </c>
      <c r="F411" s="16" t="n">
        <f aca="false">F410*F408/F407</f>
        <v>0</v>
      </c>
      <c r="G411" s="16" t="n">
        <f aca="false">G410*G408/G407</f>
        <v>0</v>
      </c>
    </row>
    <row r="412" customFormat="false" ht="17.15" hidden="false" customHeight="false" outlineLevel="0" collapsed="false">
      <c r="A412" s="0" t="s">
        <v>690</v>
      </c>
      <c r="B412" s="0" t="s">
        <v>309</v>
      </c>
      <c r="D412" s="16" t="n">
        <f aca="false">net_26*1*D385</f>
        <v>51.1385386602837</v>
      </c>
      <c r="E412" s="16" t="n">
        <f aca="false">net_27*1*E385</f>
        <v>101.465551321399</v>
      </c>
      <c r="F412" s="16" t="n">
        <f aca="false">net_28*um28_A*F385</f>
        <v>114.826126401851</v>
      </c>
      <c r="G412" s="16" t="n">
        <f aca="false">net_29*um29_A*G385</f>
        <v>130.302507852582</v>
      </c>
      <c r="H412" s="8" t="s">
        <v>691</v>
      </c>
    </row>
    <row r="413" customFormat="false" ht="17.15" hidden="false" customHeight="false" outlineLevel="0" collapsed="false">
      <c r="A413" s="5" t="s">
        <v>692</v>
      </c>
      <c r="B413" s="0" t="s">
        <v>309</v>
      </c>
      <c r="D413" s="16" t="n">
        <f aca="false">c_net*D412</f>
        <v>15.3415615980851</v>
      </c>
      <c r="E413" s="16" t="n">
        <f aca="false">c_net*E412</f>
        <v>30.4396653964198</v>
      </c>
      <c r="F413" s="16" t="n">
        <f aca="false">c_net*F412</f>
        <v>34.4478379205554</v>
      </c>
      <c r="G413" s="16" t="n">
        <f aca="false">c_net*G412</f>
        <v>39.0907523557747</v>
      </c>
    </row>
    <row r="414" customFormat="false" ht="17.15" hidden="false" customHeight="false" outlineLevel="0" collapsed="false">
      <c r="A414" s="0" t="s">
        <v>693</v>
      </c>
      <c r="B414" s="0" t="s">
        <v>309</v>
      </c>
      <c r="D414" s="16" t="n">
        <f aca="false">a27_edge</f>
        <v>29.1792025</v>
      </c>
      <c r="E414" s="16" t="n">
        <f aca="false">D414*(1+eg)</f>
        <v>31.5135387</v>
      </c>
      <c r="F414" s="16" t="n">
        <f aca="false">E414*(1+eg)</f>
        <v>34.034621796</v>
      </c>
      <c r="G414" s="16" t="n">
        <f aca="false">F414*(1+eg)</f>
        <v>36.75739153968</v>
      </c>
    </row>
    <row r="415" customFormat="false" ht="17.15" hidden="false" customHeight="false" outlineLevel="0" collapsed="false">
      <c r="A415" s="0" t="s">
        <v>694</v>
      </c>
      <c r="B415" s="0" t="s">
        <v>309</v>
      </c>
      <c r="D415" s="16" t="n">
        <f aca="false">(1-gm_edge)*D414</f>
        <v>11.671681</v>
      </c>
      <c r="E415" s="16" t="n">
        <f aca="false">(1-gm_edge)*E414</f>
        <v>12.60541548</v>
      </c>
      <c r="F415" s="16" t="n">
        <f aca="false">(1-gm_edge)*F414</f>
        <v>13.6138487184</v>
      </c>
      <c r="G415" s="16" t="n">
        <f aca="false">(1-gm_edge)*G414</f>
        <v>14.702956615872</v>
      </c>
    </row>
    <row r="416" customFormat="false" ht="15" hidden="false" customHeight="false" outlineLevel="0" collapsed="false">
      <c r="A416" s="5" t="s">
        <v>695</v>
      </c>
      <c r="B416" s="0" t="s">
        <v>309</v>
      </c>
      <c r="D416" s="16" t="n">
        <f aca="false">D407+D410+D412+D414</f>
        <v>404.636</v>
      </c>
      <c r="E416" s="16" t="n">
        <f aca="false">E407+E410+E412+E414</f>
        <v>711.055149456042</v>
      </c>
      <c r="F416" s="16" t="n">
        <f aca="false">F407+F410+F412+F414</f>
        <v>802.863543038057</v>
      </c>
      <c r="G416" s="16" t="n">
        <f aca="false">G407+G410+G412+G414</f>
        <v>893.760165607626</v>
      </c>
    </row>
    <row r="417" customFormat="false" ht="15" hidden="false" customHeight="false" outlineLevel="0" collapsed="false">
      <c r="A417" s="5" t="s">
        <v>696</v>
      </c>
      <c r="B417" s="0" t="s">
        <v>309</v>
      </c>
      <c r="D417" s="16" t="n">
        <f aca="false">D408+D411+D413+D415</f>
        <v>106.475</v>
      </c>
      <c r="E417" s="16" t="n">
        <f aca="false">E408+E411+E413+E415</f>
        <v>215.714873958269</v>
      </c>
      <c r="F417" s="16" t="n">
        <f aca="false">F408+F411+F413+F415</f>
        <v>267.401627614041</v>
      </c>
      <c r="G417" s="16" t="n">
        <f aca="false">G408+G411+G413+G415</f>
        <v>289.987180748426</v>
      </c>
    </row>
    <row r="418" customFormat="false" ht="17.15" hidden="false" customHeight="false" outlineLevel="0" collapsed="false">
      <c r="A418" s="5" t="s">
        <v>697</v>
      </c>
      <c r="B418" s="0" t="s">
        <v>41</v>
      </c>
      <c r="D418" s="17" t="n">
        <f aca="false">1-D417/D416</f>
        <v>0.736862266333198</v>
      </c>
      <c r="E418" s="17" t="n">
        <f aca="false">1-E417/E416</f>
        <v>0.696627084237711</v>
      </c>
      <c r="F418" s="17" t="n">
        <f aca="false">1-F417/F416</f>
        <v>0.666940129573967</v>
      </c>
      <c r="G418" s="17" t="n">
        <f aca="false">1-G417/G416</f>
        <v>0.675542509157054</v>
      </c>
      <c r="H418" s="8" t="s">
        <v>698</v>
      </c>
    </row>
    <row r="419" customFormat="false" ht="17.15" hidden="false" customHeight="false" outlineLevel="0" collapsed="false">
      <c r="A419" s="0" t="s">
        <v>699</v>
      </c>
      <c r="B419" s="0" t="s">
        <v>41</v>
      </c>
      <c r="D419" s="17" t="n">
        <f aca="false">D409/D416</f>
        <v>0.0635268143771917</v>
      </c>
      <c r="E419" s="17" t="n">
        <f aca="false">E409/E416</f>
        <v>0.103199546259896</v>
      </c>
      <c r="F419" s="17" t="n">
        <f aca="false">F409/F416</f>
        <v>0.143209316638485</v>
      </c>
      <c r="G419" s="17" t="n">
        <f aca="false">G409/G416</f>
        <v>0.138015073490404</v>
      </c>
    </row>
    <row r="420" customFormat="false" ht="17.15" hidden="false" customHeight="false" outlineLevel="0" collapsed="false">
      <c r="A420" s="1" t="s">
        <v>700</v>
      </c>
    </row>
    <row r="421" customFormat="false" ht="15" hidden="false" customHeight="false" outlineLevel="0" collapsed="false">
      <c r="A421" s="5" t="s">
        <v>527</v>
      </c>
      <c r="B421" s="0" t="s">
        <v>309</v>
      </c>
      <c r="C421" s="16" t="n">
        <f aca="false">a26_rev</f>
        <v>215.938</v>
      </c>
      <c r="D421" s="16" t="n">
        <f aca="false">a27_rev</f>
        <v>404.636</v>
      </c>
      <c r="E421" s="16" t="n">
        <f aca="false">E416</f>
        <v>711.055149456042</v>
      </c>
      <c r="F421" s="16" t="n">
        <f aca="false">F416</f>
        <v>802.863543038057</v>
      </c>
      <c r="G421" s="16" t="n">
        <f aca="false">G416</f>
        <v>893.760165607626</v>
      </c>
    </row>
    <row r="422" customFormat="false" ht="17.15" hidden="false" customHeight="false" outlineLevel="0" collapsed="false">
      <c r="A422" s="0" t="s">
        <v>701</v>
      </c>
      <c r="B422" s="0" t="s">
        <v>309</v>
      </c>
      <c r="C422" s="16" t="n">
        <f aca="false">a26_dc</f>
        <v>193.7</v>
      </c>
      <c r="D422" s="16" t="n">
        <f aca="false">a27_dc</f>
        <v>375.4567975</v>
      </c>
      <c r="E422" s="16" t="n">
        <f aca="false">E407+E410+E412</f>
        <v>679.541610756042</v>
      </c>
      <c r="F422" s="16" t="n">
        <f aca="false">F407+F410+F412</f>
        <v>768.828921242057</v>
      </c>
      <c r="G422" s="16" t="n">
        <f aca="false">G407+G410+G412</f>
        <v>857.002774067946</v>
      </c>
    </row>
    <row r="423" customFormat="false" ht="15" hidden="false" customHeight="false" outlineLevel="0" collapsed="false">
      <c r="A423" s="0" t="s">
        <v>647</v>
      </c>
      <c r="B423" s="0" t="s">
        <v>309</v>
      </c>
      <c r="C423" s="16" t="n">
        <f aca="false">a26_edge</f>
        <v>22.238</v>
      </c>
      <c r="D423" s="16" t="n">
        <f aca="false">a27_edge</f>
        <v>29.1792025</v>
      </c>
      <c r="E423" s="16" t="n">
        <f aca="false">E414</f>
        <v>31.5135387</v>
      </c>
      <c r="F423" s="16" t="n">
        <f aca="false">F414</f>
        <v>34.034621796</v>
      </c>
      <c r="G423" s="16" t="n">
        <f aca="false">G414</f>
        <v>36.75739153968</v>
      </c>
    </row>
    <row r="424" customFormat="false" ht="15" hidden="false" customHeight="false" outlineLevel="0" collapsed="false">
      <c r="A424" s="5" t="s">
        <v>702</v>
      </c>
      <c r="B424" s="0" t="s">
        <v>41</v>
      </c>
      <c r="D424" s="17" t="n">
        <f aca="false">D421/C421-1</f>
        <v>0.873852679935908</v>
      </c>
      <c r="E424" s="17" t="n">
        <f aca="false">E421/D421-1</f>
        <v>0.757271101572874</v>
      </c>
      <c r="F424" s="17" t="n">
        <f aca="false">F421/E421-1</f>
        <v>0.129115714374966</v>
      </c>
      <c r="G424" s="17" t="n">
        <f aca="false">G421/F421-1</f>
        <v>0.113215531278969</v>
      </c>
    </row>
    <row r="425" customFormat="false" ht="15" hidden="false" customHeight="false" outlineLevel="0" collapsed="false">
      <c r="A425" s="5" t="s">
        <v>703</v>
      </c>
      <c r="B425" s="0" t="s">
        <v>309</v>
      </c>
      <c r="C425" s="16" t="n">
        <f aca="false">a26_gp</f>
        <v>153.463</v>
      </c>
      <c r="D425" s="16" t="n">
        <f aca="false">a27_gp</f>
        <v>298.161</v>
      </c>
      <c r="E425" s="16" t="n">
        <f aca="false">E421-E417</f>
        <v>495.340275497772</v>
      </c>
      <c r="F425" s="16" t="n">
        <f aca="false">F421-F417</f>
        <v>535.461915424016</v>
      </c>
      <c r="G425" s="16" t="n">
        <f aca="false">G421-G417</f>
        <v>603.772984859199</v>
      </c>
    </row>
    <row r="426" customFormat="false" ht="15" hidden="false" customHeight="false" outlineLevel="0" collapsed="false">
      <c r="A426" s="5" t="s">
        <v>543</v>
      </c>
      <c r="B426" s="0" t="s">
        <v>41</v>
      </c>
      <c r="C426" s="17" t="n">
        <f aca="false">C425/C421</f>
        <v>0.710680843575471</v>
      </c>
      <c r="D426" s="17" t="n">
        <f aca="false">D425/D421</f>
        <v>0.736862266333198</v>
      </c>
      <c r="E426" s="17" t="n">
        <f aca="false">E425/E421</f>
        <v>0.696627084237711</v>
      </c>
      <c r="F426" s="17" t="n">
        <f aca="false">F425/F421</f>
        <v>0.666940129573967</v>
      </c>
      <c r="G426" s="17" t="n">
        <f aca="false">G425/G421</f>
        <v>0.675542509157054</v>
      </c>
    </row>
    <row r="427" customFormat="false" ht="17.15" hidden="false" customHeight="false" outlineLevel="0" collapsed="false">
      <c r="A427" s="5" t="s">
        <v>704</v>
      </c>
      <c r="B427" s="0" t="s">
        <v>309</v>
      </c>
      <c r="C427" s="16" t="n">
        <f aca="false">a26_opx</f>
        <v>23.076</v>
      </c>
      <c r="D427" s="16" t="n">
        <f aca="false">a27_opx</f>
        <v>35.165</v>
      </c>
      <c r="E427" s="16" t="n">
        <f aca="false">D427*(1+MAX(g_opx_min,phi*E424))</f>
        <v>51.1426629720861</v>
      </c>
      <c r="F427" s="16" t="n">
        <f aca="false">E427*(1+MAX(g_opx_min,phi*F424))</f>
        <v>55.1046558508935</v>
      </c>
      <c r="G427" s="16" t="n">
        <f aca="false">F427*(1+MAX(g_opx_min,phi*G424))</f>
        <v>58.8478775837557</v>
      </c>
      <c r="H427" s="5" t="s">
        <v>705</v>
      </c>
    </row>
    <row r="428" customFormat="false" ht="15" hidden="false" customHeight="false" outlineLevel="0" collapsed="false">
      <c r="A428" s="5" t="s">
        <v>706</v>
      </c>
      <c r="B428" s="0" t="s">
        <v>309</v>
      </c>
      <c r="C428" s="16" t="n">
        <f aca="false">C427</f>
        <v>23.076</v>
      </c>
      <c r="D428" s="16" t="n">
        <f aca="false">D427</f>
        <v>35.165</v>
      </c>
      <c r="E428" s="16" t="n">
        <f aca="false">E427+0*E421</f>
        <v>51.1426629720861</v>
      </c>
      <c r="F428" s="16" t="n">
        <f aca="false">F427+0*F421</f>
        <v>55.1046558508935</v>
      </c>
      <c r="G428" s="16" t="n">
        <f aca="false">G427+0*G421</f>
        <v>58.8478775837557</v>
      </c>
    </row>
    <row r="429" customFormat="false" ht="15" hidden="false" customHeight="false" outlineLevel="0" collapsed="false">
      <c r="A429" s="5" t="s">
        <v>546</v>
      </c>
      <c r="B429" s="0" t="s">
        <v>309</v>
      </c>
      <c r="C429" s="16" t="n">
        <f aca="false">C425-C428</f>
        <v>130.387</v>
      </c>
      <c r="D429" s="16" t="n">
        <f aca="false">D425-D428</f>
        <v>262.996</v>
      </c>
      <c r="E429" s="16" t="n">
        <f aca="false">E425-E428</f>
        <v>444.197612525686</v>
      </c>
      <c r="F429" s="16" t="n">
        <f aca="false">F425-F428</f>
        <v>480.357259573123</v>
      </c>
      <c r="G429" s="16" t="n">
        <f aca="false">G425-G428</f>
        <v>544.925107275444</v>
      </c>
    </row>
    <row r="430" customFormat="false" ht="15" hidden="false" customHeight="false" outlineLevel="0" collapsed="false">
      <c r="A430" s="5" t="s">
        <v>648</v>
      </c>
      <c r="B430" s="0" t="s">
        <v>41</v>
      </c>
      <c r="C430" s="17" t="n">
        <f aca="false">C429/C421</f>
        <v>0.603816836314127</v>
      </c>
      <c r="D430" s="17" t="n">
        <f aca="false">D429/D421</f>
        <v>0.649956998388675</v>
      </c>
      <c r="E430" s="17" t="n">
        <f aca="false">E429/E421</f>
        <v>0.624702054215483</v>
      </c>
      <c r="F430" s="17" t="n">
        <f aca="false">F429/F421</f>
        <v>0.598304984375599</v>
      </c>
      <c r="G430" s="17" t="n">
        <f aca="false">G429/G421</f>
        <v>0.609699478947996</v>
      </c>
    </row>
    <row r="431" customFormat="false" ht="15" hidden="false" customHeight="false" outlineLevel="0" collapsed="false">
      <c r="A431" s="5" t="s">
        <v>551</v>
      </c>
      <c r="B431" s="0" t="s">
        <v>309</v>
      </c>
      <c r="C431" s="20" t="n">
        <f aca="false">a26_oth</f>
        <v>2.145</v>
      </c>
      <c r="D431" s="20" t="n">
        <f aca="false">a27_oth</f>
        <v>1.133</v>
      </c>
      <c r="E431" s="20" t="n">
        <f aca="false">oth_f</f>
        <v>1.2</v>
      </c>
      <c r="F431" s="20" t="n">
        <f aca="false">oth_f</f>
        <v>1.2</v>
      </c>
      <c r="G431" s="20" t="n">
        <f aca="false">oth_f</f>
        <v>1.2</v>
      </c>
    </row>
    <row r="432" customFormat="false" ht="15" hidden="false" customHeight="false" outlineLevel="0" collapsed="false">
      <c r="A432" s="5" t="s">
        <v>560</v>
      </c>
      <c r="B432" s="0" t="s">
        <v>41</v>
      </c>
      <c r="C432" s="17" t="n">
        <f aca="false">1-a26_ni/(a26_oi+a26_oth)</f>
        <v>0.151187565812244</v>
      </c>
      <c r="D432" s="17" t="n">
        <f aca="false">a27_etr</f>
        <v>0.167980835756566</v>
      </c>
      <c r="E432" s="17" t="n">
        <f aca="false">tx_f</f>
        <v>0.17</v>
      </c>
      <c r="F432" s="17" t="n">
        <f aca="false">tx_f</f>
        <v>0.17</v>
      </c>
      <c r="G432" s="17" t="n">
        <f aca="false">tx_f</f>
        <v>0.17</v>
      </c>
    </row>
    <row r="433" customFormat="false" ht="15" hidden="false" customHeight="false" outlineLevel="0" collapsed="false">
      <c r="A433" s="5" t="s">
        <v>649</v>
      </c>
      <c r="B433" s="0" t="s">
        <v>309</v>
      </c>
      <c r="C433" s="16" t="n">
        <f aca="false">a26_ni</f>
        <v>112.494809527772</v>
      </c>
      <c r="D433" s="16" t="n">
        <f aca="false">a27_ni</f>
        <v>219.760389832454</v>
      </c>
      <c r="E433" s="16" t="n">
        <f aca="false">(E429+E431)*(1-E432)</f>
        <v>369.68001839632</v>
      </c>
      <c r="F433" s="16" t="n">
        <f aca="false">(F429+F431)*(1-F432)</f>
        <v>399.692525445692</v>
      </c>
      <c r="G433" s="16" t="n">
        <f aca="false">(G429+G431)*(1-G432)</f>
        <v>453.283839038618</v>
      </c>
    </row>
    <row r="434" customFormat="false" ht="15" hidden="false" customHeight="false" outlineLevel="0" collapsed="false">
      <c r="A434" s="5" t="s">
        <v>707</v>
      </c>
      <c r="B434" s="5" t="s">
        <v>708</v>
      </c>
      <c r="C434" s="18" t="n">
        <f aca="false">a26_sh</f>
        <v>24.5145</v>
      </c>
      <c r="D434" s="18" t="n">
        <f aca="false">a27_sh</f>
        <v>24.25691339125</v>
      </c>
      <c r="E434" s="18" t="n">
        <f aca="false">D434*(1+sh_g)</f>
        <v>23.965830430555</v>
      </c>
      <c r="F434" s="18" t="n">
        <f aca="false">E434*(1+sh_g)</f>
        <v>23.6782404653883</v>
      </c>
      <c r="G434" s="18" t="n">
        <f aca="false">F434*(1+sh_g)</f>
        <v>23.3941015798037</v>
      </c>
    </row>
    <row r="435" customFormat="false" ht="17.15" hidden="false" customHeight="false" outlineLevel="0" collapsed="false">
      <c r="A435" s="0" t="s">
        <v>650</v>
      </c>
      <c r="B435" s="0" t="s">
        <v>420</v>
      </c>
      <c r="C435" s="20" t="n">
        <f aca="false">C433/C434</f>
        <v>4.58890899376988</v>
      </c>
      <c r="D435" s="20" t="n">
        <f aca="false">D433/D434</f>
        <v>9.05970130196888</v>
      </c>
      <c r="E435" s="20" t="n">
        <f aca="false">E433/E434</f>
        <v>15.4252955877131</v>
      </c>
      <c r="F435" s="20" t="n">
        <f aca="false">F433/F434</f>
        <v>16.8801615994205</v>
      </c>
      <c r="G435" s="20" t="n">
        <f aca="false">G433/G434</f>
        <v>19.3759883230541</v>
      </c>
    </row>
    <row r="436" customFormat="false" ht="17.15" hidden="false" customHeight="false" outlineLevel="0" collapsed="false">
      <c r="A436" s="0" t="s">
        <v>709</v>
      </c>
      <c r="B436" s="0" t="s">
        <v>41</v>
      </c>
      <c r="D436" s="17" t="n">
        <f aca="false">D435/C435-1</f>
        <v>0.974260399207908</v>
      </c>
      <c r="E436" s="17" t="n">
        <f aca="false">E435/D435-1</f>
        <v>0.702627390636024</v>
      </c>
      <c r="F436" s="17" t="n">
        <f aca="false">F435/E435-1</f>
        <v>0.0943168967774113</v>
      </c>
      <c r="G436" s="17" t="n">
        <f aca="false">G435/F435-1</f>
        <v>0.147855617905895</v>
      </c>
    </row>
    <row r="439" customFormat="false" ht="17.15" hidden="false" customHeight="false" outlineLevel="0" collapsed="false">
      <c r="A439" s="4" t="s">
        <v>1097</v>
      </c>
    </row>
    <row r="440" customFormat="false" ht="15" hidden="false" customHeight="false" outlineLevel="0" collapsed="false">
      <c r="A440" s="6" t="s">
        <v>19</v>
      </c>
      <c r="B440" s="6" t="s">
        <v>20</v>
      </c>
      <c r="C440" s="12" t="s">
        <v>639</v>
      </c>
      <c r="D440" s="12" t="s">
        <v>640</v>
      </c>
      <c r="E440" s="12" t="s">
        <v>641</v>
      </c>
      <c r="F440" s="12" t="s">
        <v>642</v>
      </c>
      <c r="G440" s="12" t="s">
        <v>643</v>
      </c>
      <c r="H440" s="6" t="s">
        <v>592</v>
      </c>
    </row>
    <row r="441" customFormat="false" ht="17.15" hidden="false" customHeight="false" outlineLevel="0" collapsed="false">
      <c r="A441" s="1" t="s">
        <v>658</v>
      </c>
    </row>
    <row r="442" customFormat="false" ht="17.15" hidden="false" customHeight="false" outlineLevel="0" collapsed="false">
      <c r="A442" s="0" t="s">
        <v>659</v>
      </c>
      <c r="B442" s="0" t="s">
        <v>126</v>
      </c>
      <c r="D442" s="18" t="n">
        <f aca="false">k_rec</f>
        <v>0.828370921864097</v>
      </c>
      <c r="E442" s="18" t="n">
        <f aca="false">k_rec*1</f>
        <v>0.828370921864097</v>
      </c>
      <c r="F442" s="18" t="n">
        <f aca="false">k_rec*1</f>
        <v>0.828370921864097</v>
      </c>
      <c r="G442" s="18" t="n">
        <f aca="false">k_rec*1</f>
        <v>0.828370921864097</v>
      </c>
    </row>
    <row r="443" customFormat="false" ht="17.15" hidden="false" customHeight="false" outlineLevel="0" collapsed="false">
      <c r="A443" s="0" t="s">
        <v>660</v>
      </c>
      <c r="B443" s="5" t="s">
        <v>30</v>
      </c>
      <c r="D443" s="20" t="n">
        <f aca="false">(u_bw_26)*D442</f>
        <v>4.47320297806612</v>
      </c>
      <c r="E443" s="20" t="n">
        <f aca="false">(u_bw_27)*E442</f>
        <v>1.98809021247383</v>
      </c>
      <c r="F443" s="20" t="n">
        <f aca="false">(u_bw_28*um28_A)*F442</f>
        <v>0.414185460932049</v>
      </c>
      <c r="G443" s="20" t="n">
        <f aca="false">(u_bw_28*(1+g29_bw)*um29_A)*G442</f>
        <v>0.207092730466024</v>
      </c>
    </row>
    <row r="444" customFormat="false" ht="17.15" hidden="false" customHeight="false" outlineLevel="0" collapsed="false">
      <c r="A444" s="0" t="s">
        <v>661</v>
      </c>
      <c r="B444" s="5" t="s">
        <v>30</v>
      </c>
      <c r="D444" s="20" t="n">
        <f aca="false">(u_rb_26)*D442</f>
        <v>1.40823056716896</v>
      </c>
      <c r="E444" s="20" t="n">
        <f aca="false">(u_rb_27)*E442</f>
        <v>5.79859645304868</v>
      </c>
      <c r="F444" s="20" t="n">
        <f aca="false">(u_rb_28*um28_A)*F442</f>
        <v>5.79859645304868</v>
      </c>
      <c r="G444" s="20" t="n">
        <f aca="false">(u_rb_28*(1+g29_rb)*um29_A)*G442</f>
        <v>6.66838592100598</v>
      </c>
    </row>
    <row r="445" customFormat="false" ht="17.15" hidden="false" customHeight="false" outlineLevel="0" collapsed="false">
      <c r="A445" s="0" t="s">
        <v>662</v>
      </c>
      <c r="B445" s="5" t="s">
        <v>30</v>
      </c>
      <c r="D445" s="20" t="n">
        <f aca="false">(u_ru_26)*D442</f>
        <v>0</v>
      </c>
      <c r="E445" s="20" t="n">
        <f aca="false">(u_ru_27)*E442</f>
        <v>0.248511276559229</v>
      </c>
      <c r="F445" s="20" t="n">
        <f aca="false">(u_ru_28*um28_A)*F442</f>
        <v>1.65674184372819</v>
      </c>
      <c r="G445" s="20" t="n">
        <f aca="false">(u_ru_28*(1+g29_ru)*um29_A)*G442</f>
        <v>1.90525312028742</v>
      </c>
    </row>
    <row r="446" customFormat="false" ht="17.15" hidden="false" customHeight="false" outlineLevel="0" collapsed="false">
      <c r="A446" s="0" t="s">
        <v>663</v>
      </c>
      <c r="B446" s="5" t="s">
        <v>30</v>
      </c>
      <c r="D446" s="20" t="n">
        <f aca="false">(u_hp_26)*D442</f>
        <v>0.414185460932049</v>
      </c>
      <c r="E446" s="20" t="n">
        <f aca="false">(u_hp_27)*E442</f>
        <v>0</v>
      </c>
      <c r="F446" s="20" t="n">
        <f aca="false">(u_hp_28*um28_A)*F442</f>
        <v>0</v>
      </c>
      <c r="G446" s="20" t="n">
        <f aca="false">(u_hp_28*(1+g29_hp)*um29_A)*G442</f>
        <v>0</v>
      </c>
    </row>
    <row r="447" customFormat="false" ht="17.15" hidden="false" customHeight="false" outlineLevel="0" collapsed="false">
      <c r="A447" s="0" t="s">
        <v>664</v>
      </c>
      <c r="B447" s="5" t="s">
        <v>30</v>
      </c>
      <c r="D447" s="20" t="n">
        <f aca="false">SUM(D443:D446)</f>
        <v>6.29561900616714</v>
      </c>
      <c r="E447" s="20" t="n">
        <f aca="false">SUM(E443:E446)</f>
        <v>8.03519794208174</v>
      </c>
      <c r="F447" s="20" t="n">
        <f aca="false">SUM(F443:F446)</f>
        <v>7.86952375770892</v>
      </c>
      <c r="G447" s="20" t="n">
        <f aca="false">SUM(G443:G446)</f>
        <v>8.78073177175943</v>
      </c>
      <c r="H447" s="8" t="s">
        <v>665</v>
      </c>
    </row>
    <row r="448" customFormat="false" ht="17.15" hidden="false" customHeight="false" outlineLevel="0" collapsed="false">
      <c r="A448" s="0" t="s">
        <v>666</v>
      </c>
      <c r="B448" s="0" t="s">
        <v>174</v>
      </c>
      <c r="D448" s="20" t="n">
        <f aca="false">1*(pm_bw+pcpu_bw+plp_bw+k_tray*pres_bw)+(1-abs_mem_hi)*(gb_bw_26*hpx_bw*(hbm_A_26/hbm_A_26-1)/1000+plp_bw*(cdx_A_26/cdx_A_26-1))</f>
        <v>47.005555</v>
      </c>
      <c r="E448" s="20" t="n">
        <f aca="false">1*(pm_bw+pcpu_bw+plp_bw+k_tray*pres_bw)+(1-abs_mem_hi)*(gb_bw_27*hpx_bw*(hbm_A_27/hbm_A_26-1)/1000+plp_bw*(cdx_A_27/cdx_A_26-1))</f>
        <v>47.005555</v>
      </c>
      <c r="F448" s="20" t="n">
        <f aca="false">1*(pm_bw+pcpu_bw+plp_bw+k_tray*pres_bw)+(1-abs_mem_hi)*(gb_bw_28*hpx_bw*(hbm_A_28/hbm_A_26-1)/1000+plp_bw*(cdx_A_28/cdx_A_26-1))</f>
        <v>47.005555</v>
      </c>
      <c r="G448" s="20" t="n">
        <f aca="false">1*(pm_bw+pcpu_bw+plp_bw+k_tray*pres_bw)+(1-abs_mem_hi)*(gb_bw_28*hpx_bw*(hbm_A_29/hbm_A_26-1)/1000+plp_bw*(cdx_A_29/cdx_A_26-1))</f>
        <v>47.005555</v>
      </c>
      <c r="H448" s="5" t="s">
        <v>667</v>
      </c>
    </row>
    <row r="449" customFormat="false" ht="17.15" hidden="false" customHeight="false" outlineLevel="0" collapsed="false">
      <c r="A449" s="0" t="s">
        <v>668</v>
      </c>
      <c r="B449" s="0" t="s">
        <v>174</v>
      </c>
      <c r="D449" s="20" t="n">
        <f aca="false">1*(pm_rb+pcpu_rb+plp_rb+k_tray*pres_rb)+(1-abs_mem_hi)*(gb_rb_26*hpx_rb*(hbm_A_26/hbm_A_26-1)/1000+plp_rb*(cdx_A_26/cdx_A_26-1))</f>
        <v>72.166667</v>
      </c>
      <c r="E449" s="20" t="n">
        <f aca="false">1*(pm_rb+pcpu_rb+plp_rb+k_tray*pres_rb)+(1-abs_mem_hi)*(gb_rb_27*hpx_rb*(hbm_A_27/hbm_A_26-1)/1000+plp_rb*(cdx_A_27/cdx_A_26-1))</f>
        <v>72.166667</v>
      </c>
      <c r="F449" s="20" t="n">
        <f aca="false">1*(pm_rb+pcpu_rb+plp_rb+k_tray*pres_rb)+(1-abs_mem_hi)*(gb_rb_28*hpx_rb*(hbm_A_28/hbm_A_26-1)/1000+plp_rb*(cdx_A_28/cdx_A_26-1))</f>
        <v>72.166667</v>
      </c>
      <c r="G449" s="20" t="n">
        <f aca="false">1*(pm_rb+pcpu_rb+plp_rb+k_tray*pres_rb)+(1-abs_mem_hi)*(gb_rb_28*hpx_rb*(hbm_A_29/hbm_A_26-1)/1000+plp_rb*(cdx_A_29/cdx_A_26-1))</f>
        <v>72.166667</v>
      </c>
    </row>
    <row r="450" customFormat="false" ht="17.15" hidden="false" customHeight="false" outlineLevel="0" collapsed="false">
      <c r="A450" s="0" t="s">
        <v>669</v>
      </c>
      <c r="B450" s="0" t="s">
        <v>174</v>
      </c>
      <c r="D450" s="20" t="n">
        <f aca="false">1*(pm_ru+pcpu_ru+plp_ru+k_tray*pres_ru)+(1-abs_mem_hi)*(gb_ru_26*hpx_ru*(hbm_A_26/hbm_A_26-1)/1000+plp_ru*(cdx_A_26/cdx_A_26-1))</f>
        <v>92.166667</v>
      </c>
      <c r="E450" s="20" t="n">
        <f aca="false">1*(pm_ru+pcpu_ru+plp_ru+k_tray*pres_ru)+(1-abs_mem_hi)*(gb_ru_27*hpx_ru*(hbm_A_27/hbm_A_26-1)/1000+plp_ru*(cdx_A_27/cdx_A_26-1))</f>
        <v>92.166667</v>
      </c>
      <c r="F450" s="20" t="n">
        <f aca="false">1*(pm_ru+pcpu_ru+plp_ru+k_tray*pres_ru)+(1-abs_mem_hi)*(gb_ru_28*hpx_ru*(hbm_A_28/hbm_A_26-1)/1000+plp_ru*(cdx_A_28/cdx_A_26-1))</f>
        <v>92.166667</v>
      </c>
      <c r="G450" s="20" t="n">
        <f aca="false">1*(pm_ru+pcpu_ru+plp_ru+k_tray*pres_ru)+(1-abs_mem_hi)*(gb_ru_28*hpx_ru*(hbm_A_29/hbm_A_26-1)/1000+plp_ru*(cdx_A_29/cdx_A_26-1))</f>
        <v>92.166667</v>
      </c>
    </row>
    <row r="451" customFormat="false" ht="17.15" hidden="false" customHeight="false" outlineLevel="0" collapsed="false">
      <c r="A451" s="0" t="s">
        <v>670</v>
      </c>
      <c r="B451" s="0" t="s">
        <v>174</v>
      </c>
      <c r="D451" s="20" t="n">
        <f aca="false">1*(pm_hp+pcpu_hp+plp_hp+k_tray*pres_hp)+(1-abs_mem_hi)*(gb_hp_26*hpx_hp*(hbm_A_26/hbm_A_26-1)/1000+plp_hp*(cdx_A_26/cdx_A_26-1))</f>
        <v>30</v>
      </c>
      <c r="E451" s="20" t="n">
        <f aca="false">1*(pm_hp+pcpu_hp+plp_hp+k_tray*pres_hp)+(1-abs_mem_hi)*(gb_hp_27*hpx_hp*(hbm_A_27/hbm_A_26-1)/1000+plp_hp*(cdx_A_27/cdx_A_26-1))</f>
        <v>30</v>
      </c>
      <c r="F451" s="20" t="n">
        <f aca="false">1*(pm_hp+pcpu_hp+plp_hp+k_tray*pres_hp)+(1-abs_mem_hi)*(gb_hp_28*hpx_hp*(hbm_A_28/hbm_A_26-1)/1000+plp_hp*(cdx_A_28/cdx_A_26-1))</f>
        <v>30</v>
      </c>
      <c r="G451" s="20" t="n">
        <f aca="false">1*(pm_hp+pcpu_hp+plp_hp+k_tray*pres_hp)+(1-abs_mem_hi)*(gb_hp_28*hpx_hp*(hbm_A_29/hbm_A_26-1)/1000+plp_hp*(cdx_A_29/cdx_A_26-1))</f>
        <v>30</v>
      </c>
    </row>
    <row r="452" customFormat="false" ht="17.15" hidden="false" customHeight="false" outlineLevel="0" collapsed="false">
      <c r="A452" s="0" t="s">
        <v>671</v>
      </c>
      <c r="B452" s="0" t="s">
        <v>174</v>
      </c>
      <c r="D452" s="20" t="n">
        <f aca="false">gb_bw_26*hpx_bw*hbm_A_26/hbm_A_26/1000</f>
        <v>4.03</v>
      </c>
      <c r="E452" s="20" t="n">
        <f aca="false">gb_bw_27*hpx_bw*hbm_A_27/hbm_A_26/1000</f>
        <v>7.812</v>
      </c>
      <c r="F452" s="20" t="n">
        <f aca="false">gb_bw_28*hpx_bw*hbm_A_28/hbm_A_26/1000</f>
        <v>8.83872</v>
      </c>
      <c r="G452" s="20" t="n">
        <f aca="false">gb_bw_28*hpx_bw*hbm_A_29/hbm_A_26/1000</f>
        <v>8.396784</v>
      </c>
      <c r="H452" s="5" t="s">
        <v>672</v>
      </c>
    </row>
    <row r="453" customFormat="false" ht="17.15" hidden="false" customHeight="false" outlineLevel="0" collapsed="false">
      <c r="A453" s="0" t="s">
        <v>673</v>
      </c>
      <c r="B453" s="0" t="s">
        <v>174</v>
      </c>
      <c r="D453" s="20" t="n">
        <f aca="false">gb_rb_26*hpx_rb*hbm_A_26/hbm_A_26/1000</f>
        <v>4.8096</v>
      </c>
      <c r="E453" s="20" t="n">
        <f aca="false">gb_rb_27*hpx_rb*hbm_A_27/hbm_A_26/1000</f>
        <v>8.65728</v>
      </c>
      <c r="F453" s="20" t="n">
        <f aca="false">gb_rb_28*hpx_rb*hbm_A_28/hbm_A_26/1000</f>
        <v>9.523008</v>
      </c>
      <c r="G453" s="20" t="n">
        <f aca="false">gb_rb_28*hpx_rb*hbm_A_29/hbm_A_26/1000</f>
        <v>9.0468576</v>
      </c>
    </row>
    <row r="454" customFormat="false" ht="17.15" hidden="false" customHeight="false" outlineLevel="0" collapsed="false">
      <c r="A454" s="0" t="s">
        <v>674</v>
      </c>
      <c r="B454" s="0" t="s">
        <v>174</v>
      </c>
      <c r="D454" s="20" t="n">
        <f aca="false">gb_ru_26*hpx_ru*hbm_A_26/hbm_A_26/1000</f>
        <v>17.1008</v>
      </c>
      <c r="E454" s="20" t="n">
        <f aca="false">gb_ru_27*hpx_ru*hbm_A_27/hbm_A_26/1000</f>
        <v>30.78144</v>
      </c>
      <c r="F454" s="20" t="n">
        <f aca="false">gb_ru_28*hpx_ru*hbm_A_28/hbm_A_26/1000</f>
        <v>33.859584</v>
      </c>
      <c r="G454" s="20" t="n">
        <f aca="false">gb_ru_28*hpx_ru*hbm_A_29/hbm_A_26/1000</f>
        <v>32.1666048</v>
      </c>
    </row>
    <row r="455" customFormat="false" ht="17.15" hidden="false" customHeight="false" outlineLevel="0" collapsed="false">
      <c r="A455" s="0" t="s">
        <v>675</v>
      </c>
      <c r="B455" s="0" t="s">
        <v>174</v>
      </c>
      <c r="D455" s="20" t="n">
        <f aca="false">gb_hp_26*hpx_hp*hbm_A_26/hbm_A_26/1000</f>
        <v>2.1855</v>
      </c>
      <c r="E455" s="20" t="n">
        <f aca="false">gb_hp_27*hpx_hp*hbm_A_27/hbm_A_26/1000</f>
        <v>3.9339</v>
      </c>
      <c r="F455" s="20" t="n">
        <f aca="false">gb_hp_28*hpx_hp*hbm_A_28/hbm_A_26/1000</f>
        <v>4.32729</v>
      </c>
      <c r="G455" s="20" t="n">
        <f aca="false">gb_hp_28*hpx_hp*hbm_A_29/hbm_A_26/1000</f>
        <v>4.1109255</v>
      </c>
    </row>
    <row r="456" customFormat="false" ht="17.15" hidden="false" customHeight="false" outlineLevel="0" collapsed="false">
      <c r="A456" s="0" t="s">
        <v>676</v>
      </c>
      <c r="B456" s="0" t="s">
        <v>174</v>
      </c>
      <c r="D456" s="20" t="n">
        <f aca="false">1*c_nh*(pm_bw+pcpu_bw+plp_bw+k_tray*pres_bw)+D452+plp_bw*(cdx_A_26/cdx_A_26-1)</f>
        <v>11.8212823332139</v>
      </c>
      <c r="E456" s="20" t="n">
        <f aca="false">1*c_nh*(pm_bw+pcpu_bw+plp_bw+k_tray*pres_bw)+E452+plp_bw*(cdx_A_27/cdx_A_26-1)</f>
        <v>16.493918693312</v>
      </c>
      <c r="F456" s="20" t="n">
        <f aca="false">1*c_nh*(pm_bw+pcpu_bw+plp_bw+k_tray*pres_bw)+F452+plp_bw*(cdx_A_28/cdx_A_26-1)</f>
        <v>17.1392325750052</v>
      </c>
      <c r="G456" s="20" t="n">
        <f aca="false">1*c_nh*(pm_bw+pcpu_bw+plp_bw+k_tray*pres_bw)+G452+plp_bw*(cdx_A_29/cdx_A_26-1)</f>
        <v>16.3524568133889</v>
      </c>
      <c r="H456" s="5" t="s">
        <v>677</v>
      </c>
    </row>
    <row r="457" customFormat="false" ht="17.15" hidden="false" customHeight="false" outlineLevel="0" collapsed="false">
      <c r="A457" s="0" t="s">
        <v>678</v>
      </c>
      <c r="B457" s="0" t="s">
        <v>174</v>
      </c>
      <c r="D457" s="20" t="n">
        <f aca="false">1*c_nh*(pm_rb+pcpu_rb+plp_rb+k_tray*pres_rb)+D453+plp_rb*(cdx_A_26/cdx_A_26-1)</f>
        <v>16.7713963801093</v>
      </c>
      <c r="E457" s="20" t="n">
        <f aca="false">1*c_nh*(pm_rb+pcpu_rb+plp_rb+k_tray*pres_rb)+E453+plp_rb*(cdx_A_27/cdx_A_26-1)</f>
        <v>22.0860071969322</v>
      </c>
      <c r="F457" s="20" t="n">
        <f aca="false">1*c_nh*(pm_rb+pcpu_rb+plp_rb+k_tray*pres_rb)+F453+plp_rb*(cdx_A_28/cdx_A_26-1)</f>
        <v>22.3235367382399</v>
      </c>
      <c r="G457" s="20" t="n">
        <f aca="false">1*c_nh*(pm_rb+pcpu_rb+plp_rb+k_tray*pres_rb)+G453+plp_rb*(cdx_A_29/cdx_A_26-1)</f>
        <v>21.2794148339942</v>
      </c>
    </row>
    <row r="458" customFormat="false" ht="17.15" hidden="false" customHeight="false" outlineLevel="0" collapsed="false">
      <c r="A458" s="0" t="s">
        <v>679</v>
      </c>
      <c r="B458" s="0" t="s">
        <v>174</v>
      </c>
      <c r="D458" s="20" t="n">
        <f aca="false">1*c_nh*(pm_ru+pcpu_ru+plp_ru+k_tray*pres_ru)+D454+plp_ru*(cdx_A_26/cdx_A_26-1)</f>
        <v>32.3776438604396</v>
      </c>
      <c r="E458" s="20" t="n">
        <f aca="false">1*c_nh*(pm_ru+pcpu_ru+plp_ru+k_tray*pres_ru)+E454+plp_ru*(cdx_A_27/cdx_A_26-1)</f>
        <v>47.5252146772625</v>
      </c>
      <c r="F458" s="20" t="n">
        <f aca="false">1*c_nh*(pm_ru+pcpu_ru+plp_ru+k_tray*pres_ru)+F454+plp_ru*(cdx_A_28/cdx_A_26-1)</f>
        <v>49.9751602185702</v>
      </c>
      <c r="G458" s="20" t="n">
        <f aca="false">1*c_nh*(pm_ru+pcpu_ru+plp_ru+k_tray*pres_ru)+G454+plp_ru*(cdx_A_29/cdx_A_26-1)</f>
        <v>47.7142095143245</v>
      </c>
    </row>
    <row r="459" customFormat="false" ht="17.15" hidden="false" customHeight="false" outlineLevel="0" collapsed="false">
      <c r="A459" s="0" t="s">
        <v>680</v>
      </c>
      <c r="B459" s="0" t="s">
        <v>174</v>
      </c>
      <c r="D459" s="20" t="n">
        <f aca="false">1*c_nh*(pm_hp+pcpu_hp+plp_hp+k_tray*pres_hp)+D455+plp_hp*(cdx_A_26/cdx_A_26-1)</f>
        <v>7.15807122049545</v>
      </c>
      <c r="E459" s="20" t="n">
        <f aca="false">1*c_nh*(pm_hp+pcpu_hp+plp_hp+k_tray*pres_hp)+E455+plp_hp*(cdx_A_27/cdx_A_26-1)</f>
        <v>8.90647122049545</v>
      </c>
      <c r="F459" s="20" t="n">
        <f aca="false">1*c_nh*(pm_hp+pcpu_hp+plp_hp+k_tray*pres_hp)+F455+plp_hp*(cdx_A_28/cdx_A_26-1)</f>
        <v>9.29986122049545</v>
      </c>
      <c r="G459" s="20" t="n">
        <f aca="false">1*c_nh*(pm_hp+pcpu_hp+plp_hp+k_tray*pres_hp)+G455+plp_hp*(cdx_A_29/cdx_A_26-1)</f>
        <v>9.08349672049545</v>
      </c>
    </row>
    <row r="460" customFormat="false" ht="17.15" hidden="false" customHeight="false" outlineLevel="0" collapsed="false">
      <c r="A460" s="0" t="s">
        <v>681</v>
      </c>
      <c r="B460" s="0" t="s">
        <v>309</v>
      </c>
      <c r="D460" s="16" t="n">
        <f aca="false">D443*D448</f>
        <v>210.265388611651</v>
      </c>
      <c r="E460" s="16" t="n">
        <f aca="false">E443*E448</f>
        <v>93.4512838274004</v>
      </c>
      <c r="F460" s="16" t="n">
        <f aca="false">F443*F448</f>
        <v>19.4690174640418</v>
      </c>
      <c r="G460" s="16" t="n">
        <f aca="false">G443*G448</f>
        <v>9.73450873202088</v>
      </c>
    </row>
    <row r="461" customFormat="false" ht="17.15" hidden="false" customHeight="false" outlineLevel="0" collapsed="false">
      <c r="A461" s="0" t="s">
        <v>682</v>
      </c>
      <c r="B461" s="0" t="s">
        <v>309</v>
      </c>
      <c r="D461" s="16" t="n">
        <f aca="false">D444*D449</f>
        <v>101.627306400104</v>
      </c>
      <c r="E461" s="16" t="n">
        <f aca="false">E444*E449</f>
        <v>418.465379294545</v>
      </c>
      <c r="F461" s="16" t="n">
        <f aca="false">F444*F449</f>
        <v>418.465379294545</v>
      </c>
      <c r="G461" s="16" t="n">
        <f aca="false">G444*G449</f>
        <v>481.235186188727</v>
      </c>
    </row>
    <row r="462" customFormat="false" ht="17.15" hidden="false" customHeight="false" outlineLevel="0" collapsed="false">
      <c r="A462" s="0" t="s">
        <v>683</v>
      </c>
      <c r="B462" s="0" t="s">
        <v>309</v>
      </c>
      <c r="D462" s="16" t="n">
        <f aca="false">D445*D450</f>
        <v>0</v>
      </c>
      <c r="E462" s="16" t="n">
        <f aca="false">E445*E450</f>
        <v>22.9044560723794</v>
      </c>
      <c r="F462" s="16" t="n">
        <f aca="false">F445*F450</f>
        <v>152.696373815862</v>
      </c>
      <c r="G462" s="16" t="n">
        <f aca="false">G445*G450</f>
        <v>175.600829888242</v>
      </c>
    </row>
    <row r="463" customFormat="false" ht="17.15" hidden="false" customHeight="false" outlineLevel="0" collapsed="false">
      <c r="A463" s="0" t="s">
        <v>684</v>
      </c>
      <c r="B463" s="0" t="s">
        <v>309</v>
      </c>
      <c r="D463" s="16" t="n">
        <f aca="false">D446*D451</f>
        <v>12.4255638279615</v>
      </c>
      <c r="E463" s="16" t="n">
        <f aca="false">E446*E451</f>
        <v>0</v>
      </c>
      <c r="F463" s="16" t="n">
        <f aca="false">F446*F451</f>
        <v>0</v>
      </c>
      <c r="G463" s="16" t="n">
        <f aca="false">G446*G451</f>
        <v>0</v>
      </c>
    </row>
    <row r="464" customFormat="false" ht="17.15" hidden="false" customHeight="false" outlineLevel="0" collapsed="false">
      <c r="A464" s="5" t="s">
        <v>685</v>
      </c>
      <c r="B464" s="0" t="s">
        <v>309</v>
      </c>
      <c r="D464" s="16" t="n">
        <f aca="false">SUM(D460:D463)</f>
        <v>324.318258839716</v>
      </c>
      <c r="E464" s="16" t="n">
        <f aca="false">SUM(E460:E463)</f>
        <v>534.821119194325</v>
      </c>
      <c r="F464" s="16" t="n">
        <f aca="false">SUM(F460:F463)</f>
        <v>590.63077057445</v>
      </c>
      <c r="G464" s="16" t="n">
        <f aca="false">SUM(G460:G463)</f>
        <v>666.57052480899</v>
      </c>
    </row>
    <row r="465" customFormat="false" ht="15" hidden="false" customHeight="false" outlineLevel="0" collapsed="false">
      <c r="A465" s="5" t="s">
        <v>686</v>
      </c>
      <c r="B465" s="0" t="s">
        <v>309</v>
      </c>
      <c r="D465" s="16" t="n">
        <f aca="false">D443*D456+D444*D457+D445*D458+D446*D459</f>
        <v>79.4617574019149</v>
      </c>
      <c r="E465" s="16" t="n">
        <f aca="false">E443*E456+E444*E457+E445*E458+E446*E459</f>
        <v>172.669793081849</v>
      </c>
      <c r="F465" s="16" t="n">
        <f aca="false">F443*F456+F444*F457+F445*F458+F446*F459</f>
        <v>219.339940975085</v>
      </c>
      <c r="G465" s="16" t="n">
        <f aca="false">G443*G456+G444*G457+G445*G458+G446*G459</f>
        <v>236.19347177678</v>
      </c>
    </row>
    <row r="466" customFormat="false" ht="17.15" hidden="false" customHeight="false" outlineLevel="0" collapsed="false">
      <c r="A466" s="5" t="s">
        <v>687</v>
      </c>
      <c r="B466" s="0" t="s">
        <v>309</v>
      </c>
      <c r="D466" s="16" t="n">
        <f aca="false">D443*D452+D444*D453+D445*D454+D446*D455</f>
        <v>25.7052360623293</v>
      </c>
      <c r="E466" s="16" t="n">
        <f aca="false">E443*E452+E444*E453+E445*E454+E446*E455</f>
        <v>73.3805687896262</v>
      </c>
      <c r="F466" s="16" t="n">
        <f aca="false">F443*F452+F444*F453+F445*F454+F446*F455</f>
        <v>114.977539352433</v>
      </c>
      <c r="G466" s="16" t="n">
        <f aca="false">G443*G452+G444*G453+G445*G454+G446*G455</f>
        <v>123.352374939132</v>
      </c>
    </row>
    <row r="467" customFormat="false" ht="17.15" hidden="false" customHeight="false" outlineLevel="0" collapsed="false">
      <c r="A467" s="5" t="s">
        <v>688</v>
      </c>
      <c r="B467" s="0" t="s">
        <v>309</v>
      </c>
      <c r="D467" s="16" t="n">
        <f aca="false">0</f>
        <v>0</v>
      </c>
      <c r="E467" s="16" t="n">
        <f aca="false">0</f>
        <v>0</v>
      </c>
      <c r="F467" s="16" t="n">
        <f aca="false">0</f>
        <v>0</v>
      </c>
      <c r="G467" s="16" t="n">
        <f aca="false">0</f>
        <v>0</v>
      </c>
    </row>
    <row r="468" customFormat="false" ht="15" hidden="false" customHeight="false" outlineLevel="0" collapsed="false">
      <c r="A468" s="5" t="s">
        <v>689</v>
      </c>
      <c r="B468" s="0" t="s">
        <v>309</v>
      </c>
      <c r="D468" s="16" t="n">
        <f aca="false">D467*D465/D464</f>
        <v>0</v>
      </c>
      <c r="E468" s="16" t="n">
        <f aca="false">E467*E465/E464</f>
        <v>0</v>
      </c>
      <c r="F468" s="16" t="n">
        <f aca="false">F467*F465/F464</f>
        <v>0</v>
      </c>
      <c r="G468" s="16" t="n">
        <f aca="false">G467*G465/G464</f>
        <v>0</v>
      </c>
    </row>
    <row r="469" customFormat="false" ht="17.15" hidden="false" customHeight="false" outlineLevel="0" collapsed="false">
      <c r="A469" s="0" t="s">
        <v>690</v>
      </c>
      <c r="B469" s="0" t="s">
        <v>309</v>
      </c>
      <c r="D469" s="16" t="n">
        <f aca="false">net_26*1*D442</f>
        <v>51.1385386602837</v>
      </c>
      <c r="E469" s="16" t="n">
        <f aca="false">net_27*1*E442</f>
        <v>101.465551321399</v>
      </c>
      <c r="F469" s="16" t="n">
        <f aca="false">net_28*um28_A*F442</f>
        <v>114.826126401851</v>
      </c>
      <c r="G469" s="16" t="n">
        <f aca="false">net_29*um29_A*G442</f>
        <v>130.302507852582</v>
      </c>
      <c r="H469" s="8" t="s">
        <v>691</v>
      </c>
    </row>
    <row r="470" customFormat="false" ht="17.15" hidden="false" customHeight="false" outlineLevel="0" collapsed="false">
      <c r="A470" s="5" t="s">
        <v>692</v>
      </c>
      <c r="B470" s="0" t="s">
        <v>309</v>
      </c>
      <c r="D470" s="16" t="n">
        <f aca="false">c_net*D469</f>
        <v>15.3415615980851</v>
      </c>
      <c r="E470" s="16" t="n">
        <f aca="false">c_net*E469</f>
        <v>30.4396653964198</v>
      </c>
      <c r="F470" s="16" t="n">
        <f aca="false">c_net*F469</f>
        <v>34.4478379205554</v>
      </c>
      <c r="G470" s="16" t="n">
        <f aca="false">c_net*G469</f>
        <v>39.0907523557747</v>
      </c>
    </row>
    <row r="471" customFormat="false" ht="17.15" hidden="false" customHeight="false" outlineLevel="0" collapsed="false">
      <c r="A471" s="0" t="s">
        <v>693</v>
      </c>
      <c r="B471" s="0" t="s">
        <v>309</v>
      </c>
      <c r="D471" s="16" t="n">
        <f aca="false">a27_edge</f>
        <v>29.1792025</v>
      </c>
      <c r="E471" s="16" t="n">
        <f aca="false">D471*(1+eg)</f>
        <v>31.5135387</v>
      </c>
      <c r="F471" s="16" t="n">
        <f aca="false">E471*(1+eg)</f>
        <v>34.034621796</v>
      </c>
      <c r="G471" s="16" t="n">
        <f aca="false">F471*(1+eg)</f>
        <v>36.75739153968</v>
      </c>
    </row>
    <row r="472" customFormat="false" ht="17.15" hidden="false" customHeight="false" outlineLevel="0" collapsed="false">
      <c r="A472" s="0" t="s">
        <v>694</v>
      </c>
      <c r="B472" s="0" t="s">
        <v>309</v>
      </c>
      <c r="D472" s="16" t="n">
        <f aca="false">(1-gm_edge)*D471</f>
        <v>11.671681</v>
      </c>
      <c r="E472" s="16" t="n">
        <f aca="false">(1-gm_edge)*E471</f>
        <v>12.60541548</v>
      </c>
      <c r="F472" s="16" t="n">
        <f aca="false">(1-gm_edge)*F471</f>
        <v>13.6138487184</v>
      </c>
      <c r="G472" s="16" t="n">
        <f aca="false">(1-gm_edge)*G471</f>
        <v>14.702956615872</v>
      </c>
    </row>
    <row r="473" customFormat="false" ht="15" hidden="false" customHeight="false" outlineLevel="0" collapsed="false">
      <c r="A473" s="5" t="s">
        <v>695</v>
      </c>
      <c r="B473" s="0" t="s">
        <v>309</v>
      </c>
      <c r="D473" s="16" t="n">
        <f aca="false">D464+D467+D469+D471</f>
        <v>404.636</v>
      </c>
      <c r="E473" s="16" t="n">
        <f aca="false">E464+E467+E469+E471</f>
        <v>667.800209215724</v>
      </c>
      <c r="F473" s="16" t="n">
        <f aca="false">F464+F467+F469+F471</f>
        <v>739.491518772301</v>
      </c>
      <c r="G473" s="16" t="n">
        <f aca="false">G464+G467+G469+G471</f>
        <v>833.630424201252</v>
      </c>
    </row>
    <row r="474" customFormat="false" ht="15" hidden="false" customHeight="false" outlineLevel="0" collapsed="false">
      <c r="A474" s="5" t="s">
        <v>696</v>
      </c>
      <c r="B474" s="0" t="s">
        <v>309</v>
      </c>
      <c r="D474" s="16" t="n">
        <f aca="false">D465+D468+D470+D472</f>
        <v>106.475</v>
      </c>
      <c r="E474" s="16" t="n">
        <f aca="false">E465+E468+E470+E472</f>
        <v>215.714873958269</v>
      </c>
      <c r="F474" s="16" t="n">
        <f aca="false">F465+F468+F470+F472</f>
        <v>267.401627614041</v>
      </c>
      <c r="G474" s="16" t="n">
        <f aca="false">G465+G468+G470+G472</f>
        <v>289.987180748426</v>
      </c>
    </row>
    <row r="475" customFormat="false" ht="17.15" hidden="false" customHeight="false" outlineLevel="0" collapsed="false">
      <c r="A475" s="5" t="s">
        <v>697</v>
      </c>
      <c r="B475" s="0" t="s">
        <v>41</v>
      </c>
      <c r="D475" s="17" t="n">
        <f aca="false">1-D474/D473</f>
        <v>0.736862266333198</v>
      </c>
      <c r="E475" s="17" t="n">
        <f aca="false">1-E474/E473</f>
        <v>0.676976929654442</v>
      </c>
      <c r="F475" s="17" t="n">
        <f aca="false">1-F474/F473</f>
        <v>0.638397979116813</v>
      </c>
      <c r="G475" s="17" t="n">
        <f aca="false">1-G474/G473</f>
        <v>0.652139398551487</v>
      </c>
      <c r="H475" s="8" t="s">
        <v>698</v>
      </c>
    </row>
    <row r="476" customFormat="false" ht="17.15" hidden="false" customHeight="false" outlineLevel="0" collapsed="false">
      <c r="A476" s="0" t="s">
        <v>699</v>
      </c>
      <c r="B476" s="0" t="s">
        <v>41</v>
      </c>
      <c r="D476" s="17" t="n">
        <f aca="false">D466/D473</f>
        <v>0.0635268143771917</v>
      </c>
      <c r="E476" s="17" t="n">
        <f aca="false">E466/E473</f>
        <v>0.109884015873259</v>
      </c>
      <c r="F476" s="17" t="n">
        <f aca="false">F466/F473</f>
        <v>0.155481890506761</v>
      </c>
      <c r="G476" s="17" t="n">
        <f aca="false">G466/G473</f>
        <v>0.147970097249417</v>
      </c>
    </row>
    <row r="477" customFormat="false" ht="17.15" hidden="false" customHeight="false" outlineLevel="0" collapsed="false">
      <c r="A477" s="1" t="s">
        <v>700</v>
      </c>
    </row>
    <row r="478" customFormat="false" ht="15" hidden="false" customHeight="false" outlineLevel="0" collapsed="false">
      <c r="A478" s="5" t="s">
        <v>527</v>
      </c>
      <c r="B478" s="0" t="s">
        <v>309</v>
      </c>
      <c r="C478" s="16" t="n">
        <f aca="false">a26_rev</f>
        <v>215.938</v>
      </c>
      <c r="D478" s="16" t="n">
        <f aca="false">a27_rev</f>
        <v>404.636</v>
      </c>
      <c r="E478" s="16" t="n">
        <f aca="false">E473</f>
        <v>667.800209215724</v>
      </c>
      <c r="F478" s="16" t="n">
        <f aca="false">F473</f>
        <v>739.491518772301</v>
      </c>
      <c r="G478" s="16" t="n">
        <f aca="false">G473</f>
        <v>833.630424201252</v>
      </c>
    </row>
    <row r="479" customFormat="false" ht="17.15" hidden="false" customHeight="false" outlineLevel="0" collapsed="false">
      <c r="A479" s="0" t="s">
        <v>701</v>
      </c>
      <c r="B479" s="0" t="s">
        <v>309</v>
      </c>
      <c r="C479" s="16" t="n">
        <f aca="false">a26_dc</f>
        <v>193.7</v>
      </c>
      <c r="D479" s="16" t="n">
        <f aca="false">a27_dc</f>
        <v>375.4567975</v>
      </c>
      <c r="E479" s="16" t="n">
        <f aca="false">E464+E467+E469</f>
        <v>636.286670515724</v>
      </c>
      <c r="F479" s="16" t="n">
        <f aca="false">F464+F467+F469</f>
        <v>705.456896976301</v>
      </c>
      <c r="G479" s="16" t="n">
        <f aca="false">G464+G467+G469</f>
        <v>796.873032661572</v>
      </c>
    </row>
    <row r="480" customFormat="false" ht="15" hidden="false" customHeight="false" outlineLevel="0" collapsed="false">
      <c r="A480" s="0" t="s">
        <v>647</v>
      </c>
      <c r="B480" s="0" t="s">
        <v>309</v>
      </c>
      <c r="C480" s="16" t="n">
        <f aca="false">a26_edge</f>
        <v>22.238</v>
      </c>
      <c r="D480" s="16" t="n">
        <f aca="false">a27_edge</f>
        <v>29.1792025</v>
      </c>
      <c r="E480" s="16" t="n">
        <f aca="false">E471</f>
        <v>31.5135387</v>
      </c>
      <c r="F480" s="16" t="n">
        <f aca="false">F471</f>
        <v>34.034621796</v>
      </c>
      <c r="G480" s="16" t="n">
        <f aca="false">G471</f>
        <v>36.75739153968</v>
      </c>
    </row>
    <row r="481" customFormat="false" ht="15" hidden="false" customHeight="false" outlineLevel="0" collapsed="false">
      <c r="A481" s="5" t="s">
        <v>702</v>
      </c>
      <c r="B481" s="0" t="s">
        <v>41</v>
      </c>
      <c r="D481" s="17" t="n">
        <f aca="false">D478/C478-1</f>
        <v>0.873852679935908</v>
      </c>
      <c r="E481" s="17" t="n">
        <f aca="false">E478/D478-1</f>
        <v>0.650372703406826</v>
      </c>
      <c r="F481" s="17" t="n">
        <f aca="false">F478/E478-1</f>
        <v>0.107354428116714</v>
      </c>
      <c r="G481" s="17" t="n">
        <f aca="false">G478/F478-1</f>
        <v>0.127302211099378</v>
      </c>
    </row>
    <row r="482" customFormat="false" ht="15" hidden="false" customHeight="false" outlineLevel="0" collapsed="false">
      <c r="A482" s="5" t="s">
        <v>703</v>
      </c>
      <c r="B482" s="0" t="s">
        <v>309</v>
      </c>
      <c r="C482" s="16" t="n">
        <f aca="false">a26_gp</f>
        <v>153.463</v>
      </c>
      <c r="D482" s="16" t="n">
        <f aca="false">a27_gp</f>
        <v>298.161</v>
      </c>
      <c r="E482" s="16" t="n">
        <f aca="false">E478-E474</f>
        <v>452.085335257455</v>
      </c>
      <c r="F482" s="16" t="n">
        <f aca="false">F478-F474</f>
        <v>472.08989115826</v>
      </c>
      <c r="G482" s="16" t="n">
        <f aca="false">G478-G474</f>
        <v>543.643243452826</v>
      </c>
    </row>
    <row r="483" customFormat="false" ht="15" hidden="false" customHeight="false" outlineLevel="0" collapsed="false">
      <c r="A483" s="5" t="s">
        <v>543</v>
      </c>
      <c r="B483" s="0" t="s">
        <v>41</v>
      </c>
      <c r="C483" s="17" t="n">
        <f aca="false">C482/C478</f>
        <v>0.710680843575471</v>
      </c>
      <c r="D483" s="17" t="n">
        <f aca="false">D482/D478</f>
        <v>0.736862266333198</v>
      </c>
      <c r="E483" s="17" t="n">
        <f aca="false">E482/E478</f>
        <v>0.676976929654442</v>
      </c>
      <c r="F483" s="17" t="n">
        <f aca="false">F482/F478</f>
        <v>0.638397979116813</v>
      </c>
      <c r="G483" s="17" t="n">
        <f aca="false">G482/G478</f>
        <v>0.652139398551487</v>
      </c>
    </row>
    <row r="484" customFormat="false" ht="17.15" hidden="false" customHeight="false" outlineLevel="0" collapsed="false">
      <c r="A484" s="5" t="s">
        <v>704</v>
      </c>
      <c r="B484" s="0" t="s">
        <v>309</v>
      </c>
      <c r="C484" s="16" t="n">
        <f aca="false">a26_opx</f>
        <v>23.076</v>
      </c>
      <c r="D484" s="16" t="n">
        <f aca="false">a27_opx</f>
        <v>35.165</v>
      </c>
      <c r="E484" s="16" t="n">
        <f aca="false">D484*(1+MAX(g_opx_min,phi*E481))</f>
        <v>48.8872136691806</v>
      </c>
      <c r="F484" s="16" t="n">
        <f aca="false">E484*(1+MAX(g_opx_min,phi*F481))</f>
        <v>52.0361689885853</v>
      </c>
      <c r="G484" s="16" t="n">
        <f aca="false">F484*(1+MAX(g_opx_min,phi*G481))</f>
        <v>56.010760610218</v>
      </c>
      <c r="H484" s="5" t="s">
        <v>705</v>
      </c>
    </row>
    <row r="485" customFormat="false" ht="15" hidden="false" customHeight="false" outlineLevel="0" collapsed="false">
      <c r="A485" s="5" t="s">
        <v>706</v>
      </c>
      <c r="B485" s="0" t="s">
        <v>309</v>
      </c>
      <c r="C485" s="16" t="n">
        <f aca="false">C484</f>
        <v>23.076</v>
      </c>
      <c r="D485" s="16" t="n">
        <f aca="false">D484</f>
        <v>35.165</v>
      </c>
      <c r="E485" s="16" t="n">
        <f aca="false">E484+0*E478</f>
        <v>48.8872136691806</v>
      </c>
      <c r="F485" s="16" t="n">
        <f aca="false">F484+0*F478</f>
        <v>52.0361689885853</v>
      </c>
      <c r="G485" s="16" t="n">
        <f aca="false">G484+0*G478</f>
        <v>56.010760610218</v>
      </c>
    </row>
    <row r="486" customFormat="false" ht="15" hidden="false" customHeight="false" outlineLevel="0" collapsed="false">
      <c r="A486" s="5" t="s">
        <v>546</v>
      </c>
      <c r="B486" s="0" t="s">
        <v>309</v>
      </c>
      <c r="C486" s="16" t="n">
        <f aca="false">C482-C485</f>
        <v>130.387</v>
      </c>
      <c r="D486" s="16" t="n">
        <f aca="false">D482-D485</f>
        <v>262.996</v>
      </c>
      <c r="E486" s="16" t="n">
        <f aca="false">E482-E485</f>
        <v>403.198121588275</v>
      </c>
      <c r="F486" s="16" t="n">
        <f aca="false">F482-F485</f>
        <v>420.053722169675</v>
      </c>
      <c r="G486" s="16" t="n">
        <f aca="false">G482-G485</f>
        <v>487.632482842608</v>
      </c>
    </row>
    <row r="487" customFormat="false" ht="15" hidden="false" customHeight="false" outlineLevel="0" collapsed="false">
      <c r="A487" s="5" t="s">
        <v>648</v>
      </c>
      <c r="B487" s="0" t="s">
        <v>41</v>
      </c>
      <c r="C487" s="17" t="n">
        <f aca="false">C486/C478</f>
        <v>0.603816836314127</v>
      </c>
      <c r="D487" s="17" t="n">
        <f aca="false">D486/D478</f>
        <v>0.649956998388675</v>
      </c>
      <c r="E487" s="17" t="n">
        <f aca="false">E486/E478</f>
        <v>0.603770582914008</v>
      </c>
      <c r="F487" s="17" t="n">
        <f aca="false">F486/F478</f>
        <v>0.568030479737003</v>
      </c>
      <c r="G487" s="17" t="n">
        <f aca="false">G486/G478</f>
        <v>0.584950439290691</v>
      </c>
    </row>
    <row r="488" customFormat="false" ht="15" hidden="false" customHeight="false" outlineLevel="0" collapsed="false">
      <c r="A488" s="5" t="s">
        <v>551</v>
      </c>
      <c r="B488" s="0" t="s">
        <v>309</v>
      </c>
      <c r="C488" s="20" t="n">
        <f aca="false">a26_oth</f>
        <v>2.145</v>
      </c>
      <c r="D488" s="20" t="n">
        <f aca="false">a27_oth</f>
        <v>1.133</v>
      </c>
      <c r="E488" s="20" t="n">
        <f aca="false">oth_f</f>
        <v>1.2</v>
      </c>
      <c r="F488" s="20" t="n">
        <f aca="false">oth_f</f>
        <v>1.2</v>
      </c>
      <c r="G488" s="20" t="n">
        <f aca="false">oth_f</f>
        <v>1.2</v>
      </c>
    </row>
    <row r="489" customFormat="false" ht="15" hidden="false" customHeight="false" outlineLevel="0" collapsed="false">
      <c r="A489" s="5" t="s">
        <v>560</v>
      </c>
      <c r="B489" s="0" t="s">
        <v>41</v>
      </c>
      <c r="C489" s="17" t="n">
        <f aca="false">1-a26_ni/(a26_oi+a26_oth)</f>
        <v>0.151187565812244</v>
      </c>
      <c r="D489" s="17" t="n">
        <f aca="false">a27_etr</f>
        <v>0.167980835756566</v>
      </c>
      <c r="E489" s="17" t="n">
        <f aca="false">tx_f</f>
        <v>0.17</v>
      </c>
      <c r="F489" s="17" t="n">
        <f aca="false">tx_f</f>
        <v>0.17</v>
      </c>
      <c r="G489" s="17" t="n">
        <f aca="false">tx_f</f>
        <v>0.17</v>
      </c>
    </row>
    <row r="490" customFormat="false" ht="15" hidden="false" customHeight="false" outlineLevel="0" collapsed="false">
      <c r="A490" s="5" t="s">
        <v>649</v>
      </c>
      <c r="B490" s="0" t="s">
        <v>309</v>
      </c>
      <c r="C490" s="16" t="n">
        <f aca="false">a26_ni</f>
        <v>112.494809527772</v>
      </c>
      <c r="D490" s="16" t="n">
        <f aca="false">a27_ni</f>
        <v>219.760389832454</v>
      </c>
      <c r="E490" s="16" t="n">
        <f aca="false">(E486+E488)*(1-E489)</f>
        <v>335.650440918268</v>
      </c>
      <c r="F490" s="16" t="n">
        <f aca="false">(F486+F488)*(1-F489)</f>
        <v>349.64058940083</v>
      </c>
      <c r="G490" s="16" t="n">
        <f aca="false">(G486+G488)*(1-G489)</f>
        <v>405.730960759364</v>
      </c>
    </row>
    <row r="491" customFormat="false" ht="15" hidden="false" customHeight="false" outlineLevel="0" collapsed="false">
      <c r="A491" s="5" t="s">
        <v>707</v>
      </c>
      <c r="B491" s="5" t="s">
        <v>708</v>
      </c>
      <c r="C491" s="18" t="n">
        <f aca="false">a26_sh</f>
        <v>24.5145</v>
      </c>
      <c r="D491" s="18" t="n">
        <f aca="false">a27_sh</f>
        <v>24.25691339125</v>
      </c>
      <c r="E491" s="18" t="n">
        <f aca="false">D491*(1+sh_g)</f>
        <v>23.965830430555</v>
      </c>
      <c r="F491" s="18" t="n">
        <f aca="false">E491*(1+sh_g)</f>
        <v>23.6782404653883</v>
      </c>
      <c r="G491" s="18" t="n">
        <f aca="false">F491*(1+sh_g)</f>
        <v>23.3941015798037</v>
      </c>
    </row>
    <row r="492" customFormat="false" ht="17.15" hidden="false" customHeight="false" outlineLevel="0" collapsed="false">
      <c r="A492" s="0" t="s">
        <v>650</v>
      </c>
      <c r="B492" s="0" t="s">
        <v>420</v>
      </c>
      <c r="C492" s="20" t="n">
        <f aca="false">C490/C491</f>
        <v>4.58890899376988</v>
      </c>
      <c r="D492" s="20" t="n">
        <f aca="false">D490/D491</f>
        <v>9.05970130196888</v>
      </c>
      <c r="E492" s="20" t="n">
        <f aca="false">E490/E491</f>
        <v>14.0053749395779</v>
      </c>
      <c r="F492" s="20" t="n">
        <f aca="false">F490/F491</f>
        <v>14.7663247998481</v>
      </c>
      <c r="G492" s="20" t="n">
        <f aca="false">G490/G491</f>
        <v>17.3433016598353</v>
      </c>
    </row>
    <row r="493" customFormat="false" ht="17.15" hidden="false" customHeight="false" outlineLevel="0" collapsed="false">
      <c r="A493" s="0" t="s">
        <v>709</v>
      </c>
      <c r="B493" s="0" t="s">
        <v>41</v>
      </c>
      <c r="D493" s="17" t="n">
        <f aca="false">D492/C492-1</f>
        <v>0.974260399207908</v>
      </c>
      <c r="E493" s="17" t="n">
        <f aca="false">E492/D492-1</f>
        <v>0.545898090098643</v>
      </c>
      <c r="F493" s="17" t="n">
        <f aca="false">F492/E492-1</f>
        <v>0.0543327018057771</v>
      </c>
      <c r="G493" s="17" t="n">
        <f aca="false">G492/F492-1</f>
        <v>0.174517145932868</v>
      </c>
    </row>
    <row r="496" customFormat="false" ht="17.15" hidden="false" customHeight="false" outlineLevel="0" collapsed="false">
      <c r="A496" s="4" t="s">
        <v>1098</v>
      </c>
    </row>
    <row r="497" customFormat="false" ht="15" hidden="false" customHeight="false" outlineLevel="0" collapsed="false">
      <c r="A497" s="6" t="s">
        <v>19</v>
      </c>
      <c r="B497" s="6" t="s">
        <v>20</v>
      </c>
      <c r="C497" s="12" t="s">
        <v>639</v>
      </c>
      <c r="D497" s="12" t="s">
        <v>640</v>
      </c>
      <c r="E497" s="12" t="s">
        <v>641</v>
      </c>
      <c r="F497" s="12" t="s">
        <v>642</v>
      </c>
      <c r="G497" s="12" t="s">
        <v>643</v>
      </c>
      <c r="H497" s="6" t="s">
        <v>592</v>
      </c>
    </row>
    <row r="498" customFormat="false" ht="17.15" hidden="false" customHeight="false" outlineLevel="0" collapsed="false">
      <c r="A498" s="1" t="s">
        <v>658</v>
      </c>
    </row>
    <row r="499" customFormat="false" ht="17.15" hidden="false" customHeight="false" outlineLevel="0" collapsed="false">
      <c r="A499" s="0" t="s">
        <v>659</v>
      </c>
      <c r="B499" s="0" t="s">
        <v>126</v>
      </c>
      <c r="D499" s="18" t="n">
        <f aca="false">k_rec</f>
        <v>0.828370921864097</v>
      </c>
      <c r="E499" s="18" t="n">
        <f aca="false">k_rec*1</f>
        <v>0.828370921864097</v>
      </c>
      <c r="F499" s="18" t="n">
        <f aca="false">k_rec*1</f>
        <v>0.828370921864097</v>
      </c>
      <c r="G499" s="18" t="n">
        <f aca="false">k_rec*1</f>
        <v>0.828370921864097</v>
      </c>
    </row>
    <row r="500" customFormat="false" ht="17.15" hidden="false" customHeight="false" outlineLevel="0" collapsed="false">
      <c r="A500" s="0" t="s">
        <v>660</v>
      </c>
      <c r="B500" s="5" t="s">
        <v>30</v>
      </c>
      <c r="D500" s="20" t="n">
        <f aca="false">(u_bw_26)*D499</f>
        <v>4.47320297806612</v>
      </c>
      <c r="E500" s="20" t="n">
        <f aca="false">(u_bw_27)*E499</f>
        <v>1.98809021247383</v>
      </c>
      <c r="F500" s="20" t="n">
        <f aca="false">(u_bw_28*um28_A)*F499</f>
        <v>0.414185460932049</v>
      </c>
      <c r="G500" s="20" t="n">
        <f aca="false">(u_bw_28*(1+g29_bw)*um29_A)*G499</f>
        <v>0.207092730466024</v>
      </c>
    </row>
    <row r="501" customFormat="false" ht="17.15" hidden="false" customHeight="false" outlineLevel="0" collapsed="false">
      <c r="A501" s="0" t="s">
        <v>661</v>
      </c>
      <c r="B501" s="5" t="s">
        <v>30</v>
      </c>
      <c r="D501" s="20" t="n">
        <f aca="false">(u_rb_26)*D499</f>
        <v>1.40823056716896</v>
      </c>
      <c r="E501" s="20" t="n">
        <f aca="false">(u_rb_27)*E499</f>
        <v>5.79859645304868</v>
      </c>
      <c r="F501" s="20" t="n">
        <f aca="false">(u_rb_28*um28_A)*F499</f>
        <v>5.79859645304868</v>
      </c>
      <c r="G501" s="20" t="n">
        <f aca="false">(u_rb_28*(1+g29_rb)*um29_A)*G499</f>
        <v>6.66838592100598</v>
      </c>
    </row>
    <row r="502" customFormat="false" ht="17.15" hidden="false" customHeight="false" outlineLevel="0" collapsed="false">
      <c r="A502" s="0" t="s">
        <v>662</v>
      </c>
      <c r="B502" s="5" t="s">
        <v>30</v>
      </c>
      <c r="D502" s="20" t="n">
        <f aca="false">(u_ru_26)*D499</f>
        <v>0</v>
      </c>
      <c r="E502" s="20" t="n">
        <f aca="false">(u_ru_27)*E499</f>
        <v>0.248511276559229</v>
      </c>
      <c r="F502" s="20" t="n">
        <f aca="false">(u_ru_28*um28_A)*F499</f>
        <v>1.65674184372819</v>
      </c>
      <c r="G502" s="20" t="n">
        <f aca="false">(u_ru_28*(1+g29_ru)*um29_A)*G499</f>
        <v>1.90525312028742</v>
      </c>
    </row>
    <row r="503" customFormat="false" ht="17.15" hidden="false" customHeight="false" outlineLevel="0" collapsed="false">
      <c r="A503" s="0" t="s">
        <v>663</v>
      </c>
      <c r="B503" s="5" t="s">
        <v>30</v>
      </c>
      <c r="D503" s="20" t="n">
        <f aca="false">(u_hp_26)*D499</f>
        <v>0.414185460932049</v>
      </c>
      <c r="E503" s="20" t="n">
        <f aca="false">(u_hp_27)*E499</f>
        <v>0</v>
      </c>
      <c r="F503" s="20" t="n">
        <f aca="false">(u_hp_28*um28_A)*F499</f>
        <v>0</v>
      </c>
      <c r="G503" s="20" t="n">
        <f aca="false">(u_hp_28*(1+g29_hp)*um29_A)*G499</f>
        <v>0</v>
      </c>
    </row>
    <row r="504" customFormat="false" ht="17.15" hidden="false" customHeight="false" outlineLevel="0" collapsed="false">
      <c r="A504" s="0" t="s">
        <v>664</v>
      </c>
      <c r="B504" s="5" t="s">
        <v>30</v>
      </c>
      <c r="D504" s="20" t="n">
        <f aca="false">SUM(D500:D503)</f>
        <v>6.29561900616714</v>
      </c>
      <c r="E504" s="20" t="n">
        <f aca="false">SUM(E500:E503)</f>
        <v>8.03519794208174</v>
      </c>
      <c r="F504" s="20" t="n">
        <f aca="false">SUM(F500:F503)</f>
        <v>7.86952375770892</v>
      </c>
      <c r="G504" s="20" t="n">
        <f aca="false">SUM(G500:G503)</f>
        <v>8.78073177175943</v>
      </c>
      <c r="H504" s="8" t="s">
        <v>665</v>
      </c>
    </row>
    <row r="505" customFormat="false" ht="17.15" hidden="false" customHeight="false" outlineLevel="0" collapsed="false">
      <c r="A505" s="0" t="s">
        <v>666</v>
      </c>
      <c r="B505" s="0" t="s">
        <v>174</v>
      </c>
      <c r="D505" s="20" t="n">
        <f aca="false">1*(pm_bw+pcpu_bw+plp_bw+k_tray*pres_bw)+(1-abs_mem)*(gb_bw_26*hpx_bw*(hbm_A_26/hbm_A_26-1)/1000+plp_bw*(cdx_A_26/cdx_A_26-1))</f>
        <v>47.005555</v>
      </c>
      <c r="E505" s="20" t="n">
        <f aca="false">1*(pm_bw+pcpu_bw+plp_bw+k_tray*pres_bw)+(1-abs_mem)*(gb_bw_27*hpx_bw*(hbm_A_27/hbm_A_26-1)/1000+plp_bw*(cdx_A_27/cdx_A_26-1))</f>
        <v>49.1868731800491</v>
      </c>
      <c r="F505" s="20" t="n">
        <f aca="false">1*(pm_bw+pcpu_bw+plp_bw+k_tray*pres_bw)+(1-abs_mem)*(gb_bw_28*hpx_bw*(hbm_A_28/hbm_A_26-1)/1000+plp_bw*(cdx_A_28/cdx_A_26-1))</f>
        <v>49.4475301208957</v>
      </c>
      <c r="G505" s="20" t="n">
        <f aca="false">1*(pm_bw+pcpu_bw+plp_bw+k_tray*pres_bw)+(1-abs_mem)*(gb_bw_28*hpx_bw*(hbm_A_29/hbm_A_26-1)/1000+plp_bw*(cdx_A_29/cdx_A_26-1))</f>
        <v>49.0541422400875</v>
      </c>
      <c r="H505" s="5" t="s">
        <v>667</v>
      </c>
    </row>
    <row r="506" customFormat="false" ht="17.15" hidden="false" customHeight="false" outlineLevel="0" collapsed="false">
      <c r="A506" s="0" t="s">
        <v>668</v>
      </c>
      <c r="B506" s="0" t="s">
        <v>174</v>
      </c>
      <c r="D506" s="20" t="n">
        <f aca="false">1*(pm_rb+pcpu_rb+plp_rb+k_tray*pres_rb)+(1-abs_mem)*(gb_rb_26*hpx_rb*(hbm_A_26/hbm_A_26-1)/1000+plp_rb*(cdx_A_26/cdx_A_26-1))</f>
        <v>72.166667</v>
      </c>
      <c r="E506" s="20" t="n">
        <f aca="false">1*(pm_rb+pcpu_rb+plp_rb+k_tray*pres_rb)+(1-abs_mem)*(gb_rb_27*hpx_rb*(hbm_A_27/hbm_A_26-1)/1000+plp_rb*(cdx_A_27/cdx_A_26-1))</f>
        <v>74.8239724084115</v>
      </c>
      <c r="F506" s="20" t="n">
        <f aca="false">1*(pm_rb+pcpu_rb+plp_rb+k_tray*pres_rb)+(1-abs_mem)*(gb_rb_28*hpx_rb*(hbm_A_28/hbm_A_26-1)/1000+plp_rb*(cdx_A_28/cdx_A_26-1))</f>
        <v>74.9427371790653</v>
      </c>
      <c r="G506" s="20" t="n">
        <f aca="false">1*(pm_rb+pcpu_rb+plp_rb+k_tray*pres_rb)+(1-abs_mem)*(gb_rb_28*hpx_rb*(hbm_A_29/hbm_A_26-1)/1000+plp_rb*(cdx_A_29/cdx_A_26-1))</f>
        <v>74.4206762269425</v>
      </c>
    </row>
    <row r="507" customFormat="false" ht="17.15" hidden="false" customHeight="false" outlineLevel="0" collapsed="false">
      <c r="A507" s="0" t="s">
        <v>669</v>
      </c>
      <c r="B507" s="0" t="s">
        <v>174</v>
      </c>
      <c r="D507" s="20" t="n">
        <f aca="false">1*(pm_ru+pcpu_ru+plp_ru+k_tray*pres_ru)+(1-abs_mem)*(gb_ru_26*hpx_ru*(hbm_A_26/hbm_A_26-1)/1000+plp_ru*(cdx_A_26/cdx_A_26-1))</f>
        <v>92.166667</v>
      </c>
      <c r="E507" s="20" t="n">
        <f aca="false">1*(pm_ru+pcpu_ru+plp_ru+k_tray*pres_ru)+(1-abs_mem)*(gb_ru_27*hpx_ru*(hbm_A_27/hbm_A_26-1)/1000+plp_ru*(cdx_A_27/cdx_A_26-1))</f>
        <v>99.7404524084115</v>
      </c>
      <c r="F507" s="20" t="n">
        <f aca="false">1*(pm_ru+pcpu_ru+plp_ru+k_tray*pres_ru)+(1-abs_mem)*(gb_ru_28*hpx_ru*(hbm_A_28/hbm_A_26-1)/1000+plp_ru*(cdx_A_28/cdx_A_26-1))</f>
        <v>100.965425179065</v>
      </c>
      <c r="G507" s="20" t="n">
        <f aca="false">1*(pm_ru+pcpu_ru+plp_ru+k_tray*pres_ru)+(1-abs_mem)*(gb_ru_28*hpx_ru*(hbm_A_29/hbm_A_26-1)/1000+plp_ru*(cdx_A_29/cdx_A_26-1))</f>
        <v>99.8349498269425</v>
      </c>
    </row>
    <row r="508" customFormat="false" ht="17.15" hidden="false" customHeight="false" outlineLevel="0" collapsed="false">
      <c r="A508" s="0" t="s">
        <v>670</v>
      </c>
      <c r="B508" s="0" t="s">
        <v>174</v>
      </c>
      <c r="D508" s="20" t="n">
        <f aca="false">1*(pm_hp+pcpu_hp+plp_hp+k_tray*pres_hp)+(1-abs_mem)*(gb_hp_26*hpx_hp*(hbm_A_26/hbm_A_26-1)/1000+plp_hp*(cdx_A_26/cdx_A_26-1))</f>
        <v>30</v>
      </c>
      <c r="E508" s="20" t="n">
        <f aca="false">1*(pm_hp+pcpu_hp+plp_hp+k_tray*pres_hp)+(1-abs_mem)*(gb_hp_27*hpx_hp*(hbm_A_27/hbm_A_26-1)/1000+plp_hp*(cdx_A_27/cdx_A_26-1))</f>
        <v>30.8742</v>
      </c>
      <c r="F508" s="20" t="n">
        <f aca="false">1*(pm_hp+pcpu_hp+plp_hp+k_tray*pres_hp)+(1-abs_mem)*(gb_hp_28*hpx_hp*(hbm_A_28/hbm_A_26-1)/1000+plp_hp*(cdx_A_28/cdx_A_26-1))</f>
        <v>31.070895</v>
      </c>
      <c r="G508" s="20" t="n">
        <f aca="false">1*(pm_hp+pcpu_hp+plp_hp+k_tray*pres_hp)+(1-abs_mem)*(gb_hp_28*hpx_hp*(hbm_A_29/hbm_A_26-1)/1000+plp_hp*(cdx_A_29/cdx_A_26-1))</f>
        <v>30.96271275</v>
      </c>
    </row>
    <row r="509" customFormat="false" ht="17.15" hidden="false" customHeight="false" outlineLevel="0" collapsed="false">
      <c r="A509" s="0" t="s">
        <v>671</v>
      </c>
      <c r="B509" s="0" t="s">
        <v>174</v>
      </c>
      <c r="D509" s="20" t="n">
        <f aca="false">gb_bw_26*hpx_bw*hbm_A_26/hbm_A_26/1000</f>
        <v>4.03</v>
      </c>
      <c r="E509" s="20" t="n">
        <f aca="false">gb_bw_27*hpx_bw*hbm_A_27/hbm_A_26/1000</f>
        <v>7.812</v>
      </c>
      <c r="F509" s="20" t="n">
        <f aca="false">gb_bw_28*hpx_bw*hbm_A_28/hbm_A_26/1000</f>
        <v>8.83872</v>
      </c>
      <c r="G509" s="20" t="n">
        <f aca="false">gb_bw_28*hpx_bw*hbm_A_29/hbm_A_26/1000</f>
        <v>8.396784</v>
      </c>
      <c r="H509" s="5" t="s">
        <v>672</v>
      </c>
    </row>
    <row r="510" customFormat="false" ht="17.15" hidden="false" customHeight="false" outlineLevel="0" collapsed="false">
      <c r="A510" s="0" t="s">
        <v>673</v>
      </c>
      <c r="B510" s="0" t="s">
        <v>174</v>
      </c>
      <c r="D510" s="20" t="n">
        <f aca="false">gb_rb_26*hpx_rb*hbm_A_26/hbm_A_26/1000</f>
        <v>4.8096</v>
      </c>
      <c r="E510" s="20" t="n">
        <f aca="false">gb_rb_27*hpx_rb*hbm_A_27/hbm_A_26/1000</f>
        <v>8.65728</v>
      </c>
      <c r="F510" s="20" t="n">
        <f aca="false">gb_rb_28*hpx_rb*hbm_A_28/hbm_A_26/1000</f>
        <v>9.523008</v>
      </c>
      <c r="G510" s="20" t="n">
        <f aca="false">gb_rb_28*hpx_rb*hbm_A_29/hbm_A_26/1000</f>
        <v>9.0468576</v>
      </c>
    </row>
    <row r="511" customFormat="false" ht="17.15" hidden="false" customHeight="false" outlineLevel="0" collapsed="false">
      <c r="A511" s="0" t="s">
        <v>674</v>
      </c>
      <c r="B511" s="0" t="s">
        <v>174</v>
      </c>
      <c r="D511" s="20" t="n">
        <f aca="false">gb_ru_26*hpx_ru*hbm_A_26/hbm_A_26/1000</f>
        <v>17.1008</v>
      </c>
      <c r="E511" s="20" t="n">
        <f aca="false">gb_ru_27*hpx_ru*hbm_A_27/hbm_A_26/1000</f>
        <v>30.78144</v>
      </c>
      <c r="F511" s="20" t="n">
        <f aca="false">gb_ru_28*hpx_ru*hbm_A_28/hbm_A_26/1000</f>
        <v>33.859584</v>
      </c>
      <c r="G511" s="20" t="n">
        <f aca="false">gb_ru_28*hpx_ru*hbm_A_29/hbm_A_26/1000</f>
        <v>32.1666048</v>
      </c>
    </row>
    <row r="512" customFormat="false" ht="17.15" hidden="false" customHeight="false" outlineLevel="0" collapsed="false">
      <c r="A512" s="0" t="s">
        <v>675</v>
      </c>
      <c r="B512" s="0" t="s">
        <v>174</v>
      </c>
      <c r="D512" s="20" t="n">
        <f aca="false">gb_hp_26*hpx_hp*hbm_A_26/hbm_A_26/1000</f>
        <v>2.1855</v>
      </c>
      <c r="E512" s="20" t="n">
        <f aca="false">gb_hp_27*hpx_hp*hbm_A_27/hbm_A_26/1000</f>
        <v>3.9339</v>
      </c>
      <c r="F512" s="20" t="n">
        <f aca="false">gb_hp_28*hpx_hp*hbm_A_28/hbm_A_26/1000</f>
        <v>4.32729</v>
      </c>
      <c r="G512" s="20" t="n">
        <f aca="false">gb_hp_28*hpx_hp*hbm_A_29/hbm_A_26/1000</f>
        <v>4.1109255</v>
      </c>
    </row>
    <row r="513" customFormat="false" ht="17.15" hidden="false" customHeight="false" outlineLevel="0" collapsed="false">
      <c r="A513" s="0" t="s">
        <v>676</v>
      </c>
      <c r="B513" s="0" t="s">
        <v>174</v>
      </c>
      <c r="D513" s="20" t="n">
        <f aca="false">1*c_nh*(pm_bw+pcpu_bw+plp_bw+k_tray*pres_bw)+D509+plp_bw*(cdx_A_26/cdx_A_26-1)</f>
        <v>11.8212823332139</v>
      </c>
      <c r="E513" s="20" t="n">
        <f aca="false">1*c_nh*(pm_bw+pcpu_bw+plp_bw+k_tray*pres_bw)+E509+plp_bw*(cdx_A_27/cdx_A_26-1)</f>
        <v>16.493918693312</v>
      </c>
      <c r="F513" s="20" t="n">
        <f aca="false">1*c_nh*(pm_bw+pcpu_bw+plp_bw+k_tray*pres_bw)+F509+plp_bw*(cdx_A_28/cdx_A_26-1)</f>
        <v>17.1392325750052</v>
      </c>
      <c r="G513" s="20" t="n">
        <f aca="false">1*c_nh*(pm_bw+pcpu_bw+plp_bw+k_tray*pres_bw)+G509+plp_bw*(cdx_A_29/cdx_A_26-1)</f>
        <v>16.3524568133889</v>
      </c>
      <c r="H513" s="5" t="s">
        <v>677</v>
      </c>
    </row>
    <row r="514" customFormat="false" ht="17.15" hidden="false" customHeight="false" outlineLevel="0" collapsed="false">
      <c r="A514" s="0" t="s">
        <v>678</v>
      </c>
      <c r="B514" s="0" t="s">
        <v>174</v>
      </c>
      <c r="D514" s="20" t="n">
        <f aca="false">1*c_nh*(pm_rb+pcpu_rb+plp_rb+k_tray*pres_rb)+D510+plp_rb*(cdx_A_26/cdx_A_26-1)</f>
        <v>16.7713963801093</v>
      </c>
      <c r="E514" s="20" t="n">
        <f aca="false">1*c_nh*(pm_rb+pcpu_rb+plp_rb+k_tray*pres_rb)+E510+plp_rb*(cdx_A_27/cdx_A_26-1)</f>
        <v>22.0860071969322</v>
      </c>
      <c r="F514" s="20" t="n">
        <f aca="false">1*c_nh*(pm_rb+pcpu_rb+plp_rb+k_tray*pres_rb)+F510+plp_rb*(cdx_A_28/cdx_A_26-1)</f>
        <v>22.3235367382399</v>
      </c>
      <c r="G514" s="20" t="n">
        <f aca="false">1*c_nh*(pm_rb+pcpu_rb+plp_rb+k_tray*pres_rb)+G510+plp_rb*(cdx_A_29/cdx_A_26-1)</f>
        <v>21.2794148339942</v>
      </c>
    </row>
    <row r="515" customFormat="false" ht="17.15" hidden="false" customHeight="false" outlineLevel="0" collapsed="false">
      <c r="A515" s="0" t="s">
        <v>679</v>
      </c>
      <c r="B515" s="0" t="s">
        <v>174</v>
      </c>
      <c r="D515" s="20" t="n">
        <f aca="false">1*c_nh*(pm_ru+pcpu_ru+plp_ru+k_tray*pres_ru)+D511+plp_ru*(cdx_A_26/cdx_A_26-1)</f>
        <v>32.3776438604396</v>
      </c>
      <c r="E515" s="20" t="n">
        <f aca="false">1*c_nh*(pm_ru+pcpu_ru+plp_ru+k_tray*pres_ru)+E511+plp_ru*(cdx_A_27/cdx_A_26-1)</f>
        <v>47.5252146772625</v>
      </c>
      <c r="F515" s="20" t="n">
        <f aca="false">1*c_nh*(pm_ru+pcpu_ru+plp_ru+k_tray*pres_ru)+F511+plp_ru*(cdx_A_28/cdx_A_26-1)</f>
        <v>49.9751602185702</v>
      </c>
      <c r="G515" s="20" t="n">
        <f aca="false">1*c_nh*(pm_ru+pcpu_ru+plp_ru+k_tray*pres_ru)+G511+plp_ru*(cdx_A_29/cdx_A_26-1)</f>
        <v>47.7142095143245</v>
      </c>
    </row>
    <row r="516" customFormat="false" ht="17.15" hidden="false" customHeight="false" outlineLevel="0" collapsed="false">
      <c r="A516" s="0" t="s">
        <v>680</v>
      </c>
      <c r="B516" s="0" t="s">
        <v>174</v>
      </c>
      <c r="D516" s="20" t="n">
        <f aca="false">1*c_nh*(pm_hp+pcpu_hp+plp_hp+k_tray*pres_hp)+D512+plp_hp*(cdx_A_26/cdx_A_26-1)</f>
        <v>7.15807122049545</v>
      </c>
      <c r="E516" s="20" t="n">
        <f aca="false">1*c_nh*(pm_hp+pcpu_hp+plp_hp+k_tray*pres_hp)+E512+plp_hp*(cdx_A_27/cdx_A_26-1)</f>
        <v>8.90647122049545</v>
      </c>
      <c r="F516" s="20" t="n">
        <f aca="false">1*c_nh*(pm_hp+pcpu_hp+plp_hp+k_tray*pres_hp)+F512+plp_hp*(cdx_A_28/cdx_A_26-1)</f>
        <v>9.29986122049545</v>
      </c>
      <c r="G516" s="20" t="n">
        <f aca="false">1*c_nh*(pm_hp+pcpu_hp+plp_hp+k_tray*pres_hp)+G512+plp_hp*(cdx_A_29/cdx_A_26-1)</f>
        <v>9.08349672049545</v>
      </c>
    </row>
    <row r="517" customFormat="false" ht="17.15" hidden="false" customHeight="false" outlineLevel="0" collapsed="false">
      <c r="A517" s="0" t="s">
        <v>681</v>
      </c>
      <c r="B517" s="0" t="s">
        <v>309</v>
      </c>
      <c r="D517" s="16" t="n">
        <f aca="false">D500*D505</f>
        <v>210.265388611651</v>
      </c>
      <c r="E517" s="16" t="n">
        <f aca="false">E500*E505</f>
        <v>97.7879411514472</v>
      </c>
      <c r="F517" s="16" t="n">
        <f aca="false">F500*F505</f>
        <v>20.4804480550745</v>
      </c>
      <c r="G517" s="16" t="n">
        <f aca="false">G500*G505</f>
        <v>10.1587562571685</v>
      </c>
    </row>
    <row r="518" customFormat="false" ht="17.15" hidden="false" customHeight="false" outlineLevel="0" collapsed="false">
      <c r="A518" s="0" t="s">
        <v>682</v>
      </c>
      <c r="B518" s="0" t="s">
        <v>309</v>
      </c>
      <c r="D518" s="16" t="n">
        <f aca="false">D501*D506</f>
        <v>101.627306400104</v>
      </c>
      <c r="E518" s="16" t="n">
        <f aca="false">E501*E506</f>
        <v>433.874021010427</v>
      </c>
      <c r="F518" s="16" t="n">
        <f aca="false">F501*F506</f>
        <v>434.562689988287</v>
      </c>
      <c r="G518" s="16" t="n">
        <f aca="false">G501*G506</f>
        <v>496.265789583488</v>
      </c>
    </row>
    <row r="519" customFormat="false" ht="17.15" hidden="false" customHeight="false" outlineLevel="0" collapsed="false">
      <c r="A519" s="0" t="s">
        <v>683</v>
      </c>
      <c r="B519" s="0" t="s">
        <v>309</v>
      </c>
      <c r="D519" s="16" t="n">
        <f aca="false">D502*D507</f>
        <v>0</v>
      </c>
      <c r="E519" s="16" t="n">
        <f aca="false">E502*E507</f>
        <v>24.7866271526094</v>
      </c>
      <c r="F519" s="16" t="n">
        <f aca="false">F502*F507</f>
        <v>167.273644663966</v>
      </c>
      <c r="G519" s="16" t="n">
        <f aca="false">G502*G507</f>
        <v>190.21084967152</v>
      </c>
    </row>
    <row r="520" customFormat="false" ht="17.15" hidden="false" customHeight="false" outlineLevel="0" collapsed="false">
      <c r="A520" s="0" t="s">
        <v>684</v>
      </c>
      <c r="B520" s="0" t="s">
        <v>309</v>
      </c>
      <c r="D520" s="16" t="n">
        <f aca="false">D503*D508</f>
        <v>12.4255638279615</v>
      </c>
      <c r="E520" s="16" t="n">
        <f aca="false">E503*E508</f>
        <v>0</v>
      </c>
      <c r="F520" s="16" t="n">
        <f aca="false">F503*F508</f>
        <v>0</v>
      </c>
      <c r="G520" s="16" t="n">
        <f aca="false">G503*G508</f>
        <v>0</v>
      </c>
    </row>
    <row r="521" customFormat="false" ht="17.15" hidden="false" customHeight="false" outlineLevel="0" collapsed="false">
      <c r="A521" s="5" t="s">
        <v>685</v>
      </c>
      <c r="B521" s="0" t="s">
        <v>309</v>
      </c>
      <c r="D521" s="16" t="n">
        <f aca="false">SUM(D517:D520)</f>
        <v>324.318258839716</v>
      </c>
      <c r="E521" s="16" t="n">
        <f aca="false">SUM(E517:E520)</f>
        <v>556.448589314484</v>
      </c>
      <c r="F521" s="16" t="n">
        <f aca="false">SUM(F517:F520)</f>
        <v>622.316782707328</v>
      </c>
      <c r="G521" s="16" t="n">
        <f aca="false">SUM(G517:G520)</f>
        <v>696.635395512176</v>
      </c>
    </row>
    <row r="522" customFormat="false" ht="15" hidden="false" customHeight="false" outlineLevel="0" collapsed="false">
      <c r="A522" s="5" t="s">
        <v>686</v>
      </c>
      <c r="B522" s="0" t="s">
        <v>309</v>
      </c>
      <c r="D522" s="16" t="n">
        <f aca="false">D500*D513+D501*D514+D502*D515+D503*D516</f>
        <v>79.4617574019149</v>
      </c>
      <c r="E522" s="16" t="n">
        <f aca="false">E500*E513+E501*E514+E502*E515+E503*E516</f>
        <v>172.669793081849</v>
      </c>
      <c r="F522" s="16" t="n">
        <f aca="false">F500*F513+F501*F514+F502*F515+F503*F516</f>
        <v>219.339940975085</v>
      </c>
      <c r="G522" s="16" t="n">
        <f aca="false">G500*G513+G501*G514+G502*G515+G503*G516</f>
        <v>236.19347177678</v>
      </c>
    </row>
    <row r="523" customFormat="false" ht="17.15" hidden="false" customHeight="false" outlineLevel="0" collapsed="false">
      <c r="A523" s="5" t="s">
        <v>687</v>
      </c>
      <c r="B523" s="0" t="s">
        <v>309</v>
      </c>
      <c r="D523" s="16" t="n">
        <f aca="false">D500*D509+D501*D510+D502*D511+D503*D512</f>
        <v>25.7052360623293</v>
      </c>
      <c r="E523" s="16" t="n">
        <f aca="false">E500*E509+E501*E510+E502*E511+E503*E512</f>
        <v>73.3805687896262</v>
      </c>
      <c r="F523" s="16" t="n">
        <f aca="false">F500*F509+F501*F510+F502*F511+F503*F512</f>
        <v>114.977539352433</v>
      </c>
      <c r="G523" s="16" t="n">
        <f aca="false">G500*G509+G501*G510+G502*G511+G503*G512</f>
        <v>123.352374939132</v>
      </c>
    </row>
    <row r="524" customFormat="false" ht="17.15" hidden="false" customHeight="false" outlineLevel="0" collapsed="false">
      <c r="A524" s="5" t="s">
        <v>688</v>
      </c>
      <c r="B524" s="0" t="s">
        <v>309</v>
      </c>
      <c r="D524" s="16" t="n">
        <f aca="false">0</f>
        <v>0</v>
      </c>
      <c r="E524" s="16" t="n">
        <f aca="false">cn_amt_lo</f>
        <v>10</v>
      </c>
      <c r="F524" s="16" t="n">
        <f aca="false">cn_amt_lo</f>
        <v>10</v>
      </c>
      <c r="G524" s="16" t="n">
        <f aca="false">cn_amt_lo</f>
        <v>10</v>
      </c>
    </row>
    <row r="525" customFormat="false" ht="15" hidden="false" customHeight="false" outlineLevel="0" collapsed="false">
      <c r="A525" s="5" t="s">
        <v>689</v>
      </c>
      <c r="B525" s="0" t="s">
        <v>309</v>
      </c>
      <c r="D525" s="16" t="n">
        <f aca="false">D524*D522/D521</f>
        <v>0</v>
      </c>
      <c r="E525" s="16" t="n">
        <f aca="false">E524*E522/E521</f>
        <v>3.10306821506314</v>
      </c>
      <c r="F525" s="16" t="n">
        <f aca="false">F524*F522/F521</f>
        <v>3.52457055747185</v>
      </c>
      <c r="G525" s="16" t="n">
        <f aca="false">G524*G522/G521</f>
        <v>3.39048910374597</v>
      </c>
    </row>
    <row r="526" customFormat="false" ht="17.15" hidden="false" customHeight="false" outlineLevel="0" collapsed="false">
      <c r="A526" s="0" t="s">
        <v>690</v>
      </c>
      <c r="B526" s="0" t="s">
        <v>309</v>
      </c>
      <c r="D526" s="16" t="n">
        <f aca="false">net_26*1*D499</f>
        <v>51.1385386602837</v>
      </c>
      <c r="E526" s="16" t="n">
        <f aca="false">net_27*1*E499</f>
        <v>101.465551321399</v>
      </c>
      <c r="F526" s="16" t="n">
        <f aca="false">net_28*um28_A*F499</f>
        <v>114.826126401851</v>
      </c>
      <c r="G526" s="16" t="n">
        <f aca="false">net_29*um29_A*G499</f>
        <v>130.302507852582</v>
      </c>
      <c r="H526" s="8" t="s">
        <v>691</v>
      </c>
    </row>
    <row r="527" customFormat="false" ht="17.15" hidden="false" customHeight="false" outlineLevel="0" collapsed="false">
      <c r="A527" s="5" t="s">
        <v>692</v>
      </c>
      <c r="B527" s="0" t="s">
        <v>309</v>
      </c>
      <c r="D527" s="16" t="n">
        <f aca="false">c_net*D526</f>
        <v>15.3415615980851</v>
      </c>
      <c r="E527" s="16" t="n">
        <f aca="false">c_net*E526</f>
        <v>30.4396653964198</v>
      </c>
      <c r="F527" s="16" t="n">
        <f aca="false">c_net*F526</f>
        <v>34.4478379205554</v>
      </c>
      <c r="G527" s="16" t="n">
        <f aca="false">c_net*G526</f>
        <v>39.0907523557747</v>
      </c>
    </row>
    <row r="528" customFormat="false" ht="17.15" hidden="false" customHeight="false" outlineLevel="0" collapsed="false">
      <c r="A528" s="0" t="s">
        <v>693</v>
      </c>
      <c r="B528" s="0" t="s">
        <v>309</v>
      </c>
      <c r="D528" s="16" t="n">
        <f aca="false">a27_edge</f>
        <v>29.1792025</v>
      </c>
      <c r="E528" s="16" t="n">
        <f aca="false">D528*(1+eg)</f>
        <v>31.5135387</v>
      </c>
      <c r="F528" s="16" t="n">
        <f aca="false">E528*(1+eg)</f>
        <v>34.034621796</v>
      </c>
      <c r="G528" s="16" t="n">
        <f aca="false">F528*(1+eg)</f>
        <v>36.75739153968</v>
      </c>
    </row>
    <row r="529" customFormat="false" ht="17.15" hidden="false" customHeight="false" outlineLevel="0" collapsed="false">
      <c r="A529" s="0" t="s">
        <v>694</v>
      </c>
      <c r="B529" s="0" t="s">
        <v>309</v>
      </c>
      <c r="D529" s="16" t="n">
        <f aca="false">(1-gm_edge)*D528</f>
        <v>11.671681</v>
      </c>
      <c r="E529" s="16" t="n">
        <f aca="false">(1-gm_edge)*E528</f>
        <v>12.60541548</v>
      </c>
      <c r="F529" s="16" t="n">
        <f aca="false">(1-gm_edge)*F528</f>
        <v>13.6138487184</v>
      </c>
      <c r="G529" s="16" t="n">
        <f aca="false">(1-gm_edge)*G528</f>
        <v>14.702956615872</v>
      </c>
    </row>
    <row r="530" customFormat="false" ht="15" hidden="false" customHeight="false" outlineLevel="0" collapsed="false">
      <c r="A530" s="5" t="s">
        <v>695</v>
      </c>
      <c r="B530" s="0" t="s">
        <v>309</v>
      </c>
      <c r="D530" s="16" t="n">
        <f aca="false">D521+D524+D526+D528</f>
        <v>404.636</v>
      </c>
      <c r="E530" s="16" t="n">
        <f aca="false">E521+E524+E526+E528</f>
        <v>699.427679335883</v>
      </c>
      <c r="F530" s="16" t="n">
        <f aca="false">F521+F524+F526+F528</f>
        <v>781.177530905179</v>
      </c>
      <c r="G530" s="16" t="n">
        <f aca="false">G521+G524+G526+G528</f>
        <v>873.695294904439</v>
      </c>
    </row>
    <row r="531" customFormat="false" ht="15" hidden="false" customHeight="false" outlineLevel="0" collapsed="false">
      <c r="A531" s="5" t="s">
        <v>696</v>
      </c>
      <c r="B531" s="0" t="s">
        <v>309</v>
      </c>
      <c r="D531" s="16" t="n">
        <f aca="false">D522+D525+D527+D529</f>
        <v>106.475</v>
      </c>
      <c r="E531" s="16" t="n">
        <f aca="false">E522+E525+E527+E529</f>
        <v>218.817942173332</v>
      </c>
      <c r="F531" s="16" t="n">
        <f aca="false">F522+F525+F527+F529</f>
        <v>270.926198171513</v>
      </c>
      <c r="G531" s="16" t="n">
        <f aca="false">G522+G525+G527+G529</f>
        <v>293.377669852172</v>
      </c>
    </row>
    <row r="532" customFormat="false" ht="17.15" hidden="false" customHeight="false" outlineLevel="0" collapsed="false">
      <c r="A532" s="5" t="s">
        <v>697</v>
      </c>
      <c r="B532" s="0" t="s">
        <v>41</v>
      </c>
      <c r="D532" s="17" t="n">
        <f aca="false">1-D531/D530</f>
        <v>0.736862266333198</v>
      </c>
      <c r="E532" s="17" t="n">
        <f aca="false">1-E531/E530</f>
        <v>0.687147150966197</v>
      </c>
      <c r="F532" s="17" t="n">
        <f aca="false">1-F531/F530</f>
        <v>0.653182295377108</v>
      </c>
      <c r="G532" s="17" t="n">
        <f aca="false">1-G531/G530</f>
        <v>0.664210541634815</v>
      </c>
      <c r="H532" s="8" t="s">
        <v>698</v>
      </c>
    </row>
    <row r="533" customFormat="false" ht="17.15" hidden="false" customHeight="false" outlineLevel="0" collapsed="false">
      <c r="A533" s="0" t="s">
        <v>699</v>
      </c>
      <c r="B533" s="0" t="s">
        <v>41</v>
      </c>
      <c r="D533" s="17" t="n">
        <f aca="false">D523/D530</f>
        <v>0.0635268143771917</v>
      </c>
      <c r="E533" s="17" t="n">
        <f aca="false">E523/E530</f>
        <v>0.104915162721759</v>
      </c>
      <c r="F533" s="17" t="n">
        <f aca="false">F523/F530</f>
        <v>0.147184903307708</v>
      </c>
      <c r="G533" s="17" t="n">
        <f aca="false">G523/G530</f>
        <v>0.141184662042416</v>
      </c>
    </row>
    <row r="534" customFormat="false" ht="17.15" hidden="false" customHeight="false" outlineLevel="0" collapsed="false">
      <c r="A534" s="1" t="s">
        <v>700</v>
      </c>
    </row>
    <row r="535" customFormat="false" ht="15" hidden="false" customHeight="false" outlineLevel="0" collapsed="false">
      <c r="A535" s="5" t="s">
        <v>527</v>
      </c>
      <c r="B535" s="0" t="s">
        <v>309</v>
      </c>
      <c r="C535" s="16" t="n">
        <f aca="false">a26_rev</f>
        <v>215.938</v>
      </c>
      <c r="D535" s="16" t="n">
        <f aca="false">a27_rev</f>
        <v>404.636</v>
      </c>
      <c r="E535" s="16" t="n">
        <f aca="false">E530</f>
        <v>699.427679335883</v>
      </c>
      <c r="F535" s="16" t="n">
        <f aca="false">F530</f>
        <v>781.177530905179</v>
      </c>
      <c r="G535" s="16" t="n">
        <f aca="false">G530</f>
        <v>873.695294904439</v>
      </c>
    </row>
    <row r="536" customFormat="false" ht="17.15" hidden="false" customHeight="false" outlineLevel="0" collapsed="false">
      <c r="A536" s="0" t="s">
        <v>701</v>
      </c>
      <c r="B536" s="0" t="s">
        <v>309</v>
      </c>
      <c r="C536" s="16" t="n">
        <f aca="false">a26_dc</f>
        <v>193.7</v>
      </c>
      <c r="D536" s="16" t="n">
        <f aca="false">a27_dc</f>
        <v>375.4567975</v>
      </c>
      <c r="E536" s="16" t="n">
        <f aca="false">E521+E524+E526</f>
        <v>667.914140635883</v>
      </c>
      <c r="F536" s="16" t="n">
        <f aca="false">F521+F524+F526</f>
        <v>747.142909109179</v>
      </c>
      <c r="G536" s="16" t="n">
        <f aca="false">G521+G524+G526</f>
        <v>836.937903364759</v>
      </c>
    </row>
    <row r="537" customFormat="false" ht="15" hidden="false" customHeight="false" outlineLevel="0" collapsed="false">
      <c r="A537" s="0" t="s">
        <v>647</v>
      </c>
      <c r="B537" s="0" t="s">
        <v>309</v>
      </c>
      <c r="C537" s="16" t="n">
        <f aca="false">a26_edge</f>
        <v>22.238</v>
      </c>
      <c r="D537" s="16" t="n">
        <f aca="false">a27_edge</f>
        <v>29.1792025</v>
      </c>
      <c r="E537" s="16" t="n">
        <f aca="false">E528</f>
        <v>31.5135387</v>
      </c>
      <c r="F537" s="16" t="n">
        <f aca="false">F528</f>
        <v>34.034621796</v>
      </c>
      <c r="G537" s="16" t="n">
        <f aca="false">G528</f>
        <v>36.75739153968</v>
      </c>
    </row>
    <row r="538" customFormat="false" ht="15" hidden="false" customHeight="false" outlineLevel="0" collapsed="false">
      <c r="A538" s="5" t="s">
        <v>702</v>
      </c>
      <c r="B538" s="0" t="s">
        <v>41</v>
      </c>
      <c r="D538" s="17" t="n">
        <f aca="false">D535/C535-1</f>
        <v>0.873852679935908</v>
      </c>
      <c r="E538" s="17" t="n">
        <f aca="false">E535/D535-1</f>
        <v>0.728535472216716</v>
      </c>
      <c r="F538" s="17" t="n">
        <f aca="false">F535/E535-1</f>
        <v>0.116881064310921</v>
      </c>
      <c r="G538" s="17" t="n">
        <f aca="false">G535/F535-1</f>
        <v>0.118433723883554</v>
      </c>
    </row>
    <row r="539" customFormat="false" ht="15" hidden="false" customHeight="false" outlineLevel="0" collapsed="false">
      <c r="A539" s="5" t="s">
        <v>703</v>
      </c>
      <c r="B539" s="0" t="s">
        <v>309</v>
      </c>
      <c r="C539" s="16" t="n">
        <f aca="false">a26_gp</f>
        <v>153.463</v>
      </c>
      <c r="D539" s="16" t="n">
        <f aca="false">a27_gp</f>
        <v>298.161</v>
      </c>
      <c r="E539" s="16" t="n">
        <f aca="false">E535-E531</f>
        <v>480.609737162551</v>
      </c>
      <c r="F539" s="16" t="n">
        <f aca="false">F535-F531</f>
        <v>510.251332733666</v>
      </c>
      <c r="G539" s="16" t="n">
        <f aca="false">G535-G531</f>
        <v>580.317625052266</v>
      </c>
    </row>
    <row r="540" customFormat="false" ht="15" hidden="false" customHeight="false" outlineLevel="0" collapsed="false">
      <c r="A540" s="5" t="s">
        <v>543</v>
      </c>
      <c r="B540" s="0" t="s">
        <v>41</v>
      </c>
      <c r="C540" s="17" t="n">
        <f aca="false">C539/C535</f>
        <v>0.710680843575471</v>
      </c>
      <c r="D540" s="17" t="n">
        <f aca="false">D539/D535</f>
        <v>0.736862266333198</v>
      </c>
      <c r="E540" s="17" t="n">
        <f aca="false">E539/E535</f>
        <v>0.687147150966197</v>
      </c>
      <c r="F540" s="17" t="n">
        <f aca="false">F539/F535</f>
        <v>0.653182295377108</v>
      </c>
      <c r="G540" s="17" t="n">
        <f aca="false">G539/G535</f>
        <v>0.664210541634815</v>
      </c>
    </row>
    <row r="541" customFormat="false" ht="17.15" hidden="false" customHeight="false" outlineLevel="0" collapsed="false">
      <c r="A541" s="5" t="s">
        <v>704</v>
      </c>
      <c r="B541" s="0" t="s">
        <v>309</v>
      </c>
      <c r="C541" s="16" t="n">
        <f aca="false">a26_opx</f>
        <v>23.076</v>
      </c>
      <c r="D541" s="16" t="n">
        <f aca="false">a27_opx</f>
        <v>35.165</v>
      </c>
      <c r="E541" s="16" t="n">
        <f aca="false">D541*(1+MAX(g_opx_min,phi*E538))</f>
        <v>50.5363699283005</v>
      </c>
      <c r="F541" s="16" t="n">
        <f aca="false">E541*(1+MAX(g_opx_min,phi*F538))</f>
        <v>54.0804167504786</v>
      </c>
      <c r="G541" s="16" t="n">
        <f aca="false">F541*(1+MAX(g_opx_min,phi*G538))</f>
        <v>57.9233838374388</v>
      </c>
      <c r="H541" s="5" t="s">
        <v>705</v>
      </c>
    </row>
    <row r="542" customFormat="false" ht="15" hidden="false" customHeight="false" outlineLevel="0" collapsed="false">
      <c r="A542" s="5" t="s">
        <v>706</v>
      </c>
      <c r="B542" s="0" t="s">
        <v>309</v>
      </c>
      <c r="C542" s="16" t="n">
        <f aca="false">C541</f>
        <v>23.076</v>
      </c>
      <c r="D542" s="16" t="n">
        <f aca="false">D541</f>
        <v>35.165</v>
      </c>
      <c r="E542" s="16" t="n">
        <f aca="false">E541+0*E535</f>
        <v>50.5363699283005</v>
      </c>
      <c r="F542" s="16" t="n">
        <f aca="false">F541+0*F535</f>
        <v>54.0804167504786</v>
      </c>
      <c r="G542" s="16" t="n">
        <f aca="false">G541+0*G535</f>
        <v>57.9233838374388</v>
      </c>
    </row>
    <row r="543" customFormat="false" ht="15" hidden="false" customHeight="false" outlineLevel="0" collapsed="false">
      <c r="A543" s="5" t="s">
        <v>546</v>
      </c>
      <c r="B543" s="0" t="s">
        <v>309</v>
      </c>
      <c r="C543" s="16" t="n">
        <f aca="false">C539-C542</f>
        <v>130.387</v>
      </c>
      <c r="D543" s="16" t="n">
        <f aca="false">D539-D542</f>
        <v>262.996</v>
      </c>
      <c r="E543" s="16" t="n">
        <f aca="false">E539-E542</f>
        <v>430.07336723425</v>
      </c>
      <c r="F543" s="16" t="n">
        <f aca="false">F539-F542</f>
        <v>456.170915983187</v>
      </c>
      <c r="G543" s="16" t="n">
        <f aca="false">G539-G542</f>
        <v>522.394241214828</v>
      </c>
    </row>
    <row r="544" customFormat="false" ht="15" hidden="false" customHeight="false" outlineLevel="0" collapsed="false">
      <c r="A544" s="5" t="s">
        <v>648</v>
      </c>
      <c r="B544" s="0" t="s">
        <v>41</v>
      </c>
      <c r="C544" s="17" t="n">
        <f aca="false">C543/C535</f>
        <v>0.603816836314127</v>
      </c>
      <c r="D544" s="17" t="n">
        <f aca="false">D543/D535</f>
        <v>0.649956998388675</v>
      </c>
      <c r="E544" s="17" t="n">
        <f aca="false">E543/E535</f>
        <v>0.614893261934688</v>
      </c>
      <c r="F544" s="17" t="n">
        <f aca="false">F543/F535</f>
        <v>0.583952940190952</v>
      </c>
      <c r="G544" s="17" t="n">
        <f aca="false">G543/G535</f>
        <v>0.597913533770335</v>
      </c>
    </row>
    <row r="545" customFormat="false" ht="15" hidden="false" customHeight="false" outlineLevel="0" collapsed="false">
      <c r="A545" s="5" t="s">
        <v>551</v>
      </c>
      <c r="B545" s="0" t="s">
        <v>309</v>
      </c>
      <c r="C545" s="20" t="n">
        <f aca="false">a26_oth</f>
        <v>2.145</v>
      </c>
      <c r="D545" s="20" t="n">
        <f aca="false">a27_oth</f>
        <v>1.133</v>
      </c>
      <c r="E545" s="20" t="n">
        <f aca="false">oth_f</f>
        <v>1.2</v>
      </c>
      <c r="F545" s="20" t="n">
        <f aca="false">oth_f</f>
        <v>1.2</v>
      </c>
      <c r="G545" s="20" t="n">
        <f aca="false">oth_f</f>
        <v>1.2</v>
      </c>
    </row>
    <row r="546" customFormat="false" ht="15" hidden="false" customHeight="false" outlineLevel="0" collapsed="false">
      <c r="A546" s="5" t="s">
        <v>560</v>
      </c>
      <c r="B546" s="0" t="s">
        <v>41</v>
      </c>
      <c r="C546" s="17" t="n">
        <f aca="false">1-a26_ni/(a26_oi+a26_oth)</f>
        <v>0.151187565812244</v>
      </c>
      <c r="D546" s="17" t="n">
        <f aca="false">a27_etr</f>
        <v>0.167980835756566</v>
      </c>
      <c r="E546" s="17" t="n">
        <f aca="false">tx_f</f>
        <v>0.17</v>
      </c>
      <c r="F546" s="17" t="n">
        <f aca="false">tx_f</f>
        <v>0.17</v>
      </c>
      <c r="G546" s="17" t="n">
        <f aca="false">tx_f</f>
        <v>0.17</v>
      </c>
    </row>
    <row r="547" customFormat="false" ht="15" hidden="false" customHeight="false" outlineLevel="0" collapsed="false">
      <c r="A547" s="5" t="s">
        <v>649</v>
      </c>
      <c r="B547" s="0" t="s">
        <v>309</v>
      </c>
      <c r="C547" s="16" t="n">
        <f aca="false">a26_ni</f>
        <v>112.494809527772</v>
      </c>
      <c r="D547" s="16" t="n">
        <f aca="false">a27_ni</f>
        <v>219.760389832454</v>
      </c>
      <c r="E547" s="16" t="n">
        <f aca="false">(E543+E545)*(1-E546)</f>
        <v>357.956894804428</v>
      </c>
      <c r="F547" s="16" t="n">
        <f aca="false">(F543+F545)*(1-F546)</f>
        <v>379.617860266046</v>
      </c>
      <c r="G547" s="16" t="n">
        <f aca="false">(G543+G545)*(1-G546)</f>
        <v>434.583220208307</v>
      </c>
    </row>
    <row r="548" customFormat="false" ht="15" hidden="false" customHeight="false" outlineLevel="0" collapsed="false">
      <c r="A548" s="5" t="s">
        <v>707</v>
      </c>
      <c r="B548" s="5" t="s">
        <v>708</v>
      </c>
      <c r="C548" s="18" t="n">
        <f aca="false">a26_sh</f>
        <v>24.5145</v>
      </c>
      <c r="D548" s="18" t="n">
        <f aca="false">a27_sh</f>
        <v>24.25691339125</v>
      </c>
      <c r="E548" s="18" t="n">
        <f aca="false">D548*(1+sh_g)</f>
        <v>23.965830430555</v>
      </c>
      <c r="F548" s="18" t="n">
        <f aca="false">E548*(1+sh_g)</f>
        <v>23.6782404653883</v>
      </c>
      <c r="G548" s="18" t="n">
        <f aca="false">F548*(1+sh_g)</f>
        <v>23.3941015798037</v>
      </c>
    </row>
    <row r="549" customFormat="false" ht="17.15" hidden="false" customHeight="false" outlineLevel="0" collapsed="false">
      <c r="A549" s="0" t="s">
        <v>650</v>
      </c>
      <c r="B549" s="0" t="s">
        <v>420</v>
      </c>
      <c r="C549" s="20" t="n">
        <f aca="false">C547/C548</f>
        <v>4.58890899376988</v>
      </c>
      <c r="D549" s="20" t="n">
        <f aca="false">D547/D548</f>
        <v>9.05970130196888</v>
      </c>
      <c r="E549" s="20" t="n">
        <f aca="false">E547/E548</f>
        <v>14.9361356720631</v>
      </c>
      <c r="F549" s="20" t="n">
        <f aca="false">F547/F548</f>
        <v>16.0323509181754</v>
      </c>
      <c r="G549" s="20" t="n">
        <f aca="false">G547/G548</f>
        <v>18.576615080764</v>
      </c>
    </row>
    <row r="550" customFormat="false" ht="17.15" hidden="false" customHeight="false" outlineLevel="0" collapsed="false">
      <c r="A550" s="0" t="s">
        <v>709</v>
      </c>
      <c r="B550" s="0" t="s">
        <v>41</v>
      </c>
      <c r="D550" s="17" t="n">
        <f aca="false">D549/C549-1</f>
        <v>0.974260399207908</v>
      </c>
      <c r="E550" s="17" t="n">
        <f aca="false">E549/D549-1</f>
        <v>0.648634449881601</v>
      </c>
      <c r="F550" s="17" t="n">
        <f aca="false">F549/E549-1</f>
        <v>0.0733934981698547</v>
      </c>
      <c r="G550" s="17" t="n">
        <f aca="false">G549/F549-1</f>
        <v>0.158695638311181</v>
      </c>
    </row>
    <row r="553" customFormat="false" ht="17.15" hidden="false" customHeight="false" outlineLevel="0" collapsed="false">
      <c r="A553" s="4" t="s">
        <v>1099</v>
      </c>
    </row>
    <row r="554" customFormat="false" ht="15" hidden="false" customHeight="false" outlineLevel="0" collapsed="false">
      <c r="A554" s="6" t="s">
        <v>19</v>
      </c>
      <c r="B554" s="6" t="s">
        <v>20</v>
      </c>
      <c r="C554" s="12" t="s">
        <v>639</v>
      </c>
      <c r="D554" s="12" t="s">
        <v>640</v>
      </c>
      <c r="E554" s="12" t="s">
        <v>641</v>
      </c>
      <c r="F554" s="12" t="s">
        <v>642</v>
      </c>
      <c r="G554" s="12" t="s">
        <v>643</v>
      </c>
      <c r="H554" s="6" t="s">
        <v>592</v>
      </c>
    </row>
    <row r="555" customFormat="false" ht="17.15" hidden="false" customHeight="false" outlineLevel="0" collapsed="false">
      <c r="A555" s="1" t="s">
        <v>658</v>
      </c>
    </row>
    <row r="556" customFormat="false" ht="17.15" hidden="false" customHeight="false" outlineLevel="0" collapsed="false">
      <c r="A556" s="0" t="s">
        <v>659</v>
      </c>
      <c r="B556" s="0" t="s">
        <v>126</v>
      </c>
      <c r="D556" s="18" t="n">
        <f aca="false">k_rec</f>
        <v>0.828370921864097</v>
      </c>
      <c r="E556" s="18" t="n">
        <f aca="false">k_rec*1</f>
        <v>0.828370921864097</v>
      </c>
      <c r="F556" s="18" t="n">
        <f aca="false">k_rec*1</f>
        <v>0.828370921864097</v>
      </c>
      <c r="G556" s="18" t="n">
        <f aca="false">k_rec*1</f>
        <v>0.828370921864097</v>
      </c>
    </row>
    <row r="557" customFormat="false" ht="17.15" hidden="false" customHeight="false" outlineLevel="0" collapsed="false">
      <c r="A557" s="0" t="s">
        <v>660</v>
      </c>
      <c r="B557" s="5" t="s">
        <v>30</v>
      </c>
      <c r="D557" s="20" t="n">
        <f aca="false">(u_bw_26)*D556</f>
        <v>4.47320297806612</v>
      </c>
      <c r="E557" s="20" t="n">
        <f aca="false">(u_bw_27)*E556</f>
        <v>1.98809021247383</v>
      </c>
      <c r="F557" s="20" t="n">
        <f aca="false">(u_bw_28*um28_A)*F556</f>
        <v>0.414185460932049</v>
      </c>
      <c r="G557" s="20" t="n">
        <f aca="false">(u_bw_28*(1+g29_bw)*um29_A)*G556</f>
        <v>0.207092730466024</v>
      </c>
    </row>
    <row r="558" customFormat="false" ht="17.15" hidden="false" customHeight="false" outlineLevel="0" collapsed="false">
      <c r="A558" s="0" t="s">
        <v>661</v>
      </c>
      <c r="B558" s="5" t="s">
        <v>30</v>
      </c>
      <c r="D558" s="20" t="n">
        <f aca="false">(u_rb_26)*D556</f>
        <v>1.40823056716896</v>
      </c>
      <c r="E558" s="20" t="n">
        <f aca="false">(u_rb_27)*E556</f>
        <v>5.79859645304868</v>
      </c>
      <c r="F558" s="20" t="n">
        <f aca="false">(u_rb_28*um28_A)*F556</f>
        <v>5.79859645304868</v>
      </c>
      <c r="G558" s="20" t="n">
        <f aca="false">(u_rb_28*(1+g29_rb)*um29_A)*G556</f>
        <v>6.66838592100598</v>
      </c>
    </row>
    <row r="559" customFormat="false" ht="17.15" hidden="false" customHeight="false" outlineLevel="0" collapsed="false">
      <c r="A559" s="0" t="s">
        <v>662</v>
      </c>
      <c r="B559" s="5" t="s">
        <v>30</v>
      </c>
      <c r="D559" s="20" t="n">
        <f aca="false">(u_ru_26)*D556</f>
        <v>0</v>
      </c>
      <c r="E559" s="20" t="n">
        <f aca="false">(u_ru_27)*E556</f>
        <v>0.248511276559229</v>
      </c>
      <c r="F559" s="20" t="n">
        <f aca="false">(u_ru_28*um28_A)*F556</f>
        <v>1.65674184372819</v>
      </c>
      <c r="G559" s="20" t="n">
        <f aca="false">(u_ru_28*(1+g29_ru)*um29_A)*G556</f>
        <v>1.90525312028742</v>
      </c>
    </row>
    <row r="560" customFormat="false" ht="17.15" hidden="false" customHeight="false" outlineLevel="0" collapsed="false">
      <c r="A560" s="0" t="s">
        <v>663</v>
      </c>
      <c r="B560" s="5" t="s">
        <v>30</v>
      </c>
      <c r="D560" s="20" t="n">
        <f aca="false">(u_hp_26)*D556</f>
        <v>0.414185460932049</v>
      </c>
      <c r="E560" s="20" t="n">
        <f aca="false">(u_hp_27)*E556</f>
        <v>0</v>
      </c>
      <c r="F560" s="20" t="n">
        <f aca="false">(u_hp_28*um28_A)*F556</f>
        <v>0</v>
      </c>
      <c r="G560" s="20" t="n">
        <f aca="false">(u_hp_28*(1+g29_hp)*um29_A)*G556</f>
        <v>0</v>
      </c>
    </row>
    <row r="561" customFormat="false" ht="17.15" hidden="false" customHeight="false" outlineLevel="0" collapsed="false">
      <c r="A561" s="0" t="s">
        <v>664</v>
      </c>
      <c r="B561" s="5" t="s">
        <v>30</v>
      </c>
      <c r="D561" s="20" t="n">
        <f aca="false">SUM(D557:D560)</f>
        <v>6.29561900616714</v>
      </c>
      <c r="E561" s="20" t="n">
        <f aca="false">SUM(E557:E560)</f>
        <v>8.03519794208174</v>
      </c>
      <c r="F561" s="20" t="n">
        <f aca="false">SUM(F557:F560)</f>
        <v>7.86952375770892</v>
      </c>
      <c r="G561" s="20" t="n">
        <f aca="false">SUM(G557:G560)</f>
        <v>8.78073177175943</v>
      </c>
      <c r="H561" s="8" t="s">
        <v>665</v>
      </c>
    </row>
    <row r="562" customFormat="false" ht="17.15" hidden="false" customHeight="false" outlineLevel="0" collapsed="false">
      <c r="A562" s="0" t="s">
        <v>666</v>
      </c>
      <c r="B562" s="0" t="s">
        <v>174</v>
      </c>
      <c r="D562" s="20" t="n">
        <f aca="false">1*(pm_bw+pcpu_bw+plp_bw+k_tray*pres_bw)+(1-abs_mem)*(gb_bw_26*hpx_bw*(hbm_A_26/hbm_A_26-1)/1000+plp_bw*(cdx_A_26/cdx_A_26-1))</f>
        <v>47.005555</v>
      </c>
      <c r="E562" s="20" t="n">
        <f aca="false">1*(pm_bw+pcpu_bw+plp_bw+k_tray*pres_bw)+(1-abs_mem)*(gb_bw_27*hpx_bw*(hbm_A_27/hbm_A_26-1)/1000+plp_bw*(cdx_A_27/cdx_A_26-1))</f>
        <v>49.1868731800491</v>
      </c>
      <c r="F562" s="20" t="n">
        <f aca="false">1*(pm_bw+pcpu_bw+plp_bw+k_tray*pres_bw)+(1-abs_mem)*(gb_bw_28*hpx_bw*(hbm_A_28/hbm_A_26-1)/1000+plp_bw*(cdx_A_28/cdx_A_26-1))</f>
        <v>49.4475301208957</v>
      </c>
      <c r="G562" s="20" t="n">
        <f aca="false">1*(pm_bw+pcpu_bw+plp_bw+k_tray*pres_bw)+(1-abs_mem)*(gb_bw_28*hpx_bw*(hbm_A_29/hbm_A_26-1)/1000+plp_bw*(cdx_A_29/cdx_A_26-1))</f>
        <v>49.0541422400875</v>
      </c>
      <c r="H562" s="5" t="s">
        <v>667</v>
      </c>
    </row>
    <row r="563" customFormat="false" ht="17.15" hidden="false" customHeight="false" outlineLevel="0" collapsed="false">
      <c r="A563" s="0" t="s">
        <v>668</v>
      </c>
      <c r="B563" s="0" t="s">
        <v>174</v>
      </c>
      <c r="D563" s="20" t="n">
        <f aca="false">1*(pm_rb+pcpu_rb+plp_rb+k_tray*pres_rb)+(1-abs_mem)*(gb_rb_26*hpx_rb*(hbm_A_26/hbm_A_26-1)/1000+plp_rb*(cdx_A_26/cdx_A_26-1))</f>
        <v>72.166667</v>
      </c>
      <c r="E563" s="20" t="n">
        <f aca="false">1*(pm_rb+pcpu_rb+plp_rb+k_tray*pres_rb)+(1-abs_mem)*(gb_rb_27*hpx_rb*(hbm_A_27/hbm_A_26-1)/1000+plp_rb*(cdx_A_27/cdx_A_26-1))</f>
        <v>74.8239724084115</v>
      </c>
      <c r="F563" s="20" t="n">
        <f aca="false">1*(pm_rb+pcpu_rb+plp_rb+k_tray*pres_rb)+(1-abs_mem)*(gb_rb_28*hpx_rb*(hbm_A_28/hbm_A_26-1)/1000+plp_rb*(cdx_A_28/cdx_A_26-1))</f>
        <v>74.9427371790653</v>
      </c>
      <c r="G563" s="20" t="n">
        <f aca="false">1*(pm_rb+pcpu_rb+plp_rb+k_tray*pres_rb)+(1-abs_mem)*(gb_rb_28*hpx_rb*(hbm_A_29/hbm_A_26-1)/1000+plp_rb*(cdx_A_29/cdx_A_26-1))</f>
        <v>74.4206762269425</v>
      </c>
    </row>
    <row r="564" customFormat="false" ht="17.15" hidden="false" customHeight="false" outlineLevel="0" collapsed="false">
      <c r="A564" s="0" t="s">
        <v>669</v>
      </c>
      <c r="B564" s="0" t="s">
        <v>174</v>
      </c>
      <c r="D564" s="20" t="n">
        <f aca="false">1*(pm_ru+pcpu_ru+plp_ru+k_tray*pres_ru)+(1-abs_mem)*(gb_ru_26*hpx_ru*(hbm_A_26/hbm_A_26-1)/1000+plp_ru*(cdx_A_26/cdx_A_26-1))</f>
        <v>92.166667</v>
      </c>
      <c r="E564" s="20" t="n">
        <f aca="false">1*(pm_ru+pcpu_ru+plp_ru+k_tray*pres_ru)+(1-abs_mem)*(gb_ru_27*hpx_ru*(hbm_A_27/hbm_A_26-1)/1000+plp_ru*(cdx_A_27/cdx_A_26-1))</f>
        <v>99.7404524084115</v>
      </c>
      <c r="F564" s="20" t="n">
        <f aca="false">1*(pm_ru+pcpu_ru+plp_ru+k_tray*pres_ru)+(1-abs_mem)*(gb_ru_28*hpx_ru*(hbm_A_28/hbm_A_26-1)/1000+plp_ru*(cdx_A_28/cdx_A_26-1))</f>
        <v>100.965425179065</v>
      </c>
      <c r="G564" s="20" t="n">
        <f aca="false">1*(pm_ru+pcpu_ru+plp_ru+k_tray*pres_ru)+(1-abs_mem)*(gb_ru_28*hpx_ru*(hbm_A_29/hbm_A_26-1)/1000+plp_ru*(cdx_A_29/cdx_A_26-1))</f>
        <v>99.8349498269425</v>
      </c>
    </row>
    <row r="565" customFormat="false" ht="17.15" hidden="false" customHeight="false" outlineLevel="0" collapsed="false">
      <c r="A565" s="0" t="s">
        <v>670</v>
      </c>
      <c r="B565" s="0" t="s">
        <v>174</v>
      </c>
      <c r="D565" s="20" t="n">
        <f aca="false">1*(pm_hp+pcpu_hp+plp_hp+k_tray*pres_hp)+(1-abs_mem)*(gb_hp_26*hpx_hp*(hbm_A_26/hbm_A_26-1)/1000+plp_hp*(cdx_A_26/cdx_A_26-1))</f>
        <v>30</v>
      </c>
      <c r="E565" s="20" t="n">
        <f aca="false">1*(pm_hp+pcpu_hp+plp_hp+k_tray*pres_hp)+(1-abs_mem)*(gb_hp_27*hpx_hp*(hbm_A_27/hbm_A_26-1)/1000+plp_hp*(cdx_A_27/cdx_A_26-1))</f>
        <v>30.8742</v>
      </c>
      <c r="F565" s="20" t="n">
        <f aca="false">1*(pm_hp+pcpu_hp+plp_hp+k_tray*pres_hp)+(1-abs_mem)*(gb_hp_28*hpx_hp*(hbm_A_28/hbm_A_26-1)/1000+plp_hp*(cdx_A_28/cdx_A_26-1))</f>
        <v>31.070895</v>
      </c>
      <c r="G565" s="20" t="n">
        <f aca="false">1*(pm_hp+pcpu_hp+plp_hp+k_tray*pres_hp)+(1-abs_mem)*(gb_hp_28*hpx_hp*(hbm_A_29/hbm_A_26-1)/1000+plp_hp*(cdx_A_29/cdx_A_26-1))</f>
        <v>30.96271275</v>
      </c>
    </row>
    <row r="566" customFormat="false" ht="17.15" hidden="false" customHeight="false" outlineLevel="0" collapsed="false">
      <c r="A566" s="0" t="s">
        <v>671</v>
      </c>
      <c r="B566" s="0" t="s">
        <v>174</v>
      </c>
      <c r="D566" s="20" t="n">
        <f aca="false">gb_bw_26*hpx_bw*hbm_A_26/hbm_A_26/1000</f>
        <v>4.03</v>
      </c>
      <c r="E566" s="20" t="n">
        <f aca="false">gb_bw_27*hpx_bw*hbm_A_27/hbm_A_26/1000</f>
        <v>7.812</v>
      </c>
      <c r="F566" s="20" t="n">
        <f aca="false">gb_bw_28*hpx_bw*hbm_A_28/hbm_A_26/1000</f>
        <v>8.83872</v>
      </c>
      <c r="G566" s="20" t="n">
        <f aca="false">gb_bw_28*hpx_bw*hbm_A_29/hbm_A_26/1000</f>
        <v>8.396784</v>
      </c>
      <c r="H566" s="5" t="s">
        <v>672</v>
      </c>
    </row>
    <row r="567" customFormat="false" ht="17.15" hidden="false" customHeight="false" outlineLevel="0" collapsed="false">
      <c r="A567" s="0" t="s">
        <v>673</v>
      </c>
      <c r="B567" s="0" t="s">
        <v>174</v>
      </c>
      <c r="D567" s="20" t="n">
        <f aca="false">gb_rb_26*hpx_rb*hbm_A_26/hbm_A_26/1000</f>
        <v>4.8096</v>
      </c>
      <c r="E567" s="20" t="n">
        <f aca="false">gb_rb_27*hpx_rb*hbm_A_27/hbm_A_26/1000</f>
        <v>8.65728</v>
      </c>
      <c r="F567" s="20" t="n">
        <f aca="false">gb_rb_28*hpx_rb*hbm_A_28/hbm_A_26/1000</f>
        <v>9.523008</v>
      </c>
      <c r="G567" s="20" t="n">
        <f aca="false">gb_rb_28*hpx_rb*hbm_A_29/hbm_A_26/1000</f>
        <v>9.0468576</v>
      </c>
    </row>
    <row r="568" customFormat="false" ht="17.15" hidden="false" customHeight="false" outlineLevel="0" collapsed="false">
      <c r="A568" s="0" t="s">
        <v>674</v>
      </c>
      <c r="B568" s="0" t="s">
        <v>174</v>
      </c>
      <c r="D568" s="20" t="n">
        <f aca="false">gb_ru_26*hpx_ru*hbm_A_26/hbm_A_26/1000</f>
        <v>17.1008</v>
      </c>
      <c r="E568" s="20" t="n">
        <f aca="false">gb_ru_27*hpx_ru*hbm_A_27/hbm_A_26/1000</f>
        <v>30.78144</v>
      </c>
      <c r="F568" s="20" t="n">
        <f aca="false">gb_ru_28*hpx_ru*hbm_A_28/hbm_A_26/1000</f>
        <v>33.859584</v>
      </c>
      <c r="G568" s="20" t="n">
        <f aca="false">gb_ru_28*hpx_ru*hbm_A_29/hbm_A_26/1000</f>
        <v>32.1666048</v>
      </c>
    </row>
    <row r="569" customFormat="false" ht="17.15" hidden="false" customHeight="false" outlineLevel="0" collapsed="false">
      <c r="A569" s="0" t="s">
        <v>675</v>
      </c>
      <c r="B569" s="0" t="s">
        <v>174</v>
      </c>
      <c r="D569" s="20" t="n">
        <f aca="false">gb_hp_26*hpx_hp*hbm_A_26/hbm_A_26/1000</f>
        <v>2.1855</v>
      </c>
      <c r="E569" s="20" t="n">
        <f aca="false">gb_hp_27*hpx_hp*hbm_A_27/hbm_A_26/1000</f>
        <v>3.9339</v>
      </c>
      <c r="F569" s="20" t="n">
        <f aca="false">gb_hp_28*hpx_hp*hbm_A_28/hbm_A_26/1000</f>
        <v>4.32729</v>
      </c>
      <c r="G569" s="20" t="n">
        <f aca="false">gb_hp_28*hpx_hp*hbm_A_29/hbm_A_26/1000</f>
        <v>4.1109255</v>
      </c>
    </row>
    <row r="570" customFormat="false" ht="17.15" hidden="false" customHeight="false" outlineLevel="0" collapsed="false">
      <c r="A570" s="0" t="s">
        <v>676</v>
      </c>
      <c r="B570" s="0" t="s">
        <v>174</v>
      </c>
      <c r="D570" s="20" t="n">
        <f aca="false">1*c_nh*(pm_bw+pcpu_bw+plp_bw+k_tray*pres_bw)+D566+plp_bw*(cdx_A_26/cdx_A_26-1)</f>
        <v>11.8212823332139</v>
      </c>
      <c r="E570" s="20" t="n">
        <f aca="false">1*c_nh*(pm_bw+pcpu_bw+plp_bw+k_tray*pres_bw)+E566+plp_bw*(cdx_A_27/cdx_A_26-1)</f>
        <v>16.493918693312</v>
      </c>
      <c r="F570" s="20" t="n">
        <f aca="false">1*c_nh*(pm_bw+pcpu_bw+plp_bw+k_tray*pres_bw)+F566+plp_bw*(cdx_A_28/cdx_A_26-1)</f>
        <v>17.1392325750052</v>
      </c>
      <c r="G570" s="20" t="n">
        <f aca="false">1*c_nh*(pm_bw+pcpu_bw+plp_bw+k_tray*pres_bw)+G566+plp_bw*(cdx_A_29/cdx_A_26-1)</f>
        <v>16.3524568133889</v>
      </c>
      <c r="H570" s="5" t="s">
        <v>677</v>
      </c>
    </row>
    <row r="571" customFormat="false" ht="17.15" hidden="false" customHeight="false" outlineLevel="0" collapsed="false">
      <c r="A571" s="0" t="s">
        <v>678</v>
      </c>
      <c r="B571" s="0" t="s">
        <v>174</v>
      </c>
      <c r="D571" s="20" t="n">
        <f aca="false">1*c_nh*(pm_rb+pcpu_rb+plp_rb+k_tray*pres_rb)+D567+plp_rb*(cdx_A_26/cdx_A_26-1)</f>
        <v>16.7713963801093</v>
      </c>
      <c r="E571" s="20" t="n">
        <f aca="false">1*c_nh*(pm_rb+pcpu_rb+plp_rb+k_tray*pres_rb)+E567+plp_rb*(cdx_A_27/cdx_A_26-1)</f>
        <v>22.0860071969322</v>
      </c>
      <c r="F571" s="20" t="n">
        <f aca="false">1*c_nh*(pm_rb+pcpu_rb+plp_rb+k_tray*pres_rb)+F567+plp_rb*(cdx_A_28/cdx_A_26-1)</f>
        <v>22.3235367382399</v>
      </c>
      <c r="G571" s="20" t="n">
        <f aca="false">1*c_nh*(pm_rb+pcpu_rb+plp_rb+k_tray*pres_rb)+G567+plp_rb*(cdx_A_29/cdx_A_26-1)</f>
        <v>21.2794148339942</v>
      </c>
    </row>
    <row r="572" customFormat="false" ht="17.15" hidden="false" customHeight="false" outlineLevel="0" collapsed="false">
      <c r="A572" s="0" t="s">
        <v>679</v>
      </c>
      <c r="B572" s="0" t="s">
        <v>174</v>
      </c>
      <c r="D572" s="20" t="n">
        <f aca="false">1*c_nh*(pm_ru+pcpu_ru+plp_ru+k_tray*pres_ru)+D568+plp_ru*(cdx_A_26/cdx_A_26-1)</f>
        <v>32.3776438604396</v>
      </c>
      <c r="E572" s="20" t="n">
        <f aca="false">1*c_nh*(pm_ru+pcpu_ru+plp_ru+k_tray*pres_ru)+E568+plp_ru*(cdx_A_27/cdx_A_26-1)</f>
        <v>47.5252146772625</v>
      </c>
      <c r="F572" s="20" t="n">
        <f aca="false">1*c_nh*(pm_ru+pcpu_ru+plp_ru+k_tray*pres_ru)+F568+plp_ru*(cdx_A_28/cdx_A_26-1)</f>
        <v>49.9751602185702</v>
      </c>
      <c r="G572" s="20" t="n">
        <f aca="false">1*c_nh*(pm_ru+pcpu_ru+plp_ru+k_tray*pres_ru)+G568+plp_ru*(cdx_A_29/cdx_A_26-1)</f>
        <v>47.7142095143245</v>
      </c>
    </row>
    <row r="573" customFormat="false" ht="17.15" hidden="false" customHeight="false" outlineLevel="0" collapsed="false">
      <c r="A573" s="0" t="s">
        <v>680</v>
      </c>
      <c r="B573" s="0" t="s">
        <v>174</v>
      </c>
      <c r="D573" s="20" t="n">
        <f aca="false">1*c_nh*(pm_hp+pcpu_hp+plp_hp+k_tray*pres_hp)+D569+plp_hp*(cdx_A_26/cdx_A_26-1)</f>
        <v>7.15807122049545</v>
      </c>
      <c r="E573" s="20" t="n">
        <f aca="false">1*c_nh*(pm_hp+pcpu_hp+plp_hp+k_tray*pres_hp)+E569+plp_hp*(cdx_A_27/cdx_A_26-1)</f>
        <v>8.90647122049545</v>
      </c>
      <c r="F573" s="20" t="n">
        <f aca="false">1*c_nh*(pm_hp+pcpu_hp+plp_hp+k_tray*pres_hp)+F569+plp_hp*(cdx_A_28/cdx_A_26-1)</f>
        <v>9.29986122049545</v>
      </c>
      <c r="G573" s="20" t="n">
        <f aca="false">1*c_nh*(pm_hp+pcpu_hp+plp_hp+k_tray*pres_hp)+G569+plp_hp*(cdx_A_29/cdx_A_26-1)</f>
        <v>9.08349672049545</v>
      </c>
    </row>
    <row r="574" customFormat="false" ht="17.15" hidden="false" customHeight="false" outlineLevel="0" collapsed="false">
      <c r="A574" s="0" t="s">
        <v>681</v>
      </c>
      <c r="B574" s="0" t="s">
        <v>309</v>
      </c>
      <c r="D574" s="16" t="n">
        <f aca="false">D557*D562</f>
        <v>210.265388611651</v>
      </c>
      <c r="E574" s="16" t="n">
        <f aca="false">E557*E562</f>
        <v>97.7879411514472</v>
      </c>
      <c r="F574" s="16" t="n">
        <f aca="false">F557*F562</f>
        <v>20.4804480550745</v>
      </c>
      <c r="G574" s="16" t="n">
        <f aca="false">G557*G562</f>
        <v>10.1587562571685</v>
      </c>
    </row>
    <row r="575" customFormat="false" ht="17.15" hidden="false" customHeight="false" outlineLevel="0" collapsed="false">
      <c r="A575" s="0" t="s">
        <v>682</v>
      </c>
      <c r="B575" s="0" t="s">
        <v>309</v>
      </c>
      <c r="D575" s="16" t="n">
        <f aca="false">D558*D563</f>
        <v>101.627306400104</v>
      </c>
      <c r="E575" s="16" t="n">
        <f aca="false">E558*E563</f>
        <v>433.874021010427</v>
      </c>
      <c r="F575" s="16" t="n">
        <f aca="false">F558*F563</f>
        <v>434.562689988287</v>
      </c>
      <c r="G575" s="16" t="n">
        <f aca="false">G558*G563</f>
        <v>496.265789583488</v>
      </c>
    </row>
    <row r="576" customFormat="false" ht="17.15" hidden="false" customHeight="false" outlineLevel="0" collapsed="false">
      <c r="A576" s="0" t="s">
        <v>683</v>
      </c>
      <c r="B576" s="0" t="s">
        <v>309</v>
      </c>
      <c r="D576" s="16" t="n">
        <f aca="false">D559*D564</f>
        <v>0</v>
      </c>
      <c r="E576" s="16" t="n">
        <f aca="false">E559*E564</f>
        <v>24.7866271526094</v>
      </c>
      <c r="F576" s="16" t="n">
        <f aca="false">F559*F564</f>
        <v>167.273644663966</v>
      </c>
      <c r="G576" s="16" t="n">
        <f aca="false">G559*G564</f>
        <v>190.21084967152</v>
      </c>
    </row>
    <row r="577" customFormat="false" ht="17.15" hidden="false" customHeight="false" outlineLevel="0" collapsed="false">
      <c r="A577" s="0" t="s">
        <v>684</v>
      </c>
      <c r="B577" s="0" t="s">
        <v>309</v>
      </c>
      <c r="D577" s="16" t="n">
        <f aca="false">D560*D565</f>
        <v>12.4255638279615</v>
      </c>
      <c r="E577" s="16" t="n">
        <f aca="false">E560*E565</f>
        <v>0</v>
      </c>
      <c r="F577" s="16" t="n">
        <f aca="false">F560*F565</f>
        <v>0</v>
      </c>
      <c r="G577" s="16" t="n">
        <f aca="false">G560*G565</f>
        <v>0</v>
      </c>
    </row>
    <row r="578" customFormat="false" ht="17.15" hidden="false" customHeight="false" outlineLevel="0" collapsed="false">
      <c r="A578" s="5" t="s">
        <v>685</v>
      </c>
      <c r="B578" s="0" t="s">
        <v>309</v>
      </c>
      <c r="D578" s="16" t="n">
        <f aca="false">SUM(D574:D577)</f>
        <v>324.318258839716</v>
      </c>
      <c r="E578" s="16" t="n">
        <f aca="false">SUM(E574:E577)</f>
        <v>556.448589314484</v>
      </c>
      <c r="F578" s="16" t="n">
        <f aca="false">SUM(F574:F577)</f>
        <v>622.316782707328</v>
      </c>
      <c r="G578" s="16" t="n">
        <f aca="false">SUM(G574:G577)</f>
        <v>696.635395512176</v>
      </c>
    </row>
    <row r="579" customFormat="false" ht="15" hidden="false" customHeight="false" outlineLevel="0" collapsed="false">
      <c r="A579" s="5" t="s">
        <v>686</v>
      </c>
      <c r="B579" s="0" t="s">
        <v>309</v>
      </c>
      <c r="D579" s="16" t="n">
        <f aca="false">D557*D570+D558*D571+D559*D572+D560*D573</f>
        <v>79.4617574019149</v>
      </c>
      <c r="E579" s="16" t="n">
        <f aca="false">E557*E570+E558*E571+E559*E572+E560*E573</f>
        <v>172.669793081849</v>
      </c>
      <c r="F579" s="16" t="n">
        <f aca="false">F557*F570+F558*F571+F559*F572+F560*F573</f>
        <v>219.339940975085</v>
      </c>
      <c r="G579" s="16" t="n">
        <f aca="false">G557*G570+G558*G571+G559*G572+G560*G573</f>
        <v>236.19347177678</v>
      </c>
    </row>
    <row r="580" customFormat="false" ht="17.15" hidden="false" customHeight="false" outlineLevel="0" collapsed="false">
      <c r="A580" s="5" t="s">
        <v>687</v>
      </c>
      <c r="B580" s="0" t="s">
        <v>309</v>
      </c>
      <c r="D580" s="16" t="n">
        <f aca="false">D557*D566+D558*D567+D559*D568+D560*D569</f>
        <v>25.7052360623293</v>
      </c>
      <c r="E580" s="16" t="n">
        <f aca="false">E557*E566+E558*E567+E559*E568+E560*E569</f>
        <v>73.3805687896262</v>
      </c>
      <c r="F580" s="16" t="n">
        <f aca="false">F557*F566+F558*F567+F559*F568+F560*F569</f>
        <v>114.977539352433</v>
      </c>
      <c r="G580" s="16" t="n">
        <f aca="false">G557*G566+G558*G567+G559*G568+G560*G569</f>
        <v>123.352374939132</v>
      </c>
    </row>
    <row r="581" customFormat="false" ht="17.15" hidden="false" customHeight="false" outlineLevel="0" collapsed="false">
      <c r="A581" s="5" t="s">
        <v>688</v>
      </c>
      <c r="B581" s="0" t="s">
        <v>309</v>
      </c>
      <c r="D581" s="16" t="n">
        <f aca="false">0</f>
        <v>0</v>
      </c>
      <c r="E581" s="16" t="n">
        <f aca="false">cn_amt</f>
        <v>20</v>
      </c>
      <c r="F581" s="16" t="n">
        <f aca="false">cn_amt</f>
        <v>20</v>
      </c>
      <c r="G581" s="16" t="n">
        <f aca="false">cn_amt</f>
        <v>20</v>
      </c>
    </row>
    <row r="582" customFormat="false" ht="15" hidden="false" customHeight="false" outlineLevel="0" collapsed="false">
      <c r="A582" s="5" t="s">
        <v>689</v>
      </c>
      <c r="B582" s="0" t="s">
        <v>309</v>
      </c>
      <c r="D582" s="16" t="n">
        <f aca="false">D581*D579/D578</f>
        <v>0</v>
      </c>
      <c r="E582" s="16" t="n">
        <f aca="false">E581*E579/E578</f>
        <v>6.20613643012627</v>
      </c>
      <c r="F582" s="16" t="n">
        <f aca="false">F581*F579/F578</f>
        <v>7.0491411149437</v>
      </c>
      <c r="G582" s="16" t="n">
        <f aca="false">G581*G579/G578</f>
        <v>6.78097820749194</v>
      </c>
    </row>
    <row r="583" customFormat="false" ht="17.15" hidden="false" customHeight="false" outlineLevel="0" collapsed="false">
      <c r="A583" s="0" t="s">
        <v>690</v>
      </c>
      <c r="B583" s="0" t="s">
        <v>309</v>
      </c>
      <c r="D583" s="16" t="n">
        <f aca="false">net_26*1*D556</f>
        <v>51.1385386602837</v>
      </c>
      <c r="E583" s="16" t="n">
        <f aca="false">net_27*1*E556</f>
        <v>101.465551321399</v>
      </c>
      <c r="F583" s="16" t="n">
        <f aca="false">net_28*um28_A*F556</f>
        <v>114.826126401851</v>
      </c>
      <c r="G583" s="16" t="n">
        <f aca="false">net_29*um29_A*G556</f>
        <v>130.302507852582</v>
      </c>
      <c r="H583" s="8" t="s">
        <v>691</v>
      </c>
    </row>
    <row r="584" customFormat="false" ht="17.15" hidden="false" customHeight="false" outlineLevel="0" collapsed="false">
      <c r="A584" s="5" t="s">
        <v>692</v>
      </c>
      <c r="B584" s="0" t="s">
        <v>309</v>
      </c>
      <c r="D584" s="16" t="n">
        <f aca="false">c_net*D583</f>
        <v>15.3415615980851</v>
      </c>
      <c r="E584" s="16" t="n">
        <f aca="false">c_net*E583</f>
        <v>30.4396653964198</v>
      </c>
      <c r="F584" s="16" t="n">
        <f aca="false">c_net*F583</f>
        <v>34.4478379205554</v>
      </c>
      <c r="G584" s="16" t="n">
        <f aca="false">c_net*G583</f>
        <v>39.0907523557747</v>
      </c>
    </row>
    <row r="585" customFormat="false" ht="17.15" hidden="false" customHeight="false" outlineLevel="0" collapsed="false">
      <c r="A585" s="0" t="s">
        <v>693</v>
      </c>
      <c r="B585" s="0" t="s">
        <v>309</v>
      </c>
      <c r="D585" s="16" t="n">
        <f aca="false">a27_edge</f>
        <v>29.1792025</v>
      </c>
      <c r="E585" s="16" t="n">
        <f aca="false">D585*(1+eg)</f>
        <v>31.5135387</v>
      </c>
      <c r="F585" s="16" t="n">
        <f aca="false">E585*(1+eg)</f>
        <v>34.034621796</v>
      </c>
      <c r="G585" s="16" t="n">
        <f aca="false">F585*(1+eg)</f>
        <v>36.75739153968</v>
      </c>
    </row>
    <row r="586" customFormat="false" ht="17.15" hidden="false" customHeight="false" outlineLevel="0" collapsed="false">
      <c r="A586" s="0" t="s">
        <v>694</v>
      </c>
      <c r="B586" s="0" t="s">
        <v>309</v>
      </c>
      <c r="D586" s="16" t="n">
        <f aca="false">(1-gm_edge)*D585</f>
        <v>11.671681</v>
      </c>
      <c r="E586" s="16" t="n">
        <f aca="false">(1-gm_edge)*E585</f>
        <v>12.60541548</v>
      </c>
      <c r="F586" s="16" t="n">
        <f aca="false">(1-gm_edge)*F585</f>
        <v>13.6138487184</v>
      </c>
      <c r="G586" s="16" t="n">
        <f aca="false">(1-gm_edge)*G585</f>
        <v>14.702956615872</v>
      </c>
    </row>
    <row r="587" customFormat="false" ht="15" hidden="false" customHeight="false" outlineLevel="0" collapsed="false">
      <c r="A587" s="5" t="s">
        <v>695</v>
      </c>
      <c r="B587" s="0" t="s">
        <v>309</v>
      </c>
      <c r="D587" s="16" t="n">
        <f aca="false">D578+D581+D583+D585</f>
        <v>404.636</v>
      </c>
      <c r="E587" s="16" t="n">
        <f aca="false">E578+E581+E583+E585</f>
        <v>709.427679335883</v>
      </c>
      <c r="F587" s="16" t="n">
        <f aca="false">F578+F581+F583+F585</f>
        <v>791.177530905179</v>
      </c>
      <c r="G587" s="16" t="n">
        <f aca="false">G578+G581+G583+G585</f>
        <v>883.695294904439</v>
      </c>
    </row>
    <row r="588" customFormat="false" ht="15" hidden="false" customHeight="false" outlineLevel="0" collapsed="false">
      <c r="A588" s="5" t="s">
        <v>696</v>
      </c>
      <c r="B588" s="0" t="s">
        <v>309</v>
      </c>
      <c r="D588" s="16" t="n">
        <f aca="false">D579+D582+D584+D586</f>
        <v>106.475</v>
      </c>
      <c r="E588" s="16" t="n">
        <f aca="false">E579+E582+E584+E586</f>
        <v>221.921010388396</v>
      </c>
      <c r="F588" s="16" t="n">
        <f aca="false">F579+F582+F584+F586</f>
        <v>274.450768728985</v>
      </c>
      <c r="G588" s="16" t="n">
        <f aca="false">G579+G582+G584+G586</f>
        <v>296.768158955918</v>
      </c>
    </row>
    <row r="589" customFormat="false" ht="17.15" hidden="false" customHeight="false" outlineLevel="0" collapsed="false">
      <c r="A589" s="5" t="s">
        <v>697</v>
      </c>
      <c r="B589" s="0" t="s">
        <v>41</v>
      </c>
      <c r="D589" s="17" t="n">
        <f aca="false">1-D588/D587</f>
        <v>0.736862266333198</v>
      </c>
      <c r="E589" s="17" t="n">
        <f aca="false">1-E588/E587</f>
        <v>0.687183039438012</v>
      </c>
      <c r="F589" s="17" t="n">
        <f aca="false">1-F588/F587</f>
        <v>0.653111017428683</v>
      </c>
      <c r="G589" s="17" t="n">
        <f aca="false">1-G588/G587</f>
        <v>0.664173657292121</v>
      </c>
      <c r="H589" s="8" t="s">
        <v>698</v>
      </c>
    </row>
    <row r="590" customFormat="false" ht="17.15" hidden="false" customHeight="false" outlineLevel="0" collapsed="false">
      <c r="A590" s="0" t="s">
        <v>699</v>
      </c>
      <c r="B590" s="0" t="s">
        <v>41</v>
      </c>
      <c r="D590" s="17" t="n">
        <f aca="false">D580/D587</f>
        <v>0.0635268143771917</v>
      </c>
      <c r="E590" s="17" t="n">
        <f aca="false">E580/E587</f>
        <v>0.103436292277629</v>
      </c>
      <c r="F590" s="17" t="n">
        <f aca="false">F580/F587</f>
        <v>0.145324576167992</v>
      </c>
      <c r="G590" s="17" t="n">
        <f aca="false">G580/G587</f>
        <v>0.139586999784208</v>
      </c>
    </row>
    <row r="591" customFormat="false" ht="17.15" hidden="false" customHeight="false" outlineLevel="0" collapsed="false">
      <c r="A591" s="1" t="s">
        <v>700</v>
      </c>
    </row>
    <row r="592" customFormat="false" ht="15" hidden="false" customHeight="false" outlineLevel="0" collapsed="false">
      <c r="A592" s="5" t="s">
        <v>527</v>
      </c>
      <c r="B592" s="0" t="s">
        <v>309</v>
      </c>
      <c r="C592" s="16" t="n">
        <f aca="false">a26_rev</f>
        <v>215.938</v>
      </c>
      <c r="D592" s="16" t="n">
        <f aca="false">a27_rev</f>
        <v>404.636</v>
      </c>
      <c r="E592" s="16" t="n">
        <f aca="false">E587</f>
        <v>709.427679335883</v>
      </c>
      <c r="F592" s="16" t="n">
        <f aca="false">F587</f>
        <v>791.177530905179</v>
      </c>
      <c r="G592" s="16" t="n">
        <f aca="false">G587</f>
        <v>883.695294904439</v>
      </c>
    </row>
    <row r="593" customFormat="false" ht="17.15" hidden="false" customHeight="false" outlineLevel="0" collapsed="false">
      <c r="A593" s="0" t="s">
        <v>701</v>
      </c>
      <c r="B593" s="0" t="s">
        <v>309</v>
      </c>
      <c r="C593" s="16" t="n">
        <f aca="false">a26_dc</f>
        <v>193.7</v>
      </c>
      <c r="D593" s="16" t="n">
        <f aca="false">a27_dc</f>
        <v>375.4567975</v>
      </c>
      <c r="E593" s="16" t="n">
        <f aca="false">E578+E581+E583</f>
        <v>677.914140635883</v>
      </c>
      <c r="F593" s="16" t="n">
        <f aca="false">F578+F581+F583</f>
        <v>757.142909109179</v>
      </c>
      <c r="G593" s="16" t="n">
        <f aca="false">G578+G581+G583</f>
        <v>846.937903364759</v>
      </c>
    </row>
    <row r="594" customFormat="false" ht="15" hidden="false" customHeight="false" outlineLevel="0" collapsed="false">
      <c r="A594" s="0" t="s">
        <v>647</v>
      </c>
      <c r="B594" s="0" t="s">
        <v>309</v>
      </c>
      <c r="C594" s="16" t="n">
        <f aca="false">a26_edge</f>
        <v>22.238</v>
      </c>
      <c r="D594" s="16" t="n">
        <f aca="false">a27_edge</f>
        <v>29.1792025</v>
      </c>
      <c r="E594" s="16" t="n">
        <f aca="false">E585</f>
        <v>31.5135387</v>
      </c>
      <c r="F594" s="16" t="n">
        <f aca="false">F585</f>
        <v>34.034621796</v>
      </c>
      <c r="G594" s="16" t="n">
        <f aca="false">G585</f>
        <v>36.75739153968</v>
      </c>
    </row>
    <row r="595" customFormat="false" ht="15" hidden="false" customHeight="false" outlineLevel="0" collapsed="false">
      <c r="A595" s="5" t="s">
        <v>702</v>
      </c>
      <c r="B595" s="0" t="s">
        <v>41</v>
      </c>
      <c r="D595" s="17" t="n">
        <f aca="false">D592/C592-1</f>
        <v>0.873852679935908</v>
      </c>
      <c r="E595" s="17" t="n">
        <f aca="false">E592/D592-1</f>
        <v>0.753249041943581</v>
      </c>
      <c r="F595" s="17" t="n">
        <f aca="false">F592/E592-1</f>
        <v>0.115233524079331</v>
      </c>
      <c r="G595" s="17" t="n">
        <f aca="false">G592/F592-1</f>
        <v>0.116936794063668</v>
      </c>
    </row>
    <row r="596" customFormat="false" ht="15" hidden="false" customHeight="false" outlineLevel="0" collapsed="false">
      <c r="A596" s="5" t="s">
        <v>703</v>
      </c>
      <c r="B596" s="0" t="s">
        <v>309</v>
      </c>
      <c r="C596" s="16" t="n">
        <f aca="false">a26_gp</f>
        <v>153.463</v>
      </c>
      <c r="D596" s="16" t="n">
        <f aca="false">a27_gp</f>
        <v>298.161</v>
      </c>
      <c r="E596" s="16" t="n">
        <f aca="false">E592-E588</f>
        <v>487.506668947487</v>
      </c>
      <c r="F596" s="16" t="n">
        <f aca="false">F592-F588</f>
        <v>516.726762176194</v>
      </c>
      <c r="G596" s="16" t="n">
        <f aca="false">G592-G588</f>
        <v>586.927135948521</v>
      </c>
    </row>
    <row r="597" customFormat="false" ht="15" hidden="false" customHeight="false" outlineLevel="0" collapsed="false">
      <c r="A597" s="5" t="s">
        <v>543</v>
      </c>
      <c r="B597" s="0" t="s">
        <v>41</v>
      </c>
      <c r="C597" s="17" t="n">
        <f aca="false">C596/C592</f>
        <v>0.710680843575471</v>
      </c>
      <c r="D597" s="17" t="n">
        <f aca="false">D596/D592</f>
        <v>0.736862266333198</v>
      </c>
      <c r="E597" s="17" t="n">
        <f aca="false">E596/E592</f>
        <v>0.687183039438012</v>
      </c>
      <c r="F597" s="17" t="n">
        <f aca="false">F596/F592</f>
        <v>0.653111017428683</v>
      </c>
      <c r="G597" s="17" t="n">
        <f aca="false">G596/G592</f>
        <v>0.664173657292121</v>
      </c>
    </row>
    <row r="598" customFormat="false" ht="17.15" hidden="false" customHeight="false" outlineLevel="0" collapsed="false">
      <c r="A598" s="5" t="s">
        <v>704</v>
      </c>
      <c r="B598" s="0" t="s">
        <v>309</v>
      </c>
      <c r="C598" s="16" t="n">
        <f aca="false">a26_opx</f>
        <v>23.076</v>
      </c>
      <c r="D598" s="16" t="n">
        <f aca="false">a27_opx</f>
        <v>35.165</v>
      </c>
      <c r="E598" s="16" t="n">
        <f aca="false">D598*(1+MAX(g_opx_min,phi*E595))</f>
        <v>51.0578015359676</v>
      </c>
      <c r="F598" s="16" t="n">
        <f aca="false">E598*(1+MAX(g_opx_min,phi*F595))</f>
        <v>54.5879437776072</v>
      </c>
      <c r="G598" s="16" t="n">
        <f aca="false">F598*(1+MAX(g_opx_min,phi*G595))</f>
        <v>58.4179472615359</v>
      </c>
      <c r="H598" s="5" t="s">
        <v>705</v>
      </c>
    </row>
    <row r="599" customFormat="false" ht="15" hidden="false" customHeight="false" outlineLevel="0" collapsed="false">
      <c r="A599" s="5" t="s">
        <v>706</v>
      </c>
      <c r="B599" s="0" t="s">
        <v>309</v>
      </c>
      <c r="C599" s="16" t="n">
        <f aca="false">C598</f>
        <v>23.076</v>
      </c>
      <c r="D599" s="16" t="n">
        <f aca="false">D598</f>
        <v>35.165</v>
      </c>
      <c r="E599" s="16" t="n">
        <f aca="false">E598+0*E592</f>
        <v>51.0578015359676</v>
      </c>
      <c r="F599" s="16" t="n">
        <f aca="false">F598+0*F592</f>
        <v>54.5879437776072</v>
      </c>
      <c r="G599" s="16" t="n">
        <f aca="false">G598+0*G592</f>
        <v>58.4179472615359</v>
      </c>
    </row>
    <row r="600" customFormat="false" ht="15" hidden="false" customHeight="false" outlineLevel="0" collapsed="false">
      <c r="A600" s="5" t="s">
        <v>546</v>
      </c>
      <c r="B600" s="0" t="s">
        <v>309</v>
      </c>
      <c r="C600" s="16" t="n">
        <f aca="false">C596-C599</f>
        <v>130.387</v>
      </c>
      <c r="D600" s="16" t="n">
        <f aca="false">D596-D599</f>
        <v>262.996</v>
      </c>
      <c r="E600" s="16" t="n">
        <f aca="false">E596-E599</f>
        <v>436.44886741152</v>
      </c>
      <c r="F600" s="16" t="n">
        <f aca="false">F596-F599</f>
        <v>462.138818398587</v>
      </c>
      <c r="G600" s="16" t="n">
        <f aca="false">G596-G599</f>
        <v>528.509188686985</v>
      </c>
    </row>
    <row r="601" customFormat="false" ht="15" hidden="false" customHeight="false" outlineLevel="0" collapsed="false">
      <c r="A601" s="5" t="s">
        <v>648</v>
      </c>
      <c r="B601" s="0" t="s">
        <v>41</v>
      </c>
      <c r="C601" s="17" t="n">
        <f aca="false">C600/C592</f>
        <v>0.603816836314127</v>
      </c>
      <c r="D601" s="17" t="n">
        <f aca="false">D600/D592</f>
        <v>0.649956998388675</v>
      </c>
      <c r="E601" s="17" t="n">
        <f aca="false">E600/E592</f>
        <v>0.615212628608025</v>
      </c>
      <c r="F601" s="17" t="n">
        <f aca="false">F600/F592</f>
        <v>0.584115195826983</v>
      </c>
      <c r="G601" s="17" t="n">
        <f aca="false">G600/G592</f>
        <v>0.598067220380682</v>
      </c>
    </row>
    <row r="602" customFormat="false" ht="15" hidden="false" customHeight="false" outlineLevel="0" collapsed="false">
      <c r="A602" s="5" t="s">
        <v>551</v>
      </c>
      <c r="B602" s="0" t="s">
        <v>309</v>
      </c>
      <c r="C602" s="20" t="n">
        <f aca="false">a26_oth</f>
        <v>2.145</v>
      </c>
      <c r="D602" s="20" t="n">
        <f aca="false">a27_oth</f>
        <v>1.133</v>
      </c>
      <c r="E602" s="20" t="n">
        <f aca="false">oth_f</f>
        <v>1.2</v>
      </c>
      <c r="F602" s="20" t="n">
        <f aca="false">oth_f</f>
        <v>1.2</v>
      </c>
      <c r="G602" s="20" t="n">
        <f aca="false">oth_f</f>
        <v>1.2</v>
      </c>
    </row>
    <row r="603" customFormat="false" ht="15" hidden="false" customHeight="false" outlineLevel="0" collapsed="false">
      <c r="A603" s="5" t="s">
        <v>560</v>
      </c>
      <c r="B603" s="0" t="s">
        <v>41</v>
      </c>
      <c r="C603" s="17" t="n">
        <f aca="false">1-a26_ni/(a26_oi+a26_oth)</f>
        <v>0.151187565812244</v>
      </c>
      <c r="D603" s="17" t="n">
        <f aca="false">a27_etr</f>
        <v>0.167980835756566</v>
      </c>
      <c r="E603" s="17" t="n">
        <f aca="false">tx_f</f>
        <v>0.17</v>
      </c>
      <c r="F603" s="17" t="n">
        <f aca="false">tx_f</f>
        <v>0.17</v>
      </c>
      <c r="G603" s="17" t="n">
        <f aca="false">tx_f</f>
        <v>0.17</v>
      </c>
    </row>
    <row r="604" customFormat="false" ht="15" hidden="false" customHeight="false" outlineLevel="0" collapsed="false">
      <c r="A604" s="5" t="s">
        <v>649</v>
      </c>
      <c r="B604" s="0" t="s">
        <v>309</v>
      </c>
      <c r="C604" s="16" t="n">
        <f aca="false">a26_ni</f>
        <v>112.494809527772</v>
      </c>
      <c r="D604" s="16" t="n">
        <f aca="false">a27_ni</f>
        <v>219.760389832454</v>
      </c>
      <c r="E604" s="16" t="n">
        <f aca="false">(E600+E602)*(1-E603)</f>
        <v>363.248559951561</v>
      </c>
      <c r="F604" s="16" t="n">
        <f aca="false">(F600+F602)*(1-F603)</f>
        <v>384.571219270827</v>
      </c>
      <c r="G604" s="16" t="n">
        <f aca="false">(G600+G602)*(1-G603)</f>
        <v>439.658626610197</v>
      </c>
    </row>
    <row r="605" customFormat="false" ht="15" hidden="false" customHeight="false" outlineLevel="0" collapsed="false">
      <c r="A605" s="5" t="s">
        <v>707</v>
      </c>
      <c r="B605" s="5" t="s">
        <v>708</v>
      </c>
      <c r="C605" s="18" t="n">
        <f aca="false">a26_sh</f>
        <v>24.5145</v>
      </c>
      <c r="D605" s="18" t="n">
        <f aca="false">a27_sh</f>
        <v>24.25691339125</v>
      </c>
      <c r="E605" s="18" t="n">
        <f aca="false">D605*(1+sh_g)</f>
        <v>23.965830430555</v>
      </c>
      <c r="F605" s="18" t="n">
        <f aca="false">E605*(1+sh_g)</f>
        <v>23.6782404653883</v>
      </c>
      <c r="G605" s="18" t="n">
        <f aca="false">F605*(1+sh_g)</f>
        <v>23.3941015798037</v>
      </c>
    </row>
    <row r="606" customFormat="false" ht="17.15" hidden="false" customHeight="false" outlineLevel="0" collapsed="false">
      <c r="A606" s="0" t="s">
        <v>650</v>
      </c>
      <c r="B606" s="0" t="s">
        <v>420</v>
      </c>
      <c r="C606" s="20" t="n">
        <f aca="false">C604/C605</f>
        <v>4.58890899376988</v>
      </c>
      <c r="D606" s="20" t="n">
        <f aca="false">D604/D605</f>
        <v>9.05970130196888</v>
      </c>
      <c r="E606" s="20" t="n">
        <f aca="false">E604/E605</f>
        <v>15.1569360804807</v>
      </c>
      <c r="F606" s="20" t="n">
        <f aca="false">F604/F605</f>
        <v>16.2415454743343</v>
      </c>
      <c r="G606" s="20" t="n">
        <f aca="false">G604/G605</f>
        <v>18.7935674772721</v>
      </c>
    </row>
    <row r="607" customFormat="false" ht="17.15" hidden="false" customHeight="false" outlineLevel="0" collapsed="false">
      <c r="A607" s="0" t="s">
        <v>709</v>
      </c>
      <c r="B607" s="0" t="s">
        <v>41</v>
      </c>
      <c r="D607" s="17" t="n">
        <f aca="false">D606/C606-1</f>
        <v>0.974260399207908</v>
      </c>
      <c r="E607" s="17" t="n">
        <f aca="false">E606/D606-1</f>
        <v>0.673006159395869</v>
      </c>
      <c r="F607" s="17" t="n">
        <f aca="false">F606/E606-1</f>
        <v>0.0715586176582459</v>
      </c>
      <c r="G607" s="17" t="n">
        <f aca="false">G606/F606-1</f>
        <v>0.157129258848586</v>
      </c>
    </row>
    <row r="610" customFormat="false" ht="17.15" hidden="false" customHeight="false" outlineLevel="0" collapsed="false">
      <c r="A610" s="4" t="s">
        <v>1100</v>
      </c>
    </row>
    <row r="611" customFormat="false" ht="15" hidden="false" customHeight="false" outlineLevel="0" collapsed="false">
      <c r="A611" s="6" t="s">
        <v>19</v>
      </c>
      <c r="B611" s="6" t="s">
        <v>20</v>
      </c>
      <c r="C611" s="12" t="s">
        <v>639</v>
      </c>
      <c r="D611" s="12" t="s">
        <v>640</v>
      </c>
      <c r="E611" s="12" t="s">
        <v>641</v>
      </c>
      <c r="F611" s="12" t="s">
        <v>642</v>
      </c>
      <c r="G611" s="12" t="s">
        <v>643</v>
      </c>
      <c r="H611" s="6" t="s">
        <v>592</v>
      </c>
    </row>
    <row r="612" customFormat="false" ht="17.15" hidden="false" customHeight="false" outlineLevel="0" collapsed="false">
      <c r="A612" s="1" t="s">
        <v>658</v>
      </c>
    </row>
    <row r="613" customFormat="false" ht="17.15" hidden="false" customHeight="false" outlineLevel="0" collapsed="false">
      <c r="A613" s="0" t="s">
        <v>659</v>
      </c>
      <c r="B613" s="0" t="s">
        <v>126</v>
      </c>
      <c r="D613" s="18" t="n">
        <f aca="false">k_rec</f>
        <v>0.828370921864097</v>
      </c>
      <c r="E613" s="18" t="n">
        <f aca="false">k_rec*1</f>
        <v>0.828370921864097</v>
      </c>
      <c r="F613" s="18" t="n">
        <f aca="false">k_rec*1</f>
        <v>0.828370921864097</v>
      </c>
      <c r="G613" s="18" t="n">
        <f aca="false">k_rec*1</f>
        <v>0.828370921864097</v>
      </c>
    </row>
    <row r="614" customFormat="false" ht="17.15" hidden="false" customHeight="false" outlineLevel="0" collapsed="false">
      <c r="A614" s="0" t="s">
        <v>660</v>
      </c>
      <c r="B614" s="5" t="s">
        <v>30</v>
      </c>
      <c r="D614" s="20" t="n">
        <f aca="false">(u_bw_26)*D613</f>
        <v>4.47320297806612</v>
      </c>
      <c r="E614" s="20" t="n">
        <f aca="false">(u_bw_27)*E613</f>
        <v>1.98809021247383</v>
      </c>
      <c r="F614" s="20" t="n">
        <f aca="false">(u_bw_28*um28_A)*F613</f>
        <v>0.414185460932049</v>
      </c>
      <c r="G614" s="20" t="n">
        <f aca="false">(u_bw_28*(1+g29_bw)*um29_A)*G613</f>
        <v>0.207092730466024</v>
      </c>
    </row>
    <row r="615" customFormat="false" ht="17.15" hidden="false" customHeight="false" outlineLevel="0" collapsed="false">
      <c r="A615" s="0" t="s">
        <v>661</v>
      </c>
      <c r="B615" s="5" t="s">
        <v>30</v>
      </c>
      <c r="D615" s="20" t="n">
        <f aca="false">(u_rb_26)*D613</f>
        <v>1.40823056716896</v>
      </c>
      <c r="E615" s="20" t="n">
        <f aca="false">(u_rb_27)*E613</f>
        <v>5.79859645304868</v>
      </c>
      <c r="F615" s="20" t="n">
        <f aca="false">(u_rb_28*um28_A)*F613</f>
        <v>5.79859645304868</v>
      </c>
      <c r="G615" s="20" t="n">
        <f aca="false">(u_rb_28*(1+g29_rb)*um29_A)*G613</f>
        <v>6.66838592100598</v>
      </c>
    </row>
    <row r="616" customFormat="false" ht="17.15" hidden="false" customHeight="false" outlineLevel="0" collapsed="false">
      <c r="A616" s="0" t="s">
        <v>662</v>
      </c>
      <c r="B616" s="5" t="s">
        <v>30</v>
      </c>
      <c r="D616" s="20" t="n">
        <f aca="false">(u_ru_26)*D613</f>
        <v>0</v>
      </c>
      <c r="E616" s="20" t="n">
        <f aca="false">(u_ru_27)*E613</f>
        <v>0.248511276559229</v>
      </c>
      <c r="F616" s="20" t="n">
        <f aca="false">(u_ru_28*um28_A)*F613</f>
        <v>1.65674184372819</v>
      </c>
      <c r="G616" s="20" t="n">
        <f aca="false">(u_ru_28*(1+g29_ru)*um29_A)*G613</f>
        <v>1.90525312028742</v>
      </c>
    </row>
    <row r="617" customFormat="false" ht="17.15" hidden="false" customHeight="false" outlineLevel="0" collapsed="false">
      <c r="A617" s="0" t="s">
        <v>663</v>
      </c>
      <c r="B617" s="5" t="s">
        <v>30</v>
      </c>
      <c r="D617" s="20" t="n">
        <f aca="false">(u_hp_26)*D613</f>
        <v>0.414185460932049</v>
      </c>
      <c r="E617" s="20" t="n">
        <f aca="false">(u_hp_27)*E613</f>
        <v>0</v>
      </c>
      <c r="F617" s="20" t="n">
        <f aca="false">(u_hp_28*um28_A)*F613</f>
        <v>0</v>
      </c>
      <c r="G617" s="20" t="n">
        <f aca="false">(u_hp_28*(1+g29_hp)*um29_A)*G613</f>
        <v>0</v>
      </c>
    </row>
    <row r="618" customFormat="false" ht="17.15" hidden="false" customHeight="false" outlineLevel="0" collapsed="false">
      <c r="A618" s="0" t="s">
        <v>664</v>
      </c>
      <c r="B618" s="5" t="s">
        <v>30</v>
      </c>
      <c r="D618" s="20" t="n">
        <f aca="false">SUM(D614:D617)</f>
        <v>6.29561900616714</v>
      </c>
      <c r="E618" s="20" t="n">
        <f aca="false">SUM(E614:E617)</f>
        <v>8.03519794208174</v>
      </c>
      <c r="F618" s="20" t="n">
        <f aca="false">SUM(F614:F617)</f>
        <v>7.86952375770892</v>
      </c>
      <c r="G618" s="20" t="n">
        <f aca="false">SUM(G614:G617)</f>
        <v>8.78073177175943</v>
      </c>
      <c r="H618" s="8" t="s">
        <v>665</v>
      </c>
    </row>
    <row r="619" customFormat="false" ht="17.15" hidden="false" customHeight="false" outlineLevel="0" collapsed="false">
      <c r="A619" s="0" t="s">
        <v>666</v>
      </c>
      <c r="B619" s="0" t="s">
        <v>174</v>
      </c>
      <c r="D619" s="20" t="n">
        <f aca="false">1*(pm_bw+pcpu_bw+plp_bw+k_tray*pres_bw)+(1-abs_mem)*(gb_bw_26*hpx_bw*(hbm_A_26/hbm_A_26-1)/1000+plp_bw*(cdx_A_26/cdx_A_26-1))</f>
        <v>47.005555</v>
      </c>
      <c r="E619" s="20" t="n">
        <f aca="false">1*(pm_bw+pcpu_bw+plp_bw+k_tray*pres_bw)+(1-abs_mem)*(gb_bw_27*hpx_bw*(hbm_A_27/hbm_A_26-1)/1000+plp_bw*(cdx_A_27/cdx_A_26-1))</f>
        <v>49.1868731800491</v>
      </c>
      <c r="F619" s="20" t="n">
        <f aca="false">1*(pm_bw+pcpu_bw+plp_bw+k_tray*pres_bw)+(1-abs_mem)*(gb_bw_28*hpx_bw*(hbm_A_28/hbm_A_26-1)/1000+plp_bw*(cdx_A_28/cdx_A_26-1))</f>
        <v>49.4475301208957</v>
      </c>
      <c r="G619" s="20" t="n">
        <f aca="false">1*(pm_bw+pcpu_bw+plp_bw+k_tray*pres_bw)+(1-abs_mem)*(gb_bw_28*hpx_bw*(hbm_A_29/hbm_A_26-1)/1000+plp_bw*(cdx_A_29/cdx_A_26-1))</f>
        <v>49.0541422400875</v>
      </c>
      <c r="H619" s="5" t="s">
        <v>667</v>
      </c>
    </row>
    <row r="620" customFormat="false" ht="17.15" hidden="false" customHeight="false" outlineLevel="0" collapsed="false">
      <c r="A620" s="0" t="s">
        <v>668</v>
      </c>
      <c r="B620" s="0" t="s">
        <v>174</v>
      </c>
      <c r="D620" s="20" t="n">
        <f aca="false">1*(pm_rb+pcpu_rb+plp_rb+k_tray*pres_rb)+(1-abs_mem)*(gb_rb_26*hpx_rb*(hbm_A_26/hbm_A_26-1)/1000+plp_rb*(cdx_A_26/cdx_A_26-1))</f>
        <v>72.166667</v>
      </c>
      <c r="E620" s="20" t="n">
        <f aca="false">1*(pm_rb+pcpu_rb+plp_rb+k_tray*pres_rb)+(1-abs_mem)*(gb_rb_27*hpx_rb*(hbm_A_27/hbm_A_26-1)/1000+plp_rb*(cdx_A_27/cdx_A_26-1))</f>
        <v>74.8239724084115</v>
      </c>
      <c r="F620" s="20" t="n">
        <f aca="false">1*(pm_rb+pcpu_rb+plp_rb+k_tray*pres_rb)+(1-abs_mem)*(gb_rb_28*hpx_rb*(hbm_A_28/hbm_A_26-1)/1000+plp_rb*(cdx_A_28/cdx_A_26-1))</f>
        <v>74.9427371790653</v>
      </c>
      <c r="G620" s="20" t="n">
        <f aca="false">1*(pm_rb+pcpu_rb+plp_rb+k_tray*pres_rb)+(1-abs_mem)*(gb_rb_28*hpx_rb*(hbm_A_29/hbm_A_26-1)/1000+plp_rb*(cdx_A_29/cdx_A_26-1))</f>
        <v>74.4206762269425</v>
      </c>
    </row>
    <row r="621" customFormat="false" ht="17.15" hidden="false" customHeight="false" outlineLevel="0" collapsed="false">
      <c r="A621" s="0" t="s">
        <v>669</v>
      </c>
      <c r="B621" s="0" t="s">
        <v>174</v>
      </c>
      <c r="D621" s="20" t="n">
        <f aca="false">1*(pm_ru+pcpu_ru+plp_ru+k_tray*pres_ru)+(1-abs_mem)*(gb_ru_26*hpx_ru*(hbm_A_26/hbm_A_26-1)/1000+plp_ru*(cdx_A_26/cdx_A_26-1))</f>
        <v>92.166667</v>
      </c>
      <c r="E621" s="20" t="n">
        <f aca="false">1*(pm_ru+pcpu_ru+plp_ru+k_tray*pres_ru)+(1-abs_mem)*(gb_ru_27*hpx_ru*(hbm_A_27/hbm_A_26-1)/1000+plp_ru*(cdx_A_27/cdx_A_26-1))</f>
        <v>99.7404524084115</v>
      </c>
      <c r="F621" s="20" t="n">
        <f aca="false">1*(pm_ru+pcpu_ru+plp_ru+k_tray*pres_ru)+(1-abs_mem)*(gb_ru_28*hpx_ru*(hbm_A_28/hbm_A_26-1)/1000+plp_ru*(cdx_A_28/cdx_A_26-1))</f>
        <v>100.965425179065</v>
      </c>
      <c r="G621" s="20" t="n">
        <f aca="false">1*(pm_ru+pcpu_ru+plp_ru+k_tray*pres_ru)+(1-abs_mem)*(gb_ru_28*hpx_ru*(hbm_A_29/hbm_A_26-1)/1000+plp_ru*(cdx_A_29/cdx_A_26-1))</f>
        <v>99.8349498269425</v>
      </c>
    </row>
    <row r="622" customFormat="false" ht="17.15" hidden="false" customHeight="false" outlineLevel="0" collapsed="false">
      <c r="A622" s="0" t="s">
        <v>670</v>
      </c>
      <c r="B622" s="0" t="s">
        <v>174</v>
      </c>
      <c r="D622" s="20" t="n">
        <f aca="false">1*(pm_hp+pcpu_hp+plp_hp+k_tray*pres_hp)+(1-abs_mem)*(gb_hp_26*hpx_hp*(hbm_A_26/hbm_A_26-1)/1000+plp_hp*(cdx_A_26/cdx_A_26-1))</f>
        <v>30</v>
      </c>
      <c r="E622" s="20" t="n">
        <f aca="false">1*(pm_hp+pcpu_hp+plp_hp+k_tray*pres_hp)+(1-abs_mem)*(gb_hp_27*hpx_hp*(hbm_A_27/hbm_A_26-1)/1000+plp_hp*(cdx_A_27/cdx_A_26-1))</f>
        <v>30.8742</v>
      </c>
      <c r="F622" s="20" t="n">
        <f aca="false">1*(pm_hp+pcpu_hp+plp_hp+k_tray*pres_hp)+(1-abs_mem)*(gb_hp_28*hpx_hp*(hbm_A_28/hbm_A_26-1)/1000+plp_hp*(cdx_A_28/cdx_A_26-1))</f>
        <v>31.070895</v>
      </c>
      <c r="G622" s="20" t="n">
        <f aca="false">1*(pm_hp+pcpu_hp+plp_hp+k_tray*pres_hp)+(1-abs_mem)*(gb_hp_28*hpx_hp*(hbm_A_29/hbm_A_26-1)/1000+plp_hp*(cdx_A_29/cdx_A_26-1))</f>
        <v>30.96271275</v>
      </c>
    </row>
    <row r="623" customFormat="false" ht="17.15" hidden="false" customHeight="false" outlineLevel="0" collapsed="false">
      <c r="A623" s="0" t="s">
        <v>671</v>
      </c>
      <c r="B623" s="0" t="s">
        <v>174</v>
      </c>
      <c r="D623" s="20" t="n">
        <f aca="false">gb_bw_26*hpx_bw*hbm_A_26/hbm_A_26/1000</f>
        <v>4.03</v>
      </c>
      <c r="E623" s="20" t="n">
        <f aca="false">gb_bw_27*hpx_bw*hbm_A_27/hbm_A_26/1000</f>
        <v>7.812</v>
      </c>
      <c r="F623" s="20" t="n">
        <f aca="false">gb_bw_28*hpx_bw*hbm_A_28/hbm_A_26/1000</f>
        <v>8.83872</v>
      </c>
      <c r="G623" s="20" t="n">
        <f aca="false">gb_bw_28*hpx_bw*hbm_A_29/hbm_A_26/1000</f>
        <v>8.396784</v>
      </c>
      <c r="H623" s="5" t="s">
        <v>672</v>
      </c>
    </row>
    <row r="624" customFormat="false" ht="17.15" hidden="false" customHeight="false" outlineLevel="0" collapsed="false">
      <c r="A624" s="0" t="s">
        <v>673</v>
      </c>
      <c r="B624" s="0" t="s">
        <v>174</v>
      </c>
      <c r="D624" s="20" t="n">
        <f aca="false">gb_rb_26*hpx_rb*hbm_A_26/hbm_A_26/1000</f>
        <v>4.8096</v>
      </c>
      <c r="E624" s="20" t="n">
        <f aca="false">gb_rb_27*hpx_rb*hbm_A_27/hbm_A_26/1000</f>
        <v>8.65728</v>
      </c>
      <c r="F624" s="20" t="n">
        <f aca="false">gb_rb_28*hpx_rb*hbm_A_28/hbm_A_26/1000</f>
        <v>9.523008</v>
      </c>
      <c r="G624" s="20" t="n">
        <f aca="false">gb_rb_28*hpx_rb*hbm_A_29/hbm_A_26/1000</f>
        <v>9.0468576</v>
      </c>
    </row>
    <row r="625" customFormat="false" ht="17.15" hidden="false" customHeight="false" outlineLevel="0" collapsed="false">
      <c r="A625" s="0" t="s">
        <v>674</v>
      </c>
      <c r="B625" s="0" t="s">
        <v>174</v>
      </c>
      <c r="D625" s="20" t="n">
        <f aca="false">gb_ru_26*hpx_ru*hbm_A_26/hbm_A_26/1000</f>
        <v>17.1008</v>
      </c>
      <c r="E625" s="20" t="n">
        <f aca="false">gb_ru_27*hpx_ru*hbm_A_27/hbm_A_26/1000</f>
        <v>30.78144</v>
      </c>
      <c r="F625" s="20" t="n">
        <f aca="false">gb_ru_28*hpx_ru*hbm_A_28/hbm_A_26/1000</f>
        <v>33.859584</v>
      </c>
      <c r="G625" s="20" t="n">
        <f aca="false">gb_ru_28*hpx_ru*hbm_A_29/hbm_A_26/1000</f>
        <v>32.1666048</v>
      </c>
    </row>
    <row r="626" customFormat="false" ht="17.15" hidden="false" customHeight="false" outlineLevel="0" collapsed="false">
      <c r="A626" s="0" t="s">
        <v>675</v>
      </c>
      <c r="B626" s="0" t="s">
        <v>174</v>
      </c>
      <c r="D626" s="20" t="n">
        <f aca="false">gb_hp_26*hpx_hp*hbm_A_26/hbm_A_26/1000</f>
        <v>2.1855</v>
      </c>
      <c r="E626" s="20" t="n">
        <f aca="false">gb_hp_27*hpx_hp*hbm_A_27/hbm_A_26/1000</f>
        <v>3.9339</v>
      </c>
      <c r="F626" s="20" t="n">
        <f aca="false">gb_hp_28*hpx_hp*hbm_A_28/hbm_A_26/1000</f>
        <v>4.32729</v>
      </c>
      <c r="G626" s="20" t="n">
        <f aca="false">gb_hp_28*hpx_hp*hbm_A_29/hbm_A_26/1000</f>
        <v>4.1109255</v>
      </c>
    </row>
    <row r="627" customFormat="false" ht="17.15" hidden="false" customHeight="false" outlineLevel="0" collapsed="false">
      <c r="A627" s="0" t="s">
        <v>676</v>
      </c>
      <c r="B627" s="0" t="s">
        <v>174</v>
      </c>
      <c r="D627" s="20" t="n">
        <f aca="false">1*c_nh*(pm_bw+pcpu_bw+plp_bw+k_tray*pres_bw)+D623+plp_bw*(cdx_A_26/cdx_A_26-1)</f>
        <v>11.8212823332139</v>
      </c>
      <c r="E627" s="20" t="n">
        <f aca="false">1*c_nh*(pm_bw+pcpu_bw+plp_bw+k_tray*pres_bw)+E623+plp_bw*(cdx_A_27/cdx_A_26-1)</f>
        <v>16.493918693312</v>
      </c>
      <c r="F627" s="20" t="n">
        <f aca="false">1*c_nh*(pm_bw+pcpu_bw+plp_bw+k_tray*pres_bw)+F623+plp_bw*(cdx_A_28/cdx_A_26-1)</f>
        <v>17.1392325750052</v>
      </c>
      <c r="G627" s="20" t="n">
        <f aca="false">1*c_nh*(pm_bw+pcpu_bw+plp_bw+k_tray*pres_bw)+G623+plp_bw*(cdx_A_29/cdx_A_26-1)</f>
        <v>16.3524568133889</v>
      </c>
      <c r="H627" s="5" t="s">
        <v>677</v>
      </c>
    </row>
    <row r="628" customFormat="false" ht="17.15" hidden="false" customHeight="false" outlineLevel="0" collapsed="false">
      <c r="A628" s="0" t="s">
        <v>678</v>
      </c>
      <c r="B628" s="0" t="s">
        <v>174</v>
      </c>
      <c r="D628" s="20" t="n">
        <f aca="false">1*c_nh*(pm_rb+pcpu_rb+plp_rb+k_tray*pres_rb)+D624+plp_rb*(cdx_A_26/cdx_A_26-1)</f>
        <v>16.7713963801093</v>
      </c>
      <c r="E628" s="20" t="n">
        <f aca="false">1*c_nh*(pm_rb+pcpu_rb+plp_rb+k_tray*pres_rb)+E624+plp_rb*(cdx_A_27/cdx_A_26-1)</f>
        <v>22.0860071969322</v>
      </c>
      <c r="F628" s="20" t="n">
        <f aca="false">1*c_nh*(pm_rb+pcpu_rb+plp_rb+k_tray*pres_rb)+F624+plp_rb*(cdx_A_28/cdx_A_26-1)</f>
        <v>22.3235367382399</v>
      </c>
      <c r="G628" s="20" t="n">
        <f aca="false">1*c_nh*(pm_rb+pcpu_rb+plp_rb+k_tray*pres_rb)+G624+plp_rb*(cdx_A_29/cdx_A_26-1)</f>
        <v>21.2794148339942</v>
      </c>
    </row>
    <row r="629" customFormat="false" ht="17.15" hidden="false" customHeight="false" outlineLevel="0" collapsed="false">
      <c r="A629" s="0" t="s">
        <v>679</v>
      </c>
      <c r="B629" s="0" t="s">
        <v>174</v>
      </c>
      <c r="D629" s="20" t="n">
        <f aca="false">1*c_nh*(pm_ru+pcpu_ru+plp_ru+k_tray*pres_ru)+D625+plp_ru*(cdx_A_26/cdx_A_26-1)</f>
        <v>32.3776438604396</v>
      </c>
      <c r="E629" s="20" t="n">
        <f aca="false">1*c_nh*(pm_ru+pcpu_ru+plp_ru+k_tray*pres_ru)+E625+plp_ru*(cdx_A_27/cdx_A_26-1)</f>
        <v>47.5252146772625</v>
      </c>
      <c r="F629" s="20" t="n">
        <f aca="false">1*c_nh*(pm_ru+pcpu_ru+plp_ru+k_tray*pres_ru)+F625+plp_ru*(cdx_A_28/cdx_A_26-1)</f>
        <v>49.9751602185702</v>
      </c>
      <c r="G629" s="20" t="n">
        <f aca="false">1*c_nh*(pm_ru+pcpu_ru+plp_ru+k_tray*pres_ru)+G625+plp_ru*(cdx_A_29/cdx_A_26-1)</f>
        <v>47.7142095143245</v>
      </c>
    </row>
    <row r="630" customFormat="false" ht="17.15" hidden="false" customHeight="false" outlineLevel="0" collapsed="false">
      <c r="A630" s="0" t="s">
        <v>680</v>
      </c>
      <c r="B630" s="0" t="s">
        <v>174</v>
      </c>
      <c r="D630" s="20" t="n">
        <f aca="false">1*c_nh*(pm_hp+pcpu_hp+plp_hp+k_tray*pres_hp)+D626+plp_hp*(cdx_A_26/cdx_A_26-1)</f>
        <v>7.15807122049545</v>
      </c>
      <c r="E630" s="20" t="n">
        <f aca="false">1*c_nh*(pm_hp+pcpu_hp+plp_hp+k_tray*pres_hp)+E626+plp_hp*(cdx_A_27/cdx_A_26-1)</f>
        <v>8.90647122049545</v>
      </c>
      <c r="F630" s="20" t="n">
        <f aca="false">1*c_nh*(pm_hp+pcpu_hp+plp_hp+k_tray*pres_hp)+F626+plp_hp*(cdx_A_28/cdx_A_26-1)</f>
        <v>9.29986122049545</v>
      </c>
      <c r="G630" s="20" t="n">
        <f aca="false">1*c_nh*(pm_hp+pcpu_hp+plp_hp+k_tray*pres_hp)+G626+plp_hp*(cdx_A_29/cdx_A_26-1)</f>
        <v>9.08349672049545</v>
      </c>
    </row>
    <row r="631" customFormat="false" ht="17.15" hidden="false" customHeight="false" outlineLevel="0" collapsed="false">
      <c r="A631" s="0" t="s">
        <v>681</v>
      </c>
      <c r="B631" s="0" t="s">
        <v>309</v>
      </c>
      <c r="D631" s="16" t="n">
        <f aca="false">D614*D619</f>
        <v>210.265388611651</v>
      </c>
      <c r="E631" s="16" t="n">
        <f aca="false">E614*E619</f>
        <v>97.7879411514472</v>
      </c>
      <c r="F631" s="16" t="n">
        <f aca="false">F614*F619</f>
        <v>20.4804480550745</v>
      </c>
      <c r="G631" s="16" t="n">
        <f aca="false">G614*G619</f>
        <v>10.1587562571685</v>
      </c>
    </row>
    <row r="632" customFormat="false" ht="17.15" hidden="false" customHeight="false" outlineLevel="0" collapsed="false">
      <c r="A632" s="0" t="s">
        <v>682</v>
      </c>
      <c r="B632" s="0" t="s">
        <v>309</v>
      </c>
      <c r="D632" s="16" t="n">
        <f aca="false">D615*D620</f>
        <v>101.627306400104</v>
      </c>
      <c r="E632" s="16" t="n">
        <f aca="false">E615*E620</f>
        <v>433.874021010427</v>
      </c>
      <c r="F632" s="16" t="n">
        <f aca="false">F615*F620</f>
        <v>434.562689988287</v>
      </c>
      <c r="G632" s="16" t="n">
        <f aca="false">G615*G620</f>
        <v>496.265789583488</v>
      </c>
    </row>
    <row r="633" customFormat="false" ht="17.15" hidden="false" customHeight="false" outlineLevel="0" collapsed="false">
      <c r="A633" s="0" t="s">
        <v>683</v>
      </c>
      <c r="B633" s="0" t="s">
        <v>309</v>
      </c>
      <c r="D633" s="16" t="n">
        <f aca="false">D616*D621</f>
        <v>0</v>
      </c>
      <c r="E633" s="16" t="n">
        <f aca="false">E616*E621</f>
        <v>24.7866271526094</v>
      </c>
      <c r="F633" s="16" t="n">
        <f aca="false">F616*F621</f>
        <v>167.273644663966</v>
      </c>
      <c r="G633" s="16" t="n">
        <f aca="false">G616*G621</f>
        <v>190.21084967152</v>
      </c>
    </row>
    <row r="634" customFormat="false" ht="17.15" hidden="false" customHeight="false" outlineLevel="0" collapsed="false">
      <c r="A634" s="0" t="s">
        <v>684</v>
      </c>
      <c r="B634" s="0" t="s">
        <v>309</v>
      </c>
      <c r="D634" s="16" t="n">
        <f aca="false">D617*D622</f>
        <v>12.4255638279615</v>
      </c>
      <c r="E634" s="16" t="n">
        <f aca="false">E617*E622</f>
        <v>0</v>
      </c>
      <c r="F634" s="16" t="n">
        <f aca="false">F617*F622</f>
        <v>0</v>
      </c>
      <c r="G634" s="16" t="n">
        <f aca="false">G617*G622</f>
        <v>0</v>
      </c>
    </row>
    <row r="635" customFormat="false" ht="17.15" hidden="false" customHeight="false" outlineLevel="0" collapsed="false">
      <c r="A635" s="5" t="s">
        <v>685</v>
      </c>
      <c r="B635" s="0" t="s">
        <v>309</v>
      </c>
      <c r="D635" s="16" t="n">
        <f aca="false">SUM(D631:D634)</f>
        <v>324.318258839716</v>
      </c>
      <c r="E635" s="16" t="n">
        <f aca="false">SUM(E631:E634)</f>
        <v>556.448589314484</v>
      </c>
      <c r="F635" s="16" t="n">
        <f aca="false">SUM(F631:F634)</f>
        <v>622.316782707328</v>
      </c>
      <c r="G635" s="16" t="n">
        <f aca="false">SUM(G631:G634)</f>
        <v>696.635395512176</v>
      </c>
    </row>
    <row r="636" customFormat="false" ht="15" hidden="false" customHeight="false" outlineLevel="0" collapsed="false">
      <c r="A636" s="5" t="s">
        <v>686</v>
      </c>
      <c r="B636" s="0" t="s">
        <v>309</v>
      </c>
      <c r="D636" s="16" t="n">
        <f aca="false">D614*D627+D615*D628+D616*D629+D617*D630</f>
        <v>79.4617574019149</v>
      </c>
      <c r="E636" s="16" t="n">
        <f aca="false">E614*E627+E615*E628+E616*E629+E617*E630</f>
        <v>172.669793081849</v>
      </c>
      <c r="F636" s="16" t="n">
        <f aca="false">F614*F627+F615*F628+F616*F629+F617*F630</f>
        <v>219.339940975085</v>
      </c>
      <c r="G636" s="16" t="n">
        <f aca="false">G614*G627+G615*G628+G616*G629+G617*G630</f>
        <v>236.19347177678</v>
      </c>
    </row>
    <row r="637" customFormat="false" ht="17.15" hidden="false" customHeight="false" outlineLevel="0" collapsed="false">
      <c r="A637" s="5" t="s">
        <v>687</v>
      </c>
      <c r="B637" s="0" t="s">
        <v>309</v>
      </c>
      <c r="D637" s="16" t="n">
        <f aca="false">D614*D623+D615*D624+D616*D625+D617*D626</f>
        <v>25.7052360623293</v>
      </c>
      <c r="E637" s="16" t="n">
        <f aca="false">E614*E623+E615*E624+E616*E625+E617*E626</f>
        <v>73.3805687896262</v>
      </c>
      <c r="F637" s="16" t="n">
        <f aca="false">F614*F623+F615*F624+F616*F625+F617*F626</f>
        <v>114.977539352433</v>
      </c>
      <c r="G637" s="16" t="n">
        <f aca="false">G614*G623+G615*G624+G616*G625+G617*G626</f>
        <v>123.352374939132</v>
      </c>
    </row>
    <row r="638" customFormat="false" ht="17.15" hidden="false" customHeight="false" outlineLevel="0" collapsed="false">
      <c r="A638" s="5" t="s">
        <v>688</v>
      </c>
      <c r="B638" s="0" t="s">
        <v>309</v>
      </c>
      <c r="D638" s="16" t="n">
        <f aca="false">0</f>
        <v>0</v>
      </c>
      <c r="E638" s="16" t="n">
        <f aca="false">cn_amt_hi</f>
        <v>40</v>
      </c>
      <c r="F638" s="16" t="n">
        <f aca="false">cn_amt_hi</f>
        <v>40</v>
      </c>
      <c r="G638" s="16" t="n">
        <f aca="false">cn_amt_hi</f>
        <v>40</v>
      </c>
    </row>
    <row r="639" customFormat="false" ht="15" hidden="false" customHeight="false" outlineLevel="0" collapsed="false">
      <c r="A639" s="5" t="s">
        <v>689</v>
      </c>
      <c r="B639" s="0" t="s">
        <v>309</v>
      </c>
      <c r="D639" s="16" t="n">
        <f aca="false">D638*D636/D635</f>
        <v>0</v>
      </c>
      <c r="E639" s="16" t="n">
        <f aca="false">E638*E636/E635</f>
        <v>12.4122728602525</v>
      </c>
      <c r="F639" s="16" t="n">
        <f aca="false">F638*F636/F635</f>
        <v>14.0982822298874</v>
      </c>
      <c r="G639" s="16" t="n">
        <f aca="false">G638*G636/G635</f>
        <v>13.5619564149839</v>
      </c>
    </row>
    <row r="640" customFormat="false" ht="17.15" hidden="false" customHeight="false" outlineLevel="0" collapsed="false">
      <c r="A640" s="0" t="s">
        <v>690</v>
      </c>
      <c r="B640" s="0" t="s">
        <v>309</v>
      </c>
      <c r="D640" s="16" t="n">
        <f aca="false">net_26*1*D613</f>
        <v>51.1385386602837</v>
      </c>
      <c r="E640" s="16" t="n">
        <f aca="false">net_27*1*E613</f>
        <v>101.465551321399</v>
      </c>
      <c r="F640" s="16" t="n">
        <f aca="false">net_28*um28_A*F613</f>
        <v>114.826126401851</v>
      </c>
      <c r="G640" s="16" t="n">
        <f aca="false">net_29*um29_A*G613</f>
        <v>130.302507852582</v>
      </c>
      <c r="H640" s="8" t="s">
        <v>691</v>
      </c>
    </row>
    <row r="641" customFormat="false" ht="17.15" hidden="false" customHeight="false" outlineLevel="0" collapsed="false">
      <c r="A641" s="5" t="s">
        <v>692</v>
      </c>
      <c r="B641" s="0" t="s">
        <v>309</v>
      </c>
      <c r="D641" s="16" t="n">
        <f aca="false">c_net*D640</f>
        <v>15.3415615980851</v>
      </c>
      <c r="E641" s="16" t="n">
        <f aca="false">c_net*E640</f>
        <v>30.4396653964198</v>
      </c>
      <c r="F641" s="16" t="n">
        <f aca="false">c_net*F640</f>
        <v>34.4478379205554</v>
      </c>
      <c r="G641" s="16" t="n">
        <f aca="false">c_net*G640</f>
        <v>39.0907523557747</v>
      </c>
    </row>
    <row r="642" customFormat="false" ht="17.15" hidden="false" customHeight="false" outlineLevel="0" collapsed="false">
      <c r="A642" s="0" t="s">
        <v>693</v>
      </c>
      <c r="B642" s="0" t="s">
        <v>309</v>
      </c>
      <c r="D642" s="16" t="n">
        <f aca="false">a27_edge</f>
        <v>29.1792025</v>
      </c>
      <c r="E642" s="16" t="n">
        <f aca="false">D642*(1+eg)</f>
        <v>31.5135387</v>
      </c>
      <c r="F642" s="16" t="n">
        <f aca="false">E642*(1+eg)</f>
        <v>34.034621796</v>
      </c>
      <c r="G642" s="16" t="n">
        <f aca="false">F642*(1+eg)</f>
        <v>36.75739153968</v>
      </c>
    </row>
    <row r="643" customFormat="false" ht="17.15" hidden="false" customHeight="false" outlineLevel="0" collapsed="false">
      <c r="A643" s="0" t="s">
        <v>694</v>
      </c>
      <c r="B643" s="0" t="s">
        <v>309</v>
      </c>
      <c r="D643" s="16" t="n">
        <f aca="false">(1-gm_edge)*D642</f>
        <v>11.671681</v>
      </c>
      <c r="E643" s="16" t="n">
        <f aca="false">(1-gm_edge)*E642</f>
        <v>12.60541548</v>
      </c>
      <c r="F643" s="16" t="n">
        <f aca="false">(1-gm_edge)*F642</f>
        <v>13.6138487184</v>
      </c>
      <c r="G643" s="16" t="n">
        <f aca="false">(1-gm_edge)*G642</f>
        <v>14.702956615872</v>
      </c>
    </row>
    <row r="644" customFormat="false" ht="15" hidden="false" customHeight="false" outlineLevel="0" collapsed="false">
      <c r="A644" s="5" t="s">
        <v>695</v>
      </c>
      <c r="B644" s="0" t="s">
        <v>309</v>
      </c>
      <c r="D644" s="16" t="n">
        <f aca="false">D635+D638+D640+D642</f>
        <v>404.636</v>
      </c>
      <c r="E644" s="16" t="n">
        <f aca="false">E635+E638+E640+E642</f>
        <v>729.427679335883</v>
      </c>
      <c r="F644" s="16" t="n">
        <f aca="false">F635+F638+F640+F642</f>
        <v>811.177530905179</v>
      </c>
      <c r="G644" s="16" t="n">
        <f aca="false">G635+G638+G640+G642</f>
        <v>903.695294904439</v>
      </c>
    </row>
    <row r="645" customFormat="false" ht="15" hidden="false" customHeight="false" outlineLevel="0" collapsed="false">
      <c r="A645" s="5" t="s">
        <v>696</v>
      </c>
      <c r="B645" s="0" t="s">
        <v>309</v>
      </c>
      <c r="D645" s="16" t="n">
        <f aca="false">D636+D639+D641+D643</f>
        <v>106.475</v>
      </c>
      <c r="E645" s="16" t="n">
        <f aca="false">E636+E639+E641+E643</f>
        <v>228.127146818522</v>
      </c>
      <c r="F645" s="16" t="n">
        <f aca="false">F636+F639+F641+F643</f>
        <v>281.499909843928</v>
      </c>
      <c r="G645" s="16" t="n">
        <f aca="false">G636+G639+G641+G643</f>
        <v>303.54913716341</v>
      </c>
    </row>
    <row r="646" customFormat="false" ht="17.15" hidden="false" customHeight="false" outlineLevel="0" collapsed="false">
      <c r="A646" s="5" t="s">
        <v>697</v>
      </c>
      <c r="B646" s="0" t="s">
        <v>41</v>
      </c>
      <c r="D646" s="17" t="n">
        <f aca="false">1-D645/D644</f>
        <v>0.736862266333198</v>
      </c>
      <c r="E646" s="17" t="n">
        <f aca="false">1-E645/E644</f>
        <v>0.687251864329822</v>
      </c>
      <c r="F646" s="17" t="n">
        <f aca="false">1-F645/F644</f>
        <v>0.65297373371547</v>
      </c>
      <c r="G646" s="17" t="n">
        <f aca="false">1-G645/G644</f>
        <v>0.66410233750801</v>
      </c>
      <c r="H646" s="8" t="s">
        <v>698</v>
      </c>
    </row>
    <row r="647" customFormat="false" ht="17.15" hidden="false" customHeight="false" outlineLevel="0" collapsed="false">
      <c r="A647" s="0" t="s">
        <v>699</v>
      </c>
      <c r="B647" s="0" t="s">
        <v>41</v>
      </c>
      <c r="D647" s="17" t="n">
        <f aca="false">D637/D644</f>
        <v>0.0635268143771917</v>
      </c>
      <c r="E647" s="17" t="n">
        <f aca="false">E637/E644</f>
        <v>0.100600197755638</v>
      </c>
      <c r="F647" s="17" t="n">
        <f aca="false">F637/F644</f>
        <v>0.14174152386116</v>
      </c>
      <c r="G647" s="17" t="n">
        <f aca="false">G637/G644</f>
        <v>0.136497750552276</v>
      </c>
    </row>
    <row r="648" customFormat="false" ht="17.15" hidden="false" customHeight="false" outlineLevel="0" collapsed="false">
      <c r="A648" s="1" t="s">
        <v>700</v>
      </c>
    </row>
    <row r="649" customFormat="false" ht="15" hidden="false" customHeight="false" outlineLevel="0" collapsed="false">
      <c r="A649" s="5" t="s">
        <v>527</v>
      </c>
      <c r="B649" s="0" t="s">
        <v>309</v>
      </c>
      <c r="C649" s="16" t="n">
        <f aca="false">a26_rev</f>
        <v>215.938</v>
      </c>
      <c r="D649" s="16" t="n">
        <f aca="false">a27_rev</f>
        <v>404.636</v>
      </c>
      <c r="E649" s="16" t="n">
        <f aca="false">E644</f>
        <v>729.427679335883</v>
      </c>
      <c r="F649" s="16" t="n">
        <f aca="false">F644</f>
        <v>811.177530905179</v>
      </c>
      <c r="G649" s="16" t="n">
        <f aca="false">G644</f>
        <v>903.695294904439</v>
      </c>
    </row>
    <row r="650" customFormat="false" ht="17.15" hidden="false" customHeight="false" outlineLevel="0" collapsed="false">
      <c r="A650" s="0" t="s">
        <v>701</v>
      </c>
      <c r="B650" s="0" t="s">
        <v>309</v>
      </c>
      <c r="C650" s="16" t="n">
        <f aca="false">a26_dc</f>
        <v>193.7</v>
      </c>
      <c r="D650" s="16" t="n">
        <f aca="false">a27_dc</f>
        <v>375.4567975</v>
      </c>
      <c r="E650" s="16" t="n">
        <f aca="false">E635+E638+E640</f>
        <v>697.914140635883</v>
      </c>
      <c r="F650" s="16" t="n">
        <f aca="false">F635+F638+F640</f>
        <v>777.142909109179</v>
      </c>
      <c r="G650" s="16" t="n">
        <f aca="false">G635+G638+G640</f>
        <v>866.937903364759</v>
      </c>
    </row>
    <row r="651" customFormat="false" ht="15" hidden="false" customHeight="false" outlineLevel="0" collapsed="false">
      <c r="A651" s="0" t="s">
        <v>647</v>
      </c>
      <c r="B651" s="0" t="s">
        <v>309</v>
      </c>
      <c r="C651" s="16" t="n">
        <f aca="false">a26_edge</f>
        <v>22.238</v>
      </c>
      <c r="D651" s="16" t="n">
        <f aca="false">a27_edge</f>
        <v>29.1792025</v>
      </c>
      <c r="E651" s="16" t="n">
        <f aca="false">E642</f>
        <v>31.5135387</v>
      </c>
      <c r="F651" s="16" t="n">
        <f aca="false">F642</f>
        <v>34.034621796</v>
      </c>
      <c r="G651" s="16" t="n">
        <f aca="false">G642</f>
        <v>36.75739153968</v>
      </c>
    </row>
    <row r="652" customFormat="false" ht="15" hidden="false" customHeight="false" outlineLevel="0" collapsed="false">
      <c r="A652" s="5" t="s">
        <v>702</v>
      </c>
      <c r="B652" s="0" t="s">
        <v>41</v>
      </c>
      <c r="D652" s="17" t="n">
        <f aca="false">D649/C649-1</f>
        <v>0.873852679935908</v>
      </c>
      <c r="E652" s="17" t="n">
        <f aca="false">E649/D649-1</f>
        <v>0.802676181397312</v>
      </c>
      <c r="F652" s="17" t="n">
        <f aca="false">F649/E649-1</f>
        <v>0.112073964129968</v>
      </c>
      <c r="G652" s="17" t="n">
        <f aca="false">G649/F649-1</f>
        <v>0.114053657151994</v>
      </c>
    </row>
    <row r="653" customFormat="false" ht="15" hidden="false" customHeight="false" outlineLevel="0" collapsed="false">
      <c r="A653" s="5" t="s">
        <v>703</v>
      </c>
      <c r="B653" s="0" t="s">
        <v>309</v>
      </c>
      <c r="C653" s="16" t="n">
        <f aca="false">a26_gp</f>
        <v>153.463</v>
      </c>
      <c r="D653" s="16" t="n">
        <f aca="false">a27_gp</f>
        <v>298.161</v>
      </c>
      <c r="E653" s="16" t="n">
        <f aca="false">E649-E645</f>
        <v>501.300532517361</v>
      </c>
      <c r="F653" s="16" t="n">
        <f aca="false">F649-F645</f>
        <v>529.67762106125</v>
      </c>
      <c r="G653" s="16" t="n">
        <f aca="false">G649-G645</f>
        <v>600.146157741028</v>
      </c>
    </row>
    <row r="654" customFormat="false" ht="15" hidden="false" customHeight="false" outlineLevel="0" collapsed="false">
      <c r="A654" s="5" t="s">
        <v>543</v>
      </c>
      <c r="B654" s="0" t="s">
        <v>41</v>
      </c>
      <c r="C654" s="17" t="n">
        <f aca="false">C653/C649</f>
        <v>0.710680843575471</v>
      </c>
      <c r="D654" s="17" t="n">
        <f aca="false">D653/D649</f>
        <v>0.736862266333198</v>
      </c>
      <c r="E654" s="17" t="n">
        <f aca="false">E653/E649</f>
        <v>0.687251864329822</v>
      </c>
      <c r="F654" s="17" t="n">
        <f aca="false">F653/F649</f>
        <v>0.65297373371547</v>
      </c>
      <c r="G654" s="17" t="n">
        <f aca="false">G653/G649</f>
        <v>0.66410233750801</v>
      </c>
    </row>
    <row r="655" customFormat="false" ht="17.15" hidden="false" customHeight="false" outlineLevel="0" collapsed="false">
      <c r="A655" s="5" t="s">
        <v>704</v>
      </c>
      <c r="B655" s="0" t="s">
        <v>309</v>
      </c>
      <c r="C655" s="16" t="n">
        <f aca="false">a26_opx</f>
        <v>23.076</v>
      </c>
      <c r="D655" s="16" t="n">
        <f aca="false">a27_opx</f>
        <v>35.165</v>
      </c>
      <c r="E655" s="16" t="n">
        <f aca="false">D655*(1+MAX(g_opx_min,phi*E652))</f>
        <v>52.1006647513019</v>
      </c>
      <c r="F655" s="16" t="n">
        <f aca="false">E655*(1+MAX(g_opx_min,phi*F652))</f>
        <v>55.6041415707928</v>
      </c>
      <c r="G655" s="16" t="n">
        <f aca="false">F655*(1+MAX(g_opx_min,phi*G652))</f>
        <v>59.4092549901605</v>
      </c>
      <c r="H655" s="5" t="s">
        <v>705</v>
      </c>
    </row>
    <row r="656" customFormat="false" ht="15" hidden="false" customHeight="false" outlineLevel="0" collapsed="false">
      <c r="A656" s="5" t="s">
        <v>706</v>
      </c>
      <c r="B656" s="0" t="s">
        <v>309</v>
      </c>
      <c r="C656" s="16" t="n">
        <f aca="false">C655</f>
        <v>23.076</v>
      </c>
      <c r="D656" s="16" t="n">
        <f aca="false">D655</f>
        <v>35.165</v>
      </c>
      <c r="E656" s="16" t="n">
        <f aca="false">E655+0*E649</f>
        <v>52.1006647513019</v>
      </c>
      <c r="F656" s="16" t="n">
        <f aca="false">F655+0*F649</f>
        <v>55.6041415707928</v>
      </c>
      <c r="G656" s="16" t="n">
        <f aca="false">G655+0*G649</f>
        <v>59.4092549901605</v>
      </c>
    </row>
    <row r="657" customFormat="false" ht="15" hidden="false" customHeight="false" outlineLevel="0" collapsed="false">
      <c r="A657" s="5" t="s">
        <v>546</v>
      </c>
      <c r="B657" s="0" t="s">
        <v>309</v>
      </c>
      <c r="C657" s="16" t="n">
        <f aca="false">C653-C656</f>
        <v>130.387</v>
      </c>
      <c r="D657" s="16" t="n">
        <f aca="false">D653-D656</f>
        <v>262.996</v>
      </c>
      <c r="E657" s="16" t="n">
        <f aca="false">E653-E656</f>
        <v>449.199867766059</v>
      </c>
      <c r="F657" s="16" t="n">
        <f aca="false">F653-F656</f>
        <v>474.073479490458</v>
      </c>
      <c r="G657" s="16" t="n">
        <f aca="false">G653-G656</f>
        <v>540.736902750868</v>
      </c>
    </row>
    <row r="658" customFormat="false" ht="15" hidden="false" customHeight="false" outlineLevel="0" collapsed="false">
      <c r="A658" s="5" t="s">
        <v>648</v>
      </c>
      <c r="B658" s="0" t="s">
        <v>41</v>
      </c>
      <c r="C658" s="17" t="n">
        <f aca="false">C657/C649</f>
        <v>0.603816836314127</v>
      </c>
      <c r="D658" s="17" t="n">
        <f aca="false">D657/D649</f>
        <v>0.649956998388675</v>
      </c>
      <c r="E658" s="17" t="n">
        <f aca="false">E657/E649</f>
        <v>0.615825092043449</v>
      </c>
      <c r="F658" s="17" t="n">
        <f aca="false">F657/F649</f>
        <v>0.584426295636477</v>
      </c>
      <c r="G658" s="17" t="n">
        <f aca="false">G657/G649</f>
        <v>0.598361976431501</v>
      </c>
    </row>
    <row r="659" customFormat="false" ht="15" hidden="false" customHeight="false" outlineLevel="0" collapsed="false">
      <c r="A659" s="5" t="s">
        <v>551</v>
      </c>
      <c r="B659" s="0" t="s">
        <v>309</v>
      </c>
      <c r="C659" s="20" t="n">
        <f aca="false">a26_oth</f>
        <v>2.145</v>
      </c>
      <c r="D659" s="20" t="n">
        <f aca="false">a27_oth</f>
        <v>1.133</v>
      </c>
      <c r="E659" s="20" t="n">
        <f aca="false">oth_f</f>
        <v>1.2</v>
      </c>
      <c r="F659" s="20" t="n">
        <f aca="false">oth_f</f>
        <v>1.2</v>
      </c>
      <c r="G659" s="20" t="n">
        <f aca="false">oth_f</f>
        <v>1.2</v>
      </c>
    </row>
    <row r="660" customFormat="false" ht="15" hidden="false" customHeight="false" outlineLevel="0" collapsed="false">
      <c r="A660" s="5" t="s">
        <v>560</v>
      </c>
      <c r="B660" s="0" t="s">
        <v>41</v>
      </c>
      <c r="C660" s="17" t="n">
        <f aca="false">1-a26_ni/(a26_oi+a26_oth)</f>
        <v>0.151187565812244</v>
      </c>
      <c r="D660" s="17" t="n">
        <f aca="false">a27_etr</f>
        <v>0.167980835756566</v>
      </c>
      <c r="E660" s="17" t="n">
        <f aca="false">tx_f</f>
        <v>0.17</v>
      </c>
      <c r="F660" s="17" t="n">
        <f aca="false">tx_f</f>
        <v>0.17</v>
      </c>
      <c r="G660" s="17" t="n">
        <f aca="false">tx_f</f>
        <v>0.17</v>
      </c>
    </row>
    <row r="661" customFormat="false" ht="15" hidden="false" customHeight="false" outlineLevel="0" collapsed="false">
      <c r="A661" s="5" t="s">
        <v>649</v>
      </c>
      <c r="B661" s="0" t="s">
        <v>309</v>
      </c>
      <c r="C661" s="16" t="n">
        <f aca="false">a26_ni</f>
        <v>112.494809527772</v>
      </c>
      <c r="D661" s="16" t="n">
        <f aca="false">a27_ni</f>
        <v>219.760389832454</v>
      </c>
      <c r="E661" s="16" t="n">
        <f aca="false">(E657+E659)*(1-E660)</f>
        <v>373.831890245829</v>
      </c>
      <c r="F661" s="16" t="n">
        <f aca="false">(F657+F659)*(1-F660)</f>
        <v>394.47698797708</v>
      </c>
      <c r="G661" s="16" t="n">
        <f aca="false">(G657+G659)*(1-G660)</f>
        <v>449.80762928322</v>
      </c>
    </row>
    <row r="662" customFormat="false" ht="15" hidden="false" customHeight="false" outlineLevel="0" collapsed="false">
      <c r="A662" s="5" t="s">
        <v>707</v>
      </c>
      <c r="B662" s="5" t="s">
        <v>708</v>
      </c>
      <c r="C662" s="18" t="n">
        <f aca="false">a26_sh</f>
        <v>24.5145</v>
      </c>
      <c r="D662" s="18" t="n">
        <f aca="false">a27_sh</f>
        <v>24.25691339125</v>
      </c>
      <c r="E662" s="18" t="n">
        <f aca="false">D662*(1+sh_g)</f>
        <v>23.965830430555</v>
      </c>
      <c r="F662" s="18" t="n">
        <f aca="false">E662*(1+sh_g)</f>
        <v>23.6782404653883</v>
      </c>
      <c r="G662" s="18" t="n">
        <f aca="false">F662*(1+sh_g)</f>
        <v>23.3941015798037</v>
      </c>
    </row>
    <row r="663" customFormat="false" ht="17.15" hidden="false" customHeight="false" outlineLevel="0" collapsed="false">
      <c r="A663" s="0" t="s">
        <v>650</v>
      </c>
      <c r="B663" s="0" t="s">
        <v>420</v>
      </c>
      <c r="C663" s="20" t="n">
        <f aca="false">C661/C662</f>
        <v>4.58890899376988</v>
      </c>
      <c r="D663" s="20" t="n">
        <f aca="false">D661/D662</f>
        <v>9.05970130196888</v>
      </c>
      <c r="E663" s="20" t="n">
        <f aca="false">E661/E662</f>
        <v>15.5985368973159</v>
      </c>
      <c r="F663" s="20" t="n">
        <f aca="false">F661/F662</f>
        <v>16.6598944948509</v>
      </c>
      <c r="G663" s="20" t="n">
        <f aca="false">G661/G662</f>
        <v>19.2273948947688</v>
      </c>
    </row>
    <row r="664" customFormat="false" ht="17.15" hidden="false" customHeight="false" outlineLevel="0" collapsed="false">
      <c r="A664" s="0" t="s">
        <v>709</v>
      </c>
      <c r="B664" s="0" t="s">
        <v>41</v>
      </c>
      <c r="D664" s="17" t="n">
        <f aca="false">D663/C663-1</f>
        <v>0.974260399207908</v>
      </c>
      <c r="E664" s="17" t="n">
        <f aca="false">E663/D663-1</f>
        <v>0.721749578424403</v>
      </c>
      <c r="F664" s="17" t="n">
        <f aca="false">F663/E663-1</f>
        <v>0.0680421250096623</v>
      </c>
      <c r="G664" s="17" t="n">
        <f aca="false">G663/F663-1</f>
        <v>0.154112644633579</v>
      </c>
    </row>
    <row r="667" customFormat="false" ht="17.15" hidden="false" customHeight="false" outlineLevel="0" collapsed="false">
      <c r="A667" s="4" t="s">
        <v>1101</v>
      </c>
    </row>
    <row r="668" customFormat="false" ht="15" hidden="false" customHeight="false" outlineLevel="0" collapsed="false">
      <c r="A668" s="6" t="s">
        <v>19</v>
      </c>
      <c r="B668" s="6" t="s">
        <v>20</v>
      </c>
      <c r="C668" s="12" t="s">
        <v>639</v>
      </c>
      <c r="D668" s="12" t="s">
        <v>640</v>
      </c>
      <c r="E668" s="12" t="s">
        <v>641</v>
      </c>
      <c r="F668" s="12" t="s">
        <v>642</v>
      </c>
      <c r="G668" s="12" t="s">
        <v>643</v>
      </c>
      <c r="H668" s="6" t="s">
        <v>592</v>
      </c>
    </row>
    <row r="669" customFormat="false" ht="17.15" hidden="false" customHeight="false" outlineLevel="0" collapsed="false">
      <c r="A669" s="1" t="s">
        <v>658</v>
      </c>
    </row>
    <row r="670" customFormat="false" ht="17.15" hidden="false" customHeight="false" outlineLevel="0" collapsed="false">
      <c r="A670" s="0" t="s">
        <v>659</v>
      </c>
      <c r="B670" s="0" t="s">
        <v>126</v>
      </c>
      <c r="D670" s="18" t="n">
        <f aca="false">k_rec</f>
        <v>0.828370921864097</v>
      </c>
      <c r="E670" s="18" t="n">
        <f aca="false">k_rec*1</f>
        <v>0.828370921864097</v>
      </c>
      <c r="F670" s="18" t="n">
        <f aca="false">k_rec*1</f>
        <v>0.828370921864097</v>
      </c>
      <c r="G670" s="18" t="n">
        <f aca="false">k_rec*1</f>
        <v>0.828370921864097</v>
      </c>
    </row>
    <row r="671" customFormat="false" ht="17.15" hidden="false" customHeight="false" outlineLevel="0" collapsed="false">
      <c r="A671" s="0" t="s">
        <v>660</v>
      </c>
      <c r="B671" s="5" t="s">
        <v>30</v>
      </c>
      <c r="D671" s="20" t="n">
        <f aca="false">(u_bw_26)*D670</f>
        <v>4.47320297806612</v>
      </c>
      <c r="E671" s="20" t="n">
        <f aca="false">(u_bw_27)*E670</f>
        <v>1.98809021247383</v>
      </c>
      <c r="F671" s="20" t="n">
        <f aca="false">(u_bw_28*um28_A)*F670</f>
        <v>0.414185460932049</v>
      </c>
      <c r="G671" s="20" t="n">
        <f aca="false">(u_bw_28*(1+g29_bw)*um29_A)*G670</f>
        <v>0.207092730466024</v>
      </c>
    </row>
    <row r="672" customFormat="false" ht="17.15" hidden="false" customHeight="false" outlineLevel="0" collapsed="false">
      <c r="A672" s="0" t="s">
        <v>661</v>
      </c>
      <c r="B672" s="5" t="s">
        <v>30</v>
      </c>
      <c r="D672" s="20" t="n">
        <f aca="false">(u_rb_26)*D670</f>
        <v>1.40823056716896</v>
      </c>
      <c r="E672" s="20" t="n">
        <f aca="false">(u_rb_27)*E670</f>
        <v>5.79859645304868</v>
      </c>
      <c r="F672" s="20" t="n">
        <f aca="false">(u_rb_28*um28_A)*F670</f>
        <v>5.79859645304868</v>
      </c>
      <c r="G672" s="20" t="n">
        <f aca="false">(u_rb_28*(1+g29_rb)*um29_A)*G670</f>
        <v>6.66838592100598</v>
      </c>
    </row>
    <row r="673" customFormat="false" ht="17.15" hidden="false" customHeight="false" outlineLevel="0" collapsed="false">
      <c r="A673" s="0" t="s">
        <v>662</v>
      </c>
      <c r="B673" s="5" t="s">
        <v>30</v>
      </c>
      <c r="D673" s="20" t="n">
        <f aca="false">(u_ru_26)*D670</f>
        <v>0</v>
      </c>
      <c r="E673" s="20" t="n">
        <f aca="false">(u_ru_27)*E670</f>
        <v>0.248511276559229</v>
      </c>
      <c r="F673" s="20" t="n">
        <f aca="false">(u_ru_28*um28_A)*F670</f>
        <v>1.65674184372819</v>
      </c>
      <c r="G673" s="20" t="n">
        <f aca="false">(u_ru_28*(1+g29_ru)*um29_A)*G670</f>
        <v>1.90525312028742</v>
      </c>
    </row>
    <row r="674" customFormat="false" ht="17.15" hidden="false" customHeight="false" outlineLevel="0" collapsed="false">
      <c r="A674" s="0" t="s">
        <v>663</v>
      </c>
      <c r="B674" s="5" t="s">
        <v>30</v>
      </c>
      <c r="D674" s="20" t="n">
        <f aca="false">(u_hp_26)*D670</f>
        <v>0.414185460932049</v>
      </c>
      <c r="E674" s="20" t="n">
        <f aca="false">(u_hp_27)*E670</f>
        <v>0</v>
      </c>
      <c r="F674" s="20" t="n">
        <f aca="false">(u_hp_28*um28_A)*F670</f>
        <v>0</v>
      </c>
      <c r="G674" s="20" t="n">
        <f aca="false">(u_hp_28*(1+g29_hp)*um29_A)*G670</f>
        <v>0</v>
      </c>
    </row>
    <row r="675" customFormat="false" ht="17.15" hidden="false" customHeight="false" outlineLevel="0" collapsed="false">
      <c r="A675" s="0" t="s">
        <v>664</v>
      </c>
      <c r="B675" s="5" t="s">
        <v>30</v>
      </c>
      <c r="D675" s="20" t="n">
        <f aca="false">SUM(D671:D674)</f>
        <v>6.29561900616714</v>
      </c>
      <c r="E675" s="20" t="n">
        <f aca="false">SUM(E671:E674)</f>
        <v>8.03519794208174</v>
      </c>
      <c r="F675" s="20" t="n">
        <f aca="false">SUM(F671:F674)</f>
        <v>7.86952375770892</v>
      </c>
      <c r="G675" s="20" t="n">
        <f aca="false">SUM(G671:G674)</f>
        <v>8.78073177175943</v>
      </c>
      <c r="H675" s="8" t="s">
        <v>665</v>
      </c>
    </row>
    <row r="676" customFormat="false" ht="17.15" hidden="false" customHeight="false" outlineLevel="0" collapsed="false">
      <c r="A676" s="0" t="s">
        <v>666</v>
      </c>
      <c r="B676" s="0" t="s">
        <v>174</v>
      </c>
      <c r="D676" s="20" t="n">
        <f aca="false">1*(pm_bw+pcpu_bw+plp_bw+k_tray*pres_bw)+(1-abs_mem)*(gb_bw_26*hpx_bw*(hbm_A_26/hbm_A_26-1)/1000+plp_bw*(cdx_A_26/cdx_A_26-1))</f>
        <v>47.005555</v>
      </c>
      <c r="E676" s="20" t="n">
        <f aca="false">1*(pm_bw+pcpu_bw+plp_bw+k_tray*pres_bw)+(1-abs_mem)*(gb_bw_27*hpx_bw*(hbm_A_27/hbm_A_26-1)/1000+plp_bw*(cdx_A_27/cdx_A_26-1))</f>
        <v>49.1868731800491</v>
      </c>
      <c r="F676" s="20" t="n">
        <f aca="false">1*(pm_bw+pcpu_bw+plp_bw+k_tray*pres_bw)+(1-abs_mem)*(gb_bw_28*hpx_bw*(hbm_A_28/hbm_A_26-1)/1000+plp_bw*(cdx_A_28/cdx_A_26-1))</f>
        <v>49.4475301208957</v>
      </c>
      <c r="G676" s="20" t="n">
        <f aca="false">1*(pm_bw+pcpu_bw+plp_bw+k_tray*pres_bw)+(1-abs_mem)*(gb_bw_28*hpx_bw*(hbm_A_29/hbm_A_26-1)/1000+plp_bw*(cdx_A_29/cdx_A_26-1))</f>
        <v>49.0541422400875</v>
      </c>
      <c r="H676" s="5" t="s">
        <v>667</v>
      </c>
    </row>
    <row r="677" customFormat="false" ht="17.15" hidden="false" customHeight="false" outlineLevel="0" collapsed="false">
      <c r="A677" s="0" t="s">
        <v>668</v>
      </c>
      <c r="B677" s="0" t="s">
        <v>174</v>
      </c>
      <c r="D677" s="20" t="n">
        <f aca="false">1*(pm_rb+pcpu_rb+plp_rb+k_tray*pres_rb)+(1-abs_mem)*(gb_rb_26*hpx_rb*(hbm_A_26/hbm_A_26-1)/1000+plp_rb*(cdx_A_26/cdx_A_26-1))</f>
        <v>72.166667</v>
      </c>
      <c r="E677" s="20" t="n">
        <f aca="false">1*(pm_rb+pcpu_rb+plp_rb+k_tray*pres_rb)+(1-abs_mem)*(gb_rb_27*hpx_rb*(hbm_A_27/hbm_A_26-1)/1000+plp_rb*(cdx_A_27/cdx_A_26-1))</f>
        <v>74.8239724084115</v>
      </c>
      <c r="F677" s="20" t="n">
        <f aca="false">1*(pm_rb+pcpu_rb+plp_rb+k_tray*pres_rb)+(1-abs_mem)*(gb_rb_28*hpx_rb*(hbm_A_28/hbm_A_26-1)/1000+plp_rb*(cdx_A_28/cdx_A_26-1))</f>
        <v>74.9427371790653</v>
      </c>
      <c r="G677" s="20" t="n">
        <f aca="false">1*(pm_rb+pcpu_rb+plp_rb+k_tray*pres_rb)+(1-abs_mem)*(gb_rb_28*hpx_rb*(hbm_A_29/hbm_A_26-1)/1000+plp_rb*(cdx_A_29/cdx_A_26-1))</f>
        <v>74.4206762269425</v>
      </c>
    </row>
    <row r="678" customFormat="false" ht="17.15" hidden="false" customHeight="false" outlineLevel="0" collapsed="false">
      <c r="A678" s="0" t="s">
        <v>669</v>
      </c>
      <c r="B678" s="0" t="s">
        <v>174</v>
      </c>
      <c r="D678" s="20" t="n">
        <f aca="false">1*(pm_ru+pcpu_ru+plp_ru+k_tray*pres_ru)+(1-abs_mem)*(gb_ru_26*hpx_ru*(hbm_A_26/hbm_A_26-1)/1000+plp_ru*(cdx_A_26/cdx_A_26-1))</f>
        <v>92.166667</v>
      </c>
      <c r="E678" s="20" t="n">
        <f aca="false">1*(pm_ru+pcpu_ru+plp_ru+k_tray*pres_ru)+(1-abs_mem)*(gb_ru_27*hpx_ru*(hbm_A_27/hbm_A_26-1)/1000+plp_ru*(cdx_A_27/cdx_A_26-1))</f>
        <v>99.7404524084115</v>
      </c>
      <c r="F678" s="20" t="n">
        <f aca="false">1*(pm_ru+pcpu_ru+plp_ru+k_tray*pres_ru)+(1-abs_mem)*(gb_ru_28*hpx_ru*(hbm_A_28/hbm_A_26-1)/1000+plp_ru*(cdx_A_28/cdx_A_26-1))</f>
        <v>100.965425179065</v>
      </c>
      <c r="G678" s="20" t="n">
        <f aca="false">1*(pm_ru+pcpu_ru+plp_ru+k_tray*pres_ru)+(1-abs_mem)*(gb_ru_28*hpx_ru*(hbm_A_29/hbm_A_26-1)/1000+plp_ru*(cdx_A_29/cdx_A_26-1))</f>
        <v>99.8349498269425</v>
      </c>
    </row>
    <row r="679" customFormat="false" ht="17.15" hidden="false" customHeight="false" outlineLevel="0" collapsed="false">
      <c r="A679" s="0" t="s">
        <v>670</v>
      </c>
      <c r="B679" s="0" t="s">
        <v>174</v>
      </c>
      <c r="D679" s="20" t="n">
        <f aca="false">1*(pm_hp+pcpu_hp+plp_hp+k_tray*pres_hp)+(1-abs_mem)*(gb_hp_26*hpx_hp*(hbm_A_26/hbm_A_26-1)/1000+plp_hp*(cdx_A_26/cdx_A_26-1))</f>
        <v>30</v>
      </c>
      <c r="E679" s="20" t="n">
        <f aca="false">1*(pm_hp+pcpu_hp+plp_hp+k_tray*pres_hp)+(1-abs_mem)*(gb_hp_27*hpx_hp*(hbm_A_27/hbm_A_26-1)/1000+plp_hp*(cdx_A_27/cdx_A_26-1))</f>
        <v>30.8742</v>
      </c>
      <c r="F679" s="20" t="n">
        <f aca="false">1*(pm_hp+pcpu_hp+plp_hp+k_tray*pres_hp)+(1-abs_mem)*(gb_hp_28*hpx_hp*(hbm_A_28/hbm_A_26-1)/1000+plp_hp*(cdx_A_28/cdx_A_26-1))</f>
        <v>31.070895</v>
      </c>
      <c r="G679" s="20" t="n">
        <f aca="false">1*(pm_hp+pcpu_hp+plp_hp+k_tray*pres_hp)+(1-abs_mem)*(gb_hp_28*hpx_hp*(hbm_A_29/hbm_A_26-1)/1000+plp_hp*(cdx_A_29/cdx_A_26-1))</f>
        <v>30.96271275</v>
      </c>
    </row>
    <row r="680" customFormat="false" ht="17.15" hidden="false" customHeight="false" outlineLevel="0" collapsed="false">
      <c r="A680" s="0" t="s">
        <v>671</v>
      </c>
      <c r="B680" s="0" t="s">
        <v>174</v>
      </c>
      <c r="D680" s="20" t="n">
        <f aca="false">gb_bw_26*hpx_bw*hbm_A_26/hbm_A_26/1000</f>
        <v>4.03</v>
      </c>
      <c r="E680" s="20" t="n">
        <f aca="false">gb_bw_27*hpx_bw*hbm_A_27/hbm_A_26/1000</f>
        <v>7.812</v>
      </c>
      <c r="F680" s="20" t="n">
        <f aca="false">gb_bw_28*hpx_bw*hbm_A_28/hbm_A_26/1000</f>
        <v>8.83872</v>
      </c>
      <c r="G680" s="20" t="n">
        <f aca="false">gb_bw_28*hpx_bw*hbm_A_29/hbm_A_26/1000</f>
        <v>8.396784</v>
      </c>
      <c r="H680" s="5" t="s">
        <v>672</v>
      </c>
    </row>
    <row r="681" customFormat="false" ht="17.15" hidden="false" customHeight="false" outlineLevel="0" collapsed="false">
      <c r="A681" s="0" t="s">
        <v>673</v>
      </c>
      <c r="B681" s="0" t="s">
        <v>174</v>
      </c>
      <c r="D681" s="20" t="n">
        <f aca="false">gb_rb_26*hpx_rb*hbm_A_26/hbm_A_26/1000</f>
        <v>4.8096</v>
      </c>
      <c r="E681" s="20" t="n">
        <f aca="false">gb_rb_27*hpx_rb*hbm_A_27/hbm_A_26/1000</f>
        <v>8.65728</v>
      </c>
      <c r="F681" s="20" t="n">
        <f aca="false">gb_rb_28*hpx_rb*hbm_A_28/hbm_A_26/1000</f>
        <v>9.523008</v>
      </c>
      <c r="G681" s="20" t="n">
        <f aca="false">gb_rb_28*hpx_rb*hbm_A_29/hbm_A_26/1000</f>
        <v>9.0468576</v>
      </c>
    </row>
    <row r="682" customFormat="false" ht="17.15" hidden="false" customHeight="false" outlineLevel="0" collapsed="false">
      <c r="A682" s="0" t="s">
        <v>674</v>
      </c>
      <c r="B682" s="0" t="s">
        <v>174</v>
      </c>
      <c r="D682" s="20" t="n">
        <f aca="false">gb_ru_26*hpx_ru*hbm_A_26/hbm_A_26/1000</f>
        <v>17.1008</v>
      </c>
      <c r="E682" s="20" t="n">
        <f aca="false">gb_ru_27*hpx_ru*hbm_A_27/hbm_A_26/1000</f>
        <v>30.78144</v>
      </c>
      <c r="F682" s="20" t="n">
        <f aca="false">gb_ru_28*hpx_ru*hbm_A_28/hbm_A_26/1000</f>
        <v>33.859584</v>
      </c>
      <c r="G682" s="20" t="n">
        <f aca="false">gb_ru_28*hpx_ru*hbm_A_29/hbm_A_26/1000</f>
        <v>32.1666048</v>
      </c>
    </row>
    <row r="683" customFormat="false" ht="17.15" hidden="false" customHeight="false" outlineLevel="0" collapsed="false">
      <c r="A683" s="0" t="s">
        <v>675</v>
      </c>
      <c r="B683" s="0" t="s">
        <v>174</v>
      </c>
      <c r="D683" s="20" t="n">
        <f aca="false">gb_hp_26*hpx_hp*hbm_A_26/hbm_A_26/1000</f>
        <v>2.1855</v>
      </c>
      <c r="E683" s="20" t="n">
        <f aca="false">gb_hp_27*hpx_hp*hbm_A_27/hbm_A_26/1000</f>
        <v>3.9339</v>
      </c>
      <c r="F683" s="20" t="n">
        <f aca="false">gb_hp_28*hpx_hp*hbm_A_28/hbm_A_26/1000</f>
        <v>4.32729</v>
      </c>
      <c r="G683" s="20" t="n">
        <f aca="false">gb_hp_28*hpx_hp*hbm_A_29/hbm_A_26/1000</f>
        <v>4.1109255</v>
      </c>
    </row>
    <row r="684" customFormat="false" ht="17.15" hidden="false" customHeight="false" outlineLevel="0" collapsed="false">
      <c r="A684" s="0" t="s">
        <v>676</v>
      </c>
      <c r="B684" s="0" t="s">
        <v>174</v>
      </c>
      <c r="D684" s="20" t="n">
        <f aca="false">1*c_nh*(pm_bw+pcpu_bw+plp_bw+k_tray*pres_bw)+D680+plp_bw*(cdx_A_26/cdx_A_26-1)</f>
        <v>11.8212823332139</v>
      </c>
      <c r="E684" s="20" t="n">
        <f aca="false">1*c_nh*(pm_bw+pcpu_bw+plp_bw+k_tray*pres_bw)+E680+plp_bw*(cdx_A_27/cdx_A_26-1)</f>
        <v>16.493918693312</v>
      </c>
      <c r="F684" s="20" t="n">
        <f aca="false">1*c_nh*(pm_bw+pcpu_bw+plp_bw+k_tray*pres_bw)+F680+plp_bw*(cdx_A_28/cdx_A_26-1)</f>
        <v>17.1392325750052</v>
      </c>
      <c r="G684" s="20" t="n">
        <f aca="false">1*c_nh*(pm_bw+pcpu_bw+plp_bw+k_tray*pres_bw)+G680+plp_bw*(cdx_A_29/cdx_A_26-1)</f>
        <v>16.3524568133889</v>
      </c>
      <c r="H684" s="5" t="s">
        <v>677</v>
      </c>
    </row>
    <row r="685" customFormat="false" ht="17.15" hidden="false" customHeight="false" outlineLevel="0" collapsed="false">
      <c r="A685" s="0" t="s">
        <v>678</v>
      </c>
      <c r="B685" s="0" t="s">
        <v>174</v>
      </c>
      <c r="D685" s="20" t="n">
        <f aca="false">1*c_nh*(pm_rb+pcpu_rb+plp_rb+k_tray*pres_rb)+D681+plp_rb*(cdx_A_26/cdx_A_26-1)</f>
        <v>16.7713963801093</v>
      </c>
      <c r="E685" s="20" t="n">
        <f aca="false">1*c_nh*(pm_rb+pcpu_rb+plp_rb+k_tray*pres_rb)+E681+plp_rb*(cdx_A_27/cdx_A_26-1)</f>
        <v>22.0860071969322</v>
      </c>
      <c r="F685" s="20" t="n">
        <f aca="false">1*c_nh*(pm_rb+pcpu_rb+plp_rb+k_tray*pres_rb)+F681+plp_rb*(cdx_A_28/cdx_A_26-1)</f>
        <v>22.3235367382399</v>
      </c>
      <c r="G685" s="20" t="n">
        <f aca="false">1*c_nh*(pm_rb+pcpu_rb+plp_rb+k_tray*pres_rb)+G681+plp_rb*(cdx_A_29/cdx_A_26-1)</f>
        <v>21.2794148339942</v>
      </c>
    </row>
    <row r="686" customFormat="false" ht="17.15" hidden="false" customHeight="false" outlineLevel="0" collapsed="false">
      <c r="A686" s="0" t="s">
        <v>679</v>
      </c>
      <c r="B686" s="0" t="s">
        <v>174</v>
      </c>
      <c r="D686" s="20" t="n">
        <f aca="false">1*c_nh*(pm_ru+pcpu_ru+plp_ru+k_tray*pres_ru)+D682+plp_ru*(cdx_A_26/cdx_A_26-1)</f>
        <v>32.3776438604396</v>
      </c>
      <c r="E686" s="20" t="n">
        <f aca="false">1*c_nh*(pm_ru+pcpu_ru+plp_ru+k_tray*pres_ru)+E682+plp_ru*(cdx_A_27/cdx_A_26-1)</f>
        <v>47.5252146772625</v>
      </c>
      <c r="F686" s="20" t="n">
        <f aca="false">1*c_nh*(pm_ru+pcpu_ru+plp_ru+k_tray*pres_ru)+F682+plp_ru*(cdx_A_28/cdx_A_26-1)</f>
        <v>49.9751602185702</v>
      </c>
      <c r="G686" s="20" t="n">
        <f aca="false">1*c_nh*(pm_ru+pcpu_ru+plp_ru+k_tray*pres_ru)+G682+plp_ru*(cdx_A_29/cdx_A_26-1)</f>
        <v>47.7142095143245</v>
      </c>
    </row>
    <row r="687" customFormat="false" ht="17.15" hidden="false" customHeight="false" outlineLevel="0" collapsed="false">
      <c r="A687" s="0" t="s">
        <v>680</v>
      </c>
      <c r="B687" s="0" t="s">
        <v>174</v>
      </c>
      <c r="D687" s="20" t="n">
        <f aca="false">1*c_nh*(pm_hp+pcpu_hp+plp_hp+k_tray*pres_hp)+D683+plp_hp*(cdx_A_26/cdx_A_26-1)</f>
        <v>7.15807122049545</v>
      </c>
      <c r="E687" s="20" t="n">
        <f aca="false">1*c_nh*(pm_hp+pcpu_hp+plp_hp+k_tray*pres_hp)+E683+plp_hp*(cdx_A_27/cdx_A_26-1)</f>
        <v>8.90647122049545</v>
      </c>
      <c r="F687" s="20" t="n">
        <f aca="false">1*c_nh*(pm_hp+pcpu_hp+plp_hp+k_tray*pres_hp)+F683+plp_hp*(cdx_A_28/cdx_A_26-1)</f>
        <v>9.29986122049545</v>
      </c>
      <c r="G687" s="20" t="n">
        <f aca="false">1*c_nh*(pm_hp+pcpu_hp+plp_hp+k_tray*pres_hp)+G683+plp_hp*(cdx_A_29/cdx_A_26-1)</f>
        <v>9.08349672049545</v>
      </c>
    </row>
    <row r="688" customFormat="false" ht="17.15" hidden="false" customHeight="false" outlineLevel="0" collapsed="false">
      <c r="A688" s="0" t="s">
        <v>681</v>
      </c>
      <c r="B688" s="0" t="s">
        <v>309</v>
      </c>
      <c r="D688" s="16" t="n">
        <f aca="false">D671*D676</f>
        <v>210.265388611651</v>
      </c>
      <c r="E688" s="16" t="n">
        <f aca="false">E671*E676</f>
        <v>97.7879411514472</v>
      </c>
      <c r="F688" s="16" t="n">
        <f aca="false">F671*F676</f>
        <v>20.4804480550745</v>
      </c>
      <c r="G688" s="16" t="n">
        <f aca="false">G671*G676</f>
        <v>10.1587562571685</v>
      </c>
    </row>
    <row r="689" customFormat="false" ht="17.15" hidden="false" customHeight="false" outlineLevel="0" collapsed="false">
      <c r="A689" s="0" t="s">
        <v>682</v>
      </c>
      <c r="B689" s="0" t="s">
        <v>309</v>
      </c>
      <c r="D689" s="16" t="n">
        <f aca="false">D672*D677</f>
        <v>101.627306400104</v>
      </c>
      <c r="E689" s="16" t="n">
        <f aca="false">E672*E677</f>
        <v>433.874021010427</v>
      </c>
      <c r="F689" s="16" t="n">
        <f aca="false">F672*F677</f>
        <v>434.562689988287</v>
      </c>
      <c r="G689" s="16" t="n">
        <f aca="false">G672*G677</f>
        <v>496.265789583488</v>
      </c>
    </row>
    <row r="690" customFormat="false" ht="17.15" hidden="false" customHeight="false" outlineLevel="0" collapsed="false">
      <c r="A690" s="0" t="s">
        <v>683</v>
      </c>
      <c r="B690" s="0" t="s">
        <v>309</v>
      </c>
      <c r="D690" s="16" t="n">
        <f aca="false">D673*D678</f>
        <v>0</v>
      </c>
      <c r="E690" s="16" t="n">
        <f aca="false">E673*E678</f>
        <v>24.7866271526094</v>
      </c>
      <c r="F690" s="16" t="n">
        <f aca="false">F673*F678</f>
        <v>167.273644663966</v>
      </c>
      <c r="G690" s="16" t="n">
        <f aca="false">G673*G678</f>
        <v>190.21084967152</v>
      </c>
    </row>
    <row r="691" customFormat="false" ht="17.15" hidden="false" customHeight="false" outlineLevel="0" collapsed="false">
      <c r="A691" s="0" t="s">
        <v>684</v>
      </c>
      <c r="B691" s="0" t="s">
        <v>309</v>
      </c>
      <c r="D691" s="16" t="n">
        <f aca="false">D674*D679</f>
        <v>12.4255638279615</v>
      </c>
      <c r="E691" s="16" t="n">
        <f aca="false">E674*E679</f>
        <v>0</v>
      </c>
      <c r="F691" s="16" t="n">
        <f aca="false">F674*F679</f>
        <v>0</v>
      </c>
      <c r="G691" s="16" t="n">
        <f aca="false">G674*G679</f>
        <v>0</v>
      </c>
    </row>
    <row r="692" customFormat="false" ht="17.15" hidden="false" customHeight="false" outlineLevel="0" collapsed="false">
      <c r="A692" s="5" t="s">
        <v>685</v>
      </c>
      <c r="B692" s="0" t="s">
        <v>309</v>
      </c>
      <c r="D692" s="16" t="n">
        <f aca="false">SUM(D688:D691)</f>
        <v>324.318258839716</v>
      </c>
      <c r="E692" s="16" t="n">
        <f aca="false">SUM(E688:E691)</f>
        <v>556.448589314484</v>
      </c>
      <c r="F692" s="16" t="n">
        <f aca="false">SUM(F688:F691)</f>
        <v>622.316782707328</v>
      </c>
      <c r="G692" s="16" t="n">
        <f aca="false">SUM(G688:G691)</f>
        <v>696.635395512176</v>
      </c>
    </row>
    <row r="693" customFormat="false" ht="15" hidden="false" customHeight="false" outlineLevel="0" collapsed="false">
      <c r="A693" s="5" t="s">
        <v>686</v>
      </c>
      <c r="B693" s="0" t="s">
        <v>309</v>
      </c>
      <c r="D693" s="16" t="n">
        <f aca="false">D671*D684+D672*D685+D673*D686+D674*D687</f>
        <v>79.4617574019149</v>
      </c>
      <c r="E693" s="16" t="n">
        <f aca="false">E671*E684+E672*E685+E673*E686+E674*E687</f>
        <v>172.669793081849</v>
      </c>
      <c r="F693" s="16" t="n">
        <f aca="false">F671*F684+F672*F685+F673*F686+F674*F687</f>
        <v>219.339940975085</v>
      </c>
      <c r="G693" s="16" t="n">
        <f aca="false">G671*G684+G672*G685+G673*G686+G674*G687</f>
        <v>236.19347177678</v>
      </c>
    </row>
    <row r="694" customFormat="false" ht="17.15" hidden="false" customHeight="false" outlineLevel="0" collapsed="false">
      <c r="A694" s="5" t="s">
        <v>687</v>
      </c>
      <c r="B694" s="0" t="s">
        <v>309</v>
      </c>
      <c r="D694" s="16" t="n">
        <f aca="false">D671*D680+D672*D681+D673*D682+D674*D683</f>
        <v>25.7052360623293</v>
      </c>
      <c r="E694" s="16" t="n">
        <f aca="false">E671*E680+E672*E681+E673*E682+E674*E683</f>
        <v>73.3805687896262</v>
      </c>
      <c r="F694" s="16" t="n">
        <f aca="false">F671*F680+F672*F681+F673*F682+F674*F683</f>
        <v>114.977539352433</v>
      </c>
      <c r="G694" s="16" t="n">
        <f aca="false">G671*G680+G672*G681+G673*G682+G674*G683</f>
        <v>123.352374939132</v>
      </c>
    </row>
    <row r="695" customFormat="false" ht="17.15" hidden="false" customHeight="false" outlineLevel="0" collapsed="false">
      <c r="A695" s="5" t="s">
        <v>688</v>
      </c>
      <c r="B695" s="0" t="s">
        <v>309</v>
      </c>
      <c r="D695" s="16" t="n">
        <f aca="false">0</f>
        <v>0</v>
      </c>
      <c r="E695" s="16" t="n">
        <f aca="false">0</f>
        <v>0</v>
      </c>
      <c r="F695" s="16" t="n">
        <f aca="false">0</f>
        <v>0</v>
      </c>
      <c r="G695" s="16" t="n">
        <f aca="false">0</f>
        <v>0</v>
      </c>
    </row>
    <row r="696" customFormat="false" ht="15" hidden="false" customHeight="false" outlineLevel="0" collapsed="false">
      <c r="A696" s="5" t="s">
        <v>689</v>
      </c>
      <c r="B696" s="0" t="s">
        <v>309</v>
      </c>
      <c r="D696" s="16" t="n">
        <f aca="false">D695*D693/D692</f>
        <v>0</v>
      </c>
      <c r="E696" s="16" t="n">
        <f aca="false">E695*E693/E692</f>
        <v>0</v>
      </c>
      <c r="F696" s="16" t="n">
        <f aca="false">F695*F693/F692</f>
        <v>0</v>
      </c>
      <c r="G696" s="16" t="n">
        <f aca="false">G695*G693/G692</f>
        <v>0</v>
      </c>
    </row>
    <row r="697" customFormat="false" ht="17.15" hidden="false" customHeight="false" outlineLevel="0" collapsed="false">
      <c r="A697" s="0" t="s">
        <v>690</v>
      </c>
      <c r="B697" s="0" t="s">
        <v>309</v>
      </c>
      <c r="D697" s="16" t="n">
        <f aca="false">net_26*1*D670</f>
        <v>51.1385386602837</v>
      </c>
      <c r="E697" s="16" t="n">
        <f aca="false">net_27*1*E670</f>
        <v>101.465551321399</v>
      </c>
      <c r="F697" s="16" t="n">
        <f aca="false">net_28*um28_A*F670</f>
        <v>114.826126401851</v>
      </c>
      <c r="G697" s="16" t="n">
        <f aca="false">net_29*um29_A*G670</f>
        <v>130.302507852582</v>
      </c>
      <c r="H697" s="8" t="s">
        <v>691</v>
      </c>
    </row>
    <row r="698" customFormat="false" ht="17.15" hidden="false" customHeight="false" outlineLevel="0" collapsed="false">
      <c r="A698" s="5" t="s">
        <v>692</v>
      </c>
      <c r="B698" s="0" t="s">
        <v>309</v>
      </c>
      <c r="D698" s="16" t="n">
        <f aca="false">c_net*D697</f>
        <v>15.3415615980851</v>
      </c>
      <c r="E698" s="16" t="n">
        <f aca="false">c_net*E697</f>
        <v>30.4396653964198</v>
      </c>
      <c r="F698" s="16" t="n">
        <f aca="false">c_net*F697</f>
        <v>34.4478379205554</v>
      </c>
      <c r="G698" s="16" t="n">
        <f aca="false">c_net*G697</f>
        <v>39.0907523557747</v>
      </c>
    </row>
    <row r="699" customFormat="false" ht="17.15" hidden="false" customHeight="false" outlineLevel="0" collapsed="false">
      <c r="A699" s="0" t="s">
        <v>693</v>
      </c>
      <c r="B699" s="0" t="s">
        <v>309</v>
      </c>
      <c r="D699" s="16" t="n">
        <f aca="false">a27_edge</f>
        <v>29.1792025</v>
      </c>
      <c r="E699" s="16" t="n">
        <f aca="false">D699*(1+eg)</f>
        <v>31.5135387</v>
      </c>
      <c r="F699" s="16" t="n">
        <f aca="false">E699*(1+eg)</f>
        <v>34.034621796</v>
      </c>
      <c r="G699" s="16" t="n">
        <f aca="false">F699*(1+eg)</f>
        <v>36.75739153968</v>
      </c>
    </row>
    <row r="700" customFormat="false" ht="17.15" hidden="false" customHeight="false" outlineLevel="0" collapsed="false">
      <c r="A700" s="0" t="s">
        <v>694</v>
      </c>
      <c r="B700" s="0" t="s">
        <v>309</v>
      </c>
      <c r="D700" s="16" t="n">
        <f aca="false">(1-gm_edge)*D699</f>
        <v>11.671681</v>
      </c>
      <c r="E700" s="16" t="n">
        <f aca="false">(1-gm_edge)*E699</f>
        <v>12.60541548</v>
      </c>
      <c r="F700" s="16" t="n">
        <f aca="false">(1-gm_edge)*F699</f>
        <v>13.6138487184</v>
      </c>
      <c r="G700" s="16" t="n">
        <f aca="false">(1-gm_edge)*G699</f>
        <v>14.702956615872</v>
      </c>
    </row>
    <row r="701" customFormat="false" ht="15" hidden="false" customHeight="false" outlineLevel="0" collapsed="false">
      <c r="A701" s="5" t="s">
        <v>695</v>
      </c>
      <c r="B701" s="0" t="s">
        <v>309</v>
      </c>
      <c r="D701" s="16" t="n">
        <f aca="false">D692+D695+D697+D699</f>
        <v>404.636</v>
      </c>
      <c r="E701" s="16" t="n">
        <f aca="false">E692+E695+E697+E699</f>
        <v>689.427679335883</v>
      </c>
      <c r="F701" s="16" t="n">
        <f aca="false">F692+F695+F697+F699</f>
        <v>771.177530905179</v>
      </c>
      <c r="G701" s="16" t="n">
        <f aca="false">G692+G695+G697+G699</f>
        <v>863.695294904439</v>
      </c>
    </row>
    <row r="702" customFormat="false" ht="15" hidden="false" customHeight="false" outlineLevel="0" collapsed="false">
      <c r="A702" s="5" t="s">
        <v>696</v>
      </c>
      <c r="B702" s="0" t="s">
        <v>309</v>
      </c>
      <c r="D702" s="16" t="n">
        <f aca="false">D693+D696+D698+D700</f>
        <v>106.475</v>
      </c>
      <c r="E702" s="16" t="n">
        <f aca="false">E693+E696+E698+E700</f>
        <v>215.714873958269</v>
      </c>
      <c r="F702" s="16" t="n">
        <f aca="false">F693+F696+F698+F700</f>
        <v>267.401627614041</v>
      </c>
      <c r="G702" s="16" t="n">
        <f aca="false">G693+G696+G698+G700</f>
        <v>289.987180748426</v>
      </c>
    </row>
    <row r="703" customFormat="false" ht="17.15" hidden="false" customHeight="false" outlineLevel="0" collapsed="false">
      <c r="A703" s="5" t="s">
        <v>697</v>
      </c>
      <c r="B703" s="0" t="s">
        <v>41</v>
      </c>
      <c r="D703" s="17" t="n">
        <f aca="false">1-D702/D701</f>
        <v>0.736862266333198</v>
      </c>
      <c r="E703" s="17" t="n">
        <f aca="false">1-E702/E701</f>
        <v>0.687110221385273</v>
      </c>
      <c r="F703" s="17" t="n">
        <f aca="false">1-F702/F701</f>
        <v>0.653255421873904</v>
      </c>
      <c r="G703" s="17" t="n">
        <f aca="false">1-G702/G701</f>
        <v>0.664248280082953</v>
      </c>
      <c r="H703" s="8" t="s">
        <v>698</v>
      </c>
    </row>
    <row r="704" customFormat="false" ht="17.15" hidden="false" customHeight="false" outlineLevel="0" collapsed="false">
      <c r="A704" s="0" t="s">
        <v>699</v>
      </c>
      <c r="B704" s="0" t="s">
        <v>41</v>
      </c>
      <c r="D704" s="17" t="n">
        <f aca="false">D694/D701</f>
        <v>0.0635268143771917</v>
      </c>
      <c r="E704" s="17" t="n">
        <f aca="false">E694/E701</f>
        <v>0.106436934560435</v>
      </c>
      <c r="F704" s="17" t="n">
        <f aca="false">F694/F701</f>
        <v>0.149093476851532</v>
      </c>
      <c r="G704" s="17" t="n">
        <f aca="false">G694/G701</f>
        <v>0.142819320270559</v>
      </c>
    </row>
    <row r="705" customFormat="false" ht="17.15" hidden="false" customHeight="false" outlineLevel="0" collapsed="false">
      <c r="A705" s="1" t="s">
        <v>700</v>
      </c>
    </row>
    <row r="706" customFormat="false" ht="15" hidden="false" customHeight="false" outlineLevel="0" collapsed="false">
      <c r="A706" s="5" t="s">
        <v>527</v>
      </c>
      <c r="B706" s="0" t="s">
        <v>309</v>
      </c>
      <c r="C706" s="16" t="n">
        <f aca="false">a26_rev</f>
        <v>215.938</v>
      </c>
      <c r="D706" s="16" t="n">
        <f aca="false">a27_rev</f>
        <v>404.636</v>
      </c>
      <c r="E706" s="16" t="n">
        <f aca="false">E701</f>
        <v>689.427679335883</v>
      </c>
      <c r="F706" s="16" t="n">
        <f aca="false">F701</f>
        <v>771.177530905179</v>
      </c>
      <c r="G706" s="16" t="n">
        <f aca="false">G701</f>
        <v>863.695294904439</v>
      </c>
    </row>
    <row r="707" customFormat="false" ht="17.15" hidden="false" customHeight="false" outlineLevel="0" collapsed="false">
      <c r="A707" s="0" t="s">
        <v>701</v>
      </c>
      <c r="B707" s="0" t="s">
        <v>309</v>
      </c>
      <c r="C707" s="16" t="n">
        <f aca="false">a26_dc</f>
        <v>193.7</v>
      </c>
      <c r="D707" s="16" t="n">
        <f aca="false">a27_dc</f>
        <v>375.4567975</v>
      </c>
      <c r="E707" s="16" t="n">
        <f aca="false">E692+E695+E697</f>
        <v>657.914140635883</v>
      </c>
      <c r="F707" s="16" t="n">
        <f aca="false">F692+F695+F697</f>
        <v>737.142909109179</v>
      </c>
      <c r="G707" s="16" t="n">
        <f aca="false">G692+G695+G697</f>
        <v>826.937903364759</v>
      </c>
    </row>
    <row r="708" customFormat="false" ht="15" hidden="false" customHeight="false" outlineLevel="0" collapsed="false">
      <c r="A708" s="0" t="s">
        <v>647</v>
      </c>
      <c r="B708" s="0" t="s">
        <v>309</v>
      </c>
      <c r="C708" s="16" t="n">
        <f aca="false">a26_edge</f>
        <v>22.238</v>
      </c>
      <c r="D708" s="16" t="n">
        <f aca="false">a27_edge</f>
        <v>29.1792025</v>
      </c>
      <c r="E708" s="16" t="n">
        <f aca="false">E699</f>
        <v>31.5135387</v>
      </c>
      <c r="F708" s="16" t="n">
        <f aca="false">F699</f>
        <v>34.034621796</v>
      </c>
      <c r="G708" s="16" t="n">
        <f aca="false">G699</f>
        <v>36.75739153968</v>
      </c>
    </row>
    <row r="709" customFormat="false" ht="15" hidden="false" customHeight="false" outlineLevel="0" collapsed="false">
      <c r="A709" s="5" t="s">
        <v>702</v>
      </c>
      <c r="B709" s="0" t="s">
        <v>41</v>
      </c>
      <c r="D709" s="17" t="n">
        <f aca="false">D706/C706-1</f>
        <v>0.873852679935908</v>
      </c>
      <c r="E709" s="17" t="n">
        <f aca="false">E706/D706-1</f>
        <v>0.70382190248985</v>
      </c>
      <c r="F709" s="17" t="n">
        <f aca="false">F706/E706-1</f>
        <v>0.118576398974936</v>
      </c>
      <c r="G709" s="17" t="n">
        <f aca="false">G706/F706-1</f>
        <v>0.119969475628609</v>
      </c>
    </row>
    <row r="710" customFormat="false" ht="15" hidden="false" customHeight="false" outlineLevel="0" collapsed="false">
      <c r="A710" s="5" t="s">
        <v>703</v>
      </c>
      <c r="B710" s="0" t="s">
        <v>309</v>
      </c>
      <c r="C710" s="16" t="n">
        <f aca="false">a26_gp</f>
        <v>153.463</v>
      </c>
      <c r="D710" s="16" t="n">
        <f aca="false">a27_gp</f>
        <v>298.161</v>
      </c>
      <c r="E710" s="16" t="n">
        <f aca="false">E706-E702</f>
        <v>473.712805377614</v>
      </c>
      <c r="F710" s="16" t="n">
        <f aca="false">F706-F702</f>
        <v>503.775903291138</v>
      </c>
      <c r="G710" s="16" t="n">
        <f aca="false">G706-G702</f>
        <v>573.708114156012</v>
      </c>
    </row>
    <row r="711" customFormat="false" ht="15" hidden="false" customHeight="false" outlineLevel="0" collapsed="false">
      <c r="A711" s="5" t="s">
        <v>543</v>
      </c>
      <c r="B711" s="0" t="s">
        <v>41</v>
      </c>
      <c r="C711" s="17" t="n">
        <f aca="false">C710/C706</f>
        <v>0.710680843575471</v>
      </c>
      <c r="D711" s="17" t="n">
        <f aca="false">D710/D706</f>
        <v>0.736862266333198</v>
      </c>
      <c r="E711" s="17" t="n">
        <f aca="false">E710/E706</f>
        <v>0.687110221385273</v>
      </c>
      <c r="F711" s="17" t="n">
        <f aca="false">F710/F706</f>
        <v>0.653255421873904</v>
      </c>
      <c r="G711" s="17" t="n">
        <f aca="false">G710/G706</f>
        <v>0.664248280082953</v>
      </c>
    </row>
    <row r="712" customFormat="false" ht="17.15" hidden="false" customHeight="false" outlineLevel="0" collapsed="false">
      <c r="A712" s="5" t="s">
        <v>704</v>
      </c>
      <c r="B712" s="0" t="s">
        <v>309</v>
      </c>
      <c r="C712" s="16" t="n">
        <f aca="false">a26_opx</f>
        <v>23.076</v>
      </c>
      <c r="D712" s="16" t="n">
        <f aca="false">a27_opx</f>
        <v>35.165</v>
      </c>
      <c r="E712" s="16" t="n">
        <f aca="false">D712*(1+MAX(g_opx_min,phi*E709))</f>
        <v>50.0149383206333</v>
      </c>
      <c r="F712" s="16" t="n">
        <f aca="false">E712*(1+MAX(g_opx_min,phi*F709))</f>
        <v>53.5732930892419</v>
      </c>
      <c r="G712" s="16" t="n">
        <f aca="false">F712*(1+MAX(g_opx_min,phi*G709))</f>
        <v>57.4295890170104</v>
      </c>
      <c r="H712" s="5" t="s">
        <v>705</v>
      </c>
    </row>
    <row r="713" customFormat="false" ht="15" hidden="false" customHeight="false" outlineLevel="0" collapsed="false">
      <c r="A713" s="5" t="s">
        <v>706</v>
      </c>
      <c r="B713" s="0" t="s">
        <v>309</v>
      </c>
      <c r="C713" s="16" t="n">
        <f aca="false">C712</f>
        <v>23.076</v>
      </c>
      <c r="D713" s="16" t="n">
        <f aca="false">D712</f>
        <v>35.165</v>
      </c>
      <c r="E713" s="16" t="n">
        <f aca="false">E712+opx_adj_lo*E706</f>
        <v>36.2263847339157</v>
      </c>
      <c r="F713" s="16" t="n">
        <f aca="false">F712+opx_adj_lo*F706</f>
        <v>38.1497424711383</v>
      </c>
      <c r="G713" s="16" t="n">
        <f aca="false">G712+opx_adj_lo*G706</f>
        <v>40.1556831189216</v>
      </c>
    </row>
    <row r="714" customFormat="false" ht="15" hidden="false" customHeight="false" outlineLevel="0" collapsed="false">
      <c r="A714" s="5" t="s">
        <v>546</v>
      </c>
      <c r="B714" s="0" t="s">
        <v>309</v>
      </c>
      <c r="C714" s="16" t="n">
        <f aca="false">C710-C713</f>
        <v>130.387</v>
      </c>
      <c r="D714" s="16" t="n">
        <f aca="false">D710-D713</f>
        <v>262.996</v>
      </c>
      <c r="E714" s="16" t="n">
        <f aca="false">E710-E713</f>
        <v>437.486420643698</v>
      </c>
      <c r="F714" s="16" t="n">
        <f aca="false">F710-F713</f>
        <v>465.62616082</v>
      </c>
      <c r="G714" s="16" t="n">
        <f aca="false">G710-G713</f>
        <v>533.552431037091</v>
      </c>
    </row>
    <row r="715" customFormat="false" ht="15" hidden="false" customHeight="false" outlineLevel="0" collapsed="false">
      <c r="A715" s="5" t="s">
        <v>648</v>
      </c>
      <c r="B715" s="0" t="s">
        <v>41</v>
      </c>
      <c r="C715" s="17" t="n">
        <f aca="false">C714/C706</f>
        <v>0.603816836314127</v>
      </c>
      <c r="D715" s="17" t="n">
        <f aca="false">D714/D706</f>
        <v>0.649956998388675</v>
      </c>
      <c r="E715" s="17" t="n">
        <f aca="false">E714/E706</f>
        <v>0.634564630571728</v>
      </c>
      <c r="F715" s="17" t="n">
        <f aca="false">F714/F706</f>
        <v>0.603785953506018</v>
      </c>
      <c r="G715" s="17" t="n">
        <f aca="false">G714/G706</f>
        <v>0.617755398443063</v>
      </c>
    </row>
    <row r="716" customFormat="false" ht="15" hidden="false" customHeight="false" outlineLevel="0" collapsed="false">
      <c r="A716" s="5" t="s">
        <v>551</v>
      </c>
      <c r="B716" s="0" t="s">
        <v>309</v>
      </c>
      <c r="C716" s="20" t="n">
        <f aca="false">a26_oth</f>
        <v>2.145</v>
      </c>
      <c r="D716" s="20" t="n">
        <f aca="false">a27_oth</f>
        <v>1.133</v>
      </c>
      <c r="E716" s="20" t="n">
        <f aca="false">oth_f</f>
        <v>1.2</v>
      </c>
      <c r="F716" s="20" t="n">
        <f aca="false">oth_f</f>
        <v>1.2</v>
      </c>
      <c r="G716" s="20" t="n">
        <f aca="false">oth_f</f>
        <v>1.2</v>
      </c>
    </row>
    <row r="717" customFormat="false" ht="15" hidden="false" customHeight="false" outlineLevel="0" collapsed="false">
      <c r="A717" s="5" t="s">
        <v>560</v>
      </c>
      <c r="B717" s="0" t="s">
        <v>41</v>
      </c>
      <c r="C717" s="17" t="n">
        <f aca="false">1-a26_ni/(a26_oi+a26_oth)</f>
        <v>0.151187565812244</v>
      </c>
      <c r="D717" s="17" t="n">
        <f aca="false">a27_etr</f>
        <v>0.167980835756566</v>
      </c>
      <c r="E717" s="17" t="n">
        <f aca="false">tx_f</f>
        <v>0.17</v>
      </c>
      <c r="F717" s="17" t="n">
        <f aca="false">tx_f</f>
        <v>0.17</v>
      </c>
      <c r="G717" s="17" t="n">
        <f aca="false">tx_f</f>
        <v>0.17</v>
      </c>
    </row>
    <row r="718" customFormat="false" ht="15" hidden="false" customHeight="false" outlineLevel="0" collapsed="false">
      <c r="A718" s="5" t="s">
        <v>649</v>
      </c>
      <c r="B718" s="0" t="s">
        <v>309</v>
      </c>
      <c r="C718" s="16" t="n">
        <f aca="false">a26_ni</f>
        <v>112.494809527772</v>
      </c>
      <c r="D718" s="16" t="n">
        <f aca="false">a27_ni</f>
        <v>219.760389832454</v>
      </c>
      <c r="E718" s="16" t="n">
        <f aca="false">(E714+E716)*(1-E717)</f>
        <v>364.109729134269</v>
      </c>
      <c r="F718" s="16" t="n">
        <f aca="false">(F714+F716)*(1-F717)</f>
        <v>387.4657134806</v>
      </c>
      <c r="G718" s="16" t="n">
        <f aca="false">(G714+G716)*(1-G717)</f>
        <v>443.844517760785</v>
      </c>
    </row>
    <row r="719" customFormat="false" ht="15" hidden="false" customHeight="false" outlineLevel="0" collapsed="false">
      <c r="A719" s="5" t="s">
        <v>707</v>
      </c>
      <c r="B719" s="5" t="s">
        <v>708</v>
      </c>
      <c r="C719" s="18" t="n">
        <f aca="false">a26_sh</f>
        <v>24.5145</v>
      </c>
      <c r="D719" s="18" t="n">
        <f aca="false">a27_sh</f>
        <v>24.25691339125</v>
      </c>
      <c r="E719" s="18" t="n">
        <f aca="false">D719*(1+sh_g)</f>
        <v>23.965830430555</v>
      </c>
      <c r="F719" s="18" t="n">
        <f aca="false">E719*(1+sh_g)</f>
        <v>23.6782404653883</v>
      </c>
      <c r="G719" s="18" t="n">
        <f aca="false">F719*(1+sh_g)</f>
        <v>23.3941015798037</v>
      </c>
    </row>
    <row r="720" customFormat="false" ht="17.15" hidden="false" customHeight="false" outlineLevel="0" collapsed="false">
      <c r="A720" s="0" t="s">
        <v>650</v>
      </c>
      <c r="B720" s="0" t="s">
        <v>420</v>
      </c>
      <c r="C720" s="20" t="n">
        <f aca="false">C718/C719</f>
        <v>4.58890899376988</v>
      </c>
      <c r="D720" s="20" t="n">
        <f aca="false">D718/D719</f>
        <v>9.05970130196888</v>
      </c>
      <c r="E720" s="20" t="n">
        <f aca="false">E718/E719</f>
        <v>15.1928692890212</v>
      </c>
      <c r="F720" s="20" t="n">
        <f aca="false">F718/F719</f>
        <v>16.3637882657277</v>
      </c>
      <c r="G720" s="20" t="n">
        <f aca="false">G718/G719</f>
        <v>18.9724968170592</v>
      </c>
    </row>
    <row r="721" customFormat="false" ht="17.15" hidden="false" customHeight="false" outlineLevel="0" collapsed="false">
      <c r="A721" s="0" t="s">
        <v>709</v>
      </c>
      <c r="B721" s="0" t="s">
        <v>41</v>
      </c>
      <c r="D721" s="17" t="n">
        <f aca="false">D720/C720-1</f>
        <v>0.974260399207908</v>
      </c>
      <c r="E721" s="17" t="n">
        <f aca="false">E720/D720-1</f>
        <v>0.676972427967296</v>
      </c>
      <c r="F721" s="17" t="n">
        <f aca="false">F720/E720-1</f>
        <v>0.0770702988639924</v>
      </c>
      <c r="G721" s="17" t="n">
        <f aca="false">G720/F720-1</f>
        <v>0.15941959825985</v>
      </c>
    </row>
    <row r="724" customFormat="false" ht="17.15" hidden="false" customHeight="false" outlineLevel="0" collapsed="false">
      <c r="A724" s="4" t="s">
        <v>1102</v>
      </c>
    </row>
    <row r="725" customFormat="false" ht="15" hidden="false" customHeight="false" outlineLevel="0" collapsed="false">
      <c r="A725" s="6" t="s">
        <v>19</v>
      </c>
      <c r="B725" s="6" t="s">
        <v>20</v>
      </c>
      <c r="C725" s="12" t="s">
        <v>639</v>
      </c>
      <c r="D725" s="12" t="s">
        <v>640</v>
      </c>
      <c r="E725" s="12" t="s">
        <v>641</v>
      </c>
      <c r="F725" s="12" t="s">
        <v>642</v>
      </c>
      <c r="G725" s="12" t="s">
        <v>643</v>
      </c>
      <c r="H725" s="6" t="s">
        <v>592</v>
      </c>
    </row>
    <row r="726" customFormat="false" ht="17.15" hidden="false" customHeight="false" outlineLevel="0" collapsed="false">
      <c r="A726" s="1" t="s">
        <v>658</v>
      </c>
    </row>
    <row r="727" customFormat="false" ht="17.15" hidden="false" customHeight="false" outlineLevel="0" collapsed="false">
      <c r="A727" s="0" t="s">
        <v>659</v>
      </c>
      <c r="B727" s="0" t="s">
        <v>126</v>
      </c>
      <c r="D727" s="18" t="n">
        <f aca="false">k_rec</f>
        <v>0.828370921864097</v>
      </c>
      <c r="E727" s="18" t="n">
        <f aca="false">k_rec*1</f>
        <v>0.828370921864097</v>
      </c>
      <c r="F727" s="18" t="n">
        <f aca="false">k_rec*1</f>
        <v>0.828370921864097</v>
      </c>
      <c r="G727" s="18" t="n">
        <f aca="false">k_rec*1</f>
        <v>0.828370921864097</v>
      </c>
    </row>
    <row r="728" customFormat="false" ht="17.15" hidden="false" customHeight="false" outlineLevel="0" collapsed="false">
      <c r="A728" s="0" t="s">
        <v>660</v>
      </c>
      <c r="B728" s="5" t="s">
        <v>30</v>
      </c>
      <c r="D728" s="20" t="n">
        <f aca="false">(u_bw_26)*D727</f>
        <v>4.47320297806612</v>
      </c>
      <c r="E728" s="20" t="n">
        <f aca="false">(u_bw_27)*E727</f>
        <v>1.98809021247383</v>
      </c>
      <c r="F728" s="20" t="n">
        <f aca="false">(u_bw_28*um28_A)*F727</f>
        <v>0.414185460932049</v>
      </c>
      <c r="G728" s="20" t="n">
        <f aca="false">(u_bw_28*(1+g29_bw)*um29_A)*G727</f>
        <v>0.207092730466024</v>
      </c>
    </row>
    <row r="729" customFormat="false" ht="17.15" hidden="false" customHeight="false" outlineLevel="0" collapsed="false">
      <c r="A729" s="0" t="s">
        <v>661</v>
      </c>
      <c r="B729" s="5" t="s">
        <v>30</v>
      </c>
      <c r="D729" s="20" t="n">
        <f aca="false">(u_rb_26)*D727</f>
        <v>1.40823056716896</v>
      </c>
      <c r="E729" s="20" t="n">
        <f aca="false">(u_rb_27)*E727</f>
        <v>5.79859645304868</v>
      </c>
      <c r="F729" s="20" t="n">
        <f aca="false">(u_rb_28*um28_A)*F727</f>
        <v>5.79859645304868</v>
      </c>
      <c r="G729" s="20" t="n">
        <f aca="false">(u_rb_28*(1+g29_rb)*um29_A)*G727</f>
        <v>6.66838592100598</v>
      </c>
    </row>
    <row r="730" customFormat="false" ht="17.15" hidden="false" customHeight="false" outlineLevel="0" collapsed="false">
      <c r="A730" s="0" t="s">
        <v>662</v>
      </c>
      <c r="B730" s="5" t="s">
        <v>30</v>
      </c>
      <c r="D730" s="20" t="n">
        <f aca="false">(u_ru_26)*D727</f>
        <v>0</v>
      </c>
      <c r="E730" s="20" t="n">
        <f aca="false">(u_ru_27)*E727</f>
        <v>0.248511276559229</v>
      </c>
      <c r="F730" s="20" t="n">
        <f aca="false">(u_ru_28*um28_A)*F727</f>
        <v>1.65674184372819</v>
      </c>
      <c r="G730" s="20" t="n">
        <f aca="false">(u_ru_28*(1+g29_ru)*um29_A)*G727</f>
        <v>1.90525312028742</v>
      </c>
    </row>
    <row r="731" customFormat="false" ht="17.15" hidden="false" customHeight="false" outlineLevel="0" collapsed="false">
      <c r="A731" s="0" t="s">
        <v>663</v>
      </c>
      <c r="B731" s="5" t="s">
        <v>30</v>
      </c>
      <c r="D731" s="20" t="n">
        <f aca="false">(u_hp_26)*D727</f>
        <v>0.414185460932049</v>
      </c>
      <c r="E731" s="20" t="n">
        <f aca="false">(u_hp_27)*E727</f>
        <v>0</v>
      </c>
      <c r="F731" s="20" t="n">
        <f aca="false">(u_hp_28*um28_A)*F727</f>
        <v>0</v>
      </c>
      <c r="G731" s="20" t="n">
        <f aca="false">(u_hp_28*(1+g29_hp)*um29_A)*G727</f>
        <v>0</v>
      </c>
    </row>
    <row r="732" customFormat="false" ht="17.15" hidden="false" customHeight="false" outlineLevel="0" collapsed="false">
      <c r="A732" s="0" t="s">
        <v>664</v>
      </c>
      <c r="B732" s="5" t="s">
        <v>30</v>
      </c>
      <c r="D732" s="20" t="n">
        <f aca="false">SUM(D728:D731)</f>
        <v>6.29561900616714</v>
      </c>
      <c r="E732" s="20" t="n">
        <f aca="false">SUM(E728:E731)</f>
        <v>8.03519794208174</v>
      </c>
      <c r="F732" s="20" t="n">
        <f aca="false">SUM(F728:F731)</f>
        <v>7.86952375770892</v>
      </c>
      <c r="G732" s="20" t="n">
        <f aca="false">SUM(G728:G731)</f>
        <v>8.78073177175943</v>
      </c>
      <c r="H732" s="8" t="s">
        <v>665</v>
      </c>
    </row>
    <row r="733" customFormat="false" ht="17.15" hidden="false" customHeight="false" outlineLevel="0" collapsed="false">
      <c r="A733" s="0" t="s">
        <v>666</v>
      </c>
      <c r="B733" s="0" t="s">
        <v>174</v>
      </c>
      <c r="D733" s="20" t="n">
        <f aca="false">1*(pm_bw+pcpu_bw+plp_bw+k_tray*pres_bw)+(1-abs_mem)*(gb_bw_26*hpx_bw*(hbm_A_26/hbm_A_26-1)/1000+plp_bw*(cdx_A_26/cdx_A_26-1))</f>
        <v>47.005555</v>
      </c>
      <c r="E733" s="20" t="n">
        <f aca="false">1*(pm_bw+pcpu_bw+plp_bw+k_tray*pres_bw)+(1-abs_mem)*(gb_bw_27*hpx_bw*(hbm_A_27/hbm_A_26-1)/1000+plp_bw*(cdx_A_27/cdx_A_26-1))</f>
        <v>49.1868731800491</v>
      </c>
      <c r="F733" s="20" t="n">
        <f aca="false">1*(pm_bw+pcpu_bw+plp_bw+k_tray*pres_bw)+(1-abs_mem)*(gb_bw_28*hpx_bw*(hbm_A_28/hbm_A_26-1)/1000+plp_bw*(cdx_A_28/cdx_A_26-1))</f>
        <v>49.4475301208957</v>
      </c>
      <c r="G733" s="20" t="n">
        <f aca="false">1*(pm_bw+pcpu_bw+plp_bw+k_tray*pres_bw)+(1-abs_mem)*(gb_bw_28*hpx_bw*(hbm_A_29/hbm_A_26-1)/1000+plp_bw*(cdx_A_29/cdx_A_26-1))</f>
        <v>49.0541422400875</v>
      </c>
      <c r="H733" s="5" t="s">
        <v>667</v>
      </c>
    </row>
    <row r="734" customFormat="false" ht="17.15" hidden="false" customHeight="false" outlineLevel="0" collapsed="false">
      <c r="A734" s="0" t="s">
        <v>668</v>
      </c>
      <c r="B734" s="0" t="s">
        <v>174</v>
      </c>
      <c r="D734" s="20" t="n">
        <f aca="false">1*(pm_rb+pcpu_rb+plp_rb+k_tray*pres_rb)+(1-abs_mem)*(gb_rb_26*hpx_rb*(hbm_A_26/hbm_A_26-1)/1000+plp_rb*(cdx_A_26/cdx_A_26-1))</f>
        <v>72.166667</v>
      </c>
      <c r="E734" s="20" t="n">
        <f aca="false">1*(pm_rb+pcpu_rb+plp_rb+k_tray*pres_rb)+(1-abs_mem)*(gb_rb_27*hpx_rb*(hbm_A_27/hbm_A_26-1)/1000+plp_rb*(cdx_A_27/cdx_A_26-1))</f>
        <v>74.8239724084115</v>
      </c>
      <c r="F734" s="20" t="n">
        <f aca="false">1*(pm_rb+pcpu_rb+plp_rb+k_tray*pres_rb)+(1-abs_mem)*(gb_rb_28*hpx_rb*(hbm_A_28/hbm_A_26-1)/1000+plp_rb*(cdx_A_28/cdx_A_26-1))</f>
        <v>74.9427371790653</v>
      </c>
      <c r="G734" s="20" t="n">
        <f aca="false">1*(pm_rb+pcpu_rb+plp_rb+k_tray*pres_rb)+(1-abs_mem)*(gb_rb_28*hpx_rb*(hbm_A_29/hbm_A_26-1)/1000+plp_rb*(cdx_A_29/cdx_A_26-1))</f>
        <v>74.4206762269425</v>
      </c>
    </row>
    <row r="735" customFormat="false" ht="17.15" hidden="false" customHeight="false" outlineLevel="0" collapsed="false">
      <c r="A735" s="0" t="s">
        <v>669</v>
      </c>
      <c r="B735" s="0" t="s">
        <v>174</v>
      </c>
      <c r="D735" s="20" t="n">
        <f aca="false">1*(pm_ru+pcpu_ru+plp_ru+k_tray*pres_ru)+(1-abs_mem)*(gb_ru_26*hpx_ru*(hbm_A_26/hbm_A_26-1)/1000+plp_ru*(cdx_A_26/cdx_A_26-1))</f>
        <v>92.166667</v>
      </c>
      <c r="E735" s="20" t="n">
        <f aca="false">1*(pm_ru+pcpu_ru+plp_ru+k_tray*pres_ru)+(1-abs_mem)*(gb_ru_27*hpx_ru*(hbm_A_27/hbm_A_26-1)/1000+plp_ru*(cdx_A_27/cdx_A_26-1))</f>
        <v>99.7404524084115</v>
      </c>
      <c r="F735" s="20" t="n">
        <f aca="false">1*(pm_ru+pcpu_ru+plp_ru+k_tray*pres_ru)+(1-abs_mem)*(gb_ru_28*hpx_ru*(hbm_A_28/hbm_A_26-1)/1000+plp_ru*(cdx_A_28/cdx_A_26-1))</f>
        <v>100.965425179065</v>
      </c>
      <c r="G735" s="20" t="n">
        <f aca="false">1*(pm_ru+pcpu_ru+plp_ru+k_tray*pres_ru)+(1-abs_mem)*(gb_ru_28*hpx_ru*(hbm_A_29/hbm_A_26-1)/1000+plp_ru*(cdx_A_29/cdx_A_26-1))</f>
        <v>99.8349498269425</v>
      </c>
    </row>
    <row r="736" customFormat="false" ht="17.15" hidden="false" customHeight="false" outlineLevel="0" collapsed="false">
      <c r="A736" s="0" t="s">
        <v>670</v>
      </c>
      <c r="B736" s="0" t="s">
        <v>174</v>
      </c>
      <c r="D736" s="20" t="n">
        <f aca="false">1*(pm_hp+pcpu_hp+plp_hp+k_tray*pres_hp)+(1-abs_mem)*(gb_hp_26*hpx_hp*(hbm_A_26/hbm_A_26-1)/1000+plp_hp*(cdx_A_26/cdx_A_26-1))</f>
        <v>30</v>
      </c>
      <c r="E736" s="20" t="n">
        <f aca="false">1*(pm_hp+pcpu_hp+plp_hp+k_tray*pres_hp)+(1-abs_mem)*(gb_hp_27*hpx_hp*(hbm_A_27/hbm_A_26-1)/1000+plp_hp*(cdx_A_27/cdx_A_26-1))</f>
        <v>30.8742</v>
      </c>
      <c r="F736" s="20" t="n">
        <f aca="false">1*(pm_hp+pcpu_hp+plp_hp+k_tray*pres_hp)+(1-abs_mem)*(gb_hp_28*hpx_hp*(hbm_A_28/hbm_A_26-1)/1000+plp_hp*(cdx_A_28/cdx_A_26-1))</f>
        <v>31.070895</v>
      </c>
      <c r="G736" s="20" t="n">
        <f aca="false">1*(pm_hp+pcpu_hp+plp_hp+k_tray*pres_hp)+(1-abs_mem)*(gb_hp_28*hpx_hp*(hbm_A_29/hbm_A_26-1)/1000+plp_hp*(cdx_A_29/cdx_A_26-1))</f>
        <v>30.96271275</v>
      </c>
    </row>
    <row r="737" customFormat="false" ht="17.15" hidden="false" customHeight="false" outlineLevel="0" collapsed="false">
      <c r="A737" s="0" t="s">
        <v>671</v>
      </c>
      <c r="B737" s="0" t="s">
        <v>174</v>
      </c>
      <c r="D737" s="20" t="n">
        <f aca="false">gb_bw_26*hpx_bw*hbm_A_26/hbm_A_26/1000</f>
        <v>4.03</v>
      </c>
      <c r="E737" s="20" t="n">
        <f aca="false">gb_bw_27*hpx_bw*hbm_A_27/hbm_A_26/1000</f>
        <v>7.812</v>
      </c>
      <c r="F737" s="20" t="n">
        <f aca="false">gb_bw_28*hpx_bw*hbm_A_28/hbm_A_26/1000</f>
        <v>8.83872</v>
      </c>
      <c r="G737" s="20" t="n">
        <f aca="false">gb_bw_28*hpx_bw*hbm_A_29/hbm_A_26/1000</f>
        <v>8.396784</v>
      </c>
      <c r="H737" s="5" t="s">
        <v>672</v>
      </c>
    </row>
    <row r="738" customFormat="false" ht="17.15" hidden="false" customHeight="false" outlineLevel="0" collapsed="false">
      <c r="A738" s="0" t="s">
        <v>673</v>
      </c>
      <c r="B738" s="0" t="s">
        <v>174</v>
      </c>
      <c r="D738" s="20" t="n">
        <f aca="false">gb_rb_26*hpx_rb*hbm_A_26/hbm_A_26/1000</f>
        <v>4.8096</v>
      </c>
      <c r="E738" s="20" t="n">
        <f aca="false">gb_rb_27*hpx_rb*hbm_A_27/hbm_A_26/1000</f>
        <v>8.65728</v>
      </c>
      <c r="F738" s="20" t="n">
        <f aca="false">gb_rb_28*hpx_rb*hbm_A_28/hbm_A_26/1000</f>
        <v>9.523008</v>
      </c>
      <c r="G738" s="20" t="n">
        <f aca="false">gb_rb_28*hpx_rb*hbm_A_29/hbm_A_26/1000</f>
        <v>9.0468576</v>
      </c>
    </row>
    <row r="739" customFormat="false" ht="17.15" hidden="false" customHeight="false" outlineLevel="0" collapsed="false">
      <c r="A739" s="0" t="s">
        <v>674</v>
      </c>
      <c r="B739" s="0" t="s">
        <v>174</v>
      </c>
      <c r="D739" s="20" t="n">
        <f aca="false">gb_ru_26*hpx_ru*hbm_A_26/hbm_A_26/1000</f>
        <v>17.1008</v>
      </c>
      <c r="E739" s="20" t="n">
        <f aca="false">gb_ru_27*hpx_ru*hbm_A_27/hbm_A_26/1000</f>
        <v>30.78144</v>
      </c>
      <c r="F739" s="20" t="n">
        <f aca="false">gb_ru_28*hpx_ru*hbm_A_28/hbm_A_26/1000</f>
        <v>33.859584</v>
      </c>
      <c r="G739" s="20" t="n">
        <f aca="false">gb_ru_28*hpx_ru*hbm_A_29/hbm_A_26/1000</f>
        <v>32.1666048</v>
      </c>
    </row>
    <row r="740" customFormat="false" ht="17.15" hidden="false" customHeight="false" outlineLevel="0" collapsed="false">
      <c r="A740" s="0" t="s">
        <v>675</v>
      </c>
      <c r="B740" s="0" t="s">
        <v>174</v>
      </c>
      <c r="D740" s="20" t="n">
        <f aca="false">gb_hp_26*hpx_hp*hbm_A_26/hbm_A_26/1000</f>
        <v>2.1855</v>
      </c>
      <c r="E740" s="20" t="n">
        <f aca="false">gb_hp_27*hpx_hp*hbm_A_27/hbm_A_26/1000</f>
        <v>3.9339</v>
      </c>
      <c r="F740" s="20" t="n">
        <f aca="false">gb_hp_28*hpx_hp*hbm_A_28/hbm_A_26/1000</f>
        <v>4.32729</v>
      </c>
      <c r="G740" s="20" t="n">
        <f aca="false">gb_hp_28*hpx_hp*hbm_A_29/hbm_A_26/1000</f>
        <v>4.1109255</v>
      </c>
    </row>
    <row r="741" customFormat="false" ht="17.15" hidden="false" customHeight="false" outlineLevel="0" collapsed="false">
      <c r="A741" s="0" t="s">
        <v>676</v>
      </c>
      <c r="B741" s="0" t="s">
        <v>174</v>
      </c>
      <c r="D741" s="20" t="n">
        <f aca="false">1*c_nh*(pm_bw+pcpu_bw+plp_bw+k_tray*pres_bw)+D737+plp_bw*(cdx_A_26/cdx_A_26-1)</f>
        <v>11.8212823332139</v>
      </c>
      <c r="E741" s="20" t="n">
        <f aca="false">1*c_nh*(pm_bw+pcpu_bw+plp_bw+k_tray*pres_bw)+E737+plp_bw*(cdx_A_27/cdx_A_26-1)</f>
        <v>16.493918693312</v>
      </c>
      <c r="F741" s="20" t="n">
        <f aca="false">1*c_nh*(pm_bw+pcpu_bw+plp_bw+k_tray*pres_bw)+F737+plp_bw*(cdx_A_28/cdx_A_26-1)</f>
        <v>17.1392325750052</v>
      </c>
      <c r="G741" s="20" t="n">
        <f aca="false">1*c_nh*(pm_bw+pcpu_bw+plp_bw+k_tray*pres_bw)+G737+plp_bw*(cdx_A_29/cdx_A_26-1)</f>
        <v>16.3524568133889</v>
      </c>
      <c r="H741" s="5" t="s">
        <v>677</v>
      </c>
    </row>
    <row r="742" customFormat="false" ht="17.15" hidden="false" customHeight="false" outlineLevel="0" collapsed="false">
      <c r="A742" s="0" t="s">
        <v>678</v>
      </c>
      <c r="B742" s="0" t="s">
        <v>174</v>
      </c>
      <c r="D742" s="20" t="n">
        <f aca="false">1*c_nh*(pm_rb+pcpu_rb+plp_rb+k_tray*pres_rb)+D738+plp_rb*(cdx_A_26/cdx_A_26-1)</f>
        <v>16.7713963801093</v>
      </c>
      <c r="E742" s="20" t="n">
        <f aca="false">1*c_nh*(pm_rb+pcpu_rb+plp_rb+k_tray*pres_rb)+E738+plp_rb*(cdx_A_27/cdx_A_26-1)</f>
        <v>22.0860071969322</v>
      </c>
      <c r="F742" s="20" t="n">
        <f aca="false">1*c_nh*(pm_rb+pcpu_rb+plp_rb+k_tray*pres_rb)+F738+plp_rb*(cdx_A_28/cdx_A_26-1)</f>
        <v>22.3235367382399</v>
      </c>
      <c r="G742" s="20" t="n">
        <f aca="false">1*c_nh*(pm_rb+pcpu_rb+plp_rb+k_tray*pres_rb)+G738+plp_rb*(cdx_A_29/cdx_A_26-1)</f>
        <v>21.2794148339942</v>
      </c>
    </row>
    <row r="743" customFormat="false" ht="17.15" hidden="false" customHeight="false" outlineLevel="0" collapsed="false">
      <c r="A743" s="0" t="s">
        <v>679</v>
      </c>
      <c r="B743" s="0" t="s">
        <v>174</v>
      </c>
      <c r="D743" s="20" t="n">
        <f aca="false">1*c_nh*(pm_ru+pcpu_ru+plp_ru+k_tray*pres_ru)+D739+plp_ru*(cdx_A_26/cdx_A_26-1)</f>
        <v>32.3776438604396</v>
      </c>
      <c r="E743" s="20" t="n">
        <f aca="false">1*c_nh*(pm_ru+pcpu_ru+plp_ru+k_tray*pres_ru)+E739+plp_ru*(cdx_A_27/cdx_A_26-1)</f>
        <v>47.5252146772625</v>
      </c>
      <c r="F743" s="20" t="n">
        <f aca="false">1*c_nh*(pm_ru+pcpu_ru+plp_ru+k_tray*pres_ru)+F739+plp_ru*(cdx_A_28/cdx_A_26-1)</f>
        <v>49.9751602185702</v>
      </c>
      <c r="G743" s="20" t="n">
        <f aca="false">1*c_nh*(pm_ru+pcpu_ru+plp_ru+k_tray*pres_ru)+G739+plp_ru*(cdx_A_29/cdx_A_26-1)</f>
        <v>47.7142095143245</v>
      </c>
    </row>
    <row r="744" customFormat="false" ht="17.15" hidden="false" customHeight="false" outlineLevel="0" collapsed="false">
      <c r="A744" s="0" t="s">
        <v>680</v>
      </c>
      <c r="B744" s="0" t="s">
        <v>174</v>
      </c>
      <c r="D744" s="20" t="n">
        <f aca="false">1*c_nh*(pm_hp+pcpu_hp+plp_hp+k_tray*pres_hp)+D740+plp_hp*(cdx_A_26/cdx_A_26-1)</f>
        <v>7.15807122049545</v>
      </c>
      <c r="E744" s="20" t="n">
        <f aca="false">1*c_nh*(pm_hp+pcpu_hp+plp_hp+k_tray*pres_hp)+E740+plp_hp*(cdx_A_27/cdx_A_26-1)</f>
        <v>8.90647122049545</v>
      </c>
      <c r="F744" s="20" t="n">
        <f aca="false">1*c_nh*(pm_hp+pcpu_hp+plp_hp+k_tray*pres_hp)+F740+plp_hp*(cdx_A_28/cdx_A_26-1)</f>
        <v>9.29986122049545</v>
      </c>
      <c r="G744" s="20" t="n">
        <f aca="false">1*c_nh*(pm_hp+pcpu_hp+plp_hp+k_tray*pres_hp)+G740+plp_hp*(cdx_A_29/cdx_A_26-1)</f>
        <v>9.08349672049545</v>
      </c>
    </row>
    <row r="745" customFormat="false" ht="17.15" hidden="false" customHeight="false" outlineLevel="0" collapsed="false">
      <c r="A745" s="0" t="s">
        <v>681</v>
      </c>
      <c r="B745" s="0" t="s">
        <v>309</v>
      </c>
      <c r="D745" s="16" t="n">
        <f aca="false">D728*D733</f>
        <v>210.265388611651</v>
      </c>
      <c r="E745" s="16" t="n">
        <f aca="false">E728*E733</f>
        <v>97.7879411514472</v>
      </c>
      <c r="F745" s="16" t="n">
        <f aca="false">F728*F733</f>
        <v>20.4804480550745</v>
      </c>
      <c r="G745" s="16" t="n">
        <f aca="false">G728*G733</f>
        <v>10.1587562571685</v>
      </c>
    </row>
    <row r="746" customFormat="false" ht="17.15" hidden="false" customHeight="false" outlineLevel="0" collapsed="false">
      <c r="A746" s="0" t="s">
        <v>682</v>
      </c>
      <c r="B746" s="0" t="s">
        <v>309</v>
      </c>
      <c r="D746" s="16" t="n">
        <f aca="false">D729*D734</f>
        <v>101.627306400104</v>
      </c>
      <c r="E746" s="16" t="n">
        <f aca="false">E729*E734</f>
        <v>433.874021010427</v>
      </c>
      <c r="F746" s="16" t="n">
        <f aca="false">F729*F734</f>
        <v>434.562689988287</v>
      </c>
      <c r="G746" s="16" t="n">
        <f aca="false">G729*G734</f>
        <v>496.265789583488</v>
      </c>
    </row>
    <row r="747" customFormat="false" ht="17.15" hidden="false" customHeight="false" outlineLevel="0" collapsed="false">
      <c r="A747" s="0" t="s">
        <v>683</v>
      </c>
      <c r="B747" s="0" t="s">
        <v>309</v>
      </c>
      <c r="D747" s="16" t="n">
        <f aca="false">D730*D735</f>
        <v>0</v>
      </c>
      <c r="E747" s="16" t="n">
        <f aca="false">E730*E735</f>
        <v>24.7866271526094</v>
      </c>
      <c r="F747" s="16" t="n">
        <f aca="false">F730*F735</f>
        <v>167.273644663966</v>
      </c>
      <c r="G747" s="16" t="n">
        <f aca="false">G730*G735</f>
        <v>190.21084967152</v>
      </c>
    </row>
    <row r="748" customFormat="false" ht="17.15" hidden="false" customHeight="false" outlineLevel="0" collapsed="false">
      <c r="A748" s="0" t="s">
        <v>684</v>
      </c>
      <c r="B748" s="0" t="s">
        <v>309</v>
      </c>
      <c r="D748" s="16" t="n">
        <f aca="false">D731*D736</f>
        <v>12.4255638279615</v>
      </c>
      <c r="E748" s="16" t="n">
        <f aca="false">E731*E736</f>
        <v>0</v>
      </c>
      <c r="F748" s="16" t="n">
        <f aca="false">F731*F736</f>
        <v>0</v>
      </c>
      <c r="G748" s="16" t="n">
        <f aca="false">G731*G736</f>
        <v>0</v>
      </c>
    </row>
    <row r="749" customFormat="false" ht="17.15" hidden="false" customHeight="false" outlineLevel="0" collapsed="false">
      <c r="A749" s="5" t="s">
        <v>685</v>
      </c>
      <c r="B749" s="0" t="s">
        <v>309</v>
      </c>
      <c r="D749" s="16" t="n">
        <f aca="false">SUM(D745:D748)</f>
        <v>324.318258839716</v>
      </c>
      <c r="E749" s="16" t="n">
        <f aca="false">SUM(E745:E748)</f>
        <v>556.448589314484</v>
      </c>
      <c r="F749" s="16" t="n">
        <f aca="false">SUM(F745:F748)</f>
        <v>622.316782707328</v>
      </c>
      <c r="G749" s="16" t="n">
        <f aca="false">SUM(G745:G748)</f>
        <v>696.635395512176</v>
      </c>
    </row>
    <row r="750" customFormat="false" ht="15" hidden="false" customHeight="false" outlineLevel="0" collapsed="false">
      <c r="A750" s="5" t="s">
        <v>686</v>
      </c>
      <c r="B750" s="0" t="s">
        <v>309</v>
      </c>
      <c r="D750" s="16" t="n">
        <f aca="false">D728*D741+D729*D742+D730*D743+D731*D744</f>
        <v>79.4617574019149</v>
      </c>
      <c r="E750" s="16" t="n">
        <f aca="false">E728*E741+E729*E742+E730*E743+E731*E744</f>
        <v>172.669793081849</v>
      </c>
      <c r="F750" s="16" t="n">
        <f aca="false">F728*F741+F729*F742+F730*F743+F731*F744</f>
        <v>219.339940975085</v>
      </c>
      <c r="G750" s="16" t="n">
        <f aca="false">G728*G741+G729*G742+G730*G743+G731*G744</f>
        <v>236.19347177678</v>
      </c>
    </row>
    <row r="751" customFormat="false" ht="17.15" hidden="false" customHeight="false" outlineLevel="0" collapsed="false">
      <c r="A751" s="5" t="s">
        <v>687</v>
      </c>
      <c r="B751" s="0" t="s">
        <v>309</v>
      </c>
      <c r="D751" s="16" t="n">
        <f aca="false">D728*D737+D729*D738+D730*D739+D731*D740</f>
        <v>25.7052360623293</v>
      </c>
      <c r="E751" s="16" t="n">
        <f aca="false">E728*E737+E729*E738+E730*E739+E731*E740</f>
        <v>73.3805687896262</v>
      </c>
      <c r="F751" s="16" t="n">
        <f aca="false">F728*F737+F729*F738+F730*F739+F731*F740</f>
        <v>114.977539352433</v>
      </c>
      <c r="G751" s="16" t="n">
        <f aca="false">G728*G737+G729*G738+G730*G739+G731*G740</f>
        <v>123.352374939132</v>
      </c>
    </row>
    <row r="752" customFormat="false" ht="17.15" hidden="false" customHeight="false" outlineLevel="0" collapsed="false">
      <c r="A752" s="5" t="s">
        <v>688</v>
      </c>
      <c r="B752" s="0" t="s">
        <v>309</v>
      </c>
      <c r="D752" s="16" t="n">
        <f aca="false">0</f>
        <v>0</v>
      </c>
      <c r="E752" s="16" t="n">
        <f aca="false">0</f>
        <v>0</v>
      </c>
      <c r="F752" s="16" t="n">
        <f aca="false">0</f>
        <v>0</v>
      </c>
      <c r="G752" s="16" t="n">
        <f aca="false">0</f>
        <v>0</v>
      </c>
    </row>
    <row r="753" customFormat="false" ht="15" hidden="false" customHeight="false" outlineLevel="0" collapsed="false">
      <c r="A753" s="5" t="s">
        <v>689</v>
      </c>
      <c r="B753" s="0" t="s">
        <v>309</v>
      </c>
      <c r="D753" s="16" t="n">
        <f aca="false">D752*D750/D749</f>
        <v>0</v>
      </c>
      <c r="E753" s="16" t="n">
        <f aca="false">E752*E750/E749</f>
        <v>0</v>
      </c>
      <c r="F753" s="16" t="n">
        <f aca="false">F752*F750/F749</f>
        <v>0</v>
      </c>
      <c r="G753" s="16" t="n">
        <f aca="false">G752*G750/G749</f>
        <v>0</v>
      </c>
    </row>
    <row r="754" customFormat="false" ht="17.15" hidden="false" customHeight="false" outlineLevel="0" collapsed="false">
      <c r="A754" s="0" t="s">
        <v>690</v>
      </c>
      <c r="B754" s="0" t="s">
        <v>309</v>
      </c>
      <c r="D754" s="16" t="n">
        <f aca="false">net_26*1*D727</f>
        <v>51.1385386602837</v>
      </c>
      <c r="E754" s="16" t="n">
        <f aca="false">net_27*1*E727</f>
        <v>101.465551321399</v>
      </c>
      <c r="F754" s="16" t="n">
        <f aca="false">net_28*um28_A*F727</f>
        <v>114.826126401851</v>
      </c>
      <c r="G754" s="16" t="n">
        <f aca="false">net_29*um29_A*G727</f>
        <v>130.302507852582</v>
      </c>
      <c r="H754" s="8" t="s">
        <v>691</v>
      </c>
    </row>
    <row r="755" customFormat="false" ht="17.15" hidden="false" customHeight="false" outlineLevel="0" collapsed="false">
      <c r="A755" s="5" t="s">
        <v>692</v>
      </c>
      <c r="B755" s="0" t="s">
        <v>309</v>
      </c>
      <c r="D755" s="16" t="n">
        <f aca="false">c_net*D754</f>
        <v>15.3415615980851</v>
      </c>
      <c r="E755" s="16" t="n">
        <f aca="false">c_net*E754</f>
        <v>30.4396653964198</v>
      </c>
      <c r="F755" s="16" t="n">
        <f aca="false">c_net*F754</f>
        <v>34.4478379205554</v>
      </c>
      <c r="G755" s="16" t="n">
        <f aca="false">c_net*G754</f>
        <v>39.0907523557747</v>
      </c>
    </row>
    <row r="756" customFormat="false" ht="17.15" hidden="false" customHeight="false" outlineLevel="0" collapsed="false">
      <c r="A756" s="0" t="s">
        <v>693</v>
      </c>
      <c r="B756" s="0" t="s">
        <v>309</v>
      </c>
      <c r="D756" s="16" t="n">
        <f aca="false">a27_edge</f>
        <v>29.1792025</v>
      </c>
      <c r="E756" s="16" t="n">
        <f aca="false">D756*(1+eg)</f>
        <v>31.5135387</v>
      </c>
      <c r="F756" s="16" t="n">
        <f aca="false">E756*(1+eg)</f>
        <v>34.034621796</v>
      </c>
      <c r="G756" s="16" t="n">
        <f aca="false">F756*(1+eg)</f>
        <v>36.75739153968</v>
      </c>
    </row>
    <row r="757" customFormat="false" ht="17.15" hidden="false" customHeight="false" outlineLevel="0" collapsed="false">
      <c r="A757" s="0" t="s">
        <v>694</v>
      </c>
      <c r="B757" s="0" t="s">
        <v>309</v>
      </c>
      <c r="D757" s="16" t="n">
        <f aca="false">(1-gm_edge)*D756</f>
        <v>11.671681</v>
      </c>
      <c r="E757" s="16" t="n">
        <f aca="false">(1-gm_edge)*E756</f>
        <v>12.60541548</v>
      </c>
      <c r="F757" s="16" t="n">
        <f aca="false">(1-gm_edge)*F756</f>
        <v>13.6138487184</v>
      </c>
      <c r="G757" s="16" t="n">
        <f aca="false">(1-gm_edge)*G756</f>
        <v>14.702956615872</v>
      </c>
    </row>
    <row r="758" customFormat="false" ht="15" hidden="false" customHeight="false" outlineLevel="0" collapsed="false">
      <c r="A758" s="5" t="s">
        <v>695</v>
      </c>
      <c r="B758" s="0" t="s">
        <v>309</v>
      </c>
      <c r="D758" s="16" t="n">
        <f aca="false">D749+D752+D754+D756</f>
        <v>404.636</v>
      </c>
      <c r="E758" s="16" t="n">
        <f aca="false">E749+E752+E754+E756</f>
        <v>689.427679335883</v>
      </c>
      <c r="F758" s="16" t="n">
        <f aca="false">F749+F752+F754+F756</f>
        <v>771.177530905179</v>
      </c>
      <c r="G758" s="16" t="n">
        <f aca="false">G749+G752+G754+G756</f>
        <v>863.695294904439</v>
      </c>
    </row>
    <row r="759" customFormat="false" ht="15" hidden="false" customHeight="false" outlineLevel="0" collapsed="false">
      <c r="A759" s="5" t="s">
        <v>696</v>
      </c>
      <c r="B759" s="0" t="s">
        <v>309</v>
      </c>
      <c r="D759" s="16" t="n">
        <f aca="false">D750+D753+D755+D757</f>
        <v>106.475</v>
      </c>
      <c r="E759" s="16" t="n">
        <f aca="false">E750+E753+E755+E757</f>
        <v>215.714873958269</v>
      </c>
      <c r="F759" s="16" t="n">
        <f aca="false">F750+F753+F755+F757</f>
        <v>267.401627614041</v>
      </c>
      <c r="G759" s="16" t="n">
        <f aca="false">G750+G753+G755+G757</f>
        <v>289.987180748426</v>
      </c>
    </row>
    <row r="760" customFormat="false" ht="17.15" hidden="false" customHeight="false" outlineLevel="0" collapsed="false">
      <c r="A760" s="5" t="s">
        <v>697</v>
      </c>
      <c r="B760" s="0" t="s">
        <v>41</v>
      </c>
      <c r="D760" s="17" t="n">
        <f aca="false">1-D759/D758</f>
        <v>0.736862266333198</v>
      </c>
      <c r="E760" s="17" t="n">
        <f aca="false">1-E759/E758</f>
        <v>0.687110221385273</v>
      </c>
      <c r="F760" s="17" t="n">
        <f aca="false">1-F759/F758</f>
        <v>0.653255421873904</v>
      </c>
      <c r="G760" s="17" t="n">
        <f aca="false">1-G759/G758</f>
        <v>0.664248280082953</v>
      </c>
      <c r="H760" s="8" t="s">
        <v>698</v>
      </c>
    </row>
    <row r="761" customFormat="false" ht="17.15" hidden="false" customHeight="false" outlineLevel="0" collapsed="false">
      <c r="A761" s="0" t="s">
        <v>699</v>
      </c>
      <c r="B761" s="0" t="s">
        <v>41</v>
      </c>
      <c r="D761" s="17" t="n">
        <f aca="false">D751/D758</f>
        <v>0.0635268143771917</v>
      </c>
      <c r="E761" s="17" t="n">
        <f aca="false">E751/E758</f>
        <v>0.106436934560435</v>
      </c>
      <c r="F761" s="17" t="n">
        <f aca="false">F751/F758</f>
        <v>0.149093476851532</v>
      </c>
      <c r="G761" s="17" t="n">
        <f aca="false">G751/G758</f>
        <v>0.142819320270559</v>
      </c>
    </row>
    <row r="762" customFormat="false" ht="17.15" hidden="false" customHeight="false" outlineLevel="0" collapsed="false">
      <c r="A762" s="1" t="s">
        <v>700</v>
      </c>
    </row>
    <row r="763" customFormat="false" ht="15" hidden="false" customHeight="false" outlineLevel="0" collapsed="false">
      <c r="A763" s="5" t="s">
        <v>527</v>
      </c>
      <c r="B763" s="0" t="s">
        <v>309</v>
      </c>
      <c r="C763" s="16" t="n">
        <f aca="false">a26_rev</f>
        <v>215.938</v>
      </c>
      <c r="D763" s="16" t="n">
        <f aca="false">a27_rev</f>
        <v>404.636</v>
      </c>
      <c r="E763" s="16" t="n">
        <f aca="false">E758</f>
        <v>689.427679335883</v>
      </c>
      <c r="F763" s="16" t="n">
        <f aca="false">F758</f>
        <v>771.177530905179</v>
      </c>
      <c r="G763" s="16" t="n">
        <f aca="false">G758</f>
        <v>863.695294904439</v>
      </c>
    </row>
    <row r="764" customFormat="false" ht="17.15" hidden="false" customHeight="false" outlineLevel="0" collapsed="false">
      <c r="A764" s="0" t="s">
        <v>701</v>
      </c>
      <c r="B764" s="0" t="s">
        <v>309</v>
      </c>
      <c r="C764" s="16" t="n">
        <f aca="false">a26_dc</f>
        <v>193.7</v>
      </c>
      <c r="D764" s="16" t="n">
        <f aca="false">a27_dc</f>
        <v>375.4567975</v>
      </c>
      <c r="E764" s="16" t="n">
        <f aca="false">E749+E752+E754</f>
        <v>657.914140635883</v>
      </c>
      <c r="F764" s="16" t="n">
        <f aca="false">F749+F752+F754</f>
        <v>737.142909109179</v>
      </c>
      <c r="G764" s="16" t="n">
        <f aca="false">G749+G752+G754</f>
        <v>826.937903364759</v>
      </c>
    </row>
    <row r="765" customFormat="false" ht="15" hidden="false" customHeight="false" outlineLevel="0" collapsed="false">
      <c r="A765" s="0" t="s">
        <v>647</v>
      </c>
      <c r="B765" s="0" t="s">
        <v>309</v>
      </c>
      <c r="C765" s="16" t="n">
        <f aca="false">a26_edge</f>
        <v>22.238</v>
      </c>
      <c r="D765" s="16" t="n">
        <f aca="false">a27_edge</f>
        <v>29.1792025</v>
      </c>
      <c r="E765" s="16" t="n">
        <f aca="false">E756</f>
        <v>31.5135387</v>
      </c>
      <c r="F765" s="16" t="n">
        <f aca="false">F756</f>
        <v>34.034621796</v>
      </c>
      <c r="G765" s="16" t="n">
        <f aca="false">G756</f>
        <v>36.75739153968</v>
      </c>
    </row>
    <row r="766" customFormat="false" ht="15" hidden="false" customHeight="false" outlineLevel="0" collapsed="false">
      <c r="A766" s="5" t="s">
        <v>702</v>
      </c>
      <c r="B766" s="0" t="s">
        <v>41</v>
      </c>
      <c r="D766" s="17" t="n">
        <f aca="false">D763/C763-1</f>
        <v>0.873852679935908</v>
      </c>
      <c r="E766" s="17" t="n">
        <f aca="false">E763/D763-1</f>
        <v>0.70382190248985</v>
      </c>
      <c r="F766" s="17" t="n">
        <f aca="false">F763/E763-1</f>
        <v>0.118576398974936</v>
      </c>
      <c r="G766" s="17" t="n">
        <f aca="false">G763/F763-1</f>
        <v>0.119969475628609</v>
      </c>
    </row>
    <row r="767" customFormat="false" ht="15" hidden="false" customHeight="false" outlineLevel="0" collapsed="false">
      <c r="A767" s="5" t="s">
        <v>703</v>
      </c>
      <c r="B767" s="0" t="s">
        <v>309</v>
      </c>
      <c r="C767" s="16" t="n">
        <f aca="false">a26_gp</f>
        <v>153.463</v>
      </c>
      <c r="D767" s="16" t="n">
        <f aca="false">a27_gp</f>
        <v>298.161</v>
      </c>
      <c r="E767" s="16" t="n">
        <f aca="false">E763-E759</f>
        <v>473.712805377614</v>
      </c>
      <c r="F767" s="16" t="n">
        <f aca="false">F763-F759</f>
        <v>503.775903291138</v>
      </c>
      <c r="G767" s="16" t="n">
        <f aca="false">G763-G759</f>
        <v>573.708114156012</v>
      </c>
    </row>
    <row r="768" customFormat="false" ht="15" hidden="false" customHeight="false" outlineLevel="0" collapsed="false">
      <c r="A768" s="5" t="s">
        <v>543</v>
      </c>
      <c r="B768" s="0" t="s">
        <v>41</v>
      </c>
      <c r="C768" s="17" t="n">
        <f aca="false">C767/C763</f>
        <v>0.710680843575471</v>
      </c>
      <c r="D768" s="17" t="n">
        <f aca="false">D767/D763</f>
        <v>0.736862266333198</v>
      </c>
      <c r="E768" s="17" t="n">
        <f aca="false">E767/E763</f>
        <v>0.687110221385273</v>
      </c>
      <c r="F768" s="17" t="n">
        <f aca="false">F767/F763</f>
        <v>0.653255421873904</v>
      </c>
      <c r="G768" s="17" t="n">
        <f aca="false">G767/G763</f>
        <v>0.664248280082953</v>
      </c>
    </row>
    <row r="769" customFormat="false" ht="17.15" hidden="false" customHeight="false" outlineLevel="0" collapsed="false">
      <c r="A769" s="5" t="s">
        <v>704</v>
      </c>
      <c r="B769" s="0" t="s">
        <v>309</v>
      </c>
      <c r="C769" s="16" t="n">
        <f aca="false">a26_opx</f>
        <v>23.076</v>
      </c>
      <c r="D769" s="16" t="n">
        <f aca="false">a27_opx</f>
        <v>35.165</v>
      </c>
      <c r="E769" s="16" t="n">
        <f aca="false">D769*(1+MAX(g_opx_min,phi*E766))</f>
        <v>50.0149383206333</v>
      </c>
      <c r="F769" s="16" t="n">
        <f aca="false">E769*(1+MAX(g_opx_min,phi*F766))</f>
        <v>53.5732930892419</v>
      </c>
      <c r="G769" s="16" t="n">
        <f aca="false">F769*(1+MAX(g_opx_min,phi*G766))</f>
        <v>57.4295890170104</v>
      </c>
      <c r="H769" s="5" t="s">
        <v>705</v>
      </c>
    </row>
    <row r="770" customFormat="false" ht="15" hidden="false" customHeight="false" outlineLevel="0" collapsed="false">
      <c r="A770" s="5" t="s">
        <v>706</v>
      </c>
      <c r="B770" s="0" t="s">
        <v>309</v>
      </c>
      <c r="C770" s="16" t="n">
        <f aca="false">C769</f>
        <v>23.076</v>
      </c>
      <c r="D770" s="16" t="n">
        <f aca="false">D769</f>
        <v>35.165</v>
      </c>
      <c r="E770" s="16" t="n">
        <f aca="false">E769+opx_adj_hi*E763</f>
        <v>63.803491907351</v>
      </c>
      <c r="F770" s="16" t="n">
        <f aca="false">F769+opx_adj_hi*F763</f>
        <v>68.9968437073455</v>
      </c>
      <c r="G770" s="16" t="n">
        <f aca="false">G769+opx_adj_hi*G763</f>
        <v>74.7034949150991</v>
      </c>
    </row>
    <row r="771" customFormat="false" ht="15" hidden="false" customHeight="false" outlineLevel="0" collapsed="false">
      <c r="A771" s="5" t="s">
        <v>546</v>
      </c>
      <c r="B771" s="0" t="s">
        <v>309</v>
      </c>
      <c r="C771" s="16" t="n">
        <f aca="false">C767-C770</f>
        <v>130.387</v>
      </c>
      <c r="D771" s="16" t="n">
        <f aca="false">D767-D770</f>
        <v>262.996</v>
      </c>
      <c r="E771" s="16" t="n">
        <f aca="false">E767-E770</f>
        <v>409.909313470263</v>
      </c>
      <c r="F771" s="16" t="n">
        <f aca="false">F767-F770</f>
        <v>434.779059583792</v>
      </c>
      <c r="G771" s="16" t="n">
        <f aca="false">G767-G770</f>
        <v>499.004619240913</v>
      </c>
    </row>
    <row r="772" customFormat="false" ht="15" hidden="false" customHeight="false" outlineLevel="0" collapsed="false">
      <c r="A772" s="5" t="s">
        <v>648</v>
      </c>
      <c r="B772" s="0" t="s">
        <v>41</v>
      </c>
      <c r="C772" s="17" t="n">
        <f aca="false">C771/C763</f>
        <v>0.603816836314127</v>
      </c>
      <c r="D772" s="17" t="n">
        <f aca="false">D771/D763</f>
        <v>0.649956998388675</v>
      </c>
      <c r="E772" s="17" t="n">
        <f aca="false">E771/E763</f>
        <v>0.594564630571728</v>
      </c>
      <c r="F772" s="17" t="n">
        <f aca="false">F771/F763</f>
        <v>0.563785953506018</v>
      </c>
      <c r="G772" s="17" t="n">
        <f aca="false">G771/G763</f>
        <v>0.577755398443064</v>
      </c>
    </row>
    <row r="773" customFormat="false" ht="15" hidden="false" customHeight="false" outlineLevel="0" collapsed="false">
      <c r="A773" s="5" t="s">
        <v>551</v>
      </c>
      <c r="B773" s="0" t="s">
        <v>309</v>
      </c>
      <c r="C773" s="20" t="n">
        <f aca="false">a26_oth</f>
        <v>2.145</v>
      </c>
      <c r="D773" s="20" t="n">
        <f aca="false">a27_oth</f>
        <v>1.133</v>
      </c>
      <c r="E773" s="20" t="n">
        <f aca="false">oth_f</f>
        <v>1.2</v>
      </c>
      <c r="F773" s="20" t="n">
        <f aca="false">oth_f</f>
        <v>1.2</v>
      </c>
      <c r="G773" s="20" t="n">
        <f aca="false">oth_f</f>
        <v>1.2</v>
      </c>
    </row>
    <row r="774" customFormat="false" ht="15" hidden="false" customHeight="false" outlineLevel="0" collapsed="false">
      <c r="A774" s="5" t="s">
        <v>560</v>
      </c>
      <c r="B774" s="0" t="s">
        <v>41</v>
      </c>
      <c r="C774" s="17" t="n">
        <f aca="false">1-a26_ni/(a26_oi+a26_oth)</f>
        <v>0.151187565812244</v>
      </c>
      <c r="D774" s="17" t="n">
        <f aca="false">a27_etr</f>
        <v>0.167980835756566</v>
      </c>
      <c r="E774" s="17" t="n">
        <f aca="false">tx_f</f>
        <v>0.17</v>
      </c>
      <c r="F774" s="17" t="n">
        <f aca="false">tx_f</f>
        <v>0.17</v>
      </c>
      <c r="G774" s="17" t="n">
        <f aca="false">tx_f</f>
        <v>0.17</v>
      </c>
    </row>
    <row r="775" customFormat="false" ht="15" hidden="false" customHeight="false" outlineLevel="0" collapsed="false">
      <c r="A775" s="5" t="s">
        <v>649</v>
      </c>
      <c r="B775" s="0" t="s">
        <v>309</v>
      </c>
      <c r="C775" s="16" t="n">
        <f aca="false">a26_ni</f>
        <v>112.494809527772</v>
      </c>
      <c r="D775" s="16" t="n">
        <f aca="false">a27_ni</f>
        <v>219.760389832454</v>
      </c>
      <c r="E775" s="16" t="n">
        <f aca="false">(E771+E773)*(1-E774)</f>
        <v>341.220730180318</v>
      </c>
      <c r="F775" s="16" t="n">
        <f aca="false">(F771+F773)*(1-F774)</f>
        <v>361.862619454548</v>
      </c>
      <c r="G775" s="16" t="n">
        <f aca="false">(G771+G773)*(1-G774)</f>
        <v>415.169833969958</v>
      </c>
    </row>
    <row r="776" customFormat="false" ht="15" hidden="false" customHeight="false" outlineLevel="0" collapsed="false">
      <c r="A776" s="5" t="s">
        <v>707</v>
      </c>
      <c r="B776" s="5" t="s">
        <v>708</v>
      </c>
      <c r="C776" s="18" t="n">
        <f aca="false">a26_sh</f>
        <v>24.5145</v>
      </c>
      <c r="D776" s="18" t="n">
        <f aca="false">a27_sh</f>
        <v>24.25691339125</v>
      </c>
      <c r="E776" s="18" t="n">
        <f aca="false">D776*(1+sh_g)</f>
        <v>23.965830430555</v>
      </c>
      <c r="F776" s="18" t="n">
        <f aca="false">E776*(1+sh_g)</f>
        <v>23.6782404653883</v>
      </c>
      <c r="G776" s="18" t="n">
        <f aca="false">F776*(1+sh_g)</f>
        <v>23.3941015798037</v>
      </c>
    </row>
    <row r="777" customFormat="false" ht="17.15" hidden="false" customHeight="false" outlineLevel="0" collapsed="false">
      <c r="A777" s="0" t="s">
        <v>650</v>
      </c>
      <c r="B777" s="0" t="s">
        <v>420</v>
      </c>
      <c r="C777" s="20" t="n">
        <f aca="false">C775/C776</f>
        <v>4.58890899376988</v>
      </c>
      <c r="D777" s="20" t="n">
        <f aca="false">D775/D776</f>
        <v>9.05970130196888</v>
      </c>
      <c r="E777" s="20" t="n">
        <f aca="false">E775/E776</f>
        <v>14.2378012382697</v>
      </c>
      <c r="F777" s="20" t="n">
        <f aca="false">F775/F776</f>
        <v>15.2824961797098</v>
      </c>
      <c r="G777" s="20" t="n">
        <f aca="false">G775/G776</f>
        <v>17.7467740128297</v>
      </c>
    </row>
    <row r="778" customFormat="false" ht="17.15" hidden="false" customHeight="false" outlineLevel="0" collapsed="false">
      <c r="A778" s="0" t="s">
        <v>709</v>
      </c>
      <c r="B778" s="0" t="s">
        <v>41</v>
      </c>
      <c r="D778" s="17" t="n">
        <f aca="false">D777/C777-1</f>
        <v>0.974260399207908</v>
      </c>
      <c r="E778" s="17" t="n">
        <f aca="false">E777/D777-1</f>
        <v>0.571553052767371</v>
      </c>
      <c r="F778" s="17" t="n">
        <f aca="false">F777/E777-1</f>
        <v>0.0733747384134054</v>
      </c>
      <c r="G778" s="17" t="n">
        <f aca="false">G777/F777-1</f>
        <v>0.161248385351578</v>
      </c>
    </row>
    <row r="781" customFormat="false" ht="17.15" hidden="false" customHeight="false" outlineLevel="0" collapsed="false">
      <c r="A781" s="4" t="s">
        <v>1103</v>
      </c>
    </row>
    <row r="782" customFormat="false" ht="15" hidden="false" customHeight="false" outlineLevel="0" collapsed="false">
      <c r="A782" s="6" t="s">
        <v>19</v>
      </c>
      <c r="B782" s="6" t="s">
        <v>20</v>
      </c>
      <c r="C782" s="12" t="s">
        <v>639</v>
      </c>
      <c r="D782" s="12" t="s">
        <v>640</v>
      </c>
      <c r="E782" s="12" t="s">
        <v>641</v>
      </c>
      <c r="F782" s="12" t="s">
        <v>642</v>
      </c>
      <c r="G782" s="12" t="s">
        <v>643</v>
      </c>
      <c r="H782" s="6" t="s">
        <v>592</v>
      </c>
    </row>
    <row r="783" customFormat="false" ht="17.15" hidden="false" customHeight="false" outlineLevel="0" collapsed="false">
      <c r="A783" s="1" t="s">
        <v>658</v>
      </c>
    </row>
    <row r="784" customFormat="false" ht="17.15" hidden="false" customHeight="false" outlineLevel="0" collapsed="false">
      <c r="A784" s="0" t="s">
        <v>659</v>
      </c>
      <c r="B784" s="0" t="s">
        <v>126</v>
      </c>
      <c r="D784" s="18" t="n">
        <f aca="false">k_rec</f>
        <v>0.828370921864097</v>
      </c>
      <c r="E784" s="18" t="n">
        <f aca="false">k_rec*1</f>
        <v>0.828370921864097</v>
      </c>
      <c r="F784" s="18" t="n">
        <f aca="false">k_rec*1</f>
        <v>0.828370921864097</v>
      </c>
      <c r="G784" s="18" t="n">
        <f aca="false">k_rec*1</f>
        <v>0.828370921864097</v>
      </c>
    </row>
    <row r="785" customFormat="false" ht="17.15" hidden="false" customHeight="false" outlineLevel="0" collapsed="false">
      <c r="A785" s="0" t="s">
        <v>660</v>
      </c>
      <c r="B785" s="5" t="s">
        <v>30</v>
      </c>
      <c r="D785" s="20" t="n">
        <f aca="false">(u_bw_26)*D784</f>
        <v>4.47320297806612</v>
      </c>
      <c r="E785" s="20" t="n">
        <f aca="false">(u_bw_27)*E784</f>
        <v>1.98809021247383</v>
      </c>
      <c r="F785" s="20" t="n">
        <f aca="false">(u_bw_28*um28_A)*F784</f>
        <v>0.414185460932049</v>
      </c>
      <c r="G785" s="20" t="n">
        <f aca="false">(u_bw_28*um28_A)*G784</f>
        <v>0.414185460932049</v>
      </c>
    </row>
    <row r="786" customFormat="false" ht="17.15" hidden="false" customHeight="false" outlineLevel="0" collapsed="false">
      <c r="A786" s="0" t="s">
        <v>661</v>
      </c>
      <c r="B786" s="5" t="s">
        <v>30</v>
      </c>
      <c r="D786" s="20" t="n">
        <f aca="false">(u_rb_26)*D784</f>
        <v>1.40823056716896</v>
      </c>
      <c r="E786" s="20" t="n">
        <f aca="false">(u_rb_27)*E784</f>
        <v>5.79859645304868</v>
      </c>
      <c r="F786" s="20" t="n">
        <f aca="false">(u_rb_28*um28_A)*F784</f>
        <v>5.79859645304868</v>
      </c>
      <c r="G786" s="20" t="n">
        <f aca="false">(u_rb_28*um28_A)*G784</f>
        <v>5.79859645304868</v>
      </c>
    </row>
    <row r="787" customFormat="false" ht="17.15" hidden="false" customHeight="false" outlineLevel="0" collapsed="false">
      <c r="A787" s="0" t="s">
        <v>662</v>
      </c>
      <c r="B787" s="5" t="s">
        <v>30</v>
      </c>
      <c r="D787" s="20" t="n">
        <f aca="false">(u_ru_26)*D784</f>
        <v>0</v>
      </c>
      <c r="E787" s="20" t="n">
        <f aca="false">(u_ru_27)*E784</f>
        <v>0.248511276559229</v>
      </c>
      <c r="F787" s="20" t="n">
        <f aca="false">(u_ru_28*um28_A)*F784</f>
        <v>1.65674184372819</v>
      </c>
      <c r="G787" s="20" t="n">
        <f aca="false">(u_ru_28*um28_A)*G784</f>
        <v>1.65674184372819</v>
      </c>
    </row>
    <row r="788" customFormat="false" ht="17.15" hidden="false" customHeight="false" outlineLevel="0" collapsed="false">
      <c r="A788" s="0" t="s">
        <v>663</v>
      </c>
      <c r="B788" s="5" t="s">
        <v>30</v>
      </c>
      <c r="D788" s="20" t="n">
        <f aca="false">(u_hp_26)*D784</f>
        <v>0.414185460932049</v>
      </c>
      <c r="E788" s="20" t="n">
        <f aca="false">(u_hp_27)*E784</f>
        <v>0</v>
      </c>
      <c r="F788" s="20" t="n">
        <f aca="false">(u_hp_28*um28_A)*F784</f>
        <v>0</v>
      </c>
      <c r="G788" s="20" t="n">
        <f aca="false">(u_hp_28*um28_A)*G784</f>
        <v>0</v>
      </c>
    </row>
    <row r="789" customFormat="false" ht="17.15" hidden="false" customHeight="false" outlineLevel="0" collapsed="false">
      <c r="A789" s="0" t="s">
        <v>664</v>
      </c>
      <c r="B789" s="5" t="s">
        <v>30</v>
      </c>
      <c r="D789" s="20" t="n">
        <f aca="false">SUM(D785:D788)</f>
        <v>6.29561900616714</v>
      </c>
      <c r="E789" s="20" t="n">
        <f aca="false">SUM(E785:E788)</f>
        <v>8.03519794208174</v>
      </c>
      <c r="F789" s="20" t="n">
        <f aca="false">SUM(F785:F788)</f>
        <v>7.86952375770892</v>
      </c>
      <c r="G789" s="20" t="n">
        <f aca="false">SUM(G785:G788)</f>
        <v>7.86952375770892</v>
      </c>
      <c r="H789" s="8" t="s">
        <v>665</v>
      </c>
    </row>
    <row r="790" customFormat="false" ht="17.15" hidden="false" customHeight="false" outlineLevel="0" collapsed="false">
      <c r="A790" s="0" t="s">
        <v>666</v>
      </c>
      <c r="B790" s="0" t="s">
        <v>174</v>
      </c>
      <c r="D790" s="20" t="n">
        <f aca="false">1*(pm_bw+pcpu_bw+plp_bw+k_tray*pres_bw)+(1-abs_mem)*(gb_bw_26*hpx_bw*(hbm_A_26/hbm_A_26-1)/1000+plp_bw*(cdx_A_26/cdx_A_26-1))</f>
        <v>47.005555</v>
      </c>
      <c r="E790" s="20" t="n">
        <f aca="false">1*(pm_bw+pcpu_bw+plp_bw+k_tray*pres_bw)+(1-abs_mem)*(gb_bw_27*hpx_bw*(hbm_A_27/hbm_A_26-1)/1000+plp_bw*(cdx_A_27/cdx_A_26-1))</f>
        <v>49.1868731800491</v>
      </c>
      <c r="F790" s="20" t="n">
        <f aca="false">1*(pm_bw+pcpu_bw+plp_bw+k_tray*pres_bw)+(1-abs_mem)*(gb_bw_28*hpx_bw*(hbm_A_28/hbm_A_26-1)/1000+plp_bw*(cdx_A_28/cdx_A_26-1))</f>
        <v>49.4475301208957</v>
      </c>
      <c r="G790" s="20" t="n">
        <f aca="false">1*(pm_bw+pcpu_bw+plp_bw+k_tray*pres_bw)+(1-abs_mem)*(gb_bw_28*hpx_bw*(hbm_A_29/hbm_A_26-1)/1000+plp_bw*(cdx_A_29/cdx_A_26-1))</f>
        <v>49.0541422400875</v>
      </c>
      <c r="H790" s="5" t="s">
        <v>667</v>
      </c>
    </row>
    <row r="791" customFormat="false" ht="17.15" hidden="false" customHeight="false" outlineLevel="0" collapsed="false">
      <c r="A791" s="0" t="s">
        <v>668</v>
      </c>
      <c r="B791" s="0" t="s">
        <v>174</v>
      </c>
      <c r="D791" s="20" t="n">
        <f aca="false">1*(pm_rb+pcpu_rb+plp_rb+k_tray*pres_rb)+(1-abs_mem)*(gb_rb_26*hpx_rb*(hbm_A_26/hbm_A_26-1)/1000+plp_rb*(cdx_A_26/cdx_A_26-1))</f>
        <v>72.166667</v>
      </c>
      <c r="E791" s="20" t="n">
        <f aca="false">1*(pm_rb+pcpu_rb+plp_rb+k_tray*pres_rb)+(1-abs_mem)*(gb_rb_27*hpx_rb*(hbm_A_27/hbm_A_26-1)/1000+plp_rb*(cdx_A_27/cdx_A_26-1))</f>
        <v>74.8239724084115</v>
      </c>
      <c r="F791" s="20" t="n">
        <f aca="false">1*(pm_rb+pcpu_rb+plp_rb+k_tray*pres_rb)+(1-abs_mem)*(gb_rb_28*hpx_rb*(hbm_A_28/hbm_A_26-1)/1000+plp_rb*(cdx_A_28/cdx_A_26-1))</f>
        <v>74.9427371790653</v>
      </c>
      <c r="G791" s="20" t="n">
        <f aca="false">1*(pm_rb+pcpu_rb+plp_rb+k_tray*pres_rb)+(1-abs_mem)*(gb_rb_28*hpx_rb*(hbm_A_29/hbm_A_26-1)/1000+plp_rb*(cdx_A_29/cdx_A_26-1))</f>
        <v>74.4206762269425</v>
      </c>
    </row>
    <row r="792" customFormat="false" ht="17.15" hidden="false" customHeight="false" outlineLevel="0" collapsed="false">
      <c r="A792" s="0" t="s">
        <v>669</v>
      </c>
      <c r="B792" s="0" t="s">
        <v>174</v>
      </c>
      <c r="D792" s="20" t="n">
        <f aca="false">1*(pm_ru+pcpu_ru+plp_ru+k_tray*pres_ru)+(1-abs_mem)*(gb_ru_26*hpx_ru*(hbm_A_26/hbm_A_26-1)/1000+plp_ru*(cdx_A_26/cdx_A_26-1))</f>
        <v>92.166667</v>
      </c>
      <c r="E792" s="20" t="n">
        <f aca="false">1*(pm_ru+pcpu_ru+plp_ru+k_tray*pres_ru)+(1-abs_mem)*(gb_ru_27*hpx_ru*(hbm_A_27/hbm_A_26-1)/1000+plp_ru*(cdx_A_27/cdx_A_26-1))</f>
        <v>99.7404524084115</v>
      </c>
      <c r="F792" s="20" t="n">
        <f aca="false">1*(pm_ru+pcpu_ru+plp_ru+k_tray*pres_ru)+(1-abs_mem)*(gb_ru_28*hpx_ru*(hbm_A_28/hbm_A_26-1)/1000+plp_ru*(cdx_A_28/cdx_A_26-1))</f>
        <v>100.965425179065</v>
      </c>
      <c r="G792" s="20" t="n">
        <f aca="false">1*(pm_ru+pcpu_ru+plp_ru+k_tray*pres_ru)+(1-abs_mem)*(gb_ru_28*hpx_ru*(hbm_A_29/hbm_A_26-1)/1000+plp_ru*(cdx_A_29/cdx_A_26-1))</f>
        <v>99.8349498269425</v>
      </c>
    </row>
    <row r="793" customFormat="false" ht="17.15" hidden="false" customHeight="false" outlineLevel="0" collapsed="false">
      <c r="A793" s="0" t="s">
        <v>670</v>
      </c>
      <c r="B793" s="0" t="s">
        <v>174</v>
      </c>
      <c r="D793" s="20" t="n">
        <f aca="false">1*(pm_hp+pcpu_hp+plp_hp+k_tray*pres_hp)+(1-abs_mem)*(gb_hp_26*hpx_hp*(hbm_A_26/hbm_A_26-1)/1000+plp_hp*(cdx_A_26/cdx_A_26-1))</f>
        <v>30</v>
      </c>
      <c r="E793" s="20" t="n">
        <f aca="false">1*(pm_hp+pcpu_hp+plp_hp+k_tray*pres_hp)+(1-abs_mem)*(gb_hp_27*hpx_hp*(hbm_A_27/hbm_A_26-1)/1000+plp_hp*(cdx_A_27/cdx_A_26-1))</f>
        <v>30.8742</v>
      </c>
      <c r="F793" s="20" t="n">
        <f aca="false">1*(pm_hp+pcpu_hp+plp_hp+k_tray*pres_hp)+(1-abs_mem)*(gb_hp_28*hpx_hp*(hbm_A_28/hbm_A_26-1)/1000+plp_hp*(cdx_A_28/cdx_A_26-1))</f>
        <v>31.070895</v>
      </c>
      <c r="G793" s="20" t="n">
        <f aca="false">1*(pm_hp+pcpu_hp+plp_hp+k_tray*pres_hp)+(1-abs_mem)*(gb_hp_28*hpx_hp*(hbm_A_29/hbm_A_26-1)/1000+plp_hp*(cdx_A_29/cdx_A_26-1))</f>
        <v>30.96271275</v>
      </c>
    </row>
    <row r="794" customFormat="false" ht="17.15" hidden="false" customHeight="false" outlineLevel="0" collapsed="false">
      <c r="A794" s="0" t="s">
        <v>671</v>
      </c>
      <c r="B794" s="0" t="s">
        <v>174</v>
      </c>
      <c r="D794" s="20" t="n">
        <f aca="false">gb_bw_26*hpx_bw*hbm_A_26/hbm_A_26/1000</f>
        <v>4.03</v>
      </c>
      <c r="E794" s="20" t="n">
        <f aca="false">gb_bw_27*hpx_bw*hbm_A_27/hbm_A_26/1000</f>
        <v>7.812</v>
      </c>
      <c r="F794" s="20" t="n">
        <f aca="false">gb_bw_28*hpx_bw*hbm_A_28/hbm_A_26/1000</f>
        <v>8.83872</v>
      </c>
      <c r="G794" s="20" t="n">
        <f aca="false">gb_bw_28*hpx_bw*hbm_A_29/hbm_A_26/1000</f>
        <v>8.396784</v>
      </c>
      <c r="H794" s="5" t="s">
        <v>672</v>
      </c>
    </row>
    <row r="795" customFormat="false" ht="17.15" hidden="false" customHeight="false" outlineLevel="0" collapsed="false">
      <c r="A795" s="0" t="s">
        <v>673</v>
      </c>
      <c r="B795" s="0" t="s">
        <v>174</v>
      </c>
      <c r="D795" s="20" t="n">
        <f aca="false">gb_rb_26*hpx_rb*hbm_A_26/hbm_A_26/1000</f>
        <v>4.8096</v>
      </c>
      <c r="E795" s="20" t="n">
        <f aca="false">gb_rb_27*hpx_rb*hbm_A_27/hbm_A_26/1000</f>
        <v>8.65728</v>
      </c>
      <c r="F795" s="20" t="n">
        <f aca="false">gb_rb_28*hpx_rb*hbm_A_28/hbm_A_26/1000</f>
        <v>9.523008</v>
      </c>
      <c r="G795" s="20" t="n">
        <f aca="false">gb_rb_28*hpx_rb*hbm_A_29/hbm_A_26/1000</f>
        <v>9.0468576</v>
      </c>
    </row>
    <row r="796" customFormat="false" ht="17.15" hidden="false" customHeight="false" outlineLevel="0" collapsed="false">
      <c r="A796" s="0" t="s">
        <v>674</v>
      </c>
      <c r="B796" s="0" t="s">
        <v>174</v>
      </c>
      <c r="D796" s="20" t="n">
        <f aca="false">gb_ru_26*hpx_ru*hbm_A_26/hbm_A_26/1000</f>
        <v>17.1008</v>
      </c>
      <c r="E796" s="20" t="n">
        <f aca="false">gb_ru_27*hpx_ru*hbm_A_27/hbm_A_26/1000</f>
        <v>30.78144</v>
      </c>
      <c r="F796" s="20" t="n">
        <f aca="false">gb_ru_28*hpx_ru*hbm_A_28/hbm_A_26/1000</f>
        <v>33.859584</v>
      </c>
      <c r="G796" s="20" t="n">
        <f aca="false">gb_ru_28*hpx_ru*hbm_A_29/hbm_A_26/1000</f>
        <v>32.1666048</v>
      </c>
    </row>
    <row r="797" customFormat="false" ht="17.15" hidden="false" customHeight="false" outlineLevel="0" collapsed="false">
      <c r="A797" s="0" t="s">
        <v>675</v>
      </c>
      <c r="B797" s="0" t="s">
        <v>174</v>
      </c>
      <c r="D797" s="20" t="n">
        <f aca="false">gb_hp_26*hpx_hp*hbm_A_26/hbm_A_26/1000</f>
        <v>2.1855</v>
      </c>
      <c r="E797" s="20" t="n">
        <f aca="false">gb_hp_27*hpx_hp*hbm_A_27/hbm_A_26/1000</f>
        <v>3.9339</v>
      </c>
      <c r="F797" s="20" t="n">
        <f aca="false">gb_hp_28*hpx_hp*hbm_A_28/hbm_A_26/1000</f>
        <v>4.32729</v>
      </c>
      <c r="G797" s="20" t="n">
        <f aca="false">gb_hp_28*hpx_hp*hbm_A_29/hbm_A_26/1000</f>
        <v>4.1109255</v>
      </c>
    </row>
    <row r="798" customFormat="false" ht="17.15" hidden="false" customHeight="false" outlineLevel="0" collapsed="false">
      <c r="A798" s="0" t="s">
        <v>676</v>
      </c>
      <c r="B798" s="0" t="s">
        <v>174</v>
      </c>
      <c r="D798" s="20" t="n">
        <f aca="false">1*c_nh*(pm_bw+pcpu_bw+plp_bw+k_tray*pres_bw)+D794+plp_bw*(cdx_A_26/cdx_A_26-1)</f>
        <v>11.8212823332139</v>
      </c>
      <c r="E798" s="20" t="n">
        <f aca="false">1*c_nh*(pm_bw+pcpu_bw+plp_bw+k_tray*pres_bw)+E794+plp_bw*(cdx_A_27/cdx_A_26-1)</f>
        <v>16.493918693312</v>
      </c>
      <c r="F798" s="20" t="n">
        <f aca="false">1*c_nh*(pm_bw+pcpu_bw+plp_bw+k_tray*pres_bw)+F794+plp_bw*(cdx_A_28/cdx_A_26-1)</f>
        <v>17.1392325750052</v>
      </c>
      <c r="G798" s="20" t="n">
        <f aca="false">1*c_nh*(pm_bw+pcpu_bw+plp_bw+k_tray*pres_bw)+G794+plp_bw*(cdx_A_29/cdx_A_26-1)</f>
        <v>16.3524568133889</v>
      </c>
      <c r="H798" s="5" t="s">
        <v>677</v>
      </c>
    </row>
    <row r="799" customFormat="false" ht="17.15" hidden="false" customHeight="false" outlineLevel="0" collapsed="false">
      <c r="A799" s="0" t="s">
        <v>678</v>
      </c>
      <c r="B799" s="0" t="s">
        <v>174</v>
      </c>
      <c r="D799" s="20" t="n">
        <f aca="false">1*c_nh*(pm_rb+pcpu_rb+plp_rb+k_tray*pres_rb)+D795+plp_rb*(cdx_A_26/cdx_A_26-1)</f>
        <v>16.7713963801093</v>
      </c>
      <c r="E799" s="20" t="n">
        <f aca="false">1*c_nh*(pm_rb+pcpu_rb+plp_rb+k_tray*pres_rb)+E795+plp_rb*(cdx_A_27/cdx_A_26-1)</f>
        <v>22.0860071969322</v>
      </c>
      <c r="F799" s="20" t="n">
        <f aca="false">1*c_nh*(pm_rb+pcpu_rb+plp_rb+k_tray*pres_rb)+F795+plp_rb*(cdx_A_28/cdx_A_26-1)</f>
        <v>22.3235367382399</v>
      </c>
      <c r="G799" s="20" t="n">
        <f aca="false">1*c_nh*(pm_rb+pcpu_rb+plp_rb+k_tray*pres_rb)+G795+plp_rb*(cdx_A_29/cdx_A_26-1)</f>
        <v>21.2794148339942</v>
      </c>
    </row>
    <row r="800" customFormat="false" ht="17.15" hidden="false" customHeight="false" outlineLevel="0" collapsed="false">
      <c r="A800" s="0" t="s">
        <v>679</v>
      </c>
      <c r="B800" s="0" t="s">
        <v>174</v>
      </c>
      <c r="D800" s="20" t="n">
        <f aca="false">1*c_nh*(pm_ru+pcpu_ru+plp_ru+k_tray*pres_ru)+D796+plp_ru*(cdx_A_26/cdx_A_26-1)</f>
        <v>32.3776438604396</v>
      </c>
      <c r="E800" s="20" t="n">
        <f aca="false">1*c_nh*(pm_ru+pcpu_ru+plp_ru+k_tray*pres_ru)+E796+plp_ru*(cdx_A_27/cdx_A_26-1)</f>
        <v>47.5252146772625</v>
      </c>
      <c r="F800" s="20" t="n">
        <f aca="false">1*c_nh*(pm_ru+pcpu_ru+plp_ru+k_tray*pres_ru)+F796+plp_ru*(cdx_A_28/cdx_A_26-1)</f>
        <v>49.9751602185702</v>
      </c>
      <c r="G800" s="20" t="n">
        <f aca="false">1*c_nh*(pm_ru+pcpu_ru+plp_ru+k_tray*pres_ru)+G796+plp_ru*(cdx_A_29/cdx_A_26-1)</f>
        <v>47.7142095143245</v>
      </c>
    </row>
    <row r="801" customFormat="false" ht="17.15" hidden="false" customHeight="false" outlineLevel="0" collapsed="false">
      <c r="A801" s="0" t="s">
        <v>680</v>
      </c>
      <c r="B801" s="0" t="s">
        <v>174</v>
      </c>
      <c r="D801" s="20" t="n">
        <f aca="false">1*c_nh*(pm_hp+pcpu_hp+plp_hp+k_tray*pres_hp)+D797+plp_hp*(cdx_A_26/cdx_A_26-1)</f>
        <v>7.15807122049545</v>
      </c>
      <c r="E801" s="20" t="n">
        <f aca="false">1*c_nh*(pm_hp+pcpu_hp+plp_hp+k_tray*pres_hp)+E797+plp_hp*(cdx_A_27/cdx_A_26-1)</f>
        <v>8.90647122049545</v>
      </c>
      <c r="F801" s="20" t="n">
        <f aca="false">1*c_nh*(pm_hp+pcpu_hp+plp_hp+k_tray*pres_hp)+F797+plp_hp*(cdx_A_28/cdx_A_26-1)</f>
        <v>9.29986122049545</v>
      </c>
      <c r="G801" s="20" t="n">
        <f aca="false">1*c_nh*(pm_hp+pcpu_hp+plp_hp+k_tray*pres_hp)+G797+plp_hp*(cdx_A_29/cdx_A_26-1)</f>
        <v>9.08349672049545</v>
      </c>
    </row>
    <row r="802" customFormat="false" ht="17.15" hidden="false" customHeight="false" outlineLevel="0" collapsed="false">
      <c r="A802" s="0" t="s">
        <v>681</v>
      </c>
      <c r="B802" s="0" t="s">
        <v>309</v>
      </c>
      <c r="D802" s="16" t="n">
        <f aca="false">D785*D790</f>
        <v>210.265388611651</v>
      </c>
      <c r="E802" s="16" t="n">
        <f aca="false">E785*E790</f>
        <v>97.7879411514472</v>
      </c>
      <c r="F802" s="16" t="n">
        <f aca="false">F785*F790</f>
        <v>20.4804480550745</v>
      </c>
      <c r="G802" s="16" t="n">
        <f aca="false">G785*G790</f>
        <v>20.3175125143369</v>
      </c>
    </row>
    <row r="803" customFormat="false" ht="17.15" hidden="false" customHeight="false" outlineLevel="0" collapsed="false">
      <c r="A803" s="0" t="s">
        <v>682</v>
      </c>
      <c r="B803" s="0" t="s">
        <v>309</v>
      </c>
      <c r="D803" s="16" t="n">
        <f aca="false">D786*D791</f>
        <v>101.627306400104</v>
      </c>
      <c r="E803" s="16" t="n">
        <f aca="false">E786*E791</f>
        <v>433.874021010427</v>
      </c>
      <c r="F803" s="16" t="n">
        <f aca="false">F786*F791</f>
        <v>434.562689988287</v>
      </c>
      <c r="G803" s="16" t="n">
        <f aca="false">G786*G791</f>
        <v>431.535469203033</v>
      </c>
    </row>
    <row r="804" customFormat="false" ht="17.15" hidden="false" customHeight="false" outlineLevel="0" collapsed="false">
      <c r="A804" s="0" t="s">
        <v>683</v>
      </c>
      <c r="B804" s="0" t="s">
        <v>309</v>
      </c>
      <c r="D804" s="16" t="n">
        <f aca="false">D787*D792</f>
        <v>0</v>
      </c>
      <c r="E804" s="16" t="n">
        <f aca="false">E787*E792</f>
        <v>24.7866271526094</v>
      </c>
      <c r="F804" s="16" t="n">
        <f aca="false">F787*F792</f>
        <v>167.273644663966</v>
      </c>
      <c r="G804" s="16" t="n">
        <f aca="false">G787*G792</f>
        <v>165.4007388448</v>
      </c>
    </row>
    <row r="805" customFormat="false" ht="17.15" hidden="false" customHeight="false" outlineLevel="0" collapsed="false">
      <c r="A805" s="0" t="s">
        <v>684</v>
      </c>
      <c r="B805" s="0" t="s">
        <v>309</v>
      </c>
      <c r="D805" s="16" t="n">
        <f aca="false">D788*D793</f>
        <v>12.4255638279615</v>
      </c>
      <c r="E805" s="16" t="n">
        <f aca="false">E788*E793</f>
        <v>0</v>
      </c>
      <c r="F805" s="16" t="n">
        <f aca="false">F788*F793</f>
        <v>0</v>
      </c>
      <c r="G805" s="16" t="n">
        <f aca="false">G788*G793</f>
        <v>0</v>
      </c>
    </row>
    <row r="806" customFormat="false" ht="17.15" hidden="false" customHeight="false" outlineLevel="0" collapsed="false">
      <c r="A806" s="5" t="s">
        <v>685</v>
      </c>
      <c r="B806" s="0" t="s">
        <v>309</v>
      </c>
      <c r="D806" s="16" t="n">
        <f aca="false">SUM(D802:D805)</f>
        <v>324.318258839716</v>
      </c>
      <c r="E806" s="16" t="n">
        <f aca="false">SUM(E802:E805)</f>
        <v>556.448589314484</v>
      </c>
      <c r="F806" s="16" t="n">
        <f aca="false">SUM(F802:F805)</f>
        <v>622.316782707328</v>
      </c>
      <c r="G806" s="16" t="n">
        <f aca="false">SUM(G802:G805)</f>
        <v>617.25372056217</v>
      </c>
    </row>
    <row r="807" customFormat="false" ht="15" hidden="false" customHeight="false" outlineLevel="0" collapsed="false">
      <c r="A807" s="5" t="s">
        <v>686</v>
      </c>
      <c r="B807" s="0" t="s">
        <v>309</v>
      </c>
      <c r="D807" s="16" t="n">
        <f aca="false">D785*D798+D786*D799+D787*D800+D788*D801</f>
        <v>79.4617574019149</v>
      </c>
      <c r="E807" s="16" t="n">
        <f aca="false">E785*E798+E786*E799+E787*E800+E788*E801</f>
        <v>172.669793081849</v>
      </c>
      <c r="F807" s="16" t="n">
        <f aca="false">F785*F798+F786*F799+F787*F800+F788*F801</f>
        <v>219.339940975085</v>
      </c>
      <c r="G807" s="16" t="n">
        <f aca="false">G785*G798+G786*G799+G787*G800+G788*G801</f>
        <v>209.21381668477</v>
      </c>
    </row>
    <row r="808" customFormat="false" ht="17.15" hidden="false" customHeight="false" outlineLevel="0" collapsed="false">
      <c r="A808" s="5" t="s">
        <v>687</v>
      </c>
      <c r="B808" s="0" t="s">
        <v>309</v>
      </c>
      <c r="D808" s="16" t="n">
        <f aca="false">D785*D794+D786*D795+D787*D796+D788*D797</f>
        <v>25.7052360623293</v>
      </c>
      <c r="E808" s="16" t="n">
        <f aca="false">E785*E794+E786*E795+E787*E796+E788*E797</f>
        <v>73.3805687896262</v>
      </c>
      <c r="F808" s="16" t="n">
        <f aca="false">F785*F794+F786*F795+F787*F796+F788*F797</f>
        <v>114.977539352433</v>
      </c>
      <c r="G808" s="16" t="n">
        <f aca="false">G785*G794+G786*G795+G787*G796+G788*G797</f>
        <v>109.228662384811</v>
      </c>
    </row>
    <row r="809" customFormat="false" ht="17.15" hidden="false" customHeight="false" outlineLevel="0" collapsed="false">
      <c r="A809" s="5" t="s">
        <v>688</v>
      </c>
      <c r="B809" s="0" t="s">
        <v>309</v>
      </c>
      <c r="D809" s="16" t="n">
        <f aca="false">0</f>
        <v>0</v>
      </c>
      <c r="E809" s="16" t="n">
        <f aca="false">0</f>
        <v>0</v>
      </c>
      <c r="F809" s="16" t="n">
        <f aca="false">0</f>
        <v>0</v>
      </c>
      <c r="G809" s="16" t="n">
        <f aca="false">0</f>
        <v>0</v>
      </c>
    </row>
    <row r="810" customFormat="false" ht="15" hidden="false" customHeight="false" outlineLevel="0" collapsed="false">
      <c r="A810" s="5" t="s">
        <v>689</v>
      </c>
      <c r="B810" s="0" t="s">
        <v>309</v>
      </c>
      <c r="D810" s="16" t="n">
        <f aca="false">D809*D807/D806</f>
        <v>0</v>
      </c>
      <c r="E810" s="16" t="n">
        <f aca="false">E809*E807/E806</f>
        <v>0</v>
      </c>
      <c r="F810" s="16" t="n">
        <f aca="false">F809*F807/F806</f>
        <v>0</v>
      </c>
      <c r="G810" s="16" t="n">
        <f aca="false">G809*G807/G806</f>
        <v>0</v>
      </c>
    </row>
    <row r="811" customFormat="false" ht="17.15" hidden="false" customHeight="false" outlineLevel="0" collapsed="false">
      <c r="A811" s="0" t="s">
        <v>690</v>
      </c>
      <c r="B811" s="0" t="s">
        <v>309</v>
      </c>
      <c r="D811" s="16" t="n">
        <f aca="false">net_26*1*D784</f>
        <v>51.1385386602837</v>
      </c>
      <c r="E811" s="16" t="n">
        <f aca="false">net_27*1*E784</f>
        <v>101.465551321399</v>
      </c>
      <c r="F811" s="16" t="n">
        <f aca="false">net_28*um28_A*F784</f>
        <v>114.826126401851</v>
      </c>
      <c r="G811" s="16" t="n">
        <f aca="false">net_28*um28_A*G784</f>
        <v>114.826126401851</v>
      </c>
      <c r="H811" s="8" t="s">
        <v>691</v>
      </c>
    </row>
    <row r="812" customFormat="false" ht="17.15" hidden="false" customHeight="false" outlineLevel="0" collapsed="false">
      <c r="A812" s="5" t="s">
        <v>692</v>
      </c>
      <c r="B812" s="0" t="s">
        <v>309</v>
      </c>
      <c r="D812" s="16" t="n">
        <f aca="false">c_net*D811</f>
        <v>15.3415615980851</v>
      </c>
      <c r="E812" s="16" t="n">
        <f aca="false">c_net*E811</f>
        <v>30.4396653964198</v>
      </c>
      <c r="F812" s="16" t="n">
        <f aca="false">c_net*F811</f>
        <v>34.4478379205554</v>
      </c>
      <c r="G812" s="16" t="n">
        <f aca="false">c_net*G811</f>
        <v>34.4478379205554</v>
      </c>
    </row>
    <row r="813" customFormat="false" ht="17.15" hidden="false" customHeight="false" outlineLevel="0" collapsed="false">
      <c r="A813" s="0" t="s">
        <v>693</v>
      </c>
      <c r="B813" s="0" t="s">
        <v>309</v>
      </c>
      <c r="D813" s="16" t="n">
        <f aca="false">a27_edge</f>
        <v>29.1792025</v>
      </c>
      <c r="E813" s="16" t="n">
        <f aca="false">D813*(1+eg)</f>
        <v>31.5135387</v>
      </c>
      <c r="F813" s="16" t="n">
        <f aca="false">E813*(1+eg)</f>
        <v>34.034621796</v>
      </c>
      <c r="G813" s="16" t="n">
        <f aca="false">F813*(1+eg)</f>
        <v>36.75739153968</v>
      </c>
    </row>
    <row r="814" customFormat="false" ht="17.15" hidden="false" customHeight="false" outlineLevel="0" collapsed="false">
      <c r="A814" s="0" t="s">
        <v>694</v>
      </c>
      <c r="B814" s="0" t="s">
        <v>309</v>
      </c>
      <c r="D814" s="16" t="n">
        <f aca="false">(1-gm_edge)*D813</f>
        <v>11.671681</v>
      </c>
      <c r="E814" s="16" t="n">
        <f aca="false">(1-gm_edge)*E813</f>
        <v>12.60541548</v>
      </c>
      <c r="F814" s="16" t="n">
        <f aca="false">(1-gm_edge)*F813</f>
        <v>13.6138487184</v>
      </c>
      <c r="G814" s="16" t="n">
        <f aca="false">(1-gm_edge)*G813</f>
        <v>14.702956615872</v>
      </c>
    </row>
    <row r="815" customFormat="false" ht="15" hidden="false" customHeight="false" outlineLevel="0" collapsed="false">
      <c r="A815" s="5" t="s">
        <v>695</v>
      </c>
      <c r="B815" s="0" t="s">
        <v>309</v>
      </c>
      <c r="D815" s="16" t="n">
        <f aca="false">D806+D809+D811+D813</f>
        <v>404.636</v>
      </c>
      <c r="E815" s="16" t="n">
        <f aca="false">E806+E809+E811+E813</f>
        <v>689.427679335883</v>
      </c>
      <c r="F815" s="16" t="n">
        <f aca="false">F806+F809+F811+F813</f>
        <v>771.177530905179</v>
      </c>
      <c r="G815" s="16" t="n">
        <f aca="false">G806+G809+G811+G813</f>
        <v>768.837238503701</v>
      </c>
    </row>
    <row r="816" customFormat="false" ht="15" hidden="false" customHeight="false" outlineLevel="0" collapsed="false">
      <c r="A816" s="5" t="s">
        <v>696</v>
      </c>
      <c r="B816" s="0" t="s">
        <v>309</v>
      </c>
      <c r="D816" s="16" t="n">
        <f aca="false">D807+D810+D812+D814</f>
        <v>106.475</v>
      </c>
      <c r="E816" s="16" t="n">
        <f aca="false">E807+E810+E812+E814</f>
        <v>215.714873958269</v>
      </c>
      <c r="F816" s="16" t="n">
        <f aca="false">F807+F810+F812+F814</f>
        <v>267.401627614041</v>
      </c>
      <c r="G816" s="16" t="n">
        <f aca="false">G807+G810+G812+G814</f>
        <v>258.364611221198</v>
      </c>
    </row>
    <row r="817" customFormat="false" ht="17.15" hidden="false" customHeight="false" outlineLevel="0" collapsed="false">
      <c r="A817" s="5" t="s">
        <v>697</v>
      </c>
      <c r="B817" s="0" t="s">
        <v>41</v>
      </c>
      <c r="D817" s="17" t="n">
        <f aca="false">1-D816/D815</f>
        <v>0.736862266333198</v>
      </c>
      <c r="E817" s="17" t="n">
        <f aca="false">1-E816/E815</f>
        <v>0.687110221385273</v>
      </c>
      <c r="F817" s="17" t="n">
        <f aca="false">1-F816/F815</f>
        <v>0.653255421873904</v>
      </c>
      <c r="G817" s="17" t="n">
        <f aca="false">1-G816/G815</f>
        <v>0.66395408770259</v>
      </c>
      <c r="H817" s="8" t="s">
        <v>698</v>
      </c>
    </row>
    <row r="818" customFormat="false" ht="17.15" hidden="false" customHeight="false" outlineLevel="0" collapsed="false">
      <c r="A818" s="0" t="s">
        <v>699</v>
      </c>
      <c r="B818" s="0" t="s">
        <v>41</v>
      </c>
      <c r="D818" s="17" t="n">
        <f aca="false">D808/D815</f>
        <v>0.0635268143771917</v>
      </c>
      <c r="E818" s="17" t="n">
        <f aca="false">E808/E815</f>
        <v>0.106436934560435</v>
      </c>
      <c r="F818" s="17" t="n">
        <f aca="false">F808/F815</f>
        <v>0.149093476851532</v>
      </c>
      <c r="G818" s="17" t="n">
        <f aca="false">G808/G815</f>
        <v>0.14206994265443</v>
      </c>
    </row>
    <row r="819" customFormat="false" ht="17.15" hidden="false" customHeight="false" outlineLevel="0" collapsed="false">
      <c r="A819" s="1" t="s">
        <v>700</v>
      </c>
    </row>
    <row r="820" customFormat="false" ht="15" hidden="false" customHeight="false" outlineLevel="0" collapsed="false">
      <c r="A820" s="5" t="s">
        <v>527</v>
      </c>
      <c r="B820" s="0" t="s">
        <v>309</v>
      </c>
      <c r="C820" s="16" t="n">
        <f aca="false">a26_rev</f>
        <v>215.938</v>
      </c>
      <c r="D820" s="16" t="n">
        <f aca="false">a27_rev</f>
        <v>404.636</v>
      </c>
      <c r="E820" s="16" t="n">
        <f aca="false">E815</f>
        <v>689.427679335883</v>
      </c>
      <c r="F820" s="16" t="n">
        <f aca="false">F815</f>
        <v>771.177530905179</v>
      </c>
      <c r="G820" s="16" t="n">
        <f aca="false">G815</f>
        <v>768.837238503701</v>
      </c>
    </row>
    <row r="821" customFormat="false" ht="17.15" hidden="false" customHeight="false" outlineLevel="0" collapsed="false">
      <c r="A821" s="0" t="s">
        <v>701</v>
      </c>
      <c r="B821" s="0" t="s">
        <v>309</v>
      </c>
      <c r="C821" s="16" t="n">
        <f aca="false">a26_dc</f>
        <v>193.7</v>
      </c>
      <c r="D821" s="16" t="n">
        <f aca="false">a27_dc</f>
        <v>375.4567975</v>
      </c>
      <c r="E821" s="16" t="n">
        <f aca="false">E806+E809+E811</f>
        <v>657.914140635883</v>
      </c>
      <c r="F821" s="16" t="n">
        <f aca="false">F806+F809+F811</f>
        <v>737.142909109179</v>
      </c>
      <c r="G821" s="16" t="n">
        <f aca="false">G806+G809+G811</f>
        <v>732.079846964021</v>
      </c>
    </row>
    <row r="822" customFormat="false" ht="15" hidden="false" customHeight="false" outlineLevel="0" collapsed="false">
      <c r="A822" s="0" t="s">
        <v>647</v>
      </c>
      <c r="B822" s="0" t="s">
        <v>309</v>
      </c>
      <c r="C822" s="16" t="n">
        <f aca="false">a26_edge</f>
        <v>22.238</v>
      </c>
      <c r="D822" s="16" t="n">
        <f aca="false">a27_edge</f>
        <v>29.1792025</v>
      </c>
      <c r="E822" s="16" t="n">
        <f aca="false">E813</f>
        <v>31.5135387</v>
      </c>
      <c r="F822" s="16" t="n">
        <f aca="false">F813</f>
        <v>34.034621796</v>
      </c>
      <c r="G822" s="16" t="n">
        <f aca="false">G813</f>
        <v>36.75739153968</v>
      </c>
    </row>
    <row r="823" customFormat="false" ht="15" hidden="false" customHeight="false" outlineLevel="0" collapsed="false">
      <c r="A823" s="5" t="s">
        <v>702</v>
      </c>
      <c r="B823" s="0" t="s">
        <v>41</v>
      </c>
      <c r="D823" s="17" t="n">
        <f aca="false">D820/C820-1</f>
        <v>0.873852679935908</v>
      </c>
      <c r="E823" s="17" t="n">
        <f aca="false">E820/D820-1</f>
        <v>0.70382190248985</v>
      </c>
      <c r="F823" s="17" t="n">
        <f aca="false">F820/E820-1</f>
        <v>0.118576398974936</v>
      </c>
      <c r="G823" s="17" t="n">
        <f aca="false">G820/F820-1</f>
        <v>-0.00303469993314065</v>
      </c>
    </row>
    <row r="824" customFormat="false" ht="15" hidden="false" customHeight="false" outlineLevel="0" collapsed="false">
      <c r="A824" s="5" t="s">
        <v>703</v>
      </c>
      <c r="B824" s="0" t="s">
        <v>309</v>
      </c>
      <c r="C824" s="16" t="n">
        <f aca="false">a26_gp</f>
        <v>153.463</v>
      </c>
      <c r="D824" s="16" t="n">
        <f aca="false">a27_gp</f>
        <v>298.161</v>
      </c>
      <c r="E824" s="16" t="n">
        <f aca="false">E820-E816</f>
        <v>473.712805377614</v>
      </c>
      <c r="F824" s="16" t="n">
        <f aca="false">F820-F816</f>
        <v>503.775903291138</v>
      </c>
      <c r="G824" s="16" t="n">
        <f aca="false">G820-G816</f>
        <v>510.472627282503</v>
      </c>
    </row>
    <row r="825" customFormat="false" ht="15" hidden="false" customHeight="false" outlineLevel="0" collapsed="false">
      <c r="A825" s="5" t="s">
        <v>543</v>
      </c>
      <c r="B825" s="0" t="s">
        <v>41</v>
      </c>
      <c r="C825" s="17" t="n">
        <f aca="false">C824/C820</f>
        <v>0.710680843575471</v>
      </c>
      <c r="D825" s="17" t="n">
        <f aca="false">D824/D820</f>
        <v>0.736862266333198</v>
      </c>
      <c r="E825" s="17" t="n">
        <f aca="false">E824/E820</f>
        <v>0.687110221385273</v>
      </c>
      <c r="F825" s="17" t="n">
        <f aca="false">F824/F820</f>
        <v>0.653255421873904</v>
      </c>
      <c r="G825" s="17" t="n">
        <f aca="false">G824/G820</f>
        <v>0.66395408770259</v>
      </c>
    </row>
    <row r="826" customFormat="false" ht="17.15" hidden="false" customHeight="false" outlineLevel="0" collapsed="false">
      <c r="A826" s="5" t="s">
        <v>704</v>
      </c>
      <c r="B826" s="0" t="s">
        <v>309</v>
      </c>
      <c r="C826" s="16" t="n">
        <f aca="false">a26_opx</f>
        <v>23.076</v>
      </c>
      <c r="D826" s="16" t="n">
        <f aca="false">a27_opx</f>
        <v>35.165</v>
      </c>
      <c r="E826" s="16" t="n">
        <f aca="false">D826*(1+MAX(g_opx_min,phi*E823))</f>
        <v>50.0149383206333</v>
      </c>
      <c r="F826" s="16" t="n">
        <f aca="false">E826*(1+MAX(g_opx_min,phi*F823))</f>
        <v>53.5732930892419</v>
      </c>
      <c r="G826" s="16" t="n">
        <f aca="false">F826*(1+MAX(g_opx_min,phi*G823))</f>
        <v>56.251957743704</v>
      </c>
      <c r="H826" s="5" t="s">
        <v>705</v>
      </c>
    </row>
    <row r="827" customFormat="false" ht="15" hidden="false" customHeight="false" outlineLevel="0" collapsed="false">
      <c r="A827" s="5" t="s">
        <v>706</v>
      </c>
      <c r="B827" s="0" t="s">
        <v>309</v>
      </c>
      <c r="C827" s="16" t="n">
        <f aca="false">C826</f>
        <v>23.076</v>
      </c>
      <c r="D827" s="16" t="n">
        <f aca="false">D826</f>
        <v>35.165</v>
      </c>
      <c r="E827" s="16" t="n">
        <f aca="false">E826+0*E820</f>
        <v>50.0149383206333</v>
      </c>
      <c r="F827" s="16" t="n">
        <f aca="false">F826+0*F820</f>
        <v>53.5732930892419</v>
      </c>
      <c r="G827" s="16" t="n">
        <f aca="false">G826+0*G820</f>
        <v>56.251957743704</v>
      </c>
    </row>
    <row r="828" customFormat="false" ht="15" hidden="false" customHeight="false" outlineLevel="0" collapsed="false">
      <c r="A828" s="5" t="s">
        <v>546</v>
      </c>
      <c r="B828" s="0" t="s">
        <v>309</v>
      </c>
      <c r="C828" s="16" t="n">
        <f aca="false">C824-C827</f>
        <v>130.387</v>
      </c>
      <c r="D828" s="16" t="n">
        <f aca="false">D824-D827</f>
        <v>262.996</v>
      </c>
      <c r="E828" s="16" t="n">
        <f aca="false">E824-E827</f>
        <v>423.69786705698</v>
      </c>
      <c r="F828" s="16" t="n">
        <f aca="false">F824-F827</f>
        <v>450.202610201896</v>
      </c>
      <c r="G828" s="16" t="n">
        <f aca="false">G824-G827</f>
        <v>454.220669538799</v>
      </c>
    </row>
    <row r="829" customFormat="false" ht="15" hidden="false" customHeight="false" outlineLevel="0" collapsed="false">
      <c r="A829" s="5" t="s">
        <v>648</v>
      </c>
      <c r="B829" s="0" t="s">
        <v>41</v>
      </c>
      <c r="C829" s="17" t="n">
        <f aca="false">C828/C820</f>
        <v>0.603816836314127</v>
      </c>
      <c r="D829" s="17" t="n">
        <f aca="false">D828/D820</f>
        <v>0.649956998388675</v>
      </c>
      <c r="E829" s="17" t="n">
        <f aca="false">E828/E820</f>
        <v>0.614564630571728</v>
      </c>
      <c r="F829" s="17" t="n">
        <f aca="false">F828/F820</f>
        <v>0.583785953506018</v>
      </c>
      <c r="G829" s="17" t="n">
        <f aca="false">G828/G820</f>
        <v>0.590789112169952</v>
      </c>
    </row>
    <row r="830" customFormat="false" ht="15" hidden="false" customHeight="false" outlineLevel="0" collapsed="false">
      <c r="A830" s="5" t="s">
        <v>551</v>
      </c>
      <c r="B830" s="0" t="s">
        <v>309</v>
      </c>
      <c r="C830" s="20" t="n">
        <f aca="false">a26_oth</f>
        <v>2.145</v>
      </c>
      <c r="D830" s="20" t="n">
        <f aca="false">a27_oth</f>
        <v>1.133</v>
      </c>
      <c r="E830" s="20" t="n">
        <f aca="false">oth_f</f>
        <v>1.2</v>
      </c>
      <c r="F830" s="20" t="n">
        <f aca="false">oth_f</f>
        <v>1.2</v>
      </c>
      <c r="G830" s="20" t="n">
        <f aca="false">oth_f</f>
        <v>1.2</v>
      </c>
    </row>
    <row r="831" customFormat="false" ht="15" hidden="false" customHeight="false" outlineLevel="0" collapsed="false">
      <c r="A831" s="5" t="s">
        <v>560</v>
      </c>
      <c r="B831" s="0" t="s">
        <v>41</v>
      </c>
      <c r="C831" s="17" t="n">
        <f aca="false">1-a26_ni/(a26_oi+a26_oth)</f>
        <v>0.151187565812244</v>
      </c>
      <c r="D831" s="17" t="n">
        <f aca="false">a27_etr</f>
        <v>0.167980835756566</v>
      </c>
      <c r="E831" s="17" t="n">
        <f aca="false">tx_f</f>
        <v>0.17</v>
      </c>
      <c r="F831" s="17" t="n">
        <f aca="false">tx_f</f>
        <v>0.17</v>
      </c>
      <c r="G831" s="17" t="n">
        <f aca="false">tx_f</f>
        <v>0.17</v>
      </c>
    </row>
    <row r="832" customFormat="false" ht="15" hidden="false" customHeight="false" outlineLevel="0" collapsed="false">
      <c r="A832" s="5" t="s">
        <v>649</v>
      </c>
      <c r="B832" s="0" t="s">
        <v>309</v>
      </c>
      <c r="C832" s="16" t="n">
        <f aca="false">a26_ni</f>
        <v>112.494809527772</v>
      </c>
      <c r="D832" s="16" t="n">
        <f aca="false">a27_ni</f>
        <v>219.760389832454</v>
      </c>
      <c r="E832" s="16" t="n">
        <f aca="false">(E828+E830)*(1-E831)</f>
        <v>352.665229657294</v>
      </c>
      <c r="F832" s="16" t="n">
        <f aca="false">(F828+F830)*(1-F831)</f>
        <v>374.664166467574</v>
      </c>
      <c r="G832" s="16" t="n">
        <f aca="false">(G828+G830)*(1-G831)</f>
        <v>377.999155717204</v>
      </c>
    </row>
    <row r="833" customFormat="false" ht="15" hidden="false" customHeight="false" outlineLevel="0" collapsed="false">
      <c r="A833" s="5" t="s">
        <v>707</v>
      </c>
      <c r="B833" s="5" t="s">
        <v>708</v>
      </c>
      <c r="C833" s="18" t="n">
        <f aca="false">a26_sh</f>
        <v>24.5145</v>
      </c>
      <c r="D833" s="18" t="n">
        <f aca="false">a27_sh</f>
        <v>24.25691339125</v>
      </c>
      <c r="E833" s="18" t="n">
        <f aca="false">D833*(1+sh_g)</f>
        <v>23.965830430555</v>
      </c>
      <c r="F833" s="18" t="n">
        <f aca="false">E833*(1+sh_g)</f>
        <v>23.6782404653883</v>
      </c>
      <c r="G833" s="18" t="n">
        <f aca="false">F833*(1+sh_g)</f>
        <v>23.3941015798037</v>
      </c>
    </row>
    <row r="834" customFormat="false" ht="17.15" hidden="false" customHeight="false" outlineLevel="0" collapsed="false">
      <c r="A834" s="0" t="s">
        <v>650</v>
      </c>
      <c r="B834" s="0" t="s">
        <v>420</v>
      </c>
      <c r="C834" s="20" t="n">
        <f aca="false">C832/C833</f>
        <v>4.58890899376988</v>
      </c>
      <c r="D834" s="20" t="n">
        <f aca="false">D832/D833</f>
        <v>9.05970130196888</v>
      </c>
      <c r="E834" s="20" t="n">
        <f aca="false">E832/E833</f>
        <v>14.7153352636455</v>
      </c>
      <c r="F834" s="20" t="n">
        <f aca="false">F832/F833</f>
        <v>15.8231422227187</v>
      </c>
      <c r="G834" s="20" t="n">
        <f aca="false">G832/G833</f>
        <v>16.1578829786536</v>
      </c>
    </row>
    <row r="835" customFormat="false" ht="17.15" hidden="false" customHeight="false" outlineLevel="0" collapsed="false">
      <c r="A835" s="0" t="s">
        <v>709</v>
      </c>
      <c r="B835" s="0" t="s">
        <v>41</v>
      </c>
      <c r="D835" s="17" t="n">
        <f aca="false">D834/C834-1</f>
        <v>0.974260399207908</v>
      </c>
      <c r="E835" s="17" t="n">
        <f aca="false">E834/D834-1</f>
        <v>0.624262740367334</v>
      </c>
      <c r="F835" s="17" t="n">
        <f aca="false">F834/E834-1</f>
        <v>0.0752824817936788</v>
      </c>
      <c r="G835" s="17" t="n">
        <f aca="false">G834/F834-1</f>
        <v>0.0211551379127626</v>
      </c>
    </row>
    <row r="838" customFormat="false" ht="17.15" hidden="false" customHeight="false" outlineLevel="0" collapsed="false">
      <c r="A838" s="4" t="s">
        <v>1104</v>
      </c>
    </row>
    <row r="839" customFormat="false" ht="15" hidden="false" customHeight="false" outlineLevel="0" collapsed="false">
      <c r="A839" s="6" t="s">
        <v>19</v>
      </c>
      <c r="B839" s="6" t="s">
        <v>20</v>
      </c>
      <c r="C839" s="12" t="s">
        <v>639</v>
      </c>
      <c r="D839" s="12" t="s">
        <v>640</v>
      </c>
      <c r="E839" s="12" t="s">
        <v>641</v>
      </c>
      <c r="F839" s="12" t="s">
        <v>642</v>
      </c>
      <c r="G839" s="12" t="s">
        <v>643</v>
      </c>
      <c r="H839" s="6" t="s">
        <v>592</v>
      </c>
    </row>
    <row r="840" customFormat="false" ht="17.15" hidden="false" customHeight="false" outlineLevel="0" collapsed="false">
      <c r="A840" s="1" t="s">
        <v>658</v>
      </c>
    </row>
    <row r="841" customFormat="false" ht="17.15" hidden="false" customHeight="false" outlineLevel="0" collapsed="false">
      <c r="A841" s="0" t="s">
        <v>659</v>
      </c>
      <c r="B841" s="0" t="s">
        <v>126</v>
      </c>
      <c r="D841" s="18" t="n">
        <f aca="false">1</f>
        <v>1</v>
      </c>
      <c r="E841" s="18" t="n">
        <f aca="false">1*1</f>
        <v>1</v>
      </c>
      <c r="F841" s="18" t="n">
        <f aca="false">1*1</f>
        <v>1</v>
      </c>
      <c r="G841" s="18" t="n">
        <f aca="false">1*1</f>
        <v>1</v>
      </c>
    </row>
    <row r="842" customFormat="false" ht="17.15" hidden="false" customHeight="false" outlineLevel="0" collapsed="false">
      <c r="A842" s="0" t="s">
        <v>660</v>
      </c>
      <c r="B842" s="5" t="s">
        <v>30</v>
      </c>
      <c r="D842" s="20" t="n">
        <f aca="false">(u_bw_26)*D841</f>
        <v>5.4</v>
      </c>
      <c r="E842" s="20" t="n">
        <f aca="false">(u_bw_27)*E841</f>
        <v>2.4</v>
      </c>
      <c r="F842" s="20" t="n">
        <f aca="false">(u_bw_28*um28_A)*F841</f>
        <v>0.5</v>
      </c>
      <c r="G842" s="20" t="n">
        <f aca="false">(u_bw_28*(1+g29_bw)*um29_A)*G841</f>
        <v>0.25</v>
      </c>
    </row>
    <row r="843" customFormat="false" ht="17.15" hidden="false" customHeight="false" outlineLevel="0" collapsed="false">
      <c r="A843" s="0" t="s">
        <v>661</v>
      </c>
      <c r="B843" s="5" t="s">
        <v>30</v>
      </c>
      <c r="D843" s="20" t="n">
        <f aca="false">(u_rb_26)*D841</f>
        <v>1.7</v>
      </c>
      <c r="E843" s="20" t="n">
        <f aca="false">(u_rb_27)*E841</f>
        <v>7</v>
      </c>
      <c r="F843" s="20" t="n">
        <f aca="false">(u_rb_28*um28_A)*F841</f>
        <v>7</v>
      </c>
      <c r="G843" s="20" t="n">
        <f aca="false">(u_rb_28*(1+g29_rb)*um29_A)*G841</f>
        <v>8.05</v>
      </c>
    </row>
    <row r="844" customFormat="false" ht="17.15" hidden="false" customHeight="false" outlineLevel="0" collapsed="false">
      <c r="A844" s="0" t="s">
        <v>662</v>
      </c>
      <c r="B844" s="5" t="s">
        <v>30</v>
      </c>
      <c r="D844" s="20" t="n">
        <f aca="false">(u_ru_26)*D841</f>
        <v>0</v>
      </c>
      <c r="E844" s="20" t="n">
        <f aca="false">(u_ru_27)*E841</f>
        <v>0.3</v>
      </c>
      <c r="F844" s="20" t="n">
        <f aca="false">(u_ru_28*um28_A)*F841</f>
        <v>2</v>
      </c>
      <c r="G844" s="20" t="n">
        <f aca="false">(u_ru_28*(1+g29_ru)*um29_A)*G841</f>
        <v>2.3</v>
      </c>
    </row>
    <row r="845" customFormat="false" ht="17.15" hidden="false" customHeight="false" outlineLevel="0" collapsed="false">
      <c r="A845" s="0" t="s">
        <v>663</v>
      </c>
      <c r="B845" s="5" t="s">
        <v>30</v>
      </c>
      <c r="D845" s="20" t="n">
        <f aca="false">(u_hp_26)*D841</f>
        <v>0.5</v>
      </c>
      <c r="E845" s="20" t="n">
        <f aca="false">(u_hp_27)*E841</f>
        <v>0</v>
      </c>
      <c r="F845" s="20" t="n">
        <f aca="false">(u_hp_28*um28_A)*F841</f>
        <v>0</v>
      </c>
      <c r="G845" s="20" t="n">
        <f aca="false">(u_hp_28*(1+g29_hp)*um29_A)*G841</f>
        <v>0</v>
      </c>
    </row>
    <row r="846" customFormat="false" ht="17.15" hidden="false" customHeight="false" outlineLevel="0" collapsed="false">
      <c r="A846" s="0" t="s">
        <v>664</v>
      </c>
      <c r="B846" s="5" t="s">
        <v>30</v>
      </c>
      <c r="D846" s="20" t="n">
        <f aca="false">SUM(D842:D845)</f>
        <v>7.6</v>
      </c>
      <c r="E846" s="20" t="n">
        <f aca="false">SUM(E842:E845)</f>
        <v>9.7</v>
      </c>
      <c r="F846" s="20" t="n">
        <f aca="false">SUM(F842:F845)</f>
        <v>9.5</v>
      </c>
      <c r="G846" s="20" t="n">
        <f aca="false">SUM(G842:G845)</f>
        <v>10.6</v>
      </c>
      <c r="H846" s="8" t="s">
        <v>665</v>
      </c>
    </row>
    <row r="847" customFormat="false" ht="17.15" hidden="false" customHeight="false" outlineLevel="0" collapsed="false">
      <c r="A847" s="0" t="s">
        <v>666</v>
      </c>
      <c r="B847" s="0" t="s">
        <v>174</v>
      </c>
      <c r="D847" s="20" t="n">
        <f aca="false">pf_cal*(pm_bw+pcpu_bw+plp_bw+k_tray*pres_bw)+(1-abs_mem)*(gb_bw_26*hpx_bw*(hbm_A_26/hbm_A_26-1)/1000+plp_bw*(cdx_A_26/cdx_A_26-1))</f>
        <v>37.6659474774222</v>
      </c>
      <c r="E847" s="20" t="n">
        <f aca="false">pf_cal*(pm_bw+pcpu_bw+plp_bw+k_tray*pres_bw)+(1-abs_mem)*(gb_bw_27*hpx_bw*(hbm_A_27/hbm_A_26-1)/1000+plp_bw*(cdx_A_27/cdx_A_26-1))</f>
        <v>39.8472656574713</v>
      </c>
      <c r="F847" s="20" t="n">
        <f aca="false">pf_cal*(pm_bw+pcpu_bw+plp_bw+k_tray*pres_bw)+(1-abs_mem)*(gb_bw_28*hpx_bw*(hbm_A_28/hbm_A_26-1)/1000+plp_bw*(cdx_A_28/cdx_A_26-1))</f>
        <v>40.1079225983179</v>
      </c>
      <c r="G847" s="20" t="n">
        <f aca="false">pf_cal*(pm_bw+pcpu_bw+plp_bw+k_tray*pres_bw)+(1-abs_mem)*(gb_bw_28*hpx_bw*(hbm_A_29/hbm_A_26-1)/1000+plp_bw*(cdx_A_29/cdx_A_26-1))</f>
        <v>39.7145347175098</v>
      </c>
      <c r="H847" s="5" t="s">
        <v>667</v>
      </c>
    </row>
    <row r="848" customFormat="false" ht="17.15" hidden="false" customHeight="false" outlineLevel="0" collapsed="false">
      <c r="A848" s="0" t="s">
        <v>668</v>
      </c>
      <c r="B848" s="0" t="s">
        <v>174</v>
      </c>
      <c r="D848" s="20" t="n">
        <f aca="false">pf_cal*(pm_rb+pcpu_rb+plp_rb+k_tray*pres_rb)+(1-abs_mem)*(gb_rb_26*hpx_rb*(hbm_A_26/hbm_A_26-1)/1000+plp_rb*(cdx_A_26/cdx_A_26-1))</f>
        <v>57.8277586307112</v>
      </c>
      <c r="E848" s="20" t="n">
        <f aca="false">pf_cal*(pm_rb+pcpu_rb+plp_rb+k_tray*pres_rb)+(1-abs_mem)*(gb_rb_27*hpx_rb*(hbm_A_27/hbm_A_26-1)/1000+plp_rb*(cdx_A_27/cdx_A_26-1))</f>
        <v>60.4850640391227</v>
      </c>
      <c r="F848" s="20" t="n">
        <f aca="false">pf_cal*(pm_rb+pcpu_rb+plp_rb+k_tray*pres_rb)+(1-abs_mem)*(gb_rb_28*hpx_rb*(hbm_A_28/hbm_A_26-1)/1000+plp_rb*(cdx_A_28/cdx_A_26-1))</f>
        <v>60.6038288097765</v>
      </c>
      <c r="G848" s="20" t="n">
        <f aca="false">pf_cal*(pm_rb+pcpu_rb+plp_rb+k_tray*pres_rb)+(1-abs_mem)*(gb_rb_28*hpx_rb*(hbm_A_29/hbm_A_26-1)/1000+plp_rb*(cdx_A_29/cdx_A_26-1))</f>
        <v>60.0817678576537</v>
      </c>
    </row>
    <row r="849" customFormat="false" ht="17.15" hidden="false" customHeight="false" outlineLevel="0" collapsed="false">
      <c r="A849" s="0" t="s">
        <v>669</v>
      </c>
      <c r="B849" s="0" t="s">
        <v>174</v>
      </c>
      <c r="D849" s="20" t="n">
        <f aca="false">pf_cal*(pm_ru+pcpu_ru+plp_ru+k_tray*pres_ru)+(1-abs_mem)*(gb_ru_26*hpx_ru*(hbm_A_26/hbm_A_26-1)/1000+plp_ru*(cdx_A_26/cdx_A_26-1))</f>
        <v>73.8539272303256</v>
      </c>
      <c r="E849" s="20" t="n">
        <f aca="false">pf_cal*(pm_ru+pcpu_ru+plp_ru+k_tray*pres_ru)+(1-abs_mem)*(gb_ru_27*hpx_ru*(hbm_A_27/hbm_A_26-1)/1000+plp_ru*(cdx_A_27/cdx_A_26-1))</f>
        <v>81.427712638737</v>
      </c>
      <c r="F849" s="20" t="n">
        <f aca="false">pf_cal*(pm_ru+pcpu_ru+plp_ru+k_tray*pres_ru)+(1-abs_mem)*(gb_ru_28*hpx_ru*(hbm_A_28/hbm_A_26-1)/1000+plp_ru*(cdx_A_28/cdx_A_26-1))</f>
        <v>82.6526854093909</v>
      </c>
      <c r="G849" s="20" t="n">
        <f aca="false">pf_cal*(pm_ru+pcpu_ru+plp_ru+k_tray*pres_ru)+(1-abs_mem)*(gb_ru_28*hpx_ru*(hbm_A_29/hbm_A_26-1)/1000+plp_ru*(cdx_A_29/cdx_A_26-1))</f>
        <v>81.522210057268</v>
      </c>
    </row>
    <row r="850" customFormat="false" ht="17.15" hidden="false" customHeight="false" outlineLevel="0" collapsed="false">
      <c r="A850" s="0" t="s">
        <v>670</v>
      </c>
      <c r="B850" s="0" t="s">
        <v>174</v>
      </c>
      <c r="D850" s="20" t="n">
        <f aca="false">pf_cal*(pm_hp+pcpu_hp+plp_hp+k_tray*pres_hp)+(1-abs_mem)*(gb_hp_26*hpx_hp*(hbm_A_26/hbm_A_26-1)/1000+plp_hp*(cdx_A_26/cdx_A_26-1))</f>
        <v>24.0392528994215</v>
      </c>
      <c r="E850" s="20" t="n">
        <f aca="false">pf_cal*(pm_hp+pcpu_hp+plp_hp+k_tray*pres_hp)+(1-abs_mem)*(gb_hp_27*hpx_hp*(hbm_A_27/hbm_A_26-1)/1000+plp_hp*(cdx_A_27/cdx_A_26-1))</f>
        <v>24.9134528994215</v>
      </c>
      <c r="F850" s="20" t="n">
        <f aca="false">pf_cal*(pm_hp+pcpu_hp+plp_hp+k_tray*pres_hp)+(1-abs_mem)*(gb_hp_28*hpx_hp*(hbm_A_28/hbm_A_26-1)/1000+plp_hp*(cdx_A_28/cdx_A_26-1))</f>
        <v>25.1101478994215</v>
      </c>
      <c r="G850" s="20" t="n">
        <f aca="false">pf_cal*(pm_hp+pcpu_hp+plp_hp+k_tray*pres_hp)+(1-abs_mem)*(gb_hp_28*hpx_hp*(hbm_A_29/hbm_A_26-1)/1000+plp_hp*(cdx_A_29/cdx_A_26-1))</f>
        <v>25.0019656494215</v>
      </c>
    </row>
    <row r="851" customFormat="false" ht="17.15" hidden="false" customHeight="false" outlineLevel="0" collapsed="false">
      <c r="A851" s="0" t="s">
        <v>671</v>
      </c>
      <c r="B851" s="0" t="s">
        <v>174</v>
      </c>
      <c r="D851" s="20" t="n">
        <f aca="false">gb_bw_26*hpx_bw*hbm_A_26/hbm_A_26/1000</f>
        <v>4.03</v>
      </c>
      <c r="E851" s="20" t="n">
        <f aca="false">gb_bw_27*hpx_bw*hbm_A_27/hbm_A_26/1000</f>
        <v>7.812</v>
      </c>
      <c r="F851" s="20" t="n">
        <f aca="false">gb_bw_28*hpx_bw*hbm_A_28/hbm_A_26/1000</f>
        <v>8.83872</v>
      </c>
      <c r="G851" s="20" t="n">
        <f aca="false">gb_bw_28*hpx_bw*hbm_A_29/hbm_A_26/1000</f>
        <v>8.396784</v>
      </c>
      <c r="H851" s="5" t="s">
        <v>672</v>
      </c>
    </row>
    <row r="852" customFormat="false" ht="17.15" hidden="false" customHeight="false" outlineLevel="0" collapsed="false">
      <c r="A852" s="0" t="s">
        <v>673</v>
      </c>
      <c r="B852" s="0" t="s">
        <v>174</v>
      </c>
      <c r="D852" s="20" t="n">
        <f aca="false">gb_rb_26*hpx_rb*hbm_A_26/hbm_A_26/1000</f>
        <v>4.8096</v>
      </c>
      <c r="E852" s="20" t="n">
        <f aca="false">gb_rb_27*hpx_rb*hbm_A_27/hbm_A_26/1000</f>
        <v>8.65728</v>
      </c>
      <c r="F852" s="20" t="n">
        <f aca="false">gb_rb_28*hpx_rb*hbm_A_28/hbm_A_26/1000</f>
        <v>9.523008</v>
      </c>
      <c r="G852" s="20" t="n">
        <f aca="false">gb_rb_28*hpx_rb*hbm_A_29/hbm_A_26/1000</f>
        <v>9.0468576</v>
      </c>
    </row>
    <row r="853" customFormat="false" ht="17.15" hidden="false" customHeight="false" outlineLevel="0" collapsed="false">
      <c r="A853" s="0" t="s">
        <v>674</v>
      </c>
      <c r="B853" s="0" t="s">
        <v>174</v>
      </c>
      <c r="D853" s="20" t="n">
        <f aca="false">gb_ru_26*hpx_ru*hbm_A_26/hbm_A_26/1000</f>
        <v>17.1008</v>
      </c>
      <c r="E853" s="20" t="n">
        <f aca="false">gb_ru_27*hpx_ru*hbm_A_27/hbm_A_26/1000</f>
        <v>30.78144</v>
      </c>
      <c r="F853" s="20" t="n">
        <f aca="false">gb_ru_28*hpx_ru*hbm_A_28/hbm_A_26/1000</f>
        <v>33.859584</v>
      </c>
      <c r="G853" s="20" t="n">
        <f aca="false">gb_ru_28*hpx_ru*hbm_A_29/hbm_A_26/1000</f>
        <v>32.1666048</v>
      </c>
    </row>
    <row r="854" customFormat="false" ht="17.15" hidden="false" customHeight="false" outlineLevel="0" collapsed="false">
      <c r="A854" s="0" t="s">
        <v>675</v>
      </c>
      <c r="B854" s="0" t="s">
        <v>174</v>
      </c>
      <c r="D854" s="20" t="n">
        <f aca="false">gb_hp_26*hpx_hp*hbm_A_26/hbm_A_26/1000</f>
        <v>2.1855</v>
      </c>
      <c r="E854" s="20" t="n">
        <f aca="false">gb_hp_27*hpx_hp*hbm_A_27/hbm_A_26/1000</f>
        <v>3.9339</v>
      </c>
      <c r="F854" s="20" t="n">
        <f aca="false">gb_hp_28*hpx_hp*hbm_A_28/hbm_A_26/1000</f>
        <v>4.32729</v>
      </c>
      <c r="G854" s="20" t="n">
        <f aca="false">gb_hp_28*hpx_hp*hbm_A_29/hbm_A_26/1000</f>
        <v>4.1109255</v>
      </c>
    </row>
    <row r="855" customFormat="false" ht="17.15" hidden="false" customHeight="false" outlineLevel="0" collapsed="false">
      <c r="A855" s="0" t="s">
        <v>676</v>
      </c>
      <c r="B855" s="0" t="s">
        <v>174</v>
      </c>
      <c r="D855" s="20" t="n">
        <f aca="false">pf_cal*c_nh_p*(pm_bw+pcpu_bw+plp_bw+k_tray*pres_bw)+D851+plp_bw*(cdx_A_26/cdx_A_26-1)</f>
        <v>10.352822494809</v>
      </c>
      <c r="E855" s="20" t="n">
        <f aca="false">pf_cal*c_nh_p*(pm_bw+pcpu_bw+plp_bw+k_tray*pres_bw)+E851+plp_bw*(cdx_A_27/cdx_A_26-1)</f>
        <v>15.0254588549071</v>
      </c>
      <c r="F855" s="20" t="n">
        <f aca="false">pf_cal*c_nh_p*(pm_bw+pcpu_bw+plp_bw+k_tray*pres_bw)+F851+plp_bw*(cdx_A_28/cdx_A_26-1)</f>
        <v>15.6707727366003</v>
      </c>
      <c r="G855" s="20" t="n">
        <f aca="false">pf_cal*c_nh_p*(pm_bw+pcpu_bw+plp_bw+k_tray*pres_bw)+G851+plp_bw*(cdx_A_29/cdx_A_26-1)</f>
        <v>14.883996974984</v>
      </c>
      <c r="H855" s="5" t="s">
        <v>677</v>
      </c>
    </row>
    <row r="856" customFormat="false" ht="17.15" hidden="false" customHeight="false" outlineLevel="0" collapsed="false">
      <c r="A856" s="0" t="s">
        <v>678</v>
      </c>
      <c r="B856" s="0" t="s">
        <v>174</v>
      </c>
      <c r="D856" s="20" t="n">
        <f aca="false">pf_cal*c_nh_p*(pm_rb+pcpu_rb+plp_rb+k_tray*pres_rb)+D852+plp_rb*(cdx_A_26/cdx_A_26-1)</f>
        <v>14.5169000304536</v>
      </c>
      <c r="E856" s="20" t="n">
        <f aca="false">pf_cal*c_nh_p*(pm_rb+pcpu_rb+plp_rb+k_tray*pres_rb)+E852+plp_rb*(cdx_A_27/cdx_A_26-1)</f>
        <v>19.8315108472765</v>
      </c>
      <c r="F856" s="20" t="n">
        <f aca="false">pf_cal*c_nh_p*(pm_rb+pcpu_rb+plp_rb+k_tray*pres_rb)+F852+plp_rb*(cdx_A_28/cdx_A_26-1)</f>
        <v>20.0690403885842</v>
      </c>
      <c r="G856" s="20" t="n">
        <f aca="false">pf_cal*c_nh_p*(pm_rb+pcpu_rb+plp_rb+k_tray*pres_rb)+G852+plp_rb*(cdx_A_29/cdx_A_26-1)</f>
        <v>19.0249184843385</v>
      </c>
    </row>
    <row r="857" customFormat="false" ht="17.15" hidden="false" customHeight="false" outlineLevel="0" collapsed="false">
      <c r="A857" s="0" t="s">
        <v>679</v>
      </c>
      <c r="B857" s="0" t="s">
        <v>174</v>
      </c>
      <c r="D857" s="20" t="n">
        <f aca="false">pf_cal*c_nh_p*(pm_ru+pcpu_ru+plp_ru+k_tray*pres_ru)+D853+plp_ru*(cdx_A_26/cdx_A_26-1)</f>
        <v>29.4983448301625</v>
      </c>
      <c r="E857" s="20" t="n">
        <f aca="false">pf_cal*c_nh_p*(pm_ru+pcpu_ru+plp_ru+k_tray*pres_ru)+E853+plp_ru*(cdx_A_27/cdx_A_26-1)</f>
        <v>44.6459156469854</v>
      </c>
      <c r="F857" s="20" t="n">
        <f aca="false">pf_cal*c_nh_p*(pm_ru+pcpu_ru+plp_ru+k_tray*pres_ru)+F853+plp_ru*(cdx_A_28/cdx_A_26-1)</f>
        <v>47.0958611882931</v>
      </c>
      <c r="G857" s="20" t="n">
        <f aca="false">pf_cal*c_nh_p*(pm_ru+pcpu_ru+plp_ru+k_tray*pres_ru)+G853+plp_ru*(cdx_A_29/cdx_A_26-1)</f>
        <v>44.8349104840474</v>
      </c>
    </row>
    <row r="858" customFormat="false" ht="17.15" hidden="false" customHeight="false" outlineLevel="0" collapsed="false">
      <c r="A858" s="0" t="s">
        <v>680</v>
      </c>
      <c r="B858" s="0" t="s">
        <v>174</v>
      </c>
      <c r="D858" s="20" t="n">
        <f aca="false">pf_cal*c_nh_p*(pm_hp+pcpu_hp+plp_hp+k_tray*pres_hp)+D854+plp_hp*(cdx_A_26/cdx_A_26-1)</f>
        <v>6.22086719956332</v>
      </c>
      <c r="E858" s="20" t="n">
        <f aca="false">pf_cal*c_nh_p*(pm_hp+pcpu_hp+plp_hp+k_tray*pres_hp)+E854+plp_hp*(cdx_A_27/cdx_A_26-1)</f>
        <v>7.96926719956332</v>
      </c>
      <c r="F858" s="20" t="n">
        <f aca="false">pf_cal*c_nh_p*(pm_hp+pcpu_hp+plp_hp+k_tray*pres_hp)+F854+plp_hp*(cdx_A_28/cdx_A_26-1)</f>
        <v>8.36265719956332</v>
      </c>
      <c r="G858" s="20" t="n">
        <f aca="false">pf_cal*c_nh_p*(pm_hp+pcpu_hp+plp_hp+k_tray*pres_hp)+G854+plp_hp*(cdx_A_29/cdx_A_26-1)</f>
        <v>8.14629269956332</v>
      </c>
    </row>
    <row r="859" customFormat="false" ht="17.15" hidden="false" customHeight="false" outlineLevel="0" collapsed="false">
      <c r="A859" s="0" t="s">
        <v>681</v>
      </c>
      <c r="B859" s="0" t="s">
        <v>309</v>
      </c>
      <c r="D859" s="16" t="n">
        <f aca="false">D842*D847</f>
        <v>203.39611637808</v>
      </c>
      <c r="E859" s="16" t="n">
        <f aca="false">E842*E847</f>
        <v>95.6334375779311</v>
      </c>
      <c r="F859" s="16" t="n">
        <f aca="false">F842*F847</f>
        <v>20.053961299159</v>
      </c>
      <c r="G859" s="16" t="n">
        <f aca="false">G842*G847</f>
        <v>9.92863367937745</v>
      </c>
    </row>
    <row r="860" customFormat="false" ht="17.15" hidden="false" customHeight="false" outlineLevel="0" collapsed="false">
      <c r="A860" s="0" t="s">
        <v>682</v>
      </c>
      <c r="B860" s="0" t="s">
        <v>309</v>
      </c>
      <c r="D860" s="16" t="n">
        <f aca="false">D843*D848</f>
        <v>98.3071896722091</v>
      </c>
      <c r="E860" s="16" t="n">
        <f aca="false">E843*E848</f>
        <v>423.395448273859</v>
      </c>
      <c r="F860" s="16" t="n">
        <f aca="false">F843*F848</f>
        <v>424.226801668436</v>
      </c>
      <c r="G860" s="16" t="n">
        <f aca="false">G843*G848</f>
        <v>483.658231254112</v>
      </c>
    </row>
    <row r="861" customFormat="false" ht="17.15" hidden="false" customHeight="false" outlineLevel="0" collapsed="false">
      <c r="A861" s="0" t="s">
        <v>683</v>
      </c>
      <c r="B861" s="0" t="s">
        <v>309</v>
      </c>
      <c r="D861" s="16" t="n">
        <f aca="false">D844*D849</f>
        <v>0</v>
      </c>
      <c r="E861" s="16" t="n">
        <f aca="false">E844*E849</f>
        <v>24.4283137916211</v>
      </c>
      <c r="F861" s="16" t="n">
        <f aca="false">F844*F849</f>
        <v>165.305370818782</v>
      </c>
      <c r="G861" s="16" t="n">
        <f aca="false">G844*G849</f>
        <v>187.501083131716</v>
      </c>
    </row>
    <row r="862" customFormat="false" ht="17.15" hidden="false" customHeight="false" outlineLevel="0" collapsed="false">
      <c r="A862" s="0" t="s">
        <v>684</v>
      </c>
      <c r="B862" s="0" t="s">
        <v>309</v>
      </c>
      <c r="D862" s="16" t="n">
        <f aca="false">D845*D850</f>
        <v>12.0196264497108</v>
      </c>
      <c r="E862" s="16" t="n">
        <f aca="false">E845*E850</f>
        <v>0</v>
      </c>
      <c r="F862" s="16" t="n">
        <f aca="false">F845*F850</f>
        <v>0</v>
      </c>
      <c r="G862" s="16" t="n">
        <f aca="false">G845*G850</f>
        <v>0</v>
      </c>
    </row>
    <row r="863" customFormat="false" ht="17.15" hidden="false" customHeight="false" outlineLevel="0" collapsed="false">
      <c r="A863" s="5" t="s">
        <v>685</v>
      </c>
      <c r="B863" s="0" t="s">
        <v>309</v>
      </c>
      <c r="D863" s="16" t="n">
        <f aca="false">SUM(D859:D862)</f>
        <v>313.7229325</v>
      </c>
      <c r="E863" s="16" t="n">
        <f aca="false">SUM(E859:E862)</f>
        <v>543.457199643411</v>
      </c>
      <c r="F863" s="16" t="n">
        <f aca="false">SUM(F859:F862)</f>
        <v>609.586133786376</v>
      </c>
      <c r="G863" s="16" t="n">
        <f aca="false">SUM(G859:G862)</f>
        <v>681.087948065206</v>
      </c>
    </row>
    <row r="864" customFormat="false" ht="15" hidden="false" customHeight="false" outlineLevel="0" collapsed="false">
      <c r="A864" s="5" t="s">
        <v>686</v>
      </c>
      <c r="B864" s="0" t="s">
        <v>309</v>
      </c>
      <c r="D864" s="16" t="n">
        <f aca="false">D842*D855+D843*D856+D844*D857+D845*D858</f>
        <v>83.6944051235213</v>
      </c>
      <c r="E864" s="16" t="n">
        <f aca="false">E842*E855+E843*E856+E844*E857+E845*E858</f>
        <v>188.275451876808</v>
      </c>
      <c r="F864" s="16" t="n">
        <f aca="false">F842*F855+F843*F856+F844*F857+F845*F858</f>
        <v>242.510391464976</v>
      </c>
      <c r="G864" s="16" t="n">
        <f aca="false">G842*G855+G843*G856+G844*G857+G845*G858</f>
        <v>259.99188715598</v>
      </c>
    </row>
    <row r="865" customFormat="false" ht="17.15" hidden="false" customHeight="false" outlineLevel="0" collapsed="false">
      <c r="A865" s="5" t="s">
        <v>687</v>
      </c>
      <c r="B865" s="0" t="s">
        <v>309</v>
      </c>
      <c r="D865" s="16" t="n">
        <f aca="false">D842*D851+D843*D852+D844*D853+D845*D854</f>
        <v>31.03107</v>
      </c>
      <c r="E865" s="16" t="n">
        <f aca="false">E842*E851+E843*E852+E844*E853+E845*E854</f>
        <v>88.584192</v>
      </c>
      <c r="F865" s="16" t="n">
        <f aca="false">F842*F851+F843*F852+F844*F853+F845*F854</f>
        <v>138.799584</v>
      </c>
      <c r="G865" s="16" t="n">
        <f aca="false">G842*G851+G843*G852+G844*G853+G845*G854</f>
        <v>148.90959072</v>
      </c>
    </row>
    <row r="866" customFormat="false" ht="17.15" hidden="false" customHeight="false" outlineLevel="0" collapsed="false">
      <c r="A866" s="5" t="s">
        <v>688</v>
      </c>
      <c r="B866" s="0" t="s">
        <v>309</v>
      </c>
      <c r="D866" s="16" t="n">
        <f aca="false">0</f>
        <v>0</v>
      </c>
      <c r="E866" s="16" t="n">
        <f aca="false">0</f>
        <v>0</v>
      </c>
      <c r="F866" s="16" t="n">
        <f aca="false">0</f>
        <v>0</v>
      </c>
      <c r="G866" s="16" t="n">
        <f aca="false">0</f>
        <v>0</v>
      </c>
    </row>
    <row r="867" customFormat="false" ht="15" hidden="false" customHeight="false" outlineLevel="0" collapsed="false">
      <c r="A867" s="5" t="s">
        <v>689</v>
      </c>
      <c r="B867" s="0" t="s">
        <v>309</v>
      </c>
      <c r="D867" s="16" t="n">
        <f aca="false">D866*D864/D863</f>
        <v>0</v>
      </c>
      <c r="E867" s="16" t="n">
        <f aca="false">E866*E864/E863</f>
        <v>0</v>
      </c>
      <c r="F867" s="16" t="n">
        <f aca="false">F866*F864/F863</f>
        <v>0</v>
      </c>
      <c r="G867" s="16" t="n">
        <f aca="false">G866*G864/G863</f>
        <v>0</v>
      </c>
    </row>
    <row r="868" customFormat="false" ht="17.15" hidden="false" customHeight="false" outlineLevel="0" collapsed="false">
      <c r="A868" s="0" t="s">
        <v>690</v>
      </c>
      <c r="B868" s="0" t="s">
        <v>309</v>
      </c>
      <c r="D868" s="16" t="n">
        <f aca="false">net_26*1*D841</f>
        <v>61.733865</v>
      </c>
      <c r="E868" s="16" t="n">
        <f aca="false">net_27*1*E841</f>
        <v>122.488065</v>
      </c>
      <c r="F868" s="16" t="n">
        <f aca="false">net_28*um28_A*F841</f>
        <v>138.6168</v>
      </c>
      <c r="G868" s="16" t="n">
        <f aca="false">net_29*um29_A*G841</f>
        <v>157.2997125</v>
      </c>
      <c r="H868" s="8" t="s">
        <v>691</v>
      </c>
    </row>
    <row r="869" customFormat="false" ht="17.15" hidden="false" customHeight="false" outlineLevel="0" collapsed="false">
      <c r="A869" s="5" t="s">
        <v>692</v>
      </c>
      <c r="B869" s="0" t="s">
        <v>309</v>
      </c>
      <c r="D869" s="16" t="n">
        <f aca="false">c_net*D868</f>
        <v>18.5201595</v>
      </c>
      <c r="E869" s="16" t="n">
        <f aca="false">c_net*E868</f>
        <v>36.7464195</v>
      </c>
      <c r="F869" s="16" t="n">
        <f aca="false">c_net*F868</f>
        <v>41.58504</v>
      </c>
      <c r="G869" s="16" t="n">
        <f aca="false">c_net*G868</f>
        <v>47.18991375</v>
      </c>
    </row>
    <row r="870" customFormat="false" ht="17.15" hidden="false" customHeight="false" outlineLevel="0" collapsed="false">
      <c r="A870" s="0" t="s">
        <v>693</v>
      </c>
      <c r="B870" s="0" t="s">
        <v>309</v>
      </c>
      <c r="D870" s="16" t="n">
        <f aca="false">a27_edge</f>
        <v>29.1792025</v>
      </c>
      <c r="E870" s="16" t="n">
        <f aca="false">D870*(1+eg)</f>
        <v>31.5135387</v>
      </c>
      <c r="F870" s="16" t="n">
        <f aca="false">E870*(1+eg)</f>
        <v>34.034621796</v>
      </c>
      <c r="G870" s="16" t="n">
        <f aca="false">F870*(1+eg)</f>
        <v>36.75739153968</v>
      </c>
    </row>
    <row r="871" customFormat="false" ht="17.15" hidden="false" customHeight="false" outlineLevel="0" collapsed="false">
      <c r="A871" s="0" t="s">
        <v>694</v>
      </c>
      <c r="B871" s="0" t="s">
        <v>309</v>
      </c>
      <c r="D871" s="16" t="n">
        <f aca="false">(1-gm_edge)*D870</f>
        <v>11.671681</v>
      </c>
      <c r="E871" s="16" t="n">
        <f aca="false">(1-gm_edge)*E870</f>
        <v>12.60541548</v>
      </c>
      <c r="F871" s="16" t="n">
        <f aca="false">(1-gm_edge)*F870</f>
        <v>13.6138487184</v>
      </c>
      <c r="G871" s="16" t="n">
        <f aca="false">(1-gm_edge)*G870</f>
        <v>14.702956615872</v>
      </c>
    </row>
    <row r="872" customFormat="false" ht="15" hidden="false" customHeight="false" outlineLevel="0" collapsed="false">
      <c r="A872" s="5" t="s">
        <v>695</v>
      </c>
      <c r="B872" s="0" t="s">
        <v>309</v>
      </c>
      <c r="D872" s="16" t="n">
        <f aca="false">D863+D866+D868+D870</f>
        <v>404.636</v>
      </c>
      <c r="E872" s="16" t="n">
        <f aca="false">E863+E866+E868+E870</f>
        <v>697.458803343411</v>
      </c>
      <c r="F872" s="16" t="n">
        <f aca="false">F863+F866+F868+F870</f>
        <v>782.237555582376</v>
      </c>
      <c r="G872" s="16" t="n">
        <f aca="false">G863+G866+G868+G870</f>
        <v>875.145052104886</v>
      </c>
    </row>
    <row r="873" customFormat="false" ht="15" hidden="false" customHeight="false" outlineLevel="0" collapsed="false">
      <c r="A873" s="5" t="s">
        <v>696</v>
      </c>
      <c r="B873" s="0" t="s">
        <v>309</v>
      </c>
      <c r="D873" s="16" t="n">
        <f aca="false">D864+D867+D869+D871</f>
        <v>113.886245623521</v>
      </c>
      <c r="E873" s="16" t="n">
        <f aca="false">E864+E867+E869+E871</f>
        <v>237.627286856808</v>
      </c>
      <c r="F873" s="16" t="n">
        <f aca="false">F864+F867+F869+F871</f>
        <v>297.709280183376</v>
      </c>
      <c r="G873" s="16" t="n">
        <f aca="false">G864+G867+G869+G871</f>
        <v>321.884757521852</v>
      </c>
    </row>
    <row r="874" customFormat="false" ht="17.15" hidden="false" customHeight="false" outlineLevel="0" collapsed="false">
      <c r="A874" s="5" t="s">
        <v>697</v>
      </c>
      <c r="B874" s="0" t="s">
        <v>41</v>
      </c>
      <c r="D874" s="17" t="n">
        <f aca="false">1-D873/D872</f>
        <v>0.718546432785216</v>
      </c>
      <c r="E874" s="17" t="n">
        <f aca="false">1-E873/E872</f>
        <v>0.659295594639148</v>
      </c>
      <c r="F874" s="17" t="n">
        <f aca="false">1-F873/F872</f>
        <v>0.619413210144672</v>
      </c>
      <c r="G874" s="17" t="n">
        <f aca="false">1-G873/G872</f>
        <v>0.632192678519224</v>
      </c>
      <c r="H874" s="8" t="s">
        <v>698</v>
      </c>
    </row>
    <row r="875" customFormat="false" ht="17.15" hidden="false" customHeight="false" outlineLevel="0" collapsed="false">
      <c r="A875" s="0" t="s">
        <v>699</v>
      </c>
      <c r="B875" s="0" t="s">
        <v>41</v>
      </c>
      <c r="D875" s="17" t="n">
        <f aca="false">D865/D872</f>
        <v>0.0766888512144248</v>
      </c>
      <c r="E875" s="17" t="n">
        <f aca="false">E865/E872</f>
        <v>0.12700992743278</v>
      </c>
      <c r="F875" s="17" t="n">
        <f aca="false">F865/F872</f>
        <v>0.177439171782878</v>
      </c>
      <c r="G875" s="17" t="n">
        <f aca="false">G865/G872</f>
        <v>0.170154182283091</v>
      </c>
    </row>
    <row r="876" customFormat="false" ht="17.15" hidden="false" customHeight="false" outlineLevel="0" collapsed="false">
      <c r="A876" s="1" t="s">
        <v>700</v>
      </c>
    </row>
    <row r="877" customFormat="false" ht="15" hidden="false" customHeight="false" outlineLevel="0" collapsed="false">
      <c r="A877" s="5" t="s">
        <v>527</v>
      </c>
      <c r="B877" s="0" t="s">
        <v>309</v>
      </c>
      <c r="C877" s="16" t="n">
        <f aca="false">a26_rev</f>
        <v>215.938</v>
      </c>
      <c r="D877" s="16" t="n">
        <f aca="false">a27_rev</f>
        <v>404.636</v>
      </c>
      <c r="E877" s="16" t="n">
        <f aca="false">E872</f>
        <v>697.458803343411</v>
      </c>
      <c r="F877" s="16" t="n">
        <f aca="false">F872</f>
        <v>782.237555582376</v>
      </c>
      <c r="G877" s="16" t="n">
        <f aca="false">G872</f>
        <v>875.145052104886</v>
      </c>
    </row>
    <row r="878" customFormat="false" ht="17.15" hidden="false" customHeight="false" outlineLevel="0" collapsed="false">
      <c r="A878" s="0" t="s">
        <v>701</v>
      </c>
      <c r="B878" s="0" t="s">
        <v>309</v>
      </c>
      <c r="C878" s="16" t="n">
        <f aca="false">a26_dc</f>
        <v>193.7</v>
      </c>
      <c r="D878" s="16" t="n">
        <f aca="false">a27_dc</f>
        <v>375.4567975</v>
      </c>
      <c r="E878" s="16" t="n">
        <f aca="false">E863+E866+E868</f>
        <v>665.945264643411</v>
      </c>
      <c r="F878" s="16" t="n">
        <f aca="false">F863+F866+F868</f>
        <v>748.202933786376</v>
      </c>
      <c r="G878" s="16" t="n">
        <f aca="false">G863+G866+G868</f>
        <v>838.387660565206</v>
      </c>
    </row>
    <row r="879" customFormat="false" ht="15" hidden="false" customHeight="false" outlineLevel="0" collapsed="false">
      <c r="A879" s="0" t="s">
        <v>647</v>
      </c>
      <c r="B879" s="0" t="s">
        <v>309</v>
      </c>
      <c r="C879" s="16" t="n">
        <f aca="false">a26_edge</f>
        <v>22.238</v>
      </c>
      <c r="D879" s="16" t="n">
        <f aca="false">a27_edge</f>
        <v>29.1792025</v>
      </c>
      <c r="E879" s="16" t="n">
        <f aca="false">E870</f>
        <v>31.5135387</v>
      </c>
      <c r="F879" s="16" t="n">
        <f aca="false">F870</f>
        <v>34.034621796</v>
      </c>
      <c r="G879" s="16" t="n">
        <f aca="false">G870</f>
        <v>36.75739153968</v>
      </c>
    </row>
    <row r="880" customFormat="false" ht="15" hidden="false" customHeight="false" outlineLevel="0" collapsed="false">
      <c r="A880" s="5" t="s">
        <v>702</v>
      </c>
      <c r="B880" s="0" t="s">
        <v>41</v>
      </c>
      <c r="D880" s="17" t="n">
        <f aca="false">D877/C877-1</f>
        <v>0.873852679935908</v>
      </c>
      <c r="E880" s="17" t="n">
        <f aca="false">E877/D877-1</f>
        <v>0.723669676804365</v>
      </c>
      <c r="F880" s="17" t="n">
        <f aca="false">F877/E877-1</f>
        <v>0.121553777560138</v>
      </c>
      <c r="G880" s="17" t="n">
        <f aca="false">G877/F877-1</f>
        <v>0.118771459973358</v>
      </c>
    </row>
    <row r="881" customFormat="false" ht="15" hidden="false" customHeight="false" outlineLevel="0" collapsed="false">
      <c r="A881" s="5" t="s">
        <v>703</v>
      </c>
      <c r="B881" s="0" t="s">
        <v>309</v>
      </c>
      <c r="C881" s="16" t="n">
        <f aca="false">a26_gp</f>
        <v>153.463</v>
      </c>
      <c r="D881" s="16" t="n">
        <f aca="false">a27_gp</f>
        <v>298.161</v>
      </c>
      <c r="E881" s="16" t="n">
        <f aca="false">E877-E873</f>
        <v>459.831516486603</v>
      </c>
      <c r="F881" s="16" t="n">
        <f aca="false">F877-F873</f>
        <v>484.528275399001</v>
      </c>
      <c r="G881" s="16" t="n">
        <f aca="false">G877-G873</f>
        <v>553.260294583034</v>
      </c>
    </row>
    <row r="882" customFormat="false" ht="15" hidden="false" customHeight="false" outlineLevel="0" collapsed="false">
      <c r="A882" s="5" t="s">
        <v>543</v>
      </c>
      <c r="B882" s="0" t="s">
        <v>41</v>
      </c>
      <c r="C882" s="17" t="n">
        <f aca="false">C881/C877</f>
        <v>0.710680843575471</v>
      </c>
      <c r="D882" s="17" t="n">
        <f aca="false">D881/D877</f>
        <v>0.736862266333198</v>
      </c>
      <c r="E882" s="17" t="n">
        <f aca="false">E881/E877</f>
        <v>0.659295594639148</v>
      </c>
      <c r="F882" s="17" t="n">
        <f aca="false">F881/F877</f>
        <v>0.619413210144672</v>
      </c>
      <c r="G882" s="17" t="n">
        <f aca="false">G881/G877</f>
        <v>0.632192678519224</v>
      </c>
    </row>
    <row r="883" customFormat="false" ht="17.15" hidden="false" customHeight="false" outlineLevel="0" collapsed="false">
      <c r="A883" s="5" t="s">
        <v>704</v>
      </c>
      <c r="B883" s="0" t="s">
        <v>309</v>
      </c>
      <c r="C883" s="16" t="n">
        <f aca="false">a26_opx</f>
        <v>23.076</v>
      </c>
      <c r="D883" s="16" t="n">
        <f aca="false">a27_opx</f>
        <v>35.165</v>
      </c>
      <c r="E883" s="16" t="n">
        <f aca="false">D883*(1+MAX(g_opx_min,phi*E880))</f>
        <v>50.4337065108953</v>
      </c>
      <c r="F883" s="16" t="n">
        <f aca="false">E883*(1+MAX(g_opx_min,phi*F880))</f>
        <v>54.1119510365505</v>
      </c>
      <c r="G883" s="16" t="n">
        <f aca="false">F883*(1+MAX(g_opx_min,phi*G880))</f>
        <v>57.9681242925213</v>
      </c>
      <c r="H883" s="5" t="s">
        <v>705</v>
      </c>
    </row>
    <row r="884" customFormat="false" ht="15" hidden="false" customHeight="false" outlineLevel="0" collapsed="false">
      <c r="A884" s="5" t="s">
        <v>706</v>
      </c>
      <c r="B884" s="0" t="s">
        <v>309</v>
      </c>
      <c r="C884" s="16" t="n">
        <f aca="false">C883</f>
        <v>23.076</v>
      </c>
      <c r="D884" s="16" t="n">
        <f aca="false">D883</f>
        <v>35.165</v>
      </c>
      <c r="E884" s="16" t="n">
        <f aca="false">E883+0*E877</f>
        <v>50.4337065108953</v>
      </c>
      <c r="F884" s="16" t="n">
        <f aca="false">F883+0*F877</f>
        <v>54.1119510365505</v>
      </c>
      <c r="G884" s="16" t="n">
        <f aca="false">G883+0*G877</f>
        <v>57.9681242925213</v>
      </c>
    </row>
    <row r="885" customFormat="false" ht="15" hidden="false" customHeight="false" outlineLevel="0" collapsed="false">
      <c r="A885" s="5" t="s">
        <v>546</v>
      </c>
      <c r="B885" s="0" t="s">
        <v>309</v>
      </c>
      <c r="C885" s="16" t="n">
        <f aca="false">C881-C884</f>
        <v>130.387</v>
      </c>
      <c r="D885" s="16" t="n">
        <f aca="false">D881-D884</f>
        <v>262.996</v>
      </c>
      <c r="E885" s="16" t="n">
        <f aca="false">E881-E884</f>
        <v>409.397809975707</v>
      </c>
      <c r="F885" s="16" t="n">
        <f aca="false">F881-F884</f>
        <v>430.41632436245</v>
      </c>
      <c r="G885" s="16" t="n">
        <f aca="false">G881-G884</f>
        <v>495.292170290513</v>
      </c>
    </row>
    <row r="886" customFormat="false" ht="15" hidden="false" customHeight="false" outlineLevel="0" collapsed="false">
      <c r="A886" s="5" t="s">
        <v>648</v>
      </c>
      <c r="B886" s="0" t="s">
        <v>41</v>
      </c>
      <c r="C886" s="17" t="n">
        <f aca="false">C885/C877</f>
        <v>0.603816836314127</v>
      </c>
      <c r="D886" s="17" t="n">
        <f aca="false">D885/D877</f>
        <v>0.649956998388675</v>
      </c>
      <c r="E886" s="17" t="n">
        <f aca="false">E885/E877</f>
        <v>0.586984934469499</v>
      </c>
      <c r="F886" s="17" t="n">
        <f aca="false">F885/F877</f>
        <v>0.550237356019049</v>
      </c>
      <c r="G886" s="17" t="n">
        <f aca="false">G885/G877</f>
        <v>0.565954374191162</v>
      </c>
    </row>
    <row r="887" customFormat="false" ht="15" hidden="false" customHeight="false" outlineLevel="0" collapsed="false">
      <c r="A887" s="5" t="s">
        <v>551</v>
      </c>
      <c r="B887" s="0" t="s">
        <v>309</v>
      </c>
      <c r="C887" s="20" t="n">
        <f aca="false">a26_oth</f>
        <v>2.145</v>
      </c>
      <c r="D887" s="20" t="n">
        <f aca="false">a27_oth</f>
        <v>1.133</v>
      </c>
      <c r="E887" s="20" t="n">
        <f aca="false">oth_f</f>
        <v>1.2</v>
      </c>
      <c r="F887" s="20" t="n">
        <f aca="false">oth_f</f>
        <v>1.2</v>
      </c>
      <c r="G887" s="20" t="n">
        <f aca="false">oth_f</f>
        <v>1.2</v>
      </c>
    </row>
    <row r="888" customFormat="false" ht="15" hidden="false" customHeight="false" outlineLevel="0" collapsed="false">
      <c r="A888" s="5" t="s">
        <v>560</v>
      </c>
      <c r="B888" s="0" t="s">
        <v>41</v>
      </c>
      <c r="C888" s="17" t="n">
        <f aca="false">1-a26_ni/(a26_oi+a26_oth)</f>
        <v>0.151187565812244</v>
      </c>
      <c r="D888" s="17" t="n">
        <f aca="false">a27_etr</f>
        <v>0.167980835756566</v>
      </c>
      <c r="E888" s="17" t="n">
        <f aca="false">tx_f</f>
        <v>0.17</v>
      </c>
      <c r="F888" s="17" t="n">
        <f aca="false">tx_f</f>
        <v>0.17</v>
      </c>
      <c r="G888" s="17" t="n">
        <f aca="false">tx_f</f>
        <v>0.17</v>
      </c>
    </row>
    <row r="889" customFormat="false" ht="15" hidden="false" customHeight="false" outlineLevel="0" collapsed="false">
      <c r="A889" s="5" t="s">
        <v>649</v>
      </c>
      <c r="B889" s="0" t="s">
        <v>309</v>
      </c>
      <c r="C889" s="16" t="n">
        <f aca="false">a26_ni</f>
        <v>112.494809527772</v>
      </c>
      <c r="D889" s="16" t="n">
        <f aca="false">a27_ni</f>
        <v>219.760389832454</v>
      </c>
      <c r="E889" s="16" t="n">
        <f aca="false">(E885+E887)*(1-E888)</f>
        <v>340.796182279837</v>
      </c>
      <c r="F889" s="16" t="n">
        <f aca="false">(F885+F887)*(1-F888)</f>
        <v>358.241549220834</v>
      </c>
      <c r="G889" s="16" t="n">
        <f aca="false">(G885+G887)*(1-G888)</f>
        <v>412.088501341125</v>
      </c>
    </row>
    <row r="890" customFormat="false" ht="15" hidden="false" customHeight="false" outlineLevel="0" collapsed="false">
      <c r="A890" s="5" t="s">
        <v>707</v>
      </c>
      <c r="B890" s="5" t="s">
        <v>708</v>
      </c>
      <c r="C890" s="18" t="n">
        <f aca="false">a26_sh</f>
        <v>24.5145</v>
      </c>
      <c r="D890" s="18" t="n">
        <f aca="false">a27_sh</f>
        <v>24.25691339125</v>
      </c>
      <c r="E890" s="18" t="n">
        <f aca="false">D890*(1+sh_g)</f>
        <v>23.965830430555</v>
      </c>
      <c r="F890" s="18" t="n">
        <f aca="false">E890*(1+sh_g)</f>
        <v>23.6782404653883</v>
      </c>
      <c r="G890" s="18" t="n">
        <f aca="false">F890*(1+sh_g)</f>
        <v>23.3941015798037</v>
      </c>
    </row>
    <row r="891" customFormat="false" ht="17.15" hidden="false" customHeight="false" outlineLevel="0" collapsed="false">
      <c r="A891" s="0" t="s">
        <v>650</v>
      </c>
      <c r="B891" s="0" t="s">
        <v>420</v>
      </c>
      <c r="C891" s="20" t="n">
        <f aca="false">C889/C890</f>
        <v>4.58890899376988</v>
      </c>
      <c r="D891" s="20" t="n">
        <f aca="false">D889/D890</f>
        <v>9.05970130196888</v>
      </c>
      <c r="E891" s="20" t="n">
        <f aca="false">E889/E890</f>
        <v>14.220086521406</v>
      </c>
      <c r="F891" s="20" t="n">
        <f aca="false">F889/F890</f>
        <v>15.1295679991295</v>
      </c>
      <c r="G891" s="20" t="n">
        <f aca="false">G889/G890</f>
        <v>17.6150599301871</v>
      </c>
    </row>
    <row r="892" customFormat="false" ht="17.15" hidden="false" customHeight="false" outlineLevel="0" collapsed="false">
      <c r="A892" s="0" t="s">
        <v>709</v>
      </c>
      <c r="B892" s="0" t="s">
        <v>41</v>
      </c>
      <c r="D892" s="17" t="n">
        <f aca="false">D891/C891-1</f>
        <v>0.974260399207908</v>
      </c>
      <c r="E892" s="17" t="n">
        <f aca="false">E891/D891-1</f>
        <v>0.569597721540297</v>
      </c>
      <c r="F892" s="17" t="n">
        <f aca="false">F891/E891-1</f>
        <v>0.0639575206771392</v>
      </c>
      <c r="G892" s="17" t="n">
        <f aca="false">G891/F891-1</f>
        <v>0.164280429632922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4" t="s">
        <v>1105</v>
      </c>
    </row>
    <row r="2" customFormat="false" ht="17.15" hidden="false" customHeight="false" outlineLevel="0" collapsed="false">
      <c r="A2" s="5" t="s">
        <v>1106</v>
      </c>
      <c r="B2" s="0" t="s">
        <v>1107</v>
      </c>
    </row>
    <row r="3" customFormat="false" ht="17.15" hidden="false" customHeight="false" outlineLevel="0" collapsed="false">
      <c r="A3" s="5" t="s">
        <v>1108</v>
      </c>
      <c r="B3" s="0" t="s">
        <v>1109</v>
      </c>
    </row>
    <row r="4" customFormat="false" ht="17.15" hidden="false" customHeight="false" outlineLevel="0" collapsed="false">
      <c r="A4" s="5" t="s">
        <v>1110</v>
      </c>
      <c r="B4" s="0" t="s">
        <v>1111</v>
      </c>
    </row>
    <row r="5" customFormat="false" ht="17.15" hidden="false" customHeight="false" outlineLevel="0" collapsed="false">
      <c r="A5" s="5" t="s">
        <v>1112</v>
      </c>
      <c r="B5" s="0" t="s">
        <v>1113</v>
      </c>
    </row>
    <row r="6" customFormat="false" ht="17.15" hidden="false" customHeight="false" outlineLevel="0" collapsed="false">
      <c r="A6" s="5" t="s">
        <v>1114</v>
      </c>
      <c r="B6" s="0" t="s">
        <v>1115</v>
      </c>
    </row>
    <row r="7" customFormat="false" ht="17.15" hidden="false" customHeight="false" outlineLevel="0" collapsed="false">
      <c r="A7" s="5" t="s">
        <v>1116</v>
      </c>
      <c r="B7" s="0" t="s">
        <v>1117</v>
      </c>
    </row>
    <row r="8" customFormat="false" ht="17.15" hidden="false" customHeight="false" outlineLevel="0" collapsed="false">
      <c r="A8" s="5" t="s">
        <v>1118</v>
      </c>
      <c r="B8" s="0" t="s">
        <v>1119</v>
      </c>
    </row>
    <row r="9" customFormat="false" ht="17.15" hidden="false" customHeight="false" outlineLevel="0" collapsed="false">
      <c r="A9" s="5" t="s">
        <v>1120</v>
      </c>
      <c r="B9" s="0" t="s">
        <v>1121</v>
      </c>
    </row>
    <row r="10" customFormat="false" ht="17.15" hidden="false" customHeight="false" outlineLevel="0" collapsed="false">
      <c r="A10" s="5" t="s">
        <v>1122</v>
      </c>
      <c r="B10" s="0" t="s">
        <v>1123</v>
      </c>
    </row>
    <row r="11" customFormat="false" ht="17.15" hidden="false" customHeight="false" outlineLevel="0" collapsed="false">
      <c r="A11" s="5" t="s">
        <v>1124</v>
      </c>
      <c r="B11" s="0" t="s">
        <v>1125</v>
      </c>
    </row>
    <row r="12" customFormat="false" ht="17.15" hidden="false" customHeight="false" outlineLevel="0" collapsed="false">
      <c r="A12" s="5" t="s">
        <v>1126</v>
      </c>
      <c r="B12" s="0" t="s">
        <v>1127</v>
      </c>
    </row>
    <row r="13" customFormat="false" ht="17.15" hidden="false" customHeight="false" outlineLevel="0" collapsed="false">
      <c r="A13" s="5" t="s">
        <v>1128</v>
      </c>
      <c r="B13" s="0" t="s">
        <v>1129</v>
      </c>
    </row>
    <row r="14" customFormat="false" ht="17.15" hidden="false" customHeight="false" outlineLevel="0" collapsed="false">
      <c r="A14" s="5" t="s">
        <v>1130</v>
      </c>
      <c r="B14" s="0" t="s">
        <v>1131</v>
      </c>
    </row>
    <row r="15" customFormat="false" ht="17.15" hidden="false" customHeight="false" outlineLevel="0" collapsed="false">
      <c r="A15" s="5" t="s">
        <v>1132</v>
      </c>
      <c r="B15" s="0" t="s">
        <v>1133</v>
      </c>
    </row>
    <row r="16" customFormat="false" ht="17.15" hidden="false" customHeight="false" outlineLevel="0" collapsed="false">
      <c r="A16" s="5" t="s">
        <v>1134</v>
      </c>
      <c r="B16" s="0" t="s">
        <v>1135</v>
      </c>
    </row>
    <row r="17" customFormat="false" ht="17.15" hidden="false" customHeight="false" outlineLevel="0" collapsed="false">
      <c r="A17" s="5" t="s">
        <v>1136</v>
      </c>
      <c r="B17" s="0" t="s">
        <v>1137</v>
      </c>
    </row>
    <row r="18" customFormat="false" ht="17.15" hidden="false" customHeight="false" outlineLevel="0" collapsed="false">
      <c r="A18" s="5" t="s">
        <v>1138</v>
      </c>
      <c r="B18" s="0" t="s">
        <v>1139</v>
      </c>
    </row>
    <row r="19" customFormat="false" ht="17.15" hidden="false" customHeight="false" outlineLevel="0" collapsed="false">
      <c r="A19" s="5" t="s">
        <v>1140</v>
      </c>
      <c r="B19" s="0" t="s">
        <v>1141</v>
      </c>
    </row>
    <row r="20" customFormat="false" ht="17.15" hidden="false" customHeight="false" outlineLevel="0" collapsed="false">
      <c r="A20" s="5" t="s">
        <v>1142</v>
      </c>
      <c r="B20" s="0" t="s">
        <v>1143</v>
      </c>
    </row>
    <row r="21" customFormat="false" ht="17.15" hidden="false" customHeight="false" outlineLevel="0" collapsed="false">
      <c r="A21" s="5" t="s">
        <v>1144</v>
      </c>
      <c r="B21" s="0" t="s">
        <v>1145</v>
      </c>
    </row>
    <row r="22" customFormat="false" ht="17.15" hidden="false" customHeight="false" outlineLevel="0" collapsed="false">
      <c r="A22" s="5" t="s">
        <v>1146</v>
      </c>
      <c r="B22" s="0" t="s">
        <v>1147</v>
      </c>
    </row>
    <row r="23" customFormat="false" ht="17.15" hidden="false" customHeight="false" outlineLevel="0" collapsed="false">
      <c r="A23" s="5" t="s">
        <v>1148</v>
      </c>
      <c r="B23" s="0" t="s">
        <v>1149</v>
      </c>
    </row>
    <row r="24" customFormat="false" ht="17.15" hidden="false" customHeight="false" outlineLevel="0" collapsed="false">
      <c r="A24" s="5" t="s">
        <v>1150</v>
      </c>
      <c r="B24" s="0" t="s">
        <v>1151</v>
      </c>
    </row>
    <row r="25" customFormat="false" ht="17.15" hidden="false" customHeight="false" outlineLevel="0" collapsed="false">
      <c r="A25" s="5" t="s">
        <v>1152</v>
      </c>
      <c r="B25" s="0" t="s">
        <v>1153</v>
      </c>
    </row>
    <row r="26" customFormat="false" ht="17.15" hidden="false" customHeight="false" outlineLevel="0" collapsed="false">
      <c r="A26" s="5" t="s">
        <v>1154</v>
      </c>
      <c r="B26" s="0" t="s">
        <v>1155</v>
      </c>
    </row>
    <row r="27" customFormat="false" ht="17.15" hidden="false" customHeight="false" outlineLevel="0" collapsed="false">
      <c r="A27" s="5" t="s">
        <v>1156</v>
      </c>
    </row>
    <row r="28" customFormat="false" ht="17.15" hidden="false" customHeight="false" outlineLevel="0" collapsed="false">
      <c r="A28" s="5" t="s">
        <v>1157</v>
      </c>
      <c r="B28" s="5" t="s">
        <v>444</v>
      </c>
    </row>
    <row r="29" customFormat="false" ht="17.15" hidden="false" customHeight="false" outlineLevel="0" collapsed="false">
      <c r="A29" s="0" t="s">
        <v>1158</v>
      </c>
      <c r="B29" s="5" t="s">
        <v>1159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2026-10-25T04:51:23Z</dcterms:created>
  <dc:creator>openpyxl</dc:creator>
  <dc:description/>
  <dc:language>en-US</dc:language>
  <cp:lastModifiedBy/>
  <dcterms:modified xsi:type="dcterms:W3CDTF">2026-10-25T04:51:24Z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