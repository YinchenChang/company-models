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Tokenomics_取數!$G$124</definedName>
    <definedName function="false" hidden="false" name="TK_IFW_RevGWFleet_100_GB300" vbProcedure="false">Tokenomics_取數!$G$125</definedName>
    <definedName function="false" hidden="false" name="TK_IFW_RevGWFleet_100_H100" vbProcedure="false">Tokenomics_取數!$G$123</definedName>
    <definedName function="false" hidden="false" name="TK_IFW_RevGWFleet_100_RU" vbProcedure="false">Tokenomics_取數!$G$127</definedName>
    <definedName function="false" hidden="false" name="TK_IFW_RevGWFleet_100_VR200" vbProcedure="false">Tokenomics_取數!$G$126</definedName>
    <definedName function="false" hidden="false" name="TK_IFW_RevGWFleet_Life_GB200" vbProcedure="false">Tokenomics_取數!$G$139</definedName>
    <definedName function="false" hidden="false" name="TK_IFW_RevGWFleet_Life_GB300" vbProcedure="false">Tokenomics_取數!$G$140</definedName>
    <definedName function="false" hidden="false" name="TK_IFW_RevGWFleet_Life_H100" vbProcedure="false">Tokenomics_取數!$G$138</definedName>
    <definedName function="false" hidden="false" name="TK_IFW_RevGWFleet_Life_RU" vbProcedure="false">Tokenomics_取數!$G$142</definedName>
    <definedName function="false" hidden="false" name="TK_IFW_RevGWFleet_Life_VR200" vbProcedure="false">Tokenomics_取數!$G$141</definedName>
    <definedName function="false" hidden="false" name="TK_IFW_RevGWFleet_Prod_GB200" vbProcedure="false">Tokenomics_取數!$G$134</definedName>
    <definedName function="false" hidden="false" name="TK_IFW_RevGWFleet_Prod_GB300" vbProcedure="false">Tokenomics_取數!$G$135</definedName>
    <definedName function="false" hidden="false" name="TK_IFW_RevGWFleet_Prod_H100" vbProcedure="false">Tokenomics_取數!$G$133</definedName>
    <definedName function="false" hidden="false" name="TK_IFW_RevGWFleet_Prod_RU" vbProcedure="false">Tokenomics_取數!$G$137</definedName>
    <definedName function="false" hidden="false" name="TK_IFW_RevGWFleet_Prod_VR200" vbProcedure="false">Tokenomics_取數!$G$136</definedName>
    <definedName function="false" hidden="false" name="TK_IFW_RevGWFleet_Util_GB200" vbProcedure="false">Tokenomics_取數!$G$129</definedName>
    <definedName function="false" hidden="false" name="TK_IFW_RevGWFleet_Util_GB300" vbProcedure="false">Tokenomics_取數!$G$130</definedName>
    <definedName function="false" hidden="false" name="TK_IFW_RevGWFleet_Util_H100" vbProcedure="false">Tokenomics_取數!$G$128</definedName>
    <definedName function="false" hidden="false" name="TK_IFW_RevGWFleet_Util_RU" vbProcedure="false">Tokenomics_取數!$G$132</definedName>
    <definedName function="false" hidden="false" name="TK_IFW_RevGWFleet_Util_VR200" vbProcedure="false">Tokenomics_取數!$G$131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onNV_Hold_TPU" vbProcedure="false">Tokenomics_取數!$G$122</definedName>
    <definedName function="false" hidden="false" name="TK_NonNV_Out_TPU" vbProcedure="false">Tokenomics_取數!$G$121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RevGW_PQ_VR200" vbProcedure="false">Tokenomics_取數!$G$171</definedName>
    <definedName function="false" hidden="false" name="TK_RevGW_PQ_VR200_Hi" vbProcedure="false">Tokenomics_取數!$G$173</definedName>
    <definedName function="false" hidden="false" name="TK_RevGW_PQ_VR200_Lo" vbProcedure="false">Tokenomics_取數!$G$172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<sst xmlns="http://schemas.openxmlformats.org/spreadsheetml/2006/main" count="4964" uniqueCount="2693">
  <si>
    <r>
      <rPr>
        <b val="true"/>
        <sz val="14"/>
        <rFont val="Arial"/>
        <family val="0"/>
        <charset val="1"/>
      </rPr>
      <t xml:space="preserve">Alphabet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2026-10-09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</si>
  <si>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</si>
  <si>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</si>
  <si>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</si>
  <si>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</si>
  <si>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</si>
  <si>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</si>
  <si>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</si>
  <si>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</si>
  <si>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</si>
  <si>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</si>
  <si>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</si>
  <si>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</si>
  <si>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</si>
  <si>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</si>
  <si>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</si>
  <si>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</si>
  <si>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</si>
  <si>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</si>
  <si>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</si>
  <si>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</si>
  <si>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</si>
  <si>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</si>
  <si>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</si>
  <si>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</si>
  <si>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</si>
  <si>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</si>
  <si>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</si>
  <si>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</si>
  <si>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</si>
  <si>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</si>
  <si>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</si>
  <si>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</si>
  <si>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</si>
  <si>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</si>
  <si>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</si>
  <si>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</si>
  <si>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</si>
  <si>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</si>
  <si>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</si>
  <si>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</si>
  <si>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</si>
  <si>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</si>
  <si>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</si>
  <si>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</si>
  <si>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</si>
  <si>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</si>
  <si>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</si>
  <si>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</si>
  <si>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</si>
  <si>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</si>
  <si>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</si>
  <si>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</si>
  <si>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</si>
  <si>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</si>
  <si>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</si>
  <si>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</si>
  <si>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</si>
  <si>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2026–2028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</si>
  <si>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</si>
  <si>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</si>
  <si>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2026</t>
  </si>
  <si>
    <t xml:space="preserve">2027</t>
  </si>
  <si>
    <t xml:space="preserve">2028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</si>
  <si>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</si>
  <si>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</si>
  <si>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</si>
  <si>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</si>
  <si>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</si>
  <si>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</si>
  <si>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</si>
  <si>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</si>
  <si>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</si>
  <si>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</si>
  <si>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</si>
  <si>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</si>
  <si>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</si>
  <si>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</si>
  <si>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</si>
  <si>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</si>
  <si>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</si>
  <si>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</si>
  <si>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</si>
  <si>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</si>
  <si>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</si>
  <si>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</si>
  <si>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</si>
  <si>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</si>
  <si>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</si>
  <si>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</si>
  <si>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</si>
  <si>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</si>
  <si>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</si>
  <si>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</si>
  <si>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</si>
  <si>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</si>
  <si>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</si>
  <si>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</si>
  <si>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</si>
  <si>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</si>
  <si>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</si>
  <si>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</si>
  <si>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</si>
  <si>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</si>
  <si>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</si>
  <si>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</si>
  <si>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2026–2028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</si>
  <si>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</si>
  <si>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</si>
  <si>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</si>
  <si>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</si>
  <si>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</si>
  <si>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</si>
  <si>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</si>
  <si>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</si>
  <si>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</si>
  <si>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</si>
  <si>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</si>
  <si>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</si>
  <si>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</si>
  <si>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</si>
  <si>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</si>
  <si>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</si>
  <si>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</si>
  <si>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</si>
  <si>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</si>
  <si>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</si>
  <si>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</si>
  <si>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</si>
  <si>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</si>
  <si>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</si>
  <si>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</si>
  <si>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</si>
  <si>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</si>
  <si>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</si>
  <si>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</si>
  <si>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</si>
  <si>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</si>
  <si>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</si>
  <si>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</si>
  <si>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</si>
  <si>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</si>
  <si>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</si>
  <si>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</si>
  <si>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的年度預估一般屬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系；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分析頁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498.69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615.04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498.690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615.038 </t>
    </r>
    <r>
      <rPr>
        <sz val="9"/>
        <color rgb="FF595959"/>
        <rFont val="Noto Sans CJK SC"/>
        <family val="2"/>
      </rPr>
      <t xml:space="preserve">完全相同、與 </t>
    </r>
    <r>
      <rPr>
        <sz val="9"/>
        <color rgb="FF595959"/>
        <rFont val="Arial"/>
        <family val="0"/>
        <charset val="1"/>
      </rPr>
      <t xml:space="preserve">StockAnalysis 498.74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614.95 </t>
    </r>
    <r>
      <rPr>
        <sz val="9"/>
        <color rgb="FF595959"/>
        <rFont val="Noto Sans CJK SC"/>
        <family val="2"/>
      </rPr>
      <t xml:space="preserve">略異，三者視為同一或高度重疊的底層來源，不算獨立交叉驗證。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429.47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完全相同，推測同源。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</si>
  <si>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</si>
  <si>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</si>
  <si>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</si>
  <si>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</si>
  <si>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已交付＋已公開在建、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擴張幅度）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</si>
  <si>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</si>
  <si>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</si>
  <si>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</si>
  <si>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</si>
  <si>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</si>
  <si>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2031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</si>
  <si>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</si>
  <si>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</si>
  <si>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</si>
  <si>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已交付＋已公開在建｜合約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</si>
  <si>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</si>
  <si>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已交付＋已公開在建｜併網速度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</si>
  <si>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</si>
  <si>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</si>
  <si>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已交付＋已公開在建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</si>
  <si>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只加已公開在建：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由約 </t>
    </r>
    <r>
      <rPr>
        <sz val="9"/>
        <color rgb="FF595959"/>
        <rFont val="Arial"/>
        <family val="0"/>
        <charset val="1"/>
      </rPr>
      <t xml:space="preserve">0.77 GW </t>
    </r>
    <r>
      <rPr>
        <sz val="9"/>
        <color rgb="FF595959"/>
        <rFont val="Noto Sans CJK SC"/>
        <family val="2"/>
      </rPr>
      <t xml:space="preserve">擴到 </t>
    </r>
    <r>
      <rPr>
        <sz val="9"/>
        <color rgb="FF595959"/>
        <rFont val="Arial"/>
        <family val="0"/>
        <charset val="1"/>
      </rPr>
      <t xml:space="preserve">1.54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anthropic/ </t>
    </r>
    <r>
      <rPr>
        <sz val="9"/>
        <color rgb="FF595959"/>
        <rFont val="Noto Sans CJK SC"/>
        <family val="2"/>
      </rPr>
      <t xml:space="preserve">模型供給路徑）＋</t>
    </r>
    <r>
      <rPr>
        <sz val="9"/>
        <color rgb="FF595959"/>
        <rFont val="Arial"/>
        <family val="0"/>
        <charset val="1"/>
      </rPr>
      <t xml:space="preserve">Google–Blackstone TPU </t>
    </r>
    <r>
      <rPr>
        <sz val="9"/>
        <color rgb="FF595959"/>
        <rFont val="Noto Sans CJK SC"/>
        <family val="2"/>
      </rPr>
      <t xml:space="preserve">合資 </t>
    </r>
    <r>
      <rPr>
        <sz val="9"/>
        <color rgb="FF595959"/>
        <rFont val="Arial"/>
        <family val="0"/>
        <charset val="1"/>
      </rPr>
      <t xml:space="preserve">0.5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+1,270</t>
    </r>
    <r>
      <rPr>
        <sz val="9"/>
        <color rgb="FF595959"/>
        <rFont val="Noto Sans CJK SC"/>
        <family val="2"/>
      </rPr>
      <t xml:space="preserve">，每年 </t>
    </r>
    <r>
      <rPr>
        <sz val="9"/>
        <color rgb="FF595959"/>
        <rFont val="Arial"/>
        <family val="0"/>
        <charset val="1"/>
      </rPr>
      <t xml:space="preserve">+850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3,171 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</si>
  <si>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</si>
  <si>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</si>
  <si>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</si>
  <si>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全年指引中點 </t>
    </r>
    <r>
      <rPr>
        <sz val="9"/>
        <color rgb="FF595959"/>
        <rFont val="Arial"/>
        <family val="0"/>
        <charset val="1"/>
      </rPr>
      <t xml:space="preserve">$200bn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＋自建 </t>
    </r>
    <r>
      <rPr>
        <sz val="9"/>
        <color rgb="FF595959"/>
        <rFont val="Arial"/>
        <family val="0"/>
        <charset val="1"/>
      </rPr>
      <t xml:space="preserve">85% × </t>
    </r>
    <r>
      <rPr>
        <sz val="9"/>
        <color rgb="FF595959"/>
        <rFont val="Noto Sans CJK SC"/>
        <family val="2"/>
      </rPr>
      <t xml:space="preserve">設施）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</si>
  <si>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</si>
  <si>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擴張幅度｜併網速度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</si>
  <si>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</si>
  <si>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r>
      <rPr>
        <sz val="9"/>
        <color rgb="FF595959"/>
        <rFont val="Noto Sans CJK SC"/>
        <family val="2"/>
      </rPr>
      <t xml:space="preserve">公司無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目標（只有「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容量每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個月倍增」的內部說法）→ 以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擴張幅度代替：共識資本支出 </t>
    </r>
    <r>
      <rPr>
        <sz val="9"/>
        <color rgb="FF595959"/>
        <rFont val="Arial"/>
        <family val="0"/>
        <charset val="1"/>
      </rPr>
      <t xml:space="preserve">2027 ÷ 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Morgan Stanley TPU </t>
    </r>
    <r>
      <rPr>
        <sz val="9"/>
        <color rgb="FF595959"/>
        <rFont val="Noto Sans CJK SC"/>
        <family val="2"/>
      </rPr>
      <t xml:space="preserve">產量 </t>
    </r>
    <r>
      <rPr>
        <sz val="9"/>
        <color rgb="FF595959"/>
        <rFont val="Arial"/>
        <family val="0"/>
        <charset val="1"/>
      </rPr>
      <t xml:space="preserve">2027 ÷ 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1.5 × </t>
    </r>
    <r>
      <rPr>
        <sz val="9"/>
        <color rgb="FF595959"/>
        <rFont val="Noto Sans CJK SC"/>
        <family val="2"/>
      </rPr>
      <t xml:space="preserve">基準速度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；共識與賣方為 </t>
    </r>
    <r>
      <rPr>
        <sz val="9"/>
        <color rgb="FF595959"/>
        <rFont val="Arial"/>
        <family val="0"/>
        <charset val="1"/>
      </rPr>
      <t xml:space="preserve">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</si>
  <si>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</si>
  <si>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＝第三方估計 </t>
    </r>
    <r>
      <rPr>
        <sz val="9"/>
        <color rgb="FF595959"/>
        <rFont val="Arial"/>
        <family val="0"/>
        <charset val="1"/>
      </rPr>
      <t xml:space="preserve">1,901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Noto Sans CJK SC"/>
        <family val="2"/>
      </rPr>
      <t xml:space="preserve">營收校準（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Workspace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</si>
  <si>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</si>
  <si>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</si>
  <si>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</si>
  <si>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</si>
  <si>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</si>
  <si>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</si>
  <si>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</si>
  <si>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</si>
  <si>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</si>
  <si>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</si>
  <si>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</si>
  <si>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</si>
  <si>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519.5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</si>
  <si>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</si>
  <si>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</si>
  <si>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</si>
  <si>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</si>
  <si>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</si>
  <si>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</si>
  <si>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</si>
  <si>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1462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2,223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730 MW TDP × 1.65 × 30%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4,873 × 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</si>
  <si>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</si>
  <si>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</si>
  <si>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</si>
  <si>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</si>
  <si>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</si>
  <si>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</si>
  <si>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</si>
  <si>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</si>
  <si>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</si>
  <si>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</si>
  <si>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</si>
  <si>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</si>
  <si>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</si>
  <si>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RPO 519.5B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Cloud 513.9B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個月內略多於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，其後未分桶）含 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Workspace</t>
    </r>
    <r>
      <rPr>
        <sz val="9"/>
        <color rgb="FF595959"/>
        <rFont val="Noto Sans CJK SC"/>
        <family val="2"/>
      </rPr>
      <t xml:space="preserve">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</si>
  <si>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</si>
  <si>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</si>
  <si>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</si>
  <si>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</si>
  <si>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</si>
  <si>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</si>
  <si>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</si>
  <si>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</si>
  <si>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</si>
  <si>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</si>
  <si>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</si>
  <si>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</si>
  <si>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</si>
  <si>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</si>
  <si>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</si>
  <si>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</si>
  <si>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</si>
  <si>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</si>
  <si>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未分攤公司層費用改列 </t>
    </r>
    <r>
      <rPr>
        <sz val="9"/>
        <color rgb="FF595959"/>
        <rFont val="Arial"/>
        <family val="0"/>
        <charset val="1"/>
      </rPr>
      <t xml:space="preserve">legacyBiz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層級費用」一線（</t>
    </r>
    <r>
      <rPr>
        <sz val="9"/>
        <color rgb="FF595959"/>
        <rFont val="Arial"/>
        <family val="0"/>
        <charset val="1"/>
      </rPr>
      <t xml:space="preserve">C8 a</t>
    </r>
    <r>
      <rPr>
        <sz val="9"/>
        <color rgb="FF595959"/>
        <rFont val="Noto Sans CJK SC"/>
        <family val="2"/>
      </rPr>
      <t xml:space="preserve">）；此欄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</si>
  <si>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xAI Colossus</t>
    </r>
    <r>
      <rPr>
        <sz val="10"/>
        <rFont val="Noto Sans CJK SC"/>
        <family val="2"/>
      </rPr>
      <t xml:space="preserve">）雲端服務合約：約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NVIDIA GPU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</si>
  <si>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</si>
  <si>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219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internal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</si>
  <si>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xAI Colossus</t>
    </r>
    <r>
      <rPr>
        <sz val="10"/>
        <rFont val="Noto Sans CJK SC"/>
        <family val="2"/>
      </rPr>
      <t xml:space="preserve">）雲端服務合約：約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NVIDIA GPU</t>
    </r>
    <r>
      <rPr>
        <sz val="10"/>
        <rFont val="Noto Sans CJK SC"/>
        <family val="2"/>
      </rPr>
      <t xml:space="preserve">｜在租年數</t>
    </r>
  </si>
  <si>
    <r>
      <rPr>
        <sz val="9"/>
        <color rgb="FF595959"/>
        <rFont val="Noto Sans CJK SC"/>
        <family val="2"/>
      </rPr>
      <t xml:space="preserve">＝各期與租約期間重疊的月數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Noto Sans CJK SC"/>
        <family val="2"/>
      </rPr>
      <t xml:space="preserve">（建置時由日曆推算）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</si>
  <si>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</si>
  <si>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年租金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在租年數（扣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與營運現金；不是資本支出）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</si>
  <si>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</si>
  <si>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</si>
  <si>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</si>
  <si>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模型期總營收；近四季 </t>
    </r>
    <r>
      <rPr>
        <sz val="9"/>
        <color rgb="FF595959"/>
        <rFont val="Arial"/>
        <family val="0"/>
        <charset val="1"/>
      </rPr>
      <t xml:space="preserve">SBC 28.147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445.866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6.31%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）。股權獎酬代扣稅款（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12.1B</t>
    </r>
    <r>
      <rPr>
        <sz val="9"/>
        <color rgb="FF595959"/>
        <rFont val="Noto Sans CJK SC"/>
        <family val="2"/>
      </rPr>
      <t xml:space="preserve">，融資活動）由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增發支應（公司稱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30B</t>
    </r>
    <r>
      <rPr>
        <sz val="9"/>
        <color rgb="FF595959"/>
        <rFont val="Noto Sans CJK SC"/>
        <family val="2"/>
      </rPr>
      <t xml:space="preserve">），兩者都不建模（現金與股數影響大致相抵）。股數稀釋沿用模板每年 </t>
    </r>
    <r>
      <rPr>
        <sz val="9"/>
        <color rgb="FF595959"/>
        <rFont val="Arial"/>
        <family val="0"/>
        <charset val="1"/>
      </rPr>
      <t xml:space="preserve">1%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</si>
  <si>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</si>
  <si>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首期剩餘季度（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下半年）營運資金變動＝上一年度同期實際：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全年「資產與負債變動」合計 </t>
    </r>
    <r>
      <rPr>
        <sz val="9"/>
        <color rgb="FF595959"/>
        <rFont val="Arial"/>
        <family val="0"/>
        <charset val="1"/>
      </rPr>
      <t xml:space="preserve">+618</t>
    </r>
    <r>
      <rPr>
        <sz val="9"/>
        <color rgb="FF595959"/>
        <rFont val="Noto Sans CJK SC"/>
        <family val="2"/>
      </rPr>
      <t xml:space="preserve">（應收 −</t>
    </r>
    <r>
      <rPr>
        <sz val="9"/>
        <color rgb="FF595959"/>
        <rFont val="Arial"/>
        <family val="0"/>
        <charset val="1"/>
      </rPr>
      <t xml:space="preserve">8,779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3,226</t>
    </r>
    <r>
      <rPr>
        <sz val="9"/>
        <color rgb="FF595959"/>
        <rFont val="Noto Sans CJK SC"/>
        <family val="2"/>
      </rPr>
      <t xml:space="preserve">、其他資產 −</t>
    </r>
    <r>
      <rPr>
        <sz val="9"/>
        <color rgb="FF595959"/>
        <rFont val="Arial"/>
        <family val="0"/>
        <charset val="1"/>
      </rPr>
      <t xml:space="preserve">4,542</t>
    </r>
    <r>
      <rPr>
        <sz val="9"/>
        <color rgb="FF595959"/>
        <rFont val="Noto Sans CJK SC"/>
        <family val="2"/>
      </rPr>
      <t xml:space="preserve">、應付 </t>
    </r>
    <r>
      <rPr>
        <sz val="9"/>
        <color rgb="FF595959"/>
        <rFont val="Arial"/>
        <family val="0"/>
        <charset val="1"/>
      </rPr>
      <t xml:space="preserve">+907</t>
    </r>
    <r>
      <rPr>
        <sz val="9"/>
        <color rgb="FF595959"/>
        <rFont val="Noto Sans CJK SC"/>
        <family val="2"/>
      </rPr>
      <t xml:space="preserve">、應計 </t>
    </r>
    <r>
      <rPr>
        <sz val="9"/>
        <color rgb="FF595959"/>
        <rFont val="Arial"/>
        <family val="0"/>
        <charset val="1"/>
      </rPr>
      <t xml:space="preserve">+12,939</t>
    </r>
    <r>
      <rPr>
        <sz val="9"/>
        <color rgb="FF595959"/>
        <rFont val="Noto Sans CJK SC"/>
        <family val="2"/>
      </rPr>
      <t xml:space="preserve">、應計分潤 </t>
    </r>
    <r>
      <rPr>
        <sz val="9"/>
        <color rgb="FF595959"/>
        <rFont val="Arial"/>
        <family val="0"/>
        <charset val="1"/>
      </rPr>
      <t xml:space="preserve">+899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+2,420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7,872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2026Q2 10-Q </t>
    </r>
    <r>
      <rPr>
        <sz val="9"/>
        <color rgb="FF595959"/>
        <rFont val="Noto Sans CJK SC"/>
        <family val="2"/>
      </rPr>
      <t xml:space="preserve">比較欄：應收 −</t>
    </r>
    <r>
      <rPr>
        <sz val="9"/>
        <color rgb="FF595959"/>
        <rFont val="Arial"/>
        <family val="0"/>
        <charset val="1"/>
      </rPr>
      <t xml:space="preserve">1,201</t>
    </r>
    <r>
      <rPr>
        <sz val="9"/>
        <color rgb="FF595959"/>
        <rFont val="Noto Sans CJK SC"/>
        <family val="2"/>
      </rPr>
      <t xml:space="preserve">、存貨 −</t>
    </r>
    <r>
      <rPr>
        <sz val="9"/>
        <color rgb="FF595959"/>
        <rFont val="Arial"/>
        <family val="0"/>
        <charset val="1"/>
      </rPr>
      <t xml:space="preserve">628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2,434</t>
    </r>
    <r>
      <rPr>
        <sz val="9"/>
        <color rgb="FF595959"/>
        <rFont val="Noto Sans CJK SC"/>
        <family val="2"/>
      </rPr>
      <t xml:space="preserve">、其他資產 −</t>
    </r>
    <r>
      <rPr>
        <sz val="9"/>
        <color rgb="FF595959"/>
        <rFont val="Arial"/>
        <family val="0"/>
        <charset val="1"/>
      </rPr>
      <t xml:space="preserve">2,139</t>
    </r>
    <r>
      <rPr>
        <sz val="9"/>
        <color rgb="FF595959"/>
        <rFont val="Noto Sans CJK SC"/>
        <family val="2"/>
      </rPr>
      <t xml:space="preserve">、應付 −</t>
    </r>
    <r>
      <rPr>
        <sz val="9"/>
        <color rgb="FF595959"/>
        <rFont val="Arial"/>
        <family val="0"/>
        <charset val="1"/>
      </rPr>
      <t xml:space="preserve">327</t>
    </r>
    <r>
      <rPr>
        <sz val="9"/>
        <color rgb="FF595959"/>
        <rFont val="Noto Sans CJK SC"/>
        <family val="2"/>
      </rPr>
      <t xml:space="preserve">、應計 −</t>
    </r>
    <r>
      <rPr>
        <sz val="9"/>
        <color rgb="FF595959"/>
        <rFont val="Arial"/>
        <family val="0"/>
        <charset val="1"/>
      </rPr>
      <t xml:space="preserve">1,779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+636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+8.490</t>
    </r>
    <r>
      <rPr>
        <sz val="9"/>
        <color rgb="FF595959"/>
        <rFont val="Noto Sans CJK SC"/>
        <family val="2"/>
      </rPr>
      <t xml:space="preserve">（流入）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；已實現的季節模式，非預測）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</si>
  <si>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</si>
  <si>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GCP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</si>
  <si>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</si>
  <si>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證據價格（輸入；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＝價格 </t>
    </r>
    <r>
      <rPr>
        <b val="true"/>
        <sz val="11"/>
        <color rgb="FFFFFFFF"/>
        <rFont val="Arial"/>
        <family val="0"/>
        <charset val="1"/>
      </rPr>
      <t xml:space="preserve">÷ </t>
    </r>
    <r>
      <rPr>
        <b val="true"/>
        <sz val="11"/>
        <color rgb="FFFFFFFF"/>
        <rFont val="Noto Sans CJK SC"/>
        <family val="2"/>
      </rPr>
      <t xml:space="preserve">目前快照同世代成本）</t>
    </r>
  </si>
  <si>
    <t xml:space="preserve">價格</t>
  </si>
  <si>
    <t xml:space="preserve">目前同世代成本</t>
  </si>
  <si>
    <t xml:space="preserve">倍數</t>
  </si>
  <si>
    <r>
      <rPr>
        <sz val="10"/>
        <rFont val="Noto Sans CJK SC"/>
        <family val="2"/>
      </rPr>
      <t xml:space="preserve">證據價格｜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</si>
  <si>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US$/GPU-hr</t>
  </si>
  <si>
    <r>
      <rPr>
        <sz val="9"/>
        <color rgb="FF595959"/>
        <rFont val="Noto Sans CJK SC"/>
        <family val="2"/>
      </rPr>
      <t xml:space="preserve">市場現貨指數（觀察價格）；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三家共用｜來源：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；取數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data/kevidence_alphabet_20261008.json → spotIndex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（價格）／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（倍數）</t>
    </r>
  </si>
  <si>
    <r>
      <rPr>
        <sz val="10"/>
        <rFont val="Noto Sans CJK SC"/>
        <family val="2"/>
      </rPr>
      <t xml:space="preserve">證據價格｜</t>
    </r>
    <r>
      <rPr>
        <sz val="10"/>
        <rFont val="Arial"/>
        <family val="0"/>
        <charset val="1"/>
      </rPr>
      <t xml:space="preserve">GCP a3-highgpu-8g </t>
    </r>
    <r>
      <rPr>
        <sz val="10"/>
        <rFont val="Noto Sans CJK SC"/>
        <family val="2"/>
      </rPr>
      <t xml:space="preserve">預留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Resource CUD</t>
    </r>
    <r>
      <rPr>
        <sz val="10"/>
        <rFont val="Noto Sans CJK SC"/>
        <family val="2"/>
      </rPr>
      <t xml:space="preserve">，每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小時）</t>
    </r>
  </si>
  <si>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Noto Sans CJK SC"/>
        <family val="2"/>
      </rPr>
      <t xml:space="preserve">公開牌價（賣價，非成交價；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現貨高軸，牌價最低層）｜來源：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Noto Sans CJK SC"/>
        <family val="2"/>
      </rPr>
      <t xml:space="preserve">價目表〈</t>
    </r>
    <r>
      <rPr>
        <sz val="9"/>
        <color rgb="FF595959"/>
        <rFont val="Arial"/>
        <family val="0"/>
        <charset val="1"/>
      </rPr>
      <t xml:space="preserve">Accelerator-optimized machine family pricing</t>
    </r>
    <r>
      <rPr>
        <sz val="9"/>
        <color rgb="FF595959"/>
        <rFont val="Noto Sans CJK SC"/>
        <family val="2"/>
      </rPr>
      <t xml:space="preserve">〉（</t>
    </r>
    <r>
      <rPr>
        <sz val="9"/>
        <color rgb="FF595959"/>
        <rFont val="Arial"/>
        <family val="0"/>
        <charset val="1"/>
      </rPr>
      <t xml:space="preserve">data/kevidence_alphabet_20261008.json → evidence[gcp.a3-highgpu-8g.cud3y]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（牌價，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Noto Sans CJK SC"/>
        <family val="2"/>
      </rPr>
      <t xml:space="preserve">賣價）</t>
    </r>
  </si>
  <si>
    <r>
      <rPr>
        <sz val="10"/>
        <rFont val="Noto Sans CJK SC"/>
        <family val="2"/>
      </rPr>
      <t xml:space="preserve">證據價格｜長約基準（判斷倍數 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</si>
  <si>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</si>
  <si>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× Tokenomics v5.27 VR200 </t>
    </r>
    <r>
      <rPr>
        <sz val="9"/>
        <color rgb="FF595959"/>
        <rFont val="Noto Sans CJK SC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12.762 </t>
    </r>
    <r>
      <rPr>
        <sz val="9"/>
        <color rgb="FF595959"/>
        <rFont val="Noto Sans CJK SC"/>
        <family val="2"/>
      </rPr>
      <t xml:space="preserve">換算，不是觀察到的市場價格｜來源：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0.75 × 12.762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data/kevidence_alphabet_20261008.json → kspecInputs[long.base]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（判斷值，非觀察價格）</t>
    </r>
  </si>
  <si>
    <r>
      <rPr>
        <sz val="10"/>
        <rFont val="Noto Sans CJK SC"/>
        <family val="2"/>
      </rPr>
      <t xml:space="preserve">證據價格｜長約低（判斷倍數 </t>
    </r>
    <r>
      <rPr>
        <sz val="10"/>
        <rFont val="Arial"/>
        <family val="0"/>
        <charset val="1"/>
      </rPr>
      <t xml:space="preserve">0.60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</si>
  <si>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× Tokenomics v5.27 VR200 </t>
    </r>
    <r>
      <rPr>
        <sz val="9"/>
        <color rgb="FF595959"/>
        <rFont val="Noto Sans CJK SC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12.762 </t>
    </r>
    <r>
      <rPr>
        <sz val="9"/>
        <color rgb="FF595959"/>
        <rFont val="Noto Sans CJK SC"/>
        <family val="2"/>
      </rPr>
      <t xml:space="preserve">換算，不是觀察到的市場價格｜來源：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0.60 × 12.762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data/kevidence_alphabet_20261008.json → kspecInputs[long.low]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（判斷值，非觀察價格）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</si>
  <si>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</si>
  <si>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</si>
  <si>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</si>
  <si>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</si>
  <si>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</si>
  <si>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</si>
  <si>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起隨目前快照重算）：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的判斷倍數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Anthropic–Google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Broadcom TPU 0.63–0.75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Anthropic–Google Cloud 0.78–1.20</t>
    </r>
    <r>
      <rPr>
        <sz val="9"/>
        <color rgb="FF595959"/>
        <rFont val="Noto Sans CJK SC"/>
        <family val="2"/>
      </rPr>
      <t xml:space="preserve">〔容量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〕、</t>
    </r>
    <r>
      <rPr>
        <sz val="9"/>
        <color rgb="FF595959"/>
        <rFont val="Arial"/>
        <family val="0"/>
        <charset val="1"/>
      </rPr>
      <t xml:space="preserve">IREN–Microsoft 0.76</t>
    </r>
    <r>
      <rPr>
        <sz val="9"/>
        <color rgb="FF595959"/>
        <rFont val="Noto Sans CJK SC"/>
        <family val="2"/>
      </rPr>
      <t xml:space="preserve">）與下緣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區間下緣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），換成固定價格＝倍數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當時（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VR200 IF_HoldEcon 12.762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9.5715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7.6572 US$m/MW-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＝該價格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目前快照 </t>
    </r>
    <r>
      <rPr>
        <sz val="9"/>
        <color rgb="FF595959"/>
        <rFont val="Arial"/>
        <family val="0"/>
        <charset val="1"/>
      </rPr>
      <t xml:space="preserve">VR200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</t>
    </r>
    <r>
      <rPr>
        <sz val="9"/>
        <color rgb="FF595959"/>
        <rFont val="Noto Sans CJK SC"/>
        <family val="2"/>
      </rPr>
      <t xml:space="preserve">長約證據 </t>
    </r>
    <r>
      <rPr>
        <sz val="9"/>
        <color rgb="FF595959"/>
        <rFont val="Arial"/>
        <family val="0"/>
        <charset val="1"/>
      </rPr>
      <t xml:space="preserve">lt.anthropic.gbroadcom </t>
    </r>
    <r>
      <rPr>
        <sz val="9"/>
        <color rgb="FF595959"/>
        <rFont val="Noto Sans CJK SC"/>
        <family val="2"/>
      </rPr>
      <t xml:space="preserve">的分母世代）。</t>
    </r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12.2255 →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0.783</t>
    </r>
    <r>
      <rPr>
        <sz val="9"/>
        <color rgb="FF595959"/>
        <rFont val="Noto Sans CJK SC"/>
        <family val="2"/>
      </rPr>
      <t xml:space="preserve">、下緣 </t>
    </r>
    <r>
      <rPr>
        <sz val="9"/>
        <color rgb="FF595959"/>
        <rFont val="Arial"/>
        <family val="0"/>
        <charset val="1"/>
      </rPr>
      <t xml:space="preserve">0.626</t>
    </r>
    <r>
      <rPr>
        <sz val="9"/>
        <color rgb="FF595959"/>
        <rFont val="Noto Sans CJK SC"/>
        <family val="2"/>
      </rPr>
      <t xml:space="preserve">（成本分母下降 </t>
    </r>
    <r>
      <rPr>
        <sz val="9"/>
        <color rgb="FF595959"/>
        <rFont val="Arial"/>
        <family val="0"/>
        <charset val="1"/>
      </rPr>
      <t xml:space="preserve">4.2%</t>
    </r>
    <r>
      <rPr>
        <sz val="9"/>
        <color rgb="FF595959"/>
        <rFont val="Noto Sans CJK SC"/>
        <family val="2"/>
      </rPr>
      <t xml:space="preserve">，價格不變）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</si>
  <si>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</si>
  <si>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起隨目前快照重算）：基準＝</t>
    </r>
    <r>
      <rPr>
        <sz val="9"/>
        <color rgb="FF595959"/>
        <rFont val="Arial"/>
        <family val="0"/>
        <charset val="1"/>
      </rPr>
      <t xml:space="preserve">Silicon Data H100 </t>
    </r>
    <r>
      <rPr>
        <sz val="9"/>
        <color rgb="FF595959"/>
        <rFont val="Noto Sans CJK SC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US$/GPU-hr ÷ </t>
    </r>
    <r>
      <rPr>
        <sz val="9"/>
        <color rgb="FF595959"/>
        <rFont val="Noto Sans CJK SC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1.5426 → 1.828</t>
    </r>
    <r>
      <rPr>
        <sz val="9"/>
        <color rgb="FF595959"/>
        <rFont val="Noto Sans CJK SC"/>
        <family val="2"/>
      </rPr>
      <t xml:space="preserve">），與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Amazon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同一證據，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三家一致（對照表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a3-highgpu-8g 3 </t>
    </r>
    <r>
      <rPr>
        <sz val="9"/>
        <color rgb="FF595959"/>
        <rFont val="Noto Sans CJK SC"/>
        <family val="2"/>
      </rPr>
      <t xml:space="preserve">年預留 </t>
    </r>
    <r>
      <rPr>
        <sz val="9"/>
        <color rgb="FF595959"/>
        <rFont val="Arial"/>
        <family val="0"/>
        <charset val="1"/>
      </rPr>
      <t xml:space="preserve">4.858 ÷ </t>
    </r>
    <r>
      <rPr>
        <sz val="9"/>
        <color rgb="FF595959"/>
        <rFont val="Noto Sans CJK SC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3.027 → v19.0 3.149</t>
    </r>
    <r>
      <rPr>
        <sz val="9"/>
        <color rgb="FF595959"/>
        <rFont val="Noto Sans CJK SC"/>
        <family val="2"/>
      </rPr>
      <t xml:space="preserve">；牌價最低層，</t>
    </r>
    <r>
      <rPr>
        <sz val="9"/>
        <color rgb="FF595959"/>
        <rFont val="Arial"/>
        <family val="0"/>
        <charset val="1"/>
      </rPr>
      <t xml:space="preserve">kevidence gcp.a3-highgpu-8g.cud3y</t>
    </r>
    <r>
      <rPr>
        <sz val="9"/>
        <color rgb="FF595959"/>
        <rFont val="Noto Sans CJK SC"/>
        <family val="2"/>
      </rPr>
      <t xml:space="preserve">；隨需 </t>
    </r>
    <r>
      <rPr>
        <sz val="9"/>
        <color rgb="FF595959"/>
        <rFont val="Arial"/>
        <family val="0"/>
        <charset val="1"/>
      </rPr>
      <t xml:space="preserve">11.06 </t>
    </r>
    <r>
      <rPr>
        <sz val="9"/>
        <color rgb="FF595959"/>
        <rFont val="Noto Sans CJK SC"/>
        <family val="2"/>
      </rPr>
      <t xml:space="preserve">為替代）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</si>
  <si>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</si>
  <si>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40%–80%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積壓以多年期大客戶為主，</t>
    </r>
    <r>
      <rPr>
        <sz val="9"/>
        <color rgb="FF595959"/>
        <rFont val="Arial"/>
        <family val="0"/>
        <charset val="1"/>
      </rPr>
      <t xml:space="preserve">Anthropic ≥111.1B ≈ </t>
    </r>
    <r>
      <rPr>
        <sz val="9"/>
        <color rgb="FF595959"/>
        <rFont val="Noto Sans CJK SC"/>
        <family val="2"/>
      </rPr>
      <t xml:space="preserve">積壓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</si>
  <si>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</si>
  <si>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</si>
  <si>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</si>
  <si>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</si>
  <si>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</si>
  <si>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v4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v5p →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Trillium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v6e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Ironwood → GB300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Ironwood </t>
    </r>
    <r>
      <rPr>
        <sz val="9"/>
        <color rgb="FF595959"/>
        <rFont val="Noto Sans CJK SC"/>
        <family val="2"/>
      </rPr>
      <t xml:space="preserve">之後世代 →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C2 </t>
    </r>
    <r>
      <rPr>
        <sz val="9"/>
        <color rgb="FF595959"/>
        <rFont val="Noto Sans CJK SC"/>
        <family val="2"/>
      </rPr>
      <t xml:space="preserve">原文「</t>
    </r>
    <r>
      <rPr>
        <sz val="9"/>
        <color rgb="FF595959"/>
        <rFont val="Arial"/>
        <family val="0"/>
        <charset val="1"/>
      </rPr>
      <t xml:space="preserve">TPU v6e → 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Trillium → GB200</t>
    </r>
    <r>
      <rPr>
        <sz val="9"/>
        <color rgb="FF595959"/>
        <rFont val="Noto Sans CJK SC"/>
        <family val="2"/>
      </rPr>
      <t xml:space="preserve">」中 </t>
    </r>
    <r>
      <rPr>
        <sz val="9"/>
        <color rgb="FF595959"/>
        <rFont val="Arial"/>
        <family val="0"/>
        <charset val="1"/>
      </rPr>
      <t xml:space="preserve">v6e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Trillium</t>
    </r>
    <r>
      <rPr>
        <sz val="9"/>
        <color rgb="FF595959"/>
        <rFont val="Noto Sans CJK SC"/>
        <family val="2"/>
      </rPr>
      <t xml:space="preserve">，本模型以「</t>
    </r>
    <r>
      <rPr>
        <sz val="9"/>
        <color rgb="FF595959"/>
        <rFont val="Arial"/>
        <family val="0"/>
        <charset val="1"/>
      </rPr>
      <t xml:space="preserve">v6e </t>
    </r>
    <r>
      <rPr>
        <sz val="9"/>
        <color rgb="FF595959"/>
        <rFont val="Noto Sans CJK SC"/>
        <family val="2"/>
      </rPr>
      <t xml:space="preserve">之前世代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」解讀（見報告已套用的預設）。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</si>
  <si>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</si>
  <si>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</si>
  <si>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</si>
  <si>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</si>
  <si>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</si>
  <si>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</si>
  <si>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</si>
  <si>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</si>
  <si>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</si>
  <si>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</si>
  <si>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</si>
  <si>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</si>
  <si>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</si>
  <si>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</si>
  <si>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期初在役（評價日，對外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TPU v4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 15%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 GPU 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Trillium 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B200 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Ironwood 30% [Assumed]——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晶片功耗：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約占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 </t>
    </r>
    <r>
      <rPr>
        <sz val="9"/>
        <color rgb="FF595959"/>
        <rFont val="Noto Sans CJK SC"/>
        <family val="2"/>
      </rPr>
      <t xml:space="preserve">為主）</t>
    </r>
    <r>
      <rPr>
        <sz val="9"/>
        <color rgb="FF595959"/>
        <rFont val="Arial"/>
        <family val="0"/>
        <charset val="1"/>
      </rPr>
      <t xml:space="preserve">991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1,232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Trillium </t>
    </r>
    <r>
      <rPr>
        <sz val="9"/>
        <color rgb="FF595959"/>
        <rFont val="Noto Sans CJK SC"/>
        <family val="2"/>
      </rPr>
      <t xml:space="preserve">為主、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Ironwood </t>
    </r>
    <r>
      <rPr>
        <sz val="9"/>
        <color rgb="FF595959"/>
        <rFont val="Noto Sans CJK SC"/>
        <family val="2"/>
      </rPr>
      <t xml:space="preserve">為主；對外客戶（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等）以新世代為主。新增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75%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2025 </t>
    </r>
    <r>
      <rPr>
        <sz val="9"/>
        <color rgb="FF595959"/>
        <rFont val="Noto Sans CJK SC"/>
        <family val="2"/>
      </rPr>
      <t xml:space="preserve">年新增功耗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TPU 2026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Ironwood</t>
    </r>
    <r>
      <rPr>
        <sz val="9"/>
        <color rgb="FF595959"/>
        <rFont val="Noto Sans CJK SC"/>
        <family val="2"/>
      </rPr>
      <t xml:space="preserve">／下一代各半、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起下一代；</t>
    </r>
    <r>
      <rPr>
        <sz val="9"/>
        <color rgb="FF595959"/>
        <rFont val="Arial"/>
        <family val="0"/>
        <charset val="1"/>
      </rPr>
      <t xml:space="preserve">NVIDIA 2026 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（不建模退役後的世代替換）。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</si>
  <si>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</si>
  <si>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</si>
  <si>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</si>
  <si>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</si>
  <si>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</si>
  <si>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</si>
  <si>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</si>
  <si>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</si>
  <si>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</si>
  <si>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</si>
  <si>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</si>
  <si>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</si>
  <si>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</si>
  <si>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</si>
  <si>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</si>
  <si>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</si>
  <si>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</si>
  <si>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</si>
  <si>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</si>
  <si>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</si>
  <si>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</si>
  <si>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</si>
  <si>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</si>
  <si>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</si>
  <si>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</si>
  <si>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</si>
  <si>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</si>
  <si>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</si>
  <si>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</si>
  <si>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</si>
  <si>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</si>
  <si>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</si>
  <si>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</si>
  <si>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</si>
  <si>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</si>
  <si>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</si>
  <si>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</si>
  <si>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</si>
  <si>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</si>
  <si>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</si>
  <si>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</si>
  <si>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</si>
  <si>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</si>
  <si>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</si>
  <si>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</si>
  <si>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</si>
  <si>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</si>
  <si>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</si>
  <si>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</si>
  <si>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</si>
  <si>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</si>
  <si>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</si>
  <si>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</si>
  <si>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</si>
  <si>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</si>
  <si>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</si>
  <si>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</si>
  <si>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</si>
  <si>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</si>
  <si>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</si>
  <si>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</si>
  <si>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</si>
  <si>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</si>
  <si>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</si>
  <si>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</si>
  <si>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</si>
  <si>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</si>
  <si>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</si>
  <si>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</si>
  <si>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</si>
  <si>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</si>
  <si>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</si>
  <si>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</si>
  <si>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</si>
  <si>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</si>
  <si>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</si>
  <si>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</si>
  <si>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</si>
  <si>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</si>
  <si>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</si>
  <si>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</si>
  <si>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</si>
  <si>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</si>
  <si>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Noto Sans CJK SC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</si>
  <si>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（第五列對照，無門檻）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</si>
  <si>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模型商（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年實收 </t>
    </r>
    <r>
      <rPr>
        <sz val="9"/>
        <color rgb="FF595959"/>
        <rFont val="Arial"/>
        <family val="0"/>
        <charset val="1"/>
      </rPr>
      <t xml:space="preserve">TK_RevGW_PQ_VR200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US$m/MW</t>
    </r>
    <r>
      <rPr>
        <sz val="9"/>
        <color rgb="FF595959"/>
        <rFont val="Noto Sans CJK SC"/>
        <family val="2"/>
      </rPr>
      <t xml:space="preserve">，第一年，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帳同構（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2.0–2.1</t>
    </r>
    <r>
      <rPr>
        <sz val="9"/>
        <color rgb="FF595959"/>
        <rFont val="Noto Sans CJK SC"/>
        <family val="2"/>
      </rPr>
      <t xml:space="preserve">，數值權威在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模型；支出路線約 </t>
    </r>
    <r>
      <rPr>
        <sz val="9"/>
        <color rgb="FF595959"/>
        <rFont val="Arial"/>
        <family val="0"/>
        <charset val="1"/>
      </rPr>
      <t xml:space="preserve">3.0 </t>
    </r>
    <r>
      <rPr>
        <sz val="9"/>
        <color rgb="FF595959"/>
        <rFont val="Noto Sans CJK SC"/>
        <family val="2"/>
      </rPr>
      <t xml:space="preserve">只作對照）；不得與 </t>
    </r>
    <r>
      <rPr>
        <sz val="9"/>
        <color rgb="FF595959"/>
        <rFont val="Arial"/>
        <family val="0"/>
        <charset val="1"/>
      </rPr>
      <t xml:space="preserve">IFW_RevGWFleet </t>
    </r>
    <r>
      <rPr>
        <sz val="9"/>
        <color rgb="FF595959"/>
        <rFont val="Noto Sans CJK SC"/>
        <family val="2"/>
      </rPr>
      <t xml:space="preserve">相減比較；只作對照、不設門檻（工作單 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；說明文字 </t>
    </r>
    <r>
      <rPr>
        <sz val="9"/>
        <color rgb="FF595959"/>
        <rFont val="Arial"/>
        <family val="0"/>
        <charset val="1"/>
      </rPr>
      <t xml:space="preserve">v0.2.2 </t>
    </r>
    <r>
      <rPr>
        <sz val="9"/>
        <color rgb="FF595959"/>
        <rFont val="Noto Sans CJK SC"/>
        <family val="2"/>
      </rPr>
      <t xml:space="preserve">改）</t>
    </r>
  </si>
  <si>
    <r>
      <rPr>
        <sz val="10"/>
        <rFont val="Noto Sans CJK SC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Noto Sans CJK SC"/>
        <family val="2"/>
      </rPr>
      <t xml:space="preserve">高端點為分母（比值下緣）</t>
    </r>
  </si>
  <si>
    <r>
      <rPr>
        <sz val="9"/>
        <color rgb="FF595959"/>
        <rFont val="Noto Sans CJK SC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L1_RevGW_PQ_VR200_Hi</t>
    </r>
  </si>
  <si>
    <r>
      <rPr>
        <sz val="10"/>
        <rFont val="Noto Sans CJK SC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Noto Sans CJK SC"/>
        <family val="2"/>
      </rPr>
      <t xml:space="preserve">低端點為分母（比值上緣）</t>
    </r>
  </si>
  <si>
    <r>
      <rPr>
        <sz val="9"/>
        <color rgb="FF595959"/>
        <rFont val="Noto Sans CJK SC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L1_RevGW_PQ_VR200_Lo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</si>
  <si>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2026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</si>
  <si>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</si>
  <si>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</si>
  <si>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</si>
  <si>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</si>
  <si>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</si>
  <si>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</si>
  <si>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</si>
  <si>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</si>
  <si>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</si>
  <si>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</si>
  <si>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</si>
  <si>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</si>
  <si>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</si>
  <si>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Google Services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其他三線（殘差）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；依賴其他三線的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利潤率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</si>
  <si>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</si>
  <si>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</si>
  <si>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</si>
  <si>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</si>
  <si>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</si>
  <si>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</si>
  <si>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</si>
  <si>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</si>
  <si>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</si>
  <si>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</si>
  <si>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</si>
  <si>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</si>
  <si>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事業｜搜尋與其他｜模型期營收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</si>
  <si>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</si>
  <si>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</si>
  <si>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</si>
  <si>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</si>
  <si>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</si>
  <si>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</si>
  <si>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</si>
  <si>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</si>
  <si>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</si>
  <si>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</si>
  <si>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</t>
    </r>
    <r>
      <rPr>
        <sz val="9"/>
        <color rgb="FF595959"/>
        <rFont val="Arial"/>
        <family val="0"/>
        <charset val="1"/>
      </rPr>
      <t xml:space="preserve">YouTube </t>
    </r>
    <r>
      <rPr>
        <sz val="9"/>
        <color rgb="FF595959"/>
        <rFont val="Noto Sans CJK SC"/>
        <family val="2"/>
      </rPr>
      <t xml:space="preserve">廣告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30%–50%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</si>
  <si>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</si>
  <si>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</si>
  <si>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</si>
  <si>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</si>
  <si>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</si>
  <si>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</si>
  <si>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</si>
  <si>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</si>
  <si>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</si>
  <si>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</si>
  <si>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</si>
  <si>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</si>
  <si>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</si>
  <si>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</si>
  <si>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分部未拆線揭露：聯播網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10%–25%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</si>
  <si>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</si>
  <si>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</si>
  <si>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</si>
  <si>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</si>
  <si>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</si>
  <si>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</si>
  <si>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</si>
  <si>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</si>
  <si>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</si>
  <si>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</si>
  <si>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</si>
  <si>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</si>
  <si>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</si>
  <si>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</si>
  <si>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分部未拆線揭露：訂閱、平台與裝置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10%–30%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</si>
  <si>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</si>
  <si>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</si>
  <si>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</si>
  <si>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</si>
  <si>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</si>
  <si>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</si>
  <si>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</si>
  <si>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</si>
  <si>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</si>
  <si>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</si>
  <si>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</si>
  <si>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</si>
  <si>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）｜分部去年同期實際（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</si>
  <si>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</si>
  <si>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</si>
  <si>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</si>
  <si>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</si>
  <si>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</si>
  <si>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</si>
  <si>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</si>
  <si>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</si>
  <si>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</si>
  <si>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</si>
  <si>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</si>
  <si>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</si>
  <si>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1H </t>
    </r>
    <r>
      <rPr>
        <sz val="10"/>
        <rFont val="Noto Sans CJK SC"/>
        <family val="2"/>
      </rPr>
      <t xml:space="preserve">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</si>
  <si>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</si>
  <si>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</si>
  <si>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</si>
  <si>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</si>
  <si>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</si>
  <si>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</si>
  <si>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</si>
  <si>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</si>
  <si>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</si>
  <si>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</si>
  <si>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</si>
  <si>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</si>
  <si>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</si>
  <si>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</si>
  <si>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</si>
  <si>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</si>
  <si>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</si>
  <si>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</si>
  <si>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＝分部首期估計（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Noto Sans CJK SC"/>
        <family val="2"/>
      </rPr>
      <t xml:space="preserve">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1H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</si>
  <si>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</si>
  <si>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</si>
  <si>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</si>
  <si>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</si>
  <si>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</si>
  <si>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</si>
  <si>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等）｜模型期營收（輸入）</t>
    </r>
  </si>
  <si>
    <r>
      <rPr>
        <sz val="9"/>
        <color rgb="FF595959"/>
        <rFont val="Noto Sans CJK SC"/>
        <family val="2"/>
      </rPr>
      <t xml:space="preserve">各期模型期營收（首期為模型部分；</t>
    </r>
    <r>
      <rPr>
        <sz val="9"/>
        <color rgb="FF595959"/>
        <rFont val="Arial"/>
        <family val="0"/>
        <charset val="1"/>
      </rPr>
      <t xml:space="preserve">company.json → legacyBiz.lines.rev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</si>
  <si>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</si>
  <si>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company.json → legacyBiz.lines.m0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</si>
  <si>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</si>
  <si>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</si>
  <si>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</si>
  <si>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</si>
  <si>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＝模型期＋</t>
    </r>
    <r>
      <rPr>
        <sz val="9"/>
        <color rgb="FF595959"/>
        <rFont val="Arial"/>
        <family val="0"/>
        <charset val="1"/>
      </rPr>
      <t xml:space="preserve">1H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</si>
  <si>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</si>
  <si>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</si>
  <si>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直接輸入（未分攤公司層費用等；</t>
    </r>
    <r>
      <rPr>
        <sz val="9"/>
        <color rgb="FF595959"/>
        <rFont val="Arial"/>
        <family val="0"/>
        <charset val="1"/>
      </rPr>
      <t xml:space="preserve">company.json → legacyBiz.lines.ebitda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</si>
  <si>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</si>
  <si>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</si>
  <si>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系統銷售（硬體）｜模型期營收（輸入）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</si>
  <si>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</si>
  <si>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</si>
  <si>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</si>
  <si>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</si>
  <si>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</si>
  <si>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</si>
  <si>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</si>
  <si>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</si>
  <si>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</si>
  <si>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層級費用（未分攤）｜模型期營收（輸入）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</si>
  <si>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</si>
  <si>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</si>
  <si>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</si>
  <si>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</si>
  <si>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</si>
  <si>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</si>
  <si>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</si>
  <si>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</si>
  <si>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</si>
  <si>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</si>
  <si>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</si>
  <si>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</si>
  <si>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</si>
  <si>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</si>
  <si>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</si>
  <si>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分部營業利益＋折舊按營收分攤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四線拆分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、搜尋為殘差；近四季 </t>
    </r>
    <r>
      <rPr>
        <sz val="9"/>
        <color rgb="FF595959"/>
        <rFont val="Arial"/>
        <family val="0"/>
        <charset val="1"/>
      </rPr>
      <t xml:space="preserve">m0 → 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mLT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＝殘差（</t>
    </r>
    <r>
      <rPr>
        <sz val="9"/>
        <color rgb="FF595959"/>
        <rFont val="Arial"/>
        <family val="0"/>
        <charset val="1"/>
      </rPr>
      <t xml:space="preserve">Cloud EBITDA − 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估計）；含 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層級費用與 </t>
    </r>
    <r>
      <rPr>
        <sz val="9"/>
        <color rgb="FF595959"/>
        <rFont val="Arial"/>
        <family val="0"/>
        <charset val="1"/>
      </rPr>
      <t xml:space="preserve">Other Bets </t>
    </r>
    <r>
      <rPr>
        <sz val="9"/>
        <color rgb="FF595959"/>
        <rFont val="Noto Sans CJK SC"/>
        <family val="2"/>
      </rPr>
      <t xml:space="preserve">虧損，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</si>
  <si>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</si>
  <si>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</si>
  <si>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</si>
  <si>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</si>
  <si>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</si>
  <si>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</si>
  <si>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</si>
  <si>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</si>
  <si>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</si>
  <si>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</si>
  <si>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</si>
  <si>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</si>
  <si>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</si>
  <si>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</si>
  <si>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</si>
  <si>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</si>
  <si>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</si>
  <si>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</si>
  <si>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</si>
  <si>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</si>
  <si>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</si>
  <si>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</si>
  <si>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</si>
  <si>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</si>
  <si>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</si>
  <si>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，二手逐字稿 </t>
    </r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W.Media </t>
    </r>
    <r>
      <rPr>
        <sz val="9"/>
        <color rgb="FF595959"/>
        <rFont val="Noto Sans CJK SC"/>
        <family val="2"/>
      </rPr>
      <t xml:space="preserve">同數字）；新聞稿與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</si>
  <si>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</si>
  <si>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Alphabet 10-K 2025</t>
    </r>
    <r>
      <rPr>
        <sz val="9"/>
        <color rgb="FF595959"/>
        <rFont val="Noto Sans CJK SC"/>
        <family val="2"/>
      </rPr>
      <t xml:space="preserve">：伺服器與網通設備一般依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</si>
  <si>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</si>
  <si>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25%–40%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mw.extShare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C9 </t>
    </r>
    <r>
      <rPr>
        <sz val="9"/>
        <color rgb="FF595959"/>
        <rFont val="Noto Sans CJK SC"/>
        <family val="2"/>
      </rPr>
      <t xml:space="preserve">敏感度 </t>
    </r>
    <r>
      <rPr>
        <sz val="9"/>
        <color rgb="FF595959"/>
        <rFont val="Arial"/>
        <family val="0"/>
        <charset val="1"/>
      </rPr>
      <t xml:space="preserve">±20pt → 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Gemini</t>
    </r>
    <r>
      <rPr>
        <sz val="9"/>
        <color rgb="FF595959"/>
        <rFont val="Noto Sans CJK SC"/>
        <family val="2"/>
      </rPr>
      <t xml:space="preserve">、搜尋、</t>
    </r>
    <r>
      <rPr>
        <sz val="9"/>
        <color rgb="FF595959"/>
        <rFont val="Arial"/>
        <family val="0"/>
        <charset val="1"/>
      </rPr>
      <t xml:space="preserve">YouTube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DeepMind </t>
    </r>
    <r>
      <rPr>
        <sz val="9"/>
        <color rgb="FF595959"/>
        <rFont val="Noto Sans CJK SC"/>
        <family val="2"/>
      </rPr>
      <t xml:space="preserve">研發）同樣需要資本支出，影子收入只作對照；對外比例無揭露</t>
    </r>
  </si>
  <si>
    <t xml:space="preserve">自建機房比例</t>
  </si>
  <si>
    <r>
      <rPr>
        <sz val="9"/>
        <color rgb="FF595959"/>
        <rFont val="Noto Sans CJK SC"/>
        <family val="2"/>
      </rPr>
      <t xml:space="preserve">自建機房比例 </t>
    </r>
    <r>
      <rPr>
        <sz val="9"/>
        <color rgb="FF595959"/>
        <rFont val="Arial"/>
        <family val="0"/>
        <charset val="1"/>
      </rPr>
      <t xml:space="preserve">85%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75%–95%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）：營業租賃負債 </t>
    </r>
    <r>
      <rPr>
        <sz val="9"/>
        <color rgb="FF595959"/>
        <rFont val="Arial"/>
        <family val="0"/>
        <charset val="1"/>
      </rPr>
      <t xml:space="preserve">18.0B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PP&amp;E 321.2B</t>
    </r>
    <r>
      <rPr>
        <sz val="9"/>
        <color rgb="FF595959"/>
        <rFont val="Noto Sans CJK SC"/>
        <family val="2"/>
      </rPr>
      <t xml:space="preserve">，租用占比低；但尚未起租租賃 </t>
    </r>
    <r>
      <rPr>
        <sz val="9"/>
        <color rgb="FF595959"/>
        <rFont val="Arial"/>
        <family val="0"/>
        <charset val="1"/>
      </rPr>
      <t xml:space="preserve">85.2B</t>
    </r>
    <r>
      <rPr>
        <sz val="9"/>
        <color rgb="FF595959"/>
        <rFont val="Noto Sans CJK SC"/>
        <family val="2"/>
      </rPr>
      <t xml:space="preserve">（主要為資料中心）顯示租用上升。租用部分不計機房資本支出（租金由未起租租賃承擔）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</si>
  <si>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</si>
  <si>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Noto Sans CJK SC"/>
        <family val="2"/>
      </rPr>
      <t xml:space="preserve">）合併折舊 </t>
    </r>
    <r>
      <rPr>
        <sz val="9"/>
        <color rgb="FF595959"/>
        <rFont val="Arial"/>
        <family val="0"/>
        <charset val="1"/>
      </rPr>
      <t xml:space="preserve">7.104 × 4</t>
    </r>
    <r>
      <rPr>
        <sz val="9"/>
        <color rgb="FF595959"/>
        <rFont val="Noto Sans CJK SC"/>
        <family val="2"/>
      </rPr>
      <t xml:space="preserve">（現金流量表；公司不揭露分部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對帳基準（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</si>
  <si>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</si>
  <si>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287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98 MW TDP × 1.65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</si>
  <si>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</si>
  <si>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643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991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307 MW TDP × 1.65 × 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</si>
  <si>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</si>
  <si>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321.2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；技術基礎設施在役原值 </t>
    </r>
    <r>
      <rPr>
        <sz val="9"/>
        <color rgb="FF595959"/>
        <rFont val="Arial"/>
        <family val="0"/>
        <charset val="1"/>
      </rPr>
      <t xml:space="preserve">247.2</t>
    </r>
    <r>
      <rPr>
        <sz val="9"/>
        <color rgb="FF595959"/>
        <rFont val="Noto Sans CJK SC"/>
        <family val="2"/>
      </rPr>
      <t xml:space="preserve">、尚未啟用 </t>
    </r>
    <r>
      <rPr>
        <sz val="9"/>
        <color rgb="FF595959"/>
        <rFont val="Arial"/>
        <family val="0"/>
        <charset val="1"/>
      </rPr>
      <t xml:space="preserve">122.8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（其餘，壽命以最新季折舊年化校準）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</si>
  <si>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</si>
  <si>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</si>
  <si>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</si>
  <si>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85%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v19.0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世代代理，</t>
    </r>
    <r>
      <rPr>
        <sz val="9"/>
        <color rgb="FF595959"/>
        <rFont val="Arial"/>
        <family val="0"/>
        <charset val="1"/>
      </rPr>
      <t xml:space="preserve">C2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</si>
  <si>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</si>
  <si>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</si>
  <si>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</si>
  <si>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</si>
  <si>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</si>
  <si>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</si>
  <si>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</si>
  <si>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</si>
  <si>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</si>
  <si>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</si>
  <si>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</si>
  <si>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</si>
  <si>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</si>
  <si>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</si>
  <si>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9.707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</si>
  <si>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</si>
  <si>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</si>
  <si>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</si>
  <si>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</si>
  <si>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</si>
  <si>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</si>
  <si>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</si>
  <si>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Alphabet</t>
    </r>
    <r>
      <rPr>
        <sz val="9"/>
        <color rgb="FF595959"/>
        <rFont val="Noto Sans CJK SC"/>
        <family val="2"/>
      </rPr>
      <t xml:space="preserve">：取在帳租賃負債的營業占比 </t>
    </r>
    <r>
      <rPr>
        <sz val="9"/>
        <color rgb="FF595959"/>
        <rFont val="Arial"/>
        <family val="0"/>
        <charset val="1"/>
      </rPr>
      <t xml:space="preserve">18.037 ÷ (18.037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2.590)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87.4%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；類型未揭露；未起租預付款 </t>
    </r>
    <r>
      <rPr>
        <sz val="9"/>
        <color rgb="FF595959"/>
        <rFont val="Arial"/>
        <family val="0"/>
        <charset val="1"/>
      </rPr>
      <t xml:space="preserve">835 </t>
    </r>
    <r>
      <rPr>
        <sz val="9"/>
        <color rgb="FF595959"/>
        <rFont val="Noto Sans CJK SC"/>
        <family val="2"/>
      </rPr>
      <t xml:space="preserve">預期為融資租賃）；本格＝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</si>
  <si>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</si>
  <si>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</si>
  <si>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</si>
  <si>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</si>
  <si>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</si>
  <si>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</si>
  <si>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</si>
  <si>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</si>
  <si>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1462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</si>
  <si>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</si>
  <si>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</si>
  <si>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</si>
  <si>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無已揭露的租用對外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算力：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雲端服務合約（</t>
    </r>
    <r>
      <rPr>
        <sz val="9"/>
        <color rgb="FF595959"/>
        <rFont val="Arial"/>
        <family val="0"/>
        <charset val="1"/>
      </rPr>
      <t xml:space="preserve">219 MW-IT</t>
    </r>
    <r>
      <rPr>
        <sz val="9"/>
        <color rgb="FF595959"/>
        <rFont val="Noto Sans CJK SC"/>
        <family val="2"/>
      </rPr>
      <t xml:space="preserve">）用途未揭露，列自用（</t>
    </r>
    <r>
      <rPr>
        <sz val="9"/>
        <color rgb="FF595959"/>
        <rFont val="Arial"/>
        <family val="0"/>
        <charset val="1"/>
      </rPr>
      <t xml:space="preserve">leases.rentedCompute</t>
    </r>
    <r>
      <rPr>
        <sz val="9"/>
        <color rgb="FF595959"/>
        <rFont val="Noto Sans CJK SC"/>
        <family val="2"/>
      </rPr>
      <t xml:space="preserve">，租金入營運成本）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</si>
  <si>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</si>
  <si>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</si>
  <si>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</si>
  <si>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</si>
  <si>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</si>
  <si>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</si>
  <si>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</si>
  <si>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</si>
  <si>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</si>
  <si>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</si>
  <si>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</si>
  <si>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</si>
  <si>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</si>
  <si>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</si>
  <si>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</si>
  <si>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</si>
  <si>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</si>
  <si>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</si>
  <si>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</si>
  <si>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</si>
  <si>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</si>
  <si>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</si>
  <si>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</si>
  <si>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</si>
  <si>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</si>
  <si>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</si>
  <si>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</si>
  <si>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</si>
  <si>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</si>
  <si>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</si>
  <si>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</si>
  <si>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</si>
  <si>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</si>
  <si>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</si>
  <si>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</si>
  <si>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</si>
  <si>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</si>
  <si>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</si>
  <si>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</si>
  <si>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（機隊多為 </t>
    </r>
    <r>
      <rPr>
        <sz val="9"/>
        <color rgb="FF595959"/>
        <rFont val="Arial"/>
        <family val="0"/>
        <charset val="1"/>
      </rPr>
      <t xml:space="preserve">2024–2026 </t>
    </r>
    <r>
      <rPr>
        <sz val="9"/>
        <color rgb="FF595959"/>
        <rFont val="Noto Sans CJK SC"/>
        <family val="2"/>
      </rPr>
      <t xml:space="preserve">建置、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</si>
  <si>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</si>
  <si>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以合併折舊反解時退化（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期初折舊 </t>
    </r>
    <r>
      <rPr>
        <sz val="9"/>
        <color rgb="FF595959"/>
        <rFont val="Arial"/>
        <family val="0"/>
        <charset val="1"/>
      </rPr>
      <t xml:space="preserve">34.0 &gt; </t>
    </r>
    <r>
      <rPr>
        <sz val="9"/>
        <color rgb="FF595959"/>
        <rFont val="Noto Sans CJK SC"/>
        <family val="2"/>
      </rPr>
      <t xml:space="preserve">合併折舊年化 </t>
    </r>
    <r>
      <rPr>
        <sz val="9"/>
        <color rgb="FF595959"/>
        <rFont val="Arial"/>
        <family val="0"/>
        <charset val="1"/>
      </rPr>
      <t xml:space="preserve">28.4</t>
    </r>
    <r>
      <rPr>
        <sz val="9"/>
        <color rgb="FF595959"/>
        <rFont val="Noto Sans CJK SC"/>
        <family val="2"/>
      </rPr>
      <t xml:space="preserve">，年限 ≈ </t>
    </r>
    <r>
      <rPr>
        <sz val="9"/>
        <color rgb="FF595959"/>
        <rFont val="Arial"/>
        <family val="0"/>
        <charset val="1"/>
      </rPr>
      <t xml:space="preserve">7×10¹⁰ </t>
    </r>
    <r>
      <rPr>
        <sz val="9"/>
        <color rgb="FF595959"/>
        <rFont val="Noto Sans CJK SC"/>
        <family val="2"/>
      </rPr>
      <t xml:space="preserve">年），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 </t>
    </r>
    <r>
      <rPr>
        <sz val="9"/>
        <color rgb="FF595959"/>
        <rFont val="Noto Sans CJK SC"/>
        <family val="2"/>
      </rPr>
      <t xml:space="preserve">改為預設年限，差額列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對帳殘差（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：伺服器與網通設備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年、資料中心與辦公建築 </t>
    </r>
    <r>
      <rPr>
        <sz val="9"/>
        <color rgb="FF595959"/>
        <rFont val="Arial"/>
        <family val="0"/>
        <charset val="1"/>
      </rPr>
      <t xml:space="preserve">7–40 </t>
    </r>
    <r>
      <rPr>
        <sz val="9"/>
        <color rgb="FF595959"/>
        <rFont val="Noto Sans CJK SC"/>
        <family val="2"/>
      </rPr>
      <t xml:space="preserve">年）（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</si>
  <si>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</si>
  <si>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</si>
  <si>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</si>
  <si>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</si>
  <si>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</si>
  <si>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</si>
  <si>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</si>
  <si>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</si>
  <si>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</si>
  <si>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</si>
  <si>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</si>
  <si>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</si>
  <si>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</si>
  <si>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</si>
  <si>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</si>
  <si>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</si>
  <si>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</si>
  <si>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</si>
  <si>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</si>
  <si>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55.911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99.5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</si>
  <si>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</si>
  <si>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</si>
  <si>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</si>
  <si>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</si>
  <si>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</si>
  <si>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信用額度 </t>
    </r>
    <r>
      <rPr>
        <sz val="9"/>
        <color rgb="FF595959"/>
        <rFont val="Arial"/>
        <family val="0"/>
        <charset val="1"/>
      </rPr>
      <t xml:space="preserve">11.7B</t>
    </r>
    <r>
      <rPr>
        <sz val="9"/>
        <color rgb="FF595959"/>
        <rFont val="Noto Sans CJK SC"/>
        <family val="2"/>
      </rPr>
      <t xml:space="preserve">（已動用 </t>
    </r>
    <r>
      <rPr>
        <sz val="9"/>
        <color rgb="FF595959"/>
        <rFont val="Arial"/>
        <family val="0"/>
        <charset val="1"/>
      </rPr>
      <t xml:space="preserve">1.3B</t>
    </r>
    <r>
      <rPr>
        <sz val="9"/>
        <color rgb="FF595959"/>
        <rFont val="Noto Sans CJK SC"/>
        <family val="2"/>
      </rPr>
      <t xml:space="preserve">）；商業本票額度 </t>
    </r>
    <r>
      <rPr>
        <sz val="9"/>
        <color rgb="FF595959"/>
        <rFont val="Arial"/>
        <family val="0"/>
        <charset val="1"/>
      </rPr>
      <t xml:space="preserve">25B </t>
    </r>
    <r>
      <rPr>
        <sz val="9"/>
        <color rgb="FF595959"/>
        <rFont val="Noto Sans CJK SC"/>
        <family val="2"/>
      </rPr>
      <t xml:space="preserve">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</si>
  <si>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</si>
  <si>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</si>
  <si>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</si>
  <si>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</si>
  <si>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</si>
  <si>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</si>
  <si>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</si>
  <si>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</si>
  <si>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</si>
  <si>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</si>
  <si>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</si>
  <si>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</si>
  <si>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</si>
  <si>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</si>
  <si>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普通股股利＝每股每季 </t>
    </r>
    <r>
      <rPr>
        <sz val="9"/>
        <color rgb="FF595959"/>
        <rFont val="Arial"/>
        <family val="0"/>
        <charset val="1"/>
      </rPr>
      <t xml:space="preserve">$0.22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起）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期初股數（基礎 </t>
    </r>
    <r>
      <rPr>
        <sz val="9"/>
        <color rgb="FF595959"/>
        <rFont val="Arial"/>
        <family val="0"/>
        <charset val="1"/>
      </rPr>
      <t xml:space="preserve">12.230bn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2026-07-15 </t>
    </r>
    <r>
      <rPr>
        <sz val="9"/>
        <color rgb="FF595959"/>
        <rFont val="Noto Sans CJK SC"/>
        <family val="2"/>
      </rPr>
      <t xml:space="preserve">流通股＋前期累計瀑布新股＋已強制轉換的特別股）；每股依 </t>
    </r>
    <r>
      <rPr>
        <sz val="9"/>
        <color rgb="FF595959"/>
        <rFont val="Arial"/>
        <family val="0"/>
        <charset val="1"/>
      </rPr>
      <t xml:space="preserve">growth 5%</t>
    </r>
    <r>
      <rPr>
        <sz val="9"/>
        <color rgb="FF595959"/>
        <rFont val="Noto Sans CJK SC"/>
        <family val="2"/>
      </rPr>
      <t xml:space="preserve">／年遞增（第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g)^n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；特別股股利：</t>
    </r>
    <r>
      <rPr>
        <sz val="9"/>
        <color rgb="FF595959"/>
        <rFont val="Arial"/>
        <family val="0"/>
        <charset val="1"/>
      </rPr>
      <t xml:space="preserve">6.25% × $19.25B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1.203</t>
    </r>
    <r>
      <rPr>
        <sz val="9"/>
        <color rgb="FF595959"/>
        <rFont val="Noto Sans CJK SC"/>
        <family val="2"/>
      </rPr>
      <t xml:space="preserve">／年，每季 </t>
    </r>
    <r>
      <rPr>
        <sz val="9"/>
        <color rgb="FF595959"/>
        <rFont val="Arial"/>
        <family val="0"/>
        <charset val="1"/>
      </rPr>
      <t xml:space="preserve">2/15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11/15 </t>
    </r>
    <r>
      <rPr>
        <sz val="9"/>
        <color rgb="FF595959"/>
        <rFont val="Noto Sans CJK SC"/>
        <family val="2"/>
      </rPr>
      <t xml:space="preserve">支付至 </t>
    </r>
    <r>
      <rPr>
        <sz val="9"/>
        <color rgb="FF595959"/>
        <rFont val="Arial"/>
        <family val="0"/>
        <charset val="1"/>
      </rPr>
      <t xml:space="preserve">2029-05-15 </t>
    </r>
    <r>
      <rPr>
        <sz val="9"/>
        <color rgb="FF595959"/>
        <rFont val="Noto Sans CJK SC"/>
        <family val="2"/>
      </rPr>
      <t xml:space="preserve">轉換（首期 </t>
    </r>
    <r>
      <rPr>
        <sz val="9"/>
        <color rgb="FF595959"/>
        <rFont val="Arial"/>
        <family val="0"/>
        <charset val="1"/>
      </rPr>
      <t xml:space="preserve">2026-08-15 </t>
    </r>
    <r>
      <rPr>
        <sz val="9"/>
        <color rgb="FF595959"/>
        <rFont val="Noto Sans CJK SC"/>
        <family val="2"/>
      </rPr>
      <t xml:space="preserve">短期 </t>
    </r>
    <r>
      <rPr>
        <sz val="9"/>
        <color rgb="FF595959"/>
        <rFont val="Arial"/>
        <family val="0"/>
        <charset val="1"/>
      </rPr>
      <t xml:space="preserve">0.234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11-15 0.301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兩季 </t>
    </r>
    <r>
      <rPr>
        <sz val="9"/>
        <color rgb="FF595959"/>
        <rFont val="Arial"/>
        <family val="0"/>
        <charset val="1"/>
      </rPr>
      <t xml:space="preserve">0.602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mapTo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0.937</t>
    </r>
    <r>
      <rPr>
        <sz val="9"/>
        <color rgb="FF595959"/>
        <rFont val="Noto Sans CJK SC"/>
        <family val="2"/>
      </rPr>
      <t xml:space="preserve">／年誤用首期短期股利，已更正）。（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</si>
  <si>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</si>
  <si>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每季股利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首次）→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+4.8%</t>
    </r>
    <r>
      <rPr>
        <sz val="9"/>
        <color rgb="FF595959"/>
        <rFont val="Noto Sans CJK SC"/>
        <family val="2"/>
      </rPr>
      <t xml:space="preserve">）→ 每股年成長 </t>
    </r>
    <r>
      <rPr>
        <sz val="9"/>
        <color rgb="FF595959"/>
        <rFont val="Arial"/>
        <family val="0"/>
        <charset val="1"/>
      </rPr>
      <t xml:space="preserve">5% [Derived]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條；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</si>
  <si>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</si>
  <si>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</si>
  <si>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</si>
  <si>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</si>
  <si>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</si>
  <si>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</si>
  <si>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 </t>
    </r>
    <r>
      <rPr>
        <sz val="9"/>
        <color rgb="FF595959"/>
        <rFont val="Arial"/>
        <family val="0"/>
        <charset val="1"/>
      </rPr>
      <t xml:space="preserve">17.003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2025Q3 11.504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 5.499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2026Q1 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bb.paid.4q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上半年暫停回購、授權餘額 </t>
    </r>
    <r>
      <rPr>
        <sz val="9"/>
        <color rgb="FF595959"/>
        <rFont val="Arial"/>
        <family val="0"/>
        <charset val="1"/>
      </rPr>
      <t xml:space="preserve">69.5B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floorShare 0</t>
    </r>
    <r>
      <rPr>
        <sz val="9"/>
        <color rgb="FF595959"/>
        <rFont val="Noto Sans CJK SC"/>
        <family val="2"/>
      </rPr>
      <t xml:space="preserve">＝缺口時可全數取消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</si>
  <si>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</si>
  <si>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</si>
  <si>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</si>
  <si>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</si>
  <si>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</si>
  <si>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</si>
  <si>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</si>
  <si>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</si>
  <si>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</si>
  <si>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</si>
  <si>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已交付＋已公開在建</t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</si>
  <si>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</si>
  <si>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</si>
  <si>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r>
      <rPr>
        <sz val="10"/>
        <rFont val="Noto Sans CJK SC"/>
        <family val="2"/>
      </rPr>
      <t xml:space="preserve">可轉債年發行上限｜積極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</si>
  <si>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</si>
  <si>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</si>
  <si>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</si>
  <si>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</si>
  <si>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</si>
  <si>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</si>
  <si>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</si>
  <si>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</si>
  <si>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</si>
  <si>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</si>
  <si>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</si>
  <si>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</si>
  <si>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GOOGL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</si>
  <si>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</si>
  <si>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</si>
  <si>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</si>
  <si>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</si>
  <si>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</si>
  <si>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</si>
  <si>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</si>
  <si>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</si>
  <si>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</si>
  <si>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86.459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</si>
  <si>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</si>
  <si>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美元票據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發行殖利率 </t>
    </r>
    <r>
      <rPr>
        <sz val="9"/>
        <color rgb="FF595959"/>
        <rFont val="Arial"/>
        <family val="0"/>
        <charset val="1"/>
      </rPr>
      <t xml:space="preserve">6.527%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130bp</t>
    </r>
    <r>
      <rPr>
        <sz val="9"/>
        <color rgb="FF595959"/>
        <rFont val="Noto Sans CJK SC"/>
        <family val="2"/>
      </rPr>
      <t xml:space="preserve">）上下的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新債加權票面約 </t>
    </r>
    <r>
      <rPr>
        <sz val="9"/>
        <color rgb="FF595959"/>
        <rFont val="Arial"/>
        <family val="0"/>
        <charset val="1"/>
      </rPr>
      <t xml:space="preserve">4.8%</t>
    </r>
    <r>
      <rPr>
        <sz val="9"/>
        <color rgb="FF595959"/>
        <rFont val="Noto Sans CJK SC"/>
        <family val="2"/>
      </rPr>
      <t xml:space="preserve">（美元）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</si>
  <si>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</si>
  <si>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</si>
  <si>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</si>
  <si>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</si>
  <si>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https://stockanalysis.com/stocks/googl/history/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</si>
  <si>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</si>
  <si>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12.23</t>
    </r>
    <r>
      <rPr>
        <sz val="9"/>
        <color rgb="FF595959"/>
        <rFont val="Noto Sans CJK SC"/>
        <family val="2"/>
      </rPr>
      <t xml:space="preserve">＋流通股 </t>
    </r>
    <r>
      <rPr>
        <sz val="9"/>
        <color rgb="FF595959"/>
        <rFont val="Arial"/>
        <family val="0"/>
        <charset val="1"/>
      </rPr>
      <t xml:space="preserve">12.230bn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5.868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 0.835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 5.527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封面 </t>
    </r>
    <r>
      <rPr>
        <sz val="9"/>
        <color rgb="FF595959"/>
        <rFont val="Arial"/>
        <family val="0"/>
        <charset val="1"/>
      </rPr>
      <t xml:space="preserve">2026-07-15</t>
    </r>
    <r>
      <rPr>
        <sz val="9"/>
        <color rgb="FF595959"/>
        <rFont val="Noto Sans CJK SC"/>
        <family val="2"/>
      </rPr>
      <t xml:space="preserve">）；評價股數取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稀釋加權 </t>
    </r>
    <r>
      <rPr>
        <sz val="9"/>
        <color rgb="FF595959"/>
        <rFont val="Arial"/>
        <family val="0"/>
        <charset val="1"/>
      </rPr>
      <t xml:space="preserve">12.309bn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RSU </t>
    </r>
    <r>
      <rPr>
        <sz val="9"/>
        <color rgb="FF595959"/>
        <rFont val="Noto Sans CJK SC"/>
        <family val="2"/>
      </rPr>
      <t xml:space="preserve">稀釋）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</si>
  <si>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</si>
  <si>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</si>
  <si>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</si>
  <si>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</si>
  <si>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</si>
  <si>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持股比例一手不存在：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法院文件約 </t>
    </r>
    <r>
      <rPr>
        <sz val="9"/>
        <color rgb="FF595959"/>
        <rFont val="Arial"/>
        <family val="0"/>
        <charset val="1"/>
      </rPr>
      <t xml:space="preserve">14%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Allocations </t>
    </r>
    <r>
      <rPr>
        <sz val="9"/>
        <color rgb="FF595959"/>
        <rFont val="Noto Sans CJK SC"/>
        <family val="2"/>
      </rPr>
      <t xml:space="preserve">轉述）、非上市證券帳面 </t>
    </r>
    <r>
      <rPr>
        <sz val="9"/>
        <color rgb="FF595959"/>
        <rFont val="Arial"/>
        <family val="0"/>
        <charset val="1"/>
      </rPr>
      <t xml:space="preserve">124.3B 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965B </t>
    </r>
    <r>
      <rPr>
        <sz val="9"/>
        <color rgb="FF595959"/>
        <rFont val="Noto Sans CJK SC"/>
        <family val="2"/>
      </rPr>
      <t xml:space="preserve">隱含上限 </t>
    </r>
    <r>
      <rPr>
        <sz val="9"/>
        <color rgb="FF595959"/>
        <rFont val="Arial"/>
        <family val="0"/>
        <charset val="1"/>
      </rPr>
      <t xml:space="preserve">12.9% → 12.5%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11%–14%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；估值 </t>
    </r>
    <r>
      <rPr>
        <sz val="9"/>
        <color rgb="FF595959"/>
        <rFont val="Arial"/>
        <family val="0"/>
        <charset val="1"/>
      </rPr>
      <t xml:space="preserve">965B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 Series H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</si>
  <si>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</si>
  <si>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</si>
  <si>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</si>
  <si>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</si>
  <si>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：短期限售 </t>
    </r>
    <r>
      <rPr>
        <sz val="9"/>
        <color rgb="FF595959"/>
        <rFont val="Arial"/>
        <family val="0"/>
        <charset val="1"/>
      </rPr>
      <t xml:space="preserve">80.0B</t>
    </r>
    <r>
      <rPr>
        <sz val="9"/>
        <color rgb="FF595959"/>
        <rFont val="Noto Sans CJK SC"/>
        <family val="2"/>
      </rPr>
      <t xml:space="preserve">（流動有價證券）＋長期限售至 </t>
    </r>
    <r>
      <rPr>
        <sz val="9"/>
        <color rgb="FF595959"/>
        <rFont val="Arial"/>
        <family val="0"/>
        <charset val="1"/>
      </rPr>
      <t xml:space="preserve">2027Q3 14.1B</t>
    </r>
    <r>
      <rPr>
        <sz val="9"/>
        <color rgb="FF595959"/>
        <rFont val="Noto Sans CJK SC"/>
        <family val="2"/>
      </rPr>
      <t xml:space="preserve">（其他非流動資產）＝</t>
    </r>
    <r>
      <rPr>
        <sz val="9"/>
        <color rgb="FF595959"/>
        <rFont val="Arial"/>
        <family val="0"/>
        <charset val="1"/>
      </rPr>
      <t xml:space="preserve">94.1B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公允價值）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；上市持股不折價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</si>
  <si>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（有價權益證券，公允價值）｜持股比例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</si>
  <si>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</si>
  <si>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10"/>
        <rFont val="Noto Sans CJK SC"/>
        <family val="2"/>
      </rPr>
      <t xml:space="preserve">其他有價權益證券｜估值（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</si>
  <si>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有價權益證券 </t>
    </r>
    <r>
      <rPr>
        <sz val="9"/>
        <color rgb="FF595959"/>
        <rFont val="Arial"/>
        <family val="0"/>
        <charset val="1"/>
      </rPr>
      <t xml:space="preserve">87.063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14.126 − SpaceX 94.1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7.089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；上市不折價</t>
    </r>
  </si>
  <si>
    <t xml:space="preserve">其他有價權益證券｜持股比例</t>
  </si>
  <si>
    <r>
      <rPr>
        <sz val="10"/>
        <rFont val="Noto Sans CJK SC"/>
        <family val="2"/>
      </rPr>
      <t xml:space="preserve">其他有價權益證券｜上市（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</si>
  <si>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</si>
  <si>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）。非上市證券其他部分（</t>
    </r>
    <r>
      <rPr>
        <sz val="9"/>
        <color rgb="FF595959"/>
        <rFont val="Arial"/>
        <family val="0"/>
        <charset val="1"/>
      </rPr>
      <t xml:space="preserve">131.461 − Anthropic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124.3 </t>
    </r>
    <r>
      <rPr>
        <sz val="9"/>
        <color rgb="FF595959"/>
        <rFont val="Noto Sans CJK SC"/>
        <family val="2"/>
      </rPr>
      <t xml:space="preserve">帳面）未列（保守）</t>
    </r>
  </si>
  <si>
    <t xml:space="preserve">類債：應計罰款與和解（主要為歐盟罰款）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</si>
  <si>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應計罰款與和解 </t>
    </r>
    <r>
      <rPr>
        <sz val="9"/>
        <color rgb="FF595959"/>
        <rFont val="Arial"/>
        <family val="0"/>
        <charset val="1"/>
      </rPr>
      <t xml:space="preserve">17,356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Android </t>
    </r>
    <r>
      <rPr>
        <sz val="9"/>
        <color rgb="FF595959"/>
        <rFont val="Noto Sans CJK SC"/>
        <family val="2"/>
      </rPr>
      <t xml:space="preserve">案 </t>
    </r>
    <r>
      <rPr>
        <sz val="9"/>
        <color rgb="FF595959"/>
        <rFont val="Arial"/>
        <family val="0"/>
        <charset val="1"/>
      </rPr>
      <t xml:space="preserve">5.2B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；現金流出未在模型營運成本內</t>
    </r>
  </si>
  <si>
    <t xml:space="preserve">類債：非控制權益（含可贖回）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</si>
  <si>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非控制權益 </t>
    </r>
    <r>
      <rPr>
        <sz val="9"/>
        <color rgb="FF595959"/>
        <rFont val="Arial"/>
        <family val="0"/>
        <charset val="1"/>
      </rPr>
      <t xml:space="preserve">7,100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等子公司少數股權）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</si>
  <si>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</si>
  <si>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</si>
  <si>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</si>
  <si>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有效稅率 </t>
    </r>
    <r>
      <rPr>
        <sz val="9"/>
        <color rgb="FF595959"/>
        <rFont val="Arial"/>
        <family val="0"/>
        <charset val="1"/>
      </rPr>
      <t xml:space="preserve">16.8%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2024 16.4%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19.1% </t>
    </r>
    <r>
      <rPr>
        <sz val="9"/>
        <color rgb="FF595959"/>
        <rFont val="Noto Sans CJK SC"/>
        <family val="2"/>
      </rPr>
      <t xml:space="preserve">含權益證券未實現利益的遞延稅，不作基準（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建議）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</si>
  <si>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</si>
  <si>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</si>
  <si>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</si>
  <si>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1.3669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；不同資料商、不同期間）→ </t>
    </r>
    <r>
      <rPr>
        <sz val="9"/>
        <color rgb="FF595959"/>
        <rFont val="Arial"/>
        <family val="0"/>
        <charset val="1"/>
      </rPr>
      <t xml:space="preserve">1.288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1.21–1.367 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</si>
  <si>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</si>
  <si>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</si>
  <si>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</si>
  <si>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</si>
  <si>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</si>
  <si>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新發 </t>
    </r>
    <r>
      <rPr>
        <sz val="9"/>
        <color rgb="FF595959"/>
        <rFont val="Arial"/>
        <family val="0"/>
        <charset val="1"/>
      </rPr>
      <t xml:space="preserve">6.500% 2066 </t>
    </r>
    <r>
      <rPr>
        <sz val="9"/>
        <color rgb="FF595959"/>
        <rFont val="Noto Sans CJK SC"/>
        <family val="2"/>
      </rPr>
      <t xml:space="preserve">票據發行殖利率 </t>
    </r>
    <r>
      <rPr>
        <sz val="9"/>
        <color rgb="FF595959"/>
        <rFont val="Arial"/>
        <family val="0"/>
        <charset val="1"/>
      </rPr>
      <t xml:space="preserve">6.527%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130bp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FWP 2026-08-06</t>
    </r>
    <r>
      <rPr>
        <sz val="9"/>
        <color rgb="FF595959"/>
        <rFont val="Noto Sans CJK SC"/>
        <family val="2"/>
      </rPr>
      <t xml:space="preserve">）（市場邊際成本）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</si>
  <si>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</si>
  <si>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12.23bn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</si>
  <si>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</si>
  <si>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</si>
  <si>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</si>
  <si>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</si>
  <si>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</si>
  <si>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</si>
  <si>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</si>
  <si>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</si>
  <si>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</si>
  <si>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</si>
  <si>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</si>
  <si>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</si>
  <si>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</si>
  <si>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</si>
  <si>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</si>
  <si>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</si>
  <si>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</si>
  <si>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</si>
  <si>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</si>
  <si>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</si>
  <si>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</si>
  <si>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</si>
  <si>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</si>
  <si>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</si>
  <si>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</si>
  <si>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</si>
  <si>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</si>
  <si>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</si>
  <si>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</si>
  <si>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</si>
  <si>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</si>
  <si>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</si>
  <si>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</si>
  <si>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</si>
  <si>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</si>
  <si>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</si>
  <si>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</si>
  <si>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</si>
  <si>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</si>
  <si>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NFLX</t>
    </r>
  </si>
  <si>
    <r>
      <rPr>
        <sz val="9"/>
        <color rgb="FF595959"/>
        <rFont val="Arial"/>
        <family val="0"/>
        <charset val="1"/>
      </rPr>
      <t xml:space="preserve">Netflix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val.peer.nflx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事實總帳；</t>
    </r>
    <r>
      <rPr>
        <sz val="9"/>
        <color rgb="FF595959"/>
        <rFont val="Arial"/>
        <family val="0"/>
        <charset val="1"/>
      </rPr>
      <t xml:space="preserve">Amazon val.peer.subs.nflx </t>
    </r>
    <r>
      <rPr>
        <sz val="9"/>
        <color rgb="FF595959"/>
        <rFont val="Noto Sans CJK SC"/>
        <family val="2"/>
      </rPr>
      <t xml:space="preserve">同值））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</si>
  <si>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SPOT</t>
    </r>
  </si>
  <si>
    <r>
      <rPr>
        <sz val="9"/>
        <color rgb="FF595959"/>
        <rFont val="Arial"/>
        <family val="0"/>
        <charset val="1"/>
      </rPr>
      <t xml:space="preserve">Spotify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amazon/data/amazon_facts_20261008.json val.peerTTM.subs.spot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</si>
  <si>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DIS</t>
    </r>
  </si>
  <si>
    <r>
      <rPr>
        <sz val="9"/>
        <color rgb="FF595959"/>
        <rFont val="Arial"/>
        <family val="0"/>
        <charset val="1"/>
      </rPr>
      <t xml:space="preserve">Disney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amazon/data/amazon_facts_20261008.json val.peerTTM.subs.dis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</si>
  <si>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</si>
  <si>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</si>
  <si>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</si>
  <si>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</si>
  <si>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</si>
  <si>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</si>
  <si>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</si>
  <si>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</si>
  <si>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</si>
  <si>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</si>
  <si>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</si>
  <si>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</si>
  <si>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</si>
  <si>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</si>
  <si>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</si>
  <si>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</si>
  <si>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</si>
  <si>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</si>
  <si>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</t>
    </r>
    <r>
      <rPr>
        <sz val="10"/>
        <rFont val="Arial"/>
        <family val="0"/>
        <charset val="1"/>
      </rPr>
      <t xml:space="preserve">Other Bets</t>
    </r>
  </si>
  <si>
    <r>
      <rPr>
        <sz val="9"/>
        <color rgb="FF595959"/>
        <rFont val="Noto Sans CJK SC"/>
        <family val="2"/>
      </rPr>
      <t xml:space="preserve">無同業倍數（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等未上市）→ 沿用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為負，即虧損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倍數（保守；未計 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募資估值）</t>
    </r>
  </si>
  <si>
    <r>
      <rPr>
        <sz val="10"/>
        <rFont val="Noto Sans CJK SC"/>
        <family val="2"/>
      </rPr>
      <t xml:space="preserve">分部倍數｜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硬體銷售</t>
    </r>
  </si>
  <si>
    <r>
      <rPr>
        <sz val="9"/>
        <color rgb="FF595959"/>
        <rFont val="Noto Sans CJK SC"/>
        <family val="2"/>
      </rPr>
      <t xml:space="preserve">未蒐集半導體同業倍數 → 沿用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 </t>
    </r>
    <r>
      <rPr>
        <sz val="9"/>
        <color rgb="FF595959"/>
        <rFont val="Arial"/>
        <family val="0"/>
        <charset val="1"/>
      </rPr>
      <t xml:space="preserve">6×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</si>
  <si>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</si>
  <si>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家）：搜尋、</t>
    </r>
    <r>
      <rPr>
        <sz val="9"/>
        <color rgb="FF595959"/>
        <rFont val="Arial"/>
        <family val="0"/>
        <charset val="1"/>
      </rPr>
      <t xml:space="preserve">YouTube </t>
    </r>
    <r>
      <rPr>
        <sz val="9"/>
        <color rgb="FF595959"/>
        <rFont val="Noto Sans CJK SC"/>
        <family val="2"/>
      </rPr>
      <t xml:space="preserve">廣告、聯播網、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層級費用＝數位廣告＝共用同業組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家（</t>
    </r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PINS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TTD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RDDT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；中位數 </t>
    </r>
    <r>
      <rPr>
        <sz val="9"/>
        <color rgb="FF595959"/>
        <rFont val="Arial"/>
        <family val="0"/>
        <charset val="1"/>
      </rPr>
      <t xml:space="preserve">9.11×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</t>
    </r>
    <r>
      <rPr>
        <sz val="9"/>
        <color rgb="FF595959"/>
        <rFont val="Noto Sans CJK SC"/>
        <family val="2"/>
      </rPr>
      <t xml:space="preserve">，複製自 </t>
    </r>
    <r>
      <rPr>
        <sz val="9"/>
        <color rgb="FF595959"/>
        <rFont val="Arial"/>
        <family val="0"/>
        <charset val="1"/>
      </rPr>
      <t xml:space="preserve">amazon/data/</t>
    </r>
    <r>
      <rPr>
        <sz val="9"/>
        <color rgb="FF595959"/>
        <rFont val="Noto Sans CJK SC"/>
        <family val="2"/>
      </rPr>
      <t xml:space="preserve">）；訂閱平台裝置＝訂閱影音（</t>
    </r>
    <r>
      <rPr>
        <sz val="9"/>
        <color rgb="FF595959"/>
        <rFont val="Arial"/>
        <family val="0"/>
        <charset val="1"/>
      </rPr>
      <t xml:space="preserve">NFLX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DIS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同組；中位數 </t>
    </r>
    <r>
      <rPr>
        <sz val="9"/>
        <color rgb="FF595959"/>
        <rFont val="Arial"/>
        <family val="0"/>
        <charset val="1"/>
      </rPr>
      <t xml:space="preserve">15.41×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Other Bets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硬體銷售無同業組 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</si>
  <si>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</si>
  <si>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</si>
  <si>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</si>
  <si>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</si>
  <si>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</si>
  <si>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</si>
  <si>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</si>
  <si>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</si>
  <si>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</si>
  <si>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</si>
  <si>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</si>
  <si>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</si>
  <si>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</si>
  <si>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</si>
  <si>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14.708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</si>
  <si>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</si>
  <si>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</si>
  <si>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</si>
  <si>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</si>
  <si>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</si>
  <si>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</si>
  <si>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</si>
  <si>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</si>
  <si>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</si>
  <si>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</si>
  <si>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</si>
  <si>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</si>
  <si>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2026Q2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</si>
  <si>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</si>
  <si>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</si>
  <si>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</si>
  <si>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</si>
  <si>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</si>
  <si>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</si>
  <si>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</si>
  <si>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</si>
  <si>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</si>
  <si>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2026–2030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</si>
  <si>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</si>
  <si>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</si>
  <si>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2026-10-09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</si>
  <si>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</si>
  <si>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</si>
  <si>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</si>
  <si>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</si>
  <si>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</si>
  <si>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</si>
  <si>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</si>
  <si>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</si>
  <si>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</si>
  <si>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</si>
  <si>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</si>
  <si>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</si>
  <si>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</si>
  <si>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</si>
  <si>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</si>
  <si>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</si>
  <si>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</si>
  <si>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</si>
  <si>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</si>
  <si>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</si>
  <si>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</si>
  <si>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</si>
  <si>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</si>
  <si>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</si>
  <si>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</si>
  <si>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</si>
  <si>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</si>
  <si>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</si>
  <si>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</si>
  <si>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</si>
  <si>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</si>
  <si>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</si>
  <si>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</si>
  <si>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現金及約當現金 </t>
    </r>
    <r>
      <rPr>
        <sz val="9"/>
        <color rgb="FF595959"/>
        <rFont val="Arial"/>
        <family val="0"/>
        <charset val="1"/>
      </rPr>
      <t xml:space="preserve">30,708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96,135 − </t>
    </r>
    <r>
      <rPr>
        <sz val="9"/>
        <color rgb="FF595959"/>
        <rFont val="Noto Sans CJK SC"/>
        <family val="2"/>
      </rPr>
      <t xml:space="preserve">有價權益證券 </t>
    </r>
    <r>
      <rPr>
        <sz val="9"/>
        <color rgb="FF595959"/>
        <rFont val="Arial"/>
        <family val="0"/>
        <charset val="1"/>
      </rPr>
      <t xml:space="preserve">6,313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120,530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經查核；模型現金口徑＝現金＋債權類有價證券，有價權益證券改列持股）</t>
    </r>
    <r>
      <rPr>
        <sz val="9"/>
        <color rgb="FF595959"/>
        <rFont val="Arial"/>
        <family val="0"/>
        <charset val="1"/>
      </rPr>
      <t xml:space="preserve">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</si>
  <si>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</si>
  <si>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現金流量表：上半年營運現金流 </t>
    </r>
    <r>
      <rPr>
        <sz val="9"/>
        <color rgb="FF595959"/>
        <rFont val="Arial"/>
        <family val="0"/>
        <charset val="1"/>
      </rPr>
      <t xml:space="preserve">84,859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45,790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39,069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</si>
  <si>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</si>
  <si>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購置不動產與設備 </t>
    </r>
    <r>
      <rPr>
        <sz val="9"/>
        <color rgb="FF595959"/>
        <rFont val="Arial"/>
        <family val="0"/>
        <charset val="1"/>
      </rPr>
      <t xml:space="preserve">Q1 35,674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44,924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80,598</t>
    </r>
    <r>
      <rPr>
        <sz val="9"/>
        <color rgb="FF595959"/>
        <rFont val="Noto Sans CJK SC"/>
        <family val="2"/>
      </rPr>
      <t xml:space="preserve">（公司 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定義；與指引 </t>
    </r>
    <r>
      <rPr>
        <sz val="9"/>
        <color rgb="FF595959"/>
        <rFont val="Arial"/>
        <family val="0"/>
        <charset val="1"/>
      </rPr>
      <t xml:space="preserve">195–205B </t>
    </r>
    <r>
      <rPr>
        <sz val="9"/>
        <color rgb="FF595959"/>
        <rFont val="Noto Sans CJK SC"/>
        <family val="2"/>
      </rPr>
      <t xml:space="preserve">同口徑）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</si>
  <si>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</si>
  <si>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應計口徑未揭露，以現金購置代替；應計未付 </t>
    </r>
    <r>
      <rPr>
        <sz val="9"/>
        <color rgb="FF595959"/>
        <rFont val="Arial"/>
        <family val="0"/>
        <charset val="1"/>
      </rPr>
      <t xml:space="preserve">PP&amp;E 29,113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補充資訊）不在本列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</si>
  <si>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</si>
  <si>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購買非上市證券 </t>
    </r>
    <r>
      <rPr>
        <sz val="9"/>
        <color rgb="FF595959"/>
        <rFont val="Arial"/>
        <family val="0"/>
        <charset val="1"/>
      </rPr>
      <t xml:space="preserve">22,051</t>
    </r>
    <r>
      <rPr>
        <sz val="9"/>
        <color rgb="FF595959"/>
        <rFont val="Noto Sans CJK SC"/>
        <family val="2"/>
      </rPr>
      <t xml:space="preserve">（主要為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條件式出資約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）＋收購（</t>
    </r>
    <r>
      <rPr>
        <sz val="9"/>
        <color rgb="FF595959"/>
        <rFont val="Arial"/>
        <family val="0"/>
        <charset val="1"/>
      </rPr>
      <t xml:space="preserve">Wiz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Intersect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33,697</t>
    </r>
    <r>
      <rPr>
        <sz val="9"/>
        <color rgb="FF595959"/>
        <rFont val="Noto Sans CJK SC"/>
        <family val="2"/>
      </rPr>
      <t xml:space="preserve">＋其他投資 </t>
    </r>
    <r>
      <rPr>
        <sz val="9"/>
        <color rgb="FF595959"/>
        <rFont val="Arial"/>
        <family val="0"/>
        <charset val="1"/>
      </rPr>
      <t xml:space="preserve">1,359 − </t>
    </r>
    <r>
      <rPr>
        <sz val="9"/>
        <color rgb="FF595959"/>
        <rFont val="Noto Sans CJK SC"/>
        <family val="2"/>
      </rPr>
      <t xml:space="preserve">出售非上市證券 </t>
    </r>
    <r>
      <rPr>
        <sz val="9"/>
        <color rgb="FF595959"/>
        <rFont val="Arial"/>
        <family val="0"/>
        <charset val="1"/>
      </rPr>
      <t xml:space="preserve">1,667 [Derived]</t>
    </r>
  </si>
  <si>
    <t xml:space="preserve">借款</t>
  </si>
  <si>
    <r>
      <rPr>
        <sz val="9"/>
        <color rgb="FF595959"/>
        <rFont val="Noto Sans CJK SC"/>
        <family val="2"/>
      </rPr>
      <t xml:space="preserve">發債收入淨額 </t>
    </r>
    <r>
      <rPr>
        <sz val="9"/>
        <color rgb="FF595959"/>
        <rFont val="Arial"/>
        <family val="0"/>
        <charset val="1"/>
      </rPr>
      <t xml:space="preserve">56,226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2026Q1 </t>
    </r>
    <r>
      <rPr>
        <sz val="9"/>
        <color rgb="FF595959"/>
        <rFont val="Noto Sans CJK SC"/>
        <family val="2"/>
      </rPr>
      <t xml:space="preserve">美元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£5.5B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CHF3.1B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Q2 €9.0B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C$8.5B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¥576.5B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</si>
  <si>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</si>
  <si>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償還債務 </t>
    </r>
    <r>
      <rPr>
        <sz val="9"/>
        <color rgb="FF595959"/>
        <rFont val="Arial"/>
        <family val="0"/>
        <charset val="1"/>
      </rPr>
      <t xml:space="preserve">5,253 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</si>
  <si>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</si>
  <si>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強制轉換特別股的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權利金 </t>
    </r>
    <r>
      <rPr>
        <sz val="9"/>
        <color rgb="FF595959"/>
        <rFont val="Arial"/>
        <family val="0"/>
        <charset val="1"/>
      </rPr>
      <t xml:space="preserve">1,011</t>
    </r>
    <r>
      <rPr>
        <sz val="9"/>
        <color rgb="FF595959"/>
        <rFont val="Noto Sans CJK SC"/>
        <family val="2"/>
      </rPr>
      <t xml:space="preserve">（股東權益變動表）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</si>
  <si>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私募股權</t>
  </si>
  <si>
    <r>
      <rPr>
        <sz val="9"/>
        <color rgb="FF595959"/>
        <rFont val="Noto Sans CJK SC"/>
        <family val="2"/>
      </rPr>
      <t xml:space="preserve">普通股發行淨額 </t>
    </r>
    <r>
      <rPr>
        <sz val="9"/>
        <color rgb="FF595959"/>
        <rFont val="Arial"/>
        <family val="0"/>
        <charset val="1"/>
      </rPr>
      <t xml:space="preserve">30,499</t>
    </r>
    <r>
      <rPr>
        <sz val="9"/>
        <color rgb="FF595959"/>
        <rFont val="Noto Sans CJK SC"/>
        <family val="2"/>
      </rPr>
      <t xml:space="preserve">（承銷 </t>
    </r>
    <r>
      <rPr>
        <sz val="9"/>
        <color rgb="FF595959"/>
        <rFont val="Arial"/>
        <family val="0"/>
        <charset val="1"/>
      </rPr>
      <t xml:space="preserve">20.5B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Berkshire </t>
    </r>
    <r>
      <rPr>
        <sz val="9"/>
        <color rgb="FF595959"/>
        <rFont val="Noto Sans CJK SC"/>
        <family val="2"/>
      </rPr>
      <t xml:space="preserve">私募 </t>
    </r>
    <r>
      <rPr>
        <sz val="9"/>
        <color rgb="FF595959"/>
        <rFont val="Arial"/>
        <family val="0"/>
        <charset val="1"/>
      </rPr>
      <t xml:space="preserve">10.0B</t>
    </r>
    <r>
      <rPr>
        <sz val="9"/>
        <color rgb="FF595959"/>
        <rFont val="Noto Sans CJK SC"/>
        <family val="2"/>
      </rPr>
      <t xml:space="preserve">）＋強制轉換特別股淨額 </t>
    </r>
    <r>
      <rPr>
        <sz val="9"/>
        <color rgb="FF595959"/>
        <rFont val="Arial"/>
        <family val="0"/>
        <charset val="1"/>
      </rPr>
      <t xml:space="preserve">19,063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</si>
  <si>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</si>
  <si>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Q1 533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1,278</t>
    </r>
    <r>
      <rPr>
        <sz val="9"/>
        <color rgb="FF595959"/>
        <rFont val="Noto Sans CJK SC"/>
        <family val="2"/>
      </rPr>
      <t xml:space="preserve">；現金利息未揭露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</si>
  <si>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</si>
  <si>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1,817</t>
    </r>
    <r>
      <rPr>
        <sz val="9"/>
        <color rgb="FF595959"/>
        <rFont val="Noto Sans CJK SC"/>
        <family val="2"/>
      </rPr>
      <t xml:space="preserve">＋融資租賃利息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＋本金 </t>
    </r>
    <r>
      <rPr>
        <sz val="9"/>
        <color rgb="FF595959"/>
        <rFont val="Arial"/>
        <family val="0"/>
        <charset val="1"/>
      </rPr>
      <t xml:space="preserve">840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補充資訊）；營業租賃已含在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</si>
  <si>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</si>
  <si>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Noto Sans CJK SC"/>
        <family val="2"/>
      </rPr>
      <t xml:space="preserve">搜尋 </t>
    </r>
    <r>
      <rPr>
        <sz val="9"/>
        <color rgb="FF595959"/>
        <rFont val="Arial"/>
        <family val="0"/>
        <charset val="1"/>
      </rPr>
      <t xml:space="preserve">123,670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YouTube 20,938</t>
    </r>
    <r>
      <rPr>
        <sz val="9"/>
        <color rgb="FF595959"/>
        <rFont val="Noto Sans CJK SC"/>
        <family val="2"/>
      </rPr>
      <t xml:space="preserve">＋聯播網 </t>
    </r>
    <r>
      <rPr>
        <sz val="9"/>
        <color rgb="FF595959"/>
        <rFont val="Arial"/>
        <family val="0"/>
        <charset val="1"/>
      </rPr>
      <t xml:space="preserve">14,274</t>
    </r>
    <r>
      <rPr>
        <sz val="9"/>
        <color rgb="FF595959"/>
        <rFont val="Noto Sans CJK SC"/>
        <family val="2"/>
      </rPr>
      <t xml:space="preserve">＋訂閱平台裝置 </t>
    </r>
    <r>
      <rPr>
        <sz val="9"/>
        <color rgb="FF595959"/>
        <rFont val="Arial"/>
        <family val="0"/>
        <charset val="1"/>
      </rPr>
      <t xml:space="preserve">25,295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Cloud 44,796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Other Bets 793</t>
    </r>
    <r>
      <rPr>
        <sz val="9"/>
        <color rgb="FF595959"/>
        <rFont val="Noto Sans CJK SC"/>
        <family val="2"/>
      </rPr>
      <t xml:space="preserve">＋避險 −</t>
    </r>
    <r>
      <rPr>
        <sz val="9"/>
        <color rgb="FF595959"/>
        <rFont val="Arial"/>
        <family val="0"/>
        <charset val="1"/>
      </rPr>
      <t xml:space="preserve">74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</si>
  <si>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</si>
  <si>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Q1 39,696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40,770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</si>
  <si>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</si>
  <si>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Q1 62,578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Q2 112,193</t>
    </r>
    <r>
      <rPr>
        <sz val="9"/>
        <color rgb="FF595959"/>
        <rFont val="Noto Sans CJK SC"/>
        <family val="2"/>
      </rPr>
      <t xml:space="preserve">（含權益證券利益 </t>
    </r>
    <r>
      <rPr>
        <sz val="9"/>
        <color rgb="FF595959"/>
        <rFont val="Arial"/>
        <family val="0"/>
        <charset val="1"/>
      </rPr>
      <t xml:space="preserve">135,946</t>
    </r>
    <r>
      <rPr>
        <sz val="9"/>
        <color rgb="FF595959"/>
        <rFont val="Noto Sans CJK SC"/>
        <family val="2"/>
      </rPr>
      <t xml:space="preserve">，主要為 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上市與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重估，非營業）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</si>
  <si>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</si>
  <si>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t xml:space="preserve">不適用（無客戶預付融資機制）</t>
  </si>
  <si>
    <t xml:space="preserve">D&amp;A</t>
  </si>
  <si>
    <r>
      <rPr>
        <sz val="9"/>
        <color rgb="FF595959"/>
        <rFont val="Noto Sans CJK SC"/>
        <family val="2"/>
      </rPr>
      <t xml:space="preserve">現金流量表不動產與設備折舊 </t>
    </r>
    <r>
      <rPr>
        <sz val="9"/>
        <color rgb="FF595959"/>
        <rFont val="Arial"/>
        <family val="0"/>
        <charset val="1"/>
      </rPr>
      <t xml:space="preserve">Q1 6,482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7,104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</si>
  <si>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</si>
  <si>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股權報酬費用 </t>
    </r>
    <r>
      <rPr>
        <sz val="9"/>
        <color rgb="FF595959"/>
        <rFont val="Arial"/>
        <family val="0"/>
        <charset val="1"/>
      </rPr>
      <t xml:space="preserve">14,708</t>
    </r>
    <r>
      <rPr>
        <sz val="9"/>
        <color rgb="FF595959"/>
        <rFont val="Noto Sans CJK SC"/>
        <family val="2"/>
      </rPr>
      <t xml:space="preserve">（現金流量表）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</si>
  <si>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</si>
  <si>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Q1 5.11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9.11</t>
    </r>
    <r>
      <rPr>
        <sz val="9"/>
        <color rgb="FF595959"/>
        <rFont val="Noto Sans CJK SC"/>
        <family val="2"/>
      </rPr>
      <t xml:space="preserve">（含權益證券利益）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</si>
  <si>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</si>
  <si>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 ÷ </t>
    </r>
    <r>
      <rPr>
        <sz val="9"/>
        <color rgb="FF595959"/>
        <rFont val="Noto Sans CJK SC"/>
        <family val="2"/>
      </rPr>
      <t xml:space="preserve">上半年平均稀釋加權股數 </t>
    </r>
    <r>
      <rPr>
        <sz val="9"/>
        <color rgb="FF595959"/>
        <rFont val="Arial"/>
        <family val="0"/>
        <charset val="1"/>
      </rPr>
      <t xml:space="preserve">12,274m [Derived]</t>
    </r>
    <r>
      <rPr>
        <sz val="9"/>
        <color rgb="FF595959"/>
        <rFont val="Noto Sans CJK SC"/>
        <family val="2"/>
      </rPr>
      <t xml:space="preserve">（含權益證券利益，與共識不可比）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</si>
  <si>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</si>
  <si>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普通股股利支付 </t>
    </r>
    <r>
      <rPr>
        <sz val="9"/>
        <color rgb="FF595959"/>
        <rFont val="Arial"/>
        <family val="0"/>
        <charset val="1"/>
      </rPr>
      <t xml:space="preserve">5,231</t>
    </r>
    <r>
      <rPr>
        <sz val="9"/>
        <color rgb="FF595959"/>
        <rFont val="Noto Sans CJK SC"/>
        <family val="2"/>
      </rPr>
      <t xml:space="preserve">（每季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</si>
  <si>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</si>
  <si>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46.178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47.874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2026Q1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2026-07-23</t>
    </r>
    <r>
      <rPr>
        <sz val="9"/>
        <color rgb="FF595959"/>
        <rFont val="Noto Sans CJK SC"/>
        <family val="2"/>
      </rPr>
      <t xml:space="preserve">）；公司不揭露調整後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；本列＝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營業利益＋現金流量表折舊（不動產與設備；無形資產攤銷未另列）。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含加回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矛盾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），比較時口徑不同。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39.696</t>
    </r>
    <r>
      <rPr>
        <sz val="9"/>
        <color rgb="FF595959"/>
        <rFont val="Noto Sans CJK SC"/>
        <family val="2"/>
      </rPr>
      <t xml:space="preserve">＋折舊 </t>
    </r>
    <r>
      <rPr>
        <sz val="9"/>
        <color rgb="FF595959"/>
        <rFont val="Arial"/>
        <family val="0"/>
        <charset val="1"/>
      </rPr>
      <t xml:space="preserve">6.482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40.770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7.104 [Derived] [Derived]</t>
    </r>
  </si>
  <si>
    <t xml:space="preserve">回購（買回庫藏股）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</si>
  <si>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上半年未買回（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2025H1 28,306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</si>
  <si>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</si>
  <si>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</si>
  <si>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</si>
  <si>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已交付＋已公開在建</t>
  </si>
  <si>
    <t xml:space="preserve">情境區間運算表｜基準 依資本支出指引</t>
  </si>
  <si>
    <r>
      <rPr>
        <sz val="10"/>
        <rFont val="Noto Sans CJK SC"/>
        <family val="2"/>
      </rPr>
      <t xml:space="preserve">情境區間運算表｜積極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</si>
  <si>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data/consensus_googl_20261008.json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</si>
  <si>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＝賣方分析師預估：有利益關係（投行業務、承銷——</t>
    </r>
    <r>
      <rPr>
        <sz val="9"/>
        <color rgb="FF595959"/>
        <rFont val="Arial"/>
        <family val="0"/>
        <charset val="1"/>
      </rPr>
      <t xml:space="preserve">Alphabet 2026-06 </t>
    </r>
    <r>
      <rPr>
        <sz val="9"/>
        <color rgb="FF595959"/>
        <rFont val="Noto Sans CJK SC"/>
        <family val="2"/>
      </rPr>
      <t xml:space="preserve">股權募資與 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發債的承銷商包含多家覆蓋券商——偏多傾向），數字本身是意見而非事實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</si>
  <si>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</si>
  <si>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</si>
  <si>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</si>
  <si>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</si>
  <si>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</si>
  <si>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</si>
  <si>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</si>
  <si>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</si>
  <si>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https://stockanalysis.com/stocks/googl/history/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</si>
  <si>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</si>
  <si>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</si>
  <si>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</si>
  <si>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</si>
  <si>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</si>
  <si>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</si>
  <si>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</si>
  <si>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</si>
  <si>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</si>
  <si>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</si>
  <si>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</si>
  <si>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</si>
  <si>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https://www.marketbeat.com/stocks/NASDAQ/GOOGL/forecast/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</si>
  <si>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</si>
  <si>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</si>
  <si>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</si>
  <si>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</si>
  <si>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https://finance.yahoo.com/quote/GOOGL/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</si>
  <si>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</si>
  <si>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</si>
  <si>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</si>
  <si>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</si>
  <si>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</si>
  <si>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</si>
  <si>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</si>
  <si>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</si>
  <si>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</si>
  <si>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https://www.marketscreener.com/quote/stock/ALPHABET-INC-24203373/finances/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</si>
  <si>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</si>
  <si>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</si>
  <si>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</si>
  <si>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</si>
  <si>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</si>
  <si>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</si>
  <si>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</si>
  <si>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</si>
  <si>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</si>
  <si>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</si>
  <si>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Noto Sans CJK SC"/>
        <family val="2"/>
      </rPr>
      <t xml:space="preserve">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營業利益，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129.039 </t>
    </r>
    <r>
      <rPr>
        <sz val="10"/>
        <rFont val="Noto Sans CJK SC"/>
        <family val="2"/>
      </rPr>
      <t xml:space="preserve">與公司相同）、淨利與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（含權益證券未實現利益：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淨利 </t>
    </r>
    <r>
      <rPr>
        <sz val="10"/>
        <rFont val="Arial"/>
        <family val="0"/>
        <charset val="1"/>
      </rPr>
      <t xml:space="preserve">254.9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EPS 20.63 </t>
    </r>
    <r>
      <rPr>
        <sz val="10"/>
        <rFont val="Noto Sans CJK SC"/>
        <family val="2"/>
      </rPr>
      <t xml:space="preserve">含上半年 </t>
    </r>
    <r>
      <rPr>
        <sz val="10"/>
        <rFont val="Arial"/>
        <family val="0"/>
        <charset val="1"/>
      </rPr>
      <t xml:space="preserve">135.9 </t>
    </r>
    <r>
      <rPr>
        <sz val="10"/>
        <rFont val="Noto Sans CJK SC"/>
        <family val="2"/>
      </rPr>
      <t xml:space="preserve">的權益證券利益，故高於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）、資本支出（購置不動產與設備）、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、淨負債（負值＝淨現金）。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口徑＝營業利益＋折舊＋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175.128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129.039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21.136</t>
    </r>
    <r>
      <rPr>
        <sz val="10"/>
        <rFont val="Noto Sans CJK SC"/>
        <family val="2"/>
      </rPr>
      <t xml:space="preserve">（折舊）＋</t>
    </r>
    <r>
      <rPr>
        <sz val="10"/>
        <rFont val="Arial"/>
        <family val="0"/>
        <charset val="1"/>
      </rPr>
      <t xml:space="preserve">24.953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），兩者相加恰為 </t>
    </r>
    <r>
      <rPr>
        <sz val="10"/>
        <rFont val="Arial"/>
        <family val="0"/>
        <charset val="1"/>
      </rPr>
      <t xml:space="preserve">46.089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[Derived] </t>
    </r>
    <r>
      <rPr>
        <sz val="10"/>
        <rFont val="Noto Sans CJK SC"/>
        <family val="2"/>
      </rPr>
      <t xml:space="preserve">推得；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未說明）→ </t>
    </r>
    <r>
      <rPr>
        <sz val="10"/>
        <rFont val="Arial"/>
        <family val="0"/>
        <charset val="1"/>
      </rPr>
      <t xml:space="preserve">v0.1b </t>
    </r>
    <r>
      <rPr>
        <sz val="10"/>
        <rFont val="Noto Sans CJK SC"/>
        <family val="2"/>
      </rPr>
      <t xml:space="preserve">若以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率比較，需扣回 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或改用營業利益＋折舊。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</si>
  <si>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</si>
  <si>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</si>
  <si>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</si>
  <si>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</si>
  <si>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</si>
  <si>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</si>
  <si>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口徑與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不同：</t>
    </r>
    <r>
      <rPr>
        <sz val="9"/>
        <color rgb="FF595959"/>
        <rFont val="Arial"/>
        <family val="0"/>
        <charset val="1"/>
      </rPr>
      <t xml:space="preserve">12.15 </t>
    </r>
    <r>
      <rPr>
        <sz val="9"/>
        <color rgb="FF595959"/>
        <rFont val="Noto Sans CJK SC"/>
        <family val="2"/>
      </rPr>
      <t xml:space="preserve">推測排除權益證券利益（頁面標示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起需付費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</si>
  <si>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</si>
  <si>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2026 CapEx</t>
    </r>
    <r>
      <rPr>
        <sz val="10"/>
        <rFont val="Noto Sans CJK SC"/>
        <family val="2"/>
      </rPr>
      <t xml:space="preserve">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</si>
  <si>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</si>
  <si>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；二手逐字稿）：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195–205B</t>
    </r>
    <r>
      <rPr>
        <sz val="9"/>
        <color rgb="FF595959"/>
        <rFont val="Noto Sans CJK SC"/>
        <family val="2"/>
      </rPr>
      <t xml:space="preserve">；公司不給營收或營業利益指引｜</t>
    </r>
    <r>
      <rPr>
        <sz val="9"/>
        <color rgb="FF595959"/>
        <rFont val="Arial"/>
        <family val="0"/>
        <charset val="1"/>
      </rPr>
      <t xml:space="preserve">https://www.benzinga.com/news/26/09/61834150</t>
    </r>
  </si>
  <si>
    <r>
      <rPr>
        <sz val="9"/>
        <color rgb="FF595959"/>
        <rFont val="Noto Sans CJK SC"/>
        <family val="2"/>
      </rPr>
      <t xml:space="preserve">公司指引屬利害關係人（管理層）預估；資本支出只見於法說（事實總帳 </t>
    </r>
    <r>
      <rPr>
        <sz val="9"/>
        <color rgb="FF595959"/>
        <rFont val="Arial"/>
        <family val="0"/>
        <charset val="1"/>
      </rPr>
      <t xml:space="preserve">guid.capex.2026.jul</t>
    </r>
    <r>
      <rPr>
        <sz val="9"/>
        <color rgb="FF595959"/>
        <rFont val="Noto Sans CJK SC"/>
        <family val="2"/>
      </rPr>
      <t xml:space="preserve">）。共識資本支出 </t>
    </r>
    <r>
      <rPr>
        <sz val="9"/>
        <color rgb="FF595959"/>
        <rFont val="Arial"/>
        <family val="0"/>
        <charset val="1"/>
      </rPr>
      <t xml:space="preserve">201.7 </t>
    </r>
    <r>
      <rPr>
        <sz val="9"/>
        <color rgb="FF595959"/>
        <rFont val="Noto Sans CJK SC"/>
        <family val="2"/>
      </rPr>
      <t xml:space="preserve">落在指引區間內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</si>
  <si>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</si>
  <si>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Yorkville Ives &amp; Co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Daniel Ives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</si>
  <si>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</si>
  <si>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</si>
  <si>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Morgan Stanley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Brian Nowak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</si>
  <si>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</si>
  <si>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2026-10-06 Guggenheim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</si>
  <si>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2026-10-06 Wells Fargo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Ken Gawrelski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</si>
  <si>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（重申）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</si>
  <si>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2026-10-03 Cantor Fitzgerald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Deepak Mathivanan</t>
    </r>
    <r>
      <rPr>
        <sz val="10"/>
        <rFont val="Noto Sans CJK SC"/>
        <family val="2"/>
      </rPr>
      <t xml:space="preserve">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</si>
  <si>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</si>
  <si>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</si>
  <si>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的年度預估一般屬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系；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分析頁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498.69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615.04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498.690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615.038 </t>
    </r>
    <r>
      <rPr>
        <sz val="10"/>
        <rFont val="Noto Sans CJK SC"/>
        <family val="2"/>
      </rPr>
      <t xml:space="preserve">完全相同、與 </t>
    </r>
    <r>
      <rPr>
        <sz val="10"/>
        <rFont val="Arial"/>
        <family val="0"/>
        <charset val="1"/>
      </rPr>
      <t xml:space="preserve">StockAnalysis 498.74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614.95 </t>
    </r>
    <r>
      <rPr>
        <sz val="10"/>
        <rFont val="Noto Sans CJK SC"/>
        <family val="2"/>
      </rPr>
      <t xml:space="preserve">略異，三者視為同一或高度重疊的底層來源，不算獨立交叉驗證。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429.47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完全相同，推測同源。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</si>
  <si>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</si>
  <si>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</si>
  <si>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季度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與營業利益共識（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只有營收與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季度頁未取得）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</si>
  <si>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</si>
  <si>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S&amp;P 2028 </t>
    </r>
    <r>
      <rPr>
        <sz val="10"/>
        <rFont val="Noto Sans CJK SC"/>
        <family val="2"/>
      </rPr>
      <t xml:space="preserve">年度營收與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付費內容）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</si>
  <si>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</si>
  <si>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第二個獨立的年度營收／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共識供應商（</t>
    </r>
    <r>
      <rPr>
        <sz val="10"/>
        <rFont val="Arial"/>
        <family val="0"/>
        <charset val="1"/>
      </rPr>
      <t xml:space="preserve">StockAnalysis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視為同一或高度重疊底層）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</si>
  <si>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</si>
  <si>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</si>
  <si>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</si>
  <si>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</si>
  <si>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</si>
  <si>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</si>
  <si>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</si>
  <si>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</si>
  <si>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</si>
  <si>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</si>
  <si>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</si>
  <si>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</si>
  <si>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</si>
  <si>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</si>
  <si>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</si>
  <si>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</si>
  <si>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</si>
  <si>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2026Q2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</si>
  <si>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</si>
  <si>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</si>
  <si>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未揭露：第三方估計 </t>
    </r>
    <r>
      <rPr>
        <sz val="9"/>
        <color rgb="FF595959"/>
        <rFont val="Arial"/>
        <family val="0"/>
        <charset val="1"/>
      </rPr>
      <t xml:space="preserve">1,901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晶片功耗 </t>
    </r>
    <r>
      <rPr>
        <sz val="9"/>
        <color rgb="FF595959"/>
        <rFont val="Arial"/>
        <family val="0"/>
        <charset val="1"/>
      </rPr>
      <t xml:space="preserve">× 1.65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mw.ext.it.2026q2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</si>
  <si>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</si>
  <si>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</si>
  <si>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</si>
  <si>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</si>
  <si>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</si>
  <si>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</si>
  <si>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</si>
  <si>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</si>
  <si>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</si>
  <si>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</si>
  <si>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全年資本支出指引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（法說二手逐字稿；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上修）− 上半年實際＝下半年隱含指引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；公司未給營收指引；只用於判斷季度差距是否為「拆法」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</si>
  <si>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</si>
  <si>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</si>
  <si>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</si>
  <si>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</si>
  <si>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</si>
  <si>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</si>
  <si>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</si>
  <si>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</si>
  <si>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</si>
  <si>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</si>
  <si>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</si>
  <si>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</si>
  <si>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</si>
  <si>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</si>
  <si>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</si>
  <si>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</si>
  <si>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</si>
  <si>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</si>
  <si>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</si>
  <si>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</si>
  <si>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9.707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2.692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</si>
  <si>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</si>
  <si>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85.2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</si>
  <si>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</si>
  <si>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</si>
  <si>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</si>
  <si>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</si>
  <si>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</si>
  <si>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</si>
  <si>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</si>
  <si>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</si>
  <si>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</si>
  <si>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</si>
  <si>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</si>
  <si>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55.44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55.440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</si>
  <si>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</si>
  <si>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</si>
  <si>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</si>
  <si>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</si>
  <si>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</si>
  <si>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</si>
  <si>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</si>
  <si>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</si>
  <si>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2.0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</si>
  <si>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</si>
  <si>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</si>
  <si>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</si>
  <si>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</si>
  <si>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</si>
  <si>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</si>
  <si>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</si>
  <si>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</si>
  <si>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</si>
  <si>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</si>
  <si>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</si>
  <si>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</si>
  <si>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</si>
  <si>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</si>
  <si>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</si>
  <si>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</si>
  <si>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</si>
  <si>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</si>
  <si>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</si>
  <si>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</si>
  <si>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</si>
  <si>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</si>
  <si>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</si>
  <si>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</si>
  <si>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</si>
  <si>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</si>
  <si>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</si>
  <si>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</si>
  <si>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</si>
  <si>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49.6</t>
    </r>
    <r>
      <rPr>
        <sz val="9"/>
        <color rgb="FF595959"/>
        <rFont val="Noto Sans CJK SC"/>
        <family val="2"/>
      </rPr>
      <t xml:space="preserve">（普通股 </t>
    </r>
    <r>
      <rPr>
        <sz val="9"/>
        <color rgb="FF595959"/>
        <rFont val="Arial"/>
        <family val="0"/>
        <charset val="1"/>
      </rPr>
      <t xml:space="preserve">30.5</t>
    </r>
    <r>
      <rPr>
        <sz val="9"/>
        <color rgb="FF595959"/>
        <rFont val="Noto Sans CJK SC"/>
        <family val="2"/>
      </rPr>
      <t xml:space="preserve">＋強制轉換特別股 </t>
    </r>
    <r>
      <rPr>
        <sz val="9"/>
        <color rgb="FF595959"/>
        <rFont val="Arial"/>
        <family val="0"/>
        <charset val="1"/>
      </rPr>
      <t xml:space="preserve">19.1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（瀑布另計）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</si>
  <si>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</si>
  <si>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56.226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</si>
  <si>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</si>
  <si>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</si>
  <si>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</si>
  <si>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</si>
  <si>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</si>
  <si>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</si>
  <si>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</si>
  <si>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</si>
  <si>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</si>
  <si>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</si>
  <si>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</si>
  <si>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</si>
  <si>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</si>
  <si>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</si>
  <si>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</si>
  <si>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</si>
  <si>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</si>
  <si>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</si>
  <si>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</si>
  <si>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</si>
  <si>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</si>
  <si>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</si>
  <si>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</si>
  <si>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9.707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</si>
  <si>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</si>
  <si>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</si>
  <si>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</si>
  <si>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</si>
  <si>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</si>
  <si>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</si>
  <si>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</si>
  <si>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</si>
  <si>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</si>
  <si>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</si>
  <si>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</si>
  <si>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</si>
  <si>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</si>
  <si>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</si>
  <si>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</si>
  <si>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</si>
  <si>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</si>
  <si>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</si>
  <si>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</si>
  <si>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</si>
  <si>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</si>
  <si>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</si>
  <si>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</si>
  <si>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</si>
  <si>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</si>
  <si>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</si>
  <si>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</si>
  <si>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</si>
  <si>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</si>
  <si>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101.085)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</si>
  <si>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</si>
  <si>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</si>
  <si>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</si>
  <si>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</si>
  <si>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</si>
  <si>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</si>
  <si>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</si>
  <si>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</si>
  <si>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</si>
  <si>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</si>
  <si>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</si>
  <si>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</si>
  <si>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</si>
  <si>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</si>
  <si>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12.23bn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</si>
  <si>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</si>
  <si>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</si>
  <si>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</si>
  <si>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</si>
  <si>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</si>
  <si>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</si>
  <si>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</si>
  <si>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</si>
  <si>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</si>
  <si>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</si>
  <si>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</si>
  <si>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</si>
  <si>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</si>
  <si>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</si>
  <si>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</si>
  <si>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</si>
  <si>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</si>
  <si>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</si>
  <si>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</si>
  <si>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</si>
  <si>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</si>
  <si>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</si>
  <si>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</si>
  <si>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</si>
  <si>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</si>
  <si>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</si>
  <si>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</si>
  <si>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</si>
  <si>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</si>
  <si>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</si>
  <si>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</si>
  <si>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（法說會（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，二手逐字稿 </t>
    </r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W.Media </t>
    </r>
    <r>
      <rPr>
        <sz val="9"/>
        <color rgb="FF595959"/>
        <rFont val="Noto Sans CJK SC"/>
        <family val="2"/>
      </rPr>
      <t xml:space="preserve">同數字）；新聞稿與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</si>
  <si>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</si>
  <si>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</si>
  <si>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</si>
  <si>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2.692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</si>
  <si>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</si>
  <si>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2.0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</si>
  <si>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</si>
  <si>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</si>
  <si>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</si>
  <si>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</si>
  <si>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</si>
  <si>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</si>
  <si>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</si>
  <si>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</si>
  <si>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</si>
  <si>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</si>
  <si>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</si>
  <si>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</si>
  <si>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</si>
  <si>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</si>
  <si>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</si>
  <si>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</si>
  <si>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</si>
  <si>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</si>
  <si>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</si>
  <si>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</si>
  <si>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</si>
  <si>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</si>
  <si>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</si>
  <si>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</si>
  <si>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</si>
  <si>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</si>
  <si>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</si>
  <si>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</si>
  <si>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</si>
  <si>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</si>
  <si>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</si>
  <si>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</si>
  <si>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</si>
  <si>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</si>
  <si>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</si>
  <si>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</si>
  <si>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</si>
  <si>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</si>
  <si>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</si>
  <si>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</si>
  <si>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</si>
  <si>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</si>
  <si>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</si>
  <si>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</si>
  <si>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</si>
  <si>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</si>
  <si>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</si>
  <si>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</si>
  <si>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</si>
  <si>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</si>
  <si>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</si>
  <si>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</si>
  <si>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</si>
  <si>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</si>
  <si>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</si>
  <si>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</si>
  <si>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</si>
  <si>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</si>
  <si>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</si>
  <si>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</si>
  <si>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</si>
  <si>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</si>
  <si>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</si>
  <si>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</si>
  <si>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</si>
  <si>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</si>
  <si>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</si>
  <si>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</si>
  <si>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</si>
  <si>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</si>
  <si>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</si>
  <si>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</si>
  <si>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</si>
  <si>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</si>
  <si>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</si>
  <si>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</si>
  <si>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</si>
  <si>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</si>
  <si>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</si>
  <si>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</si>
  <si>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</si>
  <si>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</si>
  <si>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</si>
  <si>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</si>
  <si>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</si>
  <si>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</si>
  <si>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</si>
  <si>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</si>
  <si>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</si>
  <si>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</si>
  <si>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</si>
  <si>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</si>
  <si>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</si>
  <si>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</si>
  <si>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</si>
  <si>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</si>
  <si>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</si>
  <si>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</si>
  <si>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</si>
  <si>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</si>
  <si>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</si>
  <si>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</si>
  <si>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</si>
  <si>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</si>
  <si>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</si>
  <si>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</si>
  <si>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</si>
  <si>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</si>
  <si>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</si>
  <si>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</si>
  <si>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</si>
  <si>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</si>
  <si>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</si>
  <si>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</si>
  <si>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</si>
  <si>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</si>
  <si>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</si>
  <si>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</si>
  <si>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</si>
  <si>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</si>
  <si>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</si>
  <si>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</si>
  <si>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</si>
  <si>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</si>
  <si>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</si>
  <si>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</si>
  <si>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</si>
  <si>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</si>
  <si>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</si>
  <si>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</si>
  <si>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</si>
  <si>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</si>
  <si>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</si>
  <si>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</si>
  <si>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</si>
  <si>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</si>
  <si>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</si>
  <si>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</si>
  <si>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</si>
  <si>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</si>
  <si>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</si>
  <si>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</si>
  <si>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</si>
  <si>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</si>
  <si>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</si>
  <si>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</si>
  <si>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</si>
  <si>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</si>
  <si>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</si>
  <si>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</si>
  <si>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</si>
  <si>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</si>
  <si>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</si>
  <si>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</si>
  <si>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</si>
  <si>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</si>
  <si>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</si>
  <si>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</si>
  <si>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</si>
  <si>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</si>
  <si>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</si>
  <si>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</si>
  <si>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</si>
  <si>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</si>
  <si>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</si>
  <si>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</si>
  <si>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</si>
  <si>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</si>
  <si>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</si>
  <si>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</si>
  <si>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</si>
  <si>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</si>
  <si>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</si>
  <si>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</si>
  <si>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</si>
  <si>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</si>
  <si>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</si>
  <si>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</si>
  <si>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</si>
  <si>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</si>
  <si>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</si>
  <si>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</si>
  <si>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</si>
  <si>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</si>
  <si>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</si>
  <si>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</si>
  <si>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</si>
  <si>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</si>
  <si>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</si>
  <si>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</si>
  <si>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</si>
  <si>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</si>
  <si>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</si>
  <si>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</si>
  <si>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</si>
  <si>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</si>
  <si>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</si>
  <si>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</si>
  <si>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</si>
  <si>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</si>
  <si>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</si>
  <si>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</si>
  <si>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</si>
  <si>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</si>
  <si>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</si>
  <si>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</si>
  <si>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</si>
  <si>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519.5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</si>
  <si>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</si>
  <si>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</si>
  <si>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</si>
  <si>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</si>
  <si>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</si>
  <si>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</si>
  <si>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</si>
  <si>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</si>
  <si>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</si>
  <si>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</si>
  <si>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</si>
  <si>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</si>
  <si>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</si>
  <si>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</si>
  <si>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</si>
  <si>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</si>
  <si>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</si>
  <si>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</si>
  <si>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</si>
  <si>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</si>
  <si>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已交付＋已公開在建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</si>
  <si>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</si>
  <si>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</si>
  <si>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r>
      <rPr>
        <sz val="10"/>
        <rFont val="Noto Sans CJK SC"/>
        <family val="2"/>
      </rPr>
      <t xml:space="preserve">建設延誤月數｜積極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</si>
  <si>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</si>
  <si>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</si>
  <si>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</si>
  <si>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</si>
  <si>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</si>
  <si>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</si>
  <si>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</si>
  <si>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</si>
  <si>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</si>
  <si>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</si>
  <si>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</si>
  <si>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</si>
  <si>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</si>
  <si>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</si>
  <si>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</si>
  <si>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</si>
  <si>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</si>
  <si>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</si>
  <si>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</si>
  <si>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</si>
  <si>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</si>
  <si>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</si>
  <si>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</si>
  <si>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</si>
  <si>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</si>
  <si>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</si>
  <si>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</si>
  <si>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</si>
  <si>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</si>
  <si>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</si>
  <si>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</si>
  <si>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</si>
  <si>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</si>
  <si>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</si>
  <si>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</si>
  <si>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</si>
  <si>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</si>
  <si>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</si>
  <si>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Mesa, AZ</t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</si>
  <si>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自建</t>
    </r>
  </si>
  <si>
    <t xml:space="preserve">未揭露</t>
  </si>
  <si>
    <t xml:space="preserve">—</t>
  </si>
  <si>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資料中心目錄：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183 MW</t>
    </r>
    <r>
      <rPr>
        <sz val="9"/>
        <color rgb="FF595959"/>
        <rFont val="Noto Sans CJK SC"/>
        <family val="2"/>
      </rPr>
      <t xml:space="preserve">（估計 </t>
    </r>
    <r>
      <rPr>
        <sz val="9"/>
        <color rgb="FF595959"/>
        <rFont val="Arial"/>
        <family val="0"/>
        <charset val="1"/>
      </rPr>
      <t xml:space="preserve">2026-08-15 </t>
    </r>
    <r>
      <rPr>
        <sz val="9"/>
        <color rgb="FF595959"/>
        <rFont val="Noto Sans CJK SC"/>
        <family val="2"/>
      </rPr>
      <t xml:space="preserve">營運；事實總帳 </t>
    </r>
    <r>
      <rPr>
        <sz val="9"/>
        <color rgb="FF595959"/>
        <rFont val="Arial"/>
        <family val="0"/>
        <charset val="1"/>
      </rPr>
      <t xml:space="preserve">mw.site.mesa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</si>
  <si>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</si>
  <si>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</si>
  <si>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</si>
  <si>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</si>
  <si>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</si>
  <si>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</si>
  <si>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</si>
  <si>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</si>
  <si>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</si>
  <si>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</si>
  <si>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</si>
  <si>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</si>
  <si>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</si>
  <si>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</si>
  <si>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</si>
  <si>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</si>
  <si>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</si>
  <si>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</si>
  <si>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</si>
  <si>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</si>
  <si>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</si>
  <si>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</si>
  <si>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</si>
  <si>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</si>
  <si>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</si>
  <si>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</si>
  <si>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</si>
  <si>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</si>
  <si>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</si>
  <si>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</si>
  <si>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</si>
  <si>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</si>
  <si>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</si>
  <si>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</si>
  <si>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</si>
  <si>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2016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2.0B</t>
    </r>
    <r>
      <rPr>
        <sz val="10"/>
        <rFont val="Noto Sans CJK SC"/>
        <family val="2"/>
      </rPr>
      <t xml:space="preserve">）</t>
    </r>
  </si>
  <si>
    <t xml:space="preserve">無擔保</t>
  </si>
  <si>
    <t xml:space="preserve">2026-08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</si>
  <si>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2.00%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2.23%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到期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</si>
  <si>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9.0B</t>
    </r>
    <r>
      <rPr>
        <sz val="10"/>
        <rFont val="Noto Sans CJK SC"/>
        <family val="2"/>
      </rPr>
      <t xml:space="preserve">）</t>
    </r>
  </si>
  <si>
    <t xml:space="preserve">2040-08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</si>
  <si>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0.93%–2.33%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2027–2060</t>
    </r>
    <r>
      <rPr>
        <sz val="9"/>
        <color rgb="FF595959"/>
        <rFont val="Noto Sans CJK SC"/>
        <family val="2"/>
      </rPr>
      <t xml:space="preserve">；到期日取區間中段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</si>
  <si>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22.5B</t>
    </r>
    <r>
      <rPr>
        <sz val="10"/>
        <rFont val="Noto Sans CJK SC"/>
        <family val="2"/>
      </rPr>
      <t xml:space="preserve">；含浮動 </t>
    </r>
    <r>
      <rPr>
        <sz val="10"/>
        <rFont val="Arial"/>
        <family val="0"/>
        <charset val="1"/>
      </rPr>
      <t xml:space="preserve">0.5B</t>
    </r>
    <r>
      <rPr>
        <sz val="10"/>
        <rFont val="Noto Sans CJK SC"/>
        <family val="2"/>
      </rPr>
      <t xml:space="preserve">）</t>
    </r>
  </si>
  <si>
    <t xml:space="preserve">2045-05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</si>
  <si>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22,500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4.00%–5.79%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2028–2075</t>
    </r>
    <r>
      <rPr>
        <sz val="9"/>
        <color rgb="FF595959"/>
        <rFont val="Noto Sans CJK SC"/>
        <family val="2"/>
      </rPr>
      <t xml:space="preserve">；到期日取區間中段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</si>
  <si>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歐元票據</t>
    </r>
  </si>
  <si>
    <t xml:space="preserve">2042-11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</si>
  <si>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15,074</t>
    </r>
    <r>
      <rPr>
        <sz val="9"/>
        <color rgb="FF595959"/>
        <rFont val="Noto Sans CJK SC"/>
        <family val="2"/>
      </rPr>
      <t xml:space="preserve">（含匯率）、有效利率 </t>
    </r>
    <r>
      <rPr>
        <sz val="9"/>
        <color rgb="FF595959"/>
        <rFont val="Arial"/>
        <family val="0"/>
        <charset val="1"/>
      </rPr>
      <t xml:space="preserve">2.57%–4.51%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2028–2064 [Assumed </t>
    </r>
    <r>
      <rPr>
        <sz val="9"/>
        <color rgb="FF595959"/>
        <rFont val="Noto Sans CJK SC"/>
        <family val="2"/>
      </rPr>
      <t xml:space="preserve">到期日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</si>
  <si>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20.0B</t>
    </r>
    <r>
      <rPr>
        <sz val="10"/>
        <rFont val="Noto Sans CJK SC"/>
        <family val="2"/>
      </rPr>
      <t xml:space="preserve">）</t>
    </r>
  </si>
  <si>
    <t xml:space="preserve">2041-02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</si>
  <si>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20,000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4.80%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2026Q1 </t>
    </r>
    <r>
      <rPr>
        <sz val="9"/>
        <color rgb="FF595959"/>
        <rFont val="Noto Sans CJK SC"/>
        <family val="2"/>
      </rPr>
      <t xml:space="preserve">發行）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</si>
  <si>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英鎊票據（</t>
    </r>
    <r>
      <rPr>
        <sz val="10"/>
        <rFont val="Arial"/>
        <family val="0"/>
        <charset val="1"/>
      </rPr>
      <t xml:space="preserve">£5.5B</t>
    </r>
    <r>
      <rPr>
        <sz val="10"/>
        <rFont val="Noto Sans CJK SC"/>
        <family val="2"/>
      </rPr>
      <t xml:space="preserve">）</t>
    </r>
  </si>
  <si>
    <t xml:space="preserve">2057-02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</si>
  <si>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7,263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5.31%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</si>
  <si>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瑞士法郎票據（</t>
    </r>
    <r>
      <rPr>
        <sz val="10"/>
        <rFont val="Arial"/>
        <family val="0"/>
        <charset val="1"/>
      </rPr>
      <t xml:space="preserve">CHF3.1B</t>
    </r>
    <r>
      <rPr>
        <sz val="10"/>
        <rFont val="Noto Sans CJK SC"/>
        <family val="2"/>
      </rPr>
      <t xml:space="preserve">）</t>
    </r>
  </si>
  <si>
    <t xml:space="preserve">2036-02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</si>
  <si>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3,772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1.06%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</si>
  <si>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歐元票據（€</t>
    </r>
    <r>
      <rPr>
        <sz val="10"/>
        <rFont val="Arial"/>
        <family val="0"/>
        <charset val="1"/>
      </rPr>
      <t xml:space="preserve">9.0B</t>
    </r>
    <r>
      <rPr>
        <sz val="10"/>
        <rFont val="Noto Sans CJK SC"/>
        <family val="2"/>
      </rPr>
      <t xml:space="preserve">）</t>
    </r>
  </si>
  <si>
    <t xml:space="preserve">2039-05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</si>
  <si>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10,239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3.90%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</si>
  <si>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加幣票據（</t>
    </r>
    <r>
      <rPr>
        <sz val="10"/>
        <rFont val="Arial"/>
        <family val="0"/>
        <charset val="1"/>
      </rPr>
      <t xml:space="preserve">C$8.5B</t>
    </r>
    <r>
      <rPr>
        <sz val="10"/>
        <rFont val="Noto Sans CJK SC"/>
        <family val="2"/>
      </rPr>
      <t xml:space="preserve">）</t>
    </r>
  </si>
  <si>
    <t xml:space="preserve">2041-05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</si>
  <si>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5,985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4.35%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</si>
  <si>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日圓票據（</t>
    </r>
    <r>
      <rPr>
        <sz val="10"/>
        <rFont val="Arial"/>
        <family val="0"/>
        <charset val="1"/>
      </rPr>
      <t xml:space="preserve">¥576.5B</t>
    </r>
    <r>
      <rPr>
        <sz val="10"/>
        <rFont val="Noto Sans CJK SC"/>
        <family val="2"/>
      </rPr>
      <t xml:space="preserve">）</t>
    </r>
  </si>
  <si>
    <t xml:space="preserve">2034-05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</si>
  <si>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3,566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2.65%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</si>
  <si>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其他長期債（含信用額度動用 </t>
    </r>
    <r>
      <rPr>
        <sz val="10"/>
        <rFont val="Arial"/>
        <family val="0"/>
        <charset val="1"/>
      </rPr>
      <t xml:space="preserve">1.3B</t>
    </r>
    <r>
      <rPr>
        <sz val="10"/>
        <rFont val="Noto Sans CJK SC"/>
        <family val="2"/>
      </rPr>
      <t xml:space="preserve">）</t>
    </r>
  </si>
  <si>
    <t xml:space="preserve">2030-04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</si>
  <si>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：其他長期債 </t>
    </r>
    <r>
      <rPr>
        <sz val="9"/>
        <color rgb="FF595959"/>
        <rFont val="Arial"/>
        <family val="0"/>
        <charset val="1"/>
      </rPr>
      <t xml:space="preserve">1,686</t>
    </r>
    <r>
      <rPr>
        <sz val="9"/>
        <color rgb="FF595959"/>
        <rFont val="Noto Sans CJK SC"/>
        <family val="2"/>
      </rPr>
      <t xml:space="preserve">；信用額度動用 </t>
    </r>
    <r>
      <rPr>
        <sz val="9"/>
        <color rgb="FF595959"/>
        <rFont val="Arial"/>
        <family val="0"/>
        <charset val="1"/>
      </rPr>
      <t xml:space="preserve">1,300 </t>
    </r>
    <r>
      <rPr>
        <sz val="9"/>
        <color rgb="FF595959"/>
        <rFont val="Noto Sans CJK SC"/>
        <family val="2"/>
      </rPr>
      <t xml:space="preserve">利率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1.5%–2.25%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5.9%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）、至 </t>
    </r>
    <r>
      <rPr>
        <sz val="9"/>
        <color rgb="FF595959"/>
        <rFont val="Arial"/>
        <family val="0"/>
        <charset val="1"/>
      </rPr>
      <t xml:space="preserve">2030-04 </t>
    </r>
    <r>
      <rPr>
        <sz val="9"/>
        <color rgb="FF595959"/>
        <rFont val="Noto Sans CJK SC"/>
        <family val="2"/>
      </rPr>
      <t xml:space="preserve">到期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</si>
  <si>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</si>
  <si>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101.085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</si>
  <si>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</si>
  <si>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</si>
  <si>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</si>
  <si>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</si>
  <si>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</si>
  <si>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</si>
  <si>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</si>
  <si>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</si>
  <si>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</si>
  <si>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</si>
  <si>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</si>
  <si>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</si>
  <si>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r>
      <rPr>
        <sz val="10"/>
        <rFont val="Arial"/>
        <family val="0"/>
        <charset val="1"/>
      </rPr>
      <t xml:space="preserve">6.25% </t>
    </r>
    <r>
      <rPr>
        <sz val="10"/>
        <rFont val="Noto Sans CJK SC"/>
        <family val="2"/>
      </rPr>
      <t xml:space="preserve">強制轉換特別股（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系列，</t>
    </r>
    <r>
      <rPr>
        <sz val="10"/>
        <rFont val="Arial"/>
        <family val="0"/>
        <charset val="1"/>
      </rPr>
      <t xml:space="preserve">2026-06</t>
    </r>
    <r>
      <rPr>
        <sz val="10"/>
        <rFont val="Noto Sans CJK SC"/>
        <family val="2"/>
      </rPr>
      <t xml:space="preserve">）</t>
    </r>
  </si>
  <si>
    <t xml:space="preserve">2029-05</t>
  </si>
  <si>
    <r>
      <rPr>
        <sz val="9"/>
        <color rgb="FF595959"/>
        <rFont val="Noto Sans CJK SC"/>
        <family val="2"/>
      </rPr>
      <t xml:space="preserve">清算價 </t>
    </r>
    <r>
      <rPr>
        <sz val="9"/>
        <color rgb="FF595959"/>
        <rFont val="Arial"/>
        <family val="0"/>
        <charset val="1"/>
      </rPr>
      <t xml:space="preserve">$19.25B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19.25M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$1,000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385M </t>
    </r>
    <r>
      <rPr>
        <sz val="9"/>
        <color rgb="FF595959"/>
        <rFont val="Noto Sans CJK SC"/>
        <family val="2"/>
      </rPr>
      <t xml:space="preserve">存託股）；</t>
    </r>
    <r>
      <rPr>
        <sz val="9"/>
        <color rgb="FF595959"/>
        <rFont val="Arial"/>
        <family val="0"/>
        <charset val="1"/>
      </rPr>
      <t xml:space="preserve">2029-05-15 </t>
    </r>
    <r>
      <rPr>
        <sz val="9"/>
        <color rgb="FF595959"/>
        <rFont val="Noto Sans CJK SC"/>
        <family val="2"/>
      </rPr>
      <t xml:space="preserve">強制轉換：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系列每股轉 </t>
    </r>
    <r>
      <rPr>
        <sz val="9"/>
        <color rgb="FF595959"/>
        <rFont val="Arial"/>
        <family val="0"/>
        <charset val="1"/>
      </rPr>
      <t xml:space="preserve">2.2520–2.8160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股、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系列 </t>
    </r>
    <r>
      <rPr>
        <sz val="9"/>
        <color rgb="FF595959"/>
        <rFont val="Arial"/>
        <family val="0"/>
        <charset val="1"/>
      </rPr>
      <t xml:space="preserve">2.2740–2.8420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股 → </t>
    </r>
    <r>
      <rPr>
        <sz val="9"/>
        <color rgb="FF595959"/>
        <rFont val="Arial"/>
        <family val="0"/>
        <charset val="1"/>
      </rPr>
      <t xml:space="preserve">43.6–54.6M </t>
    </r>
    <r>
      <rPr>
        <sz val="9"/>
        <color rgb="FF595959"/>
        <rFont val="Noto Sans CJK SC"/>
        <family val="2"/>
      </rPr>
      <t xml:space="preserve">股，一律轉股，取稀釋最大 </t>
    </r>
    <r>
      <rPr>
        <sz val="9"/>
        <color rgb="FF595959"/>
        <rFont val="Arial"/>
        <family val="0"/>
        <charset val="1"/>
      </rPr>
      <t xml:space="preserve">54.6M </t>
    </r>
    <r>
      <rPr>
        <sz val="9"/>
        <color rgb="FF595959"/>
        <rFont val="Noto Sans CJK SC"/>
        <family val="2"/>
      </rPr>
      <t xml:space="preserve">股（轉換價下限約 </t>
    </r>
    <r>
      <rPr>
        <sz val="9"/>
        <color rgb="FF595959"/>
        <rFont val="Arial"/>
        <family val="0"/>
        <charset val="1"/>
      </rPr>
      <t xml:space="preserve">$352.56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8-K 2026-06-05 [Interested-party]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6.25% </t>
    </r>
    <r>
      <rPr>
        <sz val="9"/>
        <color rgb="FF595959"/>
        <rFont val="Noto Sans CJK SC"/>
        <family val="2"/>
      </rPr>
      <t xml:space="preserve">股利列於 </t>
    </r>
    <r>
      <rPr>
        <sz val="9"/>
        <color rgb="FF595959"/>
        <rFont val="Arial"/>
        <family val="0"/>
        <charset val="1"/>
      </rPr>
      <t xml:space="preserve">defaults.dividend.preferred</t>
    </r>
    <r>
      <rPr>
        <sz val="9"/>
        <color rgb="FF595959"/>
        <rFont val="Noto Sans CJK SC"/>
        <family val="2"/>
      </rPr>
      <t xml:space="preserve">；權益，不列債務本金；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532.67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527.80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）未建模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</si>
  <si>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</si>
  <si>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</si>
  <si>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</si>
  <si>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</si>
  <si>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</si>
  <si>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</si>
  <si>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</si>
  <si>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</si>
  <si>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</si>
  <si>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</si>
  <si>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</si>
  <si>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</si>
  <si>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</si>
  <si>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</si>
  <si>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</si>
  <si>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</si>
  <si>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</si>
  <si>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</si>
  <si>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</si>
  <si>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</si>
  <si>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</si>
  <si>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</si>
  <si>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</si>
  <si>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</si>
  <si>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</si>
  <si>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</si>
  <si>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</si>
  <si>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</si>
  <si>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</si>
  <si>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</si>
  <si>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</si>
  <si>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</si>
  <si>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</si>
  <si>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</si>
  <si>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</si>
  <si>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</si>
  <si>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</si>
  <si>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</si>
  <si>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</si>
  <si>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</si>
  <si>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</si>
  <si>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</si>
  <si>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</si>
  <si>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</si>
  <si>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</si>
  <si>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</si>
  <si>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</si>
  <si>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</si>
  <si>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</si>
  <si>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</si>
  <si>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</si>
  <si>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</si>
  <si>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</si>
  <si>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</si>
  <si>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</si>
  <si>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</si>
  <si>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</si>
  <si>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</si>
  <si>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</si>
  <si>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</si>
  <si>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</si>
  <si>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</si>
  <si>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</si>
  <si>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</si>
  <si>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</si>
  <si>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</si>
  <si>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</si>
  <si>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</si>
  <si>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</si>
  <si>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</si>
  <si>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</si>
  <si>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</si>
  <si>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</si>
  <si>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</si>
  <si>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</si>
  <si>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</si>
  <si>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</si>
  <si>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</si>
  <si>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</si>
  <si>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</si>
  <si>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</si>
  <si>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</si>
  <si>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</si>
  <si>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</si>
  <si>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</si>
  <si>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</si>
  <si>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18.037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2.59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</si>
  <si>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</si>
  <si>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</si>
  <si>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</si>
  <si>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</si>
  <si>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</si>
  <si>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</si>
  <si>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</si>
  <si>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</si>
  <si>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</si>
  <si>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</si>
  <si>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</si>
  <si>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</si>
  <si>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</si>
  <si>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（信用額度 </t>
    </r>
    <r>
      <rPr>
        <sz val="9"/>
        <color rgb="FF595959"/>
        <rFont val="Arial"/>
        <family val="0"/>
        <charset val="1"/>
      </rPr>
      <t xml:space="preserve">11.7B</t>
    </r>
    <r>
      <rPr>
        <sz val="9"/>
        <color rgb="FF595959"/>
        <rFont val="Noto Sans CJK SC"/>
        <family val="2"/>
      </rPr>
      <t xml:space="preserve">（已動用 </t>
    </r>
    <r>
      <rPr>
        <sz val="9"/>
        <color rgb="FF595959"/>
        <rFont val="Arial"/>
        <family val="0"/>
        <charset val="1"/>
      </rPr>
      <t xml:space="preserve">1.3B</t>
    </r>
    <r>
      <rPr>
        <sz val="9"/>
        <color rgb="FF595959"/>
        <rFont val="Noto Sans CJK SC"/>
        <family val="2"/>
      </rPr>
      <t xml:space="preserve">）；商業本票額度 </t>
    </r>
    <r>
      <rPr>
        <sz val="9"/>
        <color rgb="FF595959"/>
        <rFont val="Arial"/>
        <family val="0"/>
        <charset val="1"/>
      </rPr>
      <t xml:space="preserve">25B </t>
    </r>
    <r>
      <rPr>
        <sz val="9"/>
        <color rgb="FF595959"/>
        <rFont val="Noto Sans CJK SC"/>
        <family val="2"/>
      </rPr>
      <t xml:space="preserve">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</si>
  <si>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</si>
  <si>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</si>
  <si>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</si>
  <si>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</si>
  <si>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</si>
  <si>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</si>
  <si>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</si>
  <si>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</si>
  <si>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</si>
  <si>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</si>
  <si>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</si>
  <si>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</si>
  <si>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</si>
  <si>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</si>
  <si>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</si>
  <si>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</si>
  <si>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</si>
  <si>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</si>
  <si>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</si>
  <si>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</si>
  <si>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</si>
  <si>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</si>
  <si>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</si>
  <si>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</si>
  <si>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</si>
  <si>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</si>
  <si>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</si>
  <si>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</si>
  <si>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</si>
  <si>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</si>
  <si>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</si>
  <si>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</si>
  <si>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</si>
  <si>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</si>
  <si>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</si>
  <si>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</si>
  <si>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</si>
  <si>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</si>
  <si>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</si>
  <si>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</si>
  <si>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</si>
  <si>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</si>
  <si>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</si>
  <si>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</si>
  <si>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402.836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</si>
  <si>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</si>
  <si>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</si>
  <si>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</si>
  <si>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13.586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</si>
  <si>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</si>
  <si>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</si>
  <si>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</si>
  <si>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</si>
  <si>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</si>
  <si>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</si>
  <si>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14.22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</si>
  <si>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</si>
  <si>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</si>
  <si>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</si>
  <si>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</si>
  <si>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</si>
  <si>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</si>
  <si>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80.598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</si>
  <si>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</si>
  <si>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402.836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229.692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</si>
  <si>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</si>
  <si>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</si>
  <si>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</si>
  <si>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</si>
  <si>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</si>
  <si>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</si>
  <si>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</si>
  <si>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</si>
  <si>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</si>
  <si>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</si>
  <si>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</si>
  <si>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</si>
  <si>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</si>
  <si>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</si>
  <si>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</si>
  <si>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</si>
  <si>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</si>
  <si>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</si>
  <si>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</si>
  <si>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</si>
  <si>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</si>
  <si>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</si>
  <si>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</si>
  <si>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</si>
  <si>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</si>
  <si>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</si>
  <si>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</si>
  <si>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</si>
  <si>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</si>
  <si>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</si>
  <si>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</si>
  <si>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</si>
  <si>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</si>
  <si>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</si>
  <si>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</si>
  <si>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</si>
  <si>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</si>
  <si>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</si>
  <si>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</si>
  <si>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</si>
  <si>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</si>
  <si>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</si>
  <si>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</si>
  <si>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</si>
  <si>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</si>
  <si>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</si>
  <si>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</si>
  <si>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</si>
  <si>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</si>
  <si>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</si>
  <si>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</si>
  <si>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</si>
  <si>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</si>
  <si>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</si>
  <si>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</si>
  <si>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</si>
  <si>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</si>
  <si>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</si>
  <si>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</si>
  <si>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</si>
  <si>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</si>
  <si>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</si>
  <si>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</si>
  <si>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</si>
  <si>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</si>
  <si>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</si>
  <si>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</si>
  <si>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</si>
  <si>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</si>
  <si>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</si>
  <si>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</si>
  <si>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</si>
  <si>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</si>
  <si>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</si>
  <si>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</si>
  <si>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</si>
  <si>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</si>
  <si>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</si>
  <si>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</si>
  <si>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</si>
  <si>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</si>
  <si>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</si>
  <si>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</si>
  <si>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</si>
  <si>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</si>
  <si>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</si>
  <si>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</si>
  <si>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</si>
  <si>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</si>
  <si>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</si>
  <si>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</si>
  <si>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</si>
  <si>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</si>
  <si>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</si>
  <si>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</si>
  <si>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</si>
  <si>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</si>
  <si>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</si>
  <si>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</si>
  <si>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</si>
  <si>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</si>
  <si>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</si>
  <si>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</si>
  <si>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</si>
  <si>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</si>
  <si>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</si>
  <si>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</si>
  <si>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</si>
  <si>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</si>
  <si>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</si>
  <si>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</si>
  <si>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</si>
  <si>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</si>
  <si>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</si>
  <si>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</si>
  <si>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</si>
  <si>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</si>
  <si>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</si>
  <si>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</si>
  <si>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</si>
  <si>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</si>
  <si>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</si>
  <si>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</si>
  <si>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</si>
  <si>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</si>
  <si>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</si>
  <si>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</si>
  <si>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已交付＋已公開在建（加權目標價／評等代碼／距賣出門檻）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</si>
  <si>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</si>
  <si>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</si>
  <si>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r>
      <rPr>
        <sz val="10"/>
        <rFont val="Noto Sans CJK SC"/>
        <family val="2"/>
      </rPr>
      <t xml:space="preserve">目標價區間｜積極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</si>
  <si>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</si>
  <si>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</si>
  <si>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</si>
  <si>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</si>
  <si>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</si>
  <si>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</si>
  <si>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已交付＋已公開在建（加權目標價／讀法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</si>
  <si>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</si>
  <si>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</si>
  <si>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</si>
  <si>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</si>
  <si>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</si>
  <si>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</si>
  <si>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</si>
  <si>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</si>
  <si>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</si>
  <si>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</si>
  <si>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14.68×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</si>
  <si>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</si>
  <si>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</si>
  <si>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</si>
  <si>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已交付＋已公開在建（價格軸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</si>
  <si>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</si>
  <si>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</si>
  <si>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</si>
  <si>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</si>
  <si>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</si>
  <si>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</si>
  <si>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</si>
  <si>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</si>
  <si>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</si>
  <si>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</si>
  <si>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</si>
  <si>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</si>
  <si>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</si>
  <si>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</si>
  <si>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</si>
  <si>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</si>
  <si>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</si>
  <si>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</si>
  <si>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</si>
  <si>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</si>
  <si>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</si>
  <si>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</si>
  <si>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</si>
  <si>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</si>
  <si>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</si>
  <si>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</si>
  <si>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</si>
  <si>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</si>
  <si>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</si>
  <si>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</si>
  <si>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</si>
  <si>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</si>
  <si>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</si>
  <si>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</si>
  <si>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</si>
  <si>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</si>
  <si>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</si>
  <si>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</si>
  <si>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</si>
  <si>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</si>
  <si>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Anthropic–Google Cloud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10.0–15.3 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</si>
  <si>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</si>
  <si>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 </t>
    </r>
    <r>
      <rPr>
        <sz val="9"/>
        <color rgb="FF595959"/>
        <rFont val="Arial"/>
        <family val="0"/>
        <charset val="1"/>
      </rPr>
      <t xml:space="preserve">85% </t>
    </r>
    <r>
      <rPr>
        <sz val="9"/>
        <color rgb="FF595959"/>
        <rFont val="Noto Sans CJK SC"/>
        <family val="2"/>
      </rPr>
      <t xml:space="preserve">機房）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$43.0m → 2028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$48.4m/MW-IT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；新增世代由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轉向下一代／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</si>
  <si>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</si>
  <si>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</si>
  <si>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</si>
  <si>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</si>
  <si>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</si>
  <si>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</si>
  <si>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</si>
  <si>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$38.7m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</si>
  <si>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$43.5m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</si>
  <si>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$48.4m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</si>
  <si>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$53.2m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</si>
  <si>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</si>
  <si>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</si>
  <si>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</si>
  <si>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</si>
  <si>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</si>
  <si>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</si>
  <si>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</si>
  <si>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</si>
  <si>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</si>
  <si>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</si>
  <si>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</si>
  <si>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</si>
  <si>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</si>
  <si>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</si>
  <si>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</si>
  <si>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</si>
  <si>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</si>
  <si>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</si>
  <si>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</si>
  <si>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</si>
  <si>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</si>
  <si>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</si>
  <si>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</si>
  <si>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</si>
  <si>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</si>
  <si>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</si>
  <si>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</si>
  <si>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</si>
  <si>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</si>
  <si>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GOOGL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</si>
  <si>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</si>
  <si>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18.037</t>
    </r>
  </si>
  <si>
    <r>
      <rPr>
        <sz val="10"/>
        <rFont val="Arial"/>
        <family val="0"/>
        <charset val="1"/>
      </rPr>
      <t xml:space="preserve">GOOGL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</si>
  <si>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</si>
  <si>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為整體公司（搜尋＋</t>
    </r>
    <r>
      <rPr>
        <sz val="9"/>
        <color rgb="FF595959"/>
        <rFont val="Arial"/>
        <family val="0"/>
        <charset val="1"/>
      </rPr>
      <t xml:space="preserve">YouTube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Cloud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</si>
  <si>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以自建為主（另有未起租承諾 </t>
    </r>
    <r>
      <rPr>
        <sz val="9"/>
        <color rgb="FF595959"/>
        <rFont val="Arial"/>
        <family val="0"/>
        <charset val="1"/>
      </rPr>
      <t xml:space="preserve">85.2B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</si>
  <si>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</si>
  <si>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</si>
  <si>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只含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</si>
  <si>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</si>
  <si>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</si>
  <si>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</si>
  <si>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</si>
  <si>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</si>
  <si>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</si>
  <si>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</si>
  <si>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</si>
  <si>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</si>
  <si>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</si>
  <si>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</si>
  <si>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</si>
  <si>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</si>
  <si>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</si>
  <si>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</si>
  <si>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</si>
  <si>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</si>
  <si>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</si>
  <si>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</si>
  <si>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</si>
  <si>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</si>
  <si>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</si>
  <si>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</si>
  <si>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</si>
  <si>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</si>
  <si>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</si>
  <si>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</si>
  <si>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</si>
  <si>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</si>
  <si>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</si>
  <si>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</si>
  <si>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</si>
  <si>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</si>
  <si>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</si>
  <si>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</si>
  <si>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</si>
  <si>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2029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</si>
  <si>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</si>
  <si>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</si>
  <si>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</si>
  <si>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</si>
  <si>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</si>
  <si>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</si>
  <si>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</si>
  <si>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</si>
  <si>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</si>
  <si>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</si>
  <si>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</si>
  <si>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</si>
  <si>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</si>
  <si>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</si>
  <si>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</si>
  <si>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</si>
  <si>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</si>
  <si>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</si>
  <si>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</si>
  <si>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</si>
  <si>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</si>
  <si>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</si>
  <si>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</si>
  <si>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</si>
  <si>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</si>
  <si>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</si>
  <si>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</si>
  <si>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</si>
  <si>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</si>
  <si>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</si>
  <si>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</si>
  <si>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</si>
  <si>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</si>
  <si>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</si>
  <si>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</si>
  <si>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</si>
  <si>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72.5%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</si>
  <si>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</si>
  <si>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</si>
  <si>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</si>
  <si>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</si>
  <si>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</si>
  <si>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</si>
  <si>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195–205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</si>
  <si>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</si>
  <si>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</si>
  <si>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</si>
  <si>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229.692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</si>
  <si>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</si>
  <si>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</si>
  <si>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</si>
  <si>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</si>
  <si>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Noto Sans CJK SC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</si>
  <si>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</si>
  <si>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（第五列對照，五期最高）</t>
    </r>
  </si>
  <si>
    <t xml:space="preserve">無門檻（對照）</t>
  </si>
  <si>
    <r>
      <rPr>
        <sz val="9"/>
        <color rgb="FF595959"/>
        <rFont val="Arial"/>
        <family val="0"/>
        <charset val="1"/>
      </rPr>
      <t xml:space="preserve">L1_RevGW_PQ_VR200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第一年；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端點見『輸入與假設』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帳同構（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2.0–2.1</t>
    </r>
    <r>
      <rPr>
        <sz val="9"/>
        <color rgb="FF595959"/>
        <rFont val="Noto Sans CJK SC"/>
        <family val="2"/>
      </rPr>
      <t xml:space="preserve">；支出路線約 </t>
    </r>
    <r>
      <rPr>
        <sz val="9"/>
        <color rgb="FF595959"/>
        <rFont val="Arial"/>
        <family val="0"/>
        <charset val="1"/>
      </rPr>
      <t xml:space="preserve">3.0 </t>
    </r>
    <r>
      <rPr>
        <sz val="9"/>
        <color rgb="FF595959"/>
        <rFont val="Noto Sans CJK SC"/>
        <family val="2"/>
      </rPr>
      <t xml:space="preserve">只作對照），只作對照、不作門檻（</t>
    </r>
    <r>
      <rPr>
        <sz val="9"/>
        <color rgb="FF595959"/>
        <rFont val="Arial"/>
        <family val="0"/>
        <charset val="1"/>
      </rPr>
      <t xml:space="preserve">MAG v0.2.1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</si>
  <si>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</si>
  <si>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</si>
  <si>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）（殘差）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</si>
  <si>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</si>
  <si>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</si>
  <si>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</si>
  <si>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</si>
  <si>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</si>
  <si>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</si>
  <si>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</si>
  <si>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</si>
  <si>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</si>
  <si>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</si>
  <si>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</si>
  <si>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</si>
  <si>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</si>
  <si>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</si>
  <si>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</si>
  <si>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≥1.8</t>
  </si>
  <si>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</si>
  <si>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</si>
  <si>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2028–2030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</si>
  <si>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</si>
  <si>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</si>
  <si>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</si>
  <si>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</si>
  <si>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</si>
  <si>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</si>
  <si>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</si>
  <si>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</si>
  <si>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</si>
  <si>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</si>
  <si>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</si>
  <si>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</si>
  <si>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</si>
  <si>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</si>
  <si>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101.085 − </t>
    </r>
    <r>
      <rPr>
        <sz val="10"/>
        <rFont val="Noto Sans CJK SC"/>
        <family val="2"/>
      </rPr>
      <t xml:space="preserve">以股換債 ＋ 期後新發</t>
    </r>
  </si>
  <si>
    <t xml:space="preserve">101.085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</si>
  <si>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</si>
  <si>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</si>
  <si>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</si>
  <si>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</si>
  <si>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</si>
  <si>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</si>
  <si>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</si>
  <si>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</si>
  <si>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</si>
  <si>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</si>
  <si>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</si>
  <si>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</si>
  <si>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519.5 × 59%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</si>
  <si>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</si>
  <si>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</si>
  <si>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</si>
  <si>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</si>
  <si>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</si>
  <si>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Google Cloud</t>
    </r>
    <r>
      <rPr>
        <sz val="10"/>
        <rFont val="Noto Sans CJK SC"/>
        <family val="2"/>
      </rPr>
      <t xml:space="preserve">，≥</t>
    </r>
    <r>
      <rPr>
        <sz val="10"/>
        <rFont val="Arial"/>
        <family val="0"/>
        <charset val="1"/>
      </rPr>
      <t xml:space="preserve">$111.1B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2026-04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2033-07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</si>
  <si>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招股書草稿（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轉述，二手；事實總帳 </t>
    </r>
    <r>
      <rPr>
        <sz val="9"/>
        <color rgb="FF595959"/>
        <rFont val="Arial"/>
        <family val="0"/>
        <charset val="1"/>
      </rPr>
      <t xml:space="preserve">rp.anthropic.cloudCommit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7.33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；另 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Broadcom 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200B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年）歸屬不明，不列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</si>
  <si>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</si>
  <si>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</si>
  <si>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</si>
  <si>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雲端承諾 ≥</t>
    </r>
    <r>
      <rPr>
        <sz val="9"/>
        <color rgb="FF595959"/>
        <rFont val="Arial"/>
        <family val="0"/>
        <charset val="1"/>
      </rPr>
      <t xml:space="preserve">111.1B ÷ RPO 519.5B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21.4%</t>
    </r>
    <r>
      <rPr>
        <sz val="9"/>
        <color rgb="FF595959"/>
        <rFont val="Noto Sans CJK SC"/>
        <family val="2"/>
      </rPr>
      <t xml:space="preserve">（下限；一手比例不存在；事實總帳 </t>
    </r>
    <r>
      <rPr>
        <sz val="9"/>
        <color rgb="FF595959"/>
        <rFont val="Arial"/>
        <family val="0"/>
        <charset val="1"/>
      </rPr>
      <t xml:space="preserve">rp.anthropic.rpoShare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積壓 </t>
    </r>
    <r>
      <rPr>
        <sz val="9"/>
        <color rgb="FF595959"/>
        <rFont val="Arial"/>
        <family val="0"/>
        <charset val="1"/>
      </rPr>
      <t xml:space="preserve">513.9 </t>
    </r>
    <r>
      <rPr>
        <sz val="9"/>
        <color rgb="FF595959"/>
        <rFont val="Noto Sans CJK SC"/>
        <family val="2"/>
      </rPr>
      <t xml:space="preserve">計 </t>
    </r>
    <r>
      <rPr>
        <sz val="9"/>
        <color rgb="FF595959"/>
        <rFont val="Arial"/>
        <family val="0"/>
        <charset val="1"/>
      </rPr>
      <t xml:space="preserve">21.6%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</si>
  <si>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Google Cloud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</si>
  <si>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</t>
    </r>
    <r>
      <rPr>
        <sz val="9"/>
        <color rgb="FF595959"/>
        <rFont val="Arial"/>
        <family val="0"/>
        <charset val="1"/>
      </rPr>
      <t xml:space="preserve">Cost K32</t>
    </r>
    <r>
      <rPr>
        <sz val="9"/>
        <color rgb="FF595959"/>
        <rFont val="Noto Sans CJK SC"/>
        <family val="2"/>
      </rPr>
      <t xml:space="preserve">；只讀，不連動）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</si>
  <si>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Broadcom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</t>
    </r>
    <r>
      <rPr>
        <sz val="10"/>
        <rFont val="Noto Sans CJK SC"/>
        <family val="2"/>
      </rPr>
      <t xml:space="preserve">，含 </t>
    </r>
    <r>
      <rPr>
        <sz val="10"/>
        <rFont val="Arial"/>
        <family val="0"/>
        <charset val="1"/>
      </rPr>
      <t xml:space="preserve">Broadcom </t>
    </r>
    <r>
      <rPr>
        <sz val="10"/>
        <rFont val="Noto Sans CJK SC"/>
        <family val="2"/>
      </rPr>
      <t xml:space="preserve">硬體）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</si>
  <si>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</t>
    </r>
    <r>
      <rPr>
        <sz val="9"/>
        <color rgb="FF595959"/>
        <rFont val="Arial"/>
        <family val="0"/>
        <charset val="1"/>
      </rPr>
      <t xml:space="preserve">Cost K33</t>
    </r>
    <r>
      <rPr>
        <sz val="9"/>
        <color rgb="FF595959"/>
        <rFont val="Noto Sans CJK SC"/>
        <family val="2"/>
      </rPr>
      <t xml:space="preserve">；歸屬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比例未知；只讀）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</si>
  <si>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</si>
  <si>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</si>
  <si>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</si>
  <si>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</si>
  <si>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</si>
  <si>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</si>
  <si>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</si>
  <si>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</si>
  <si>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</si>
  <si>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</si>
  <si>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</si>
  <si>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</si>
  <si>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</si>
  <si>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</si>
  <si>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</si>
  <si>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</si>
  <si>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</si>
  <si>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</si>
  <si>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v0.2.2</t>
  </si>
  <si>
    <t xml:space="preserve">10-25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</si>
  <si>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同步 </t>
    </r>
    <r>
      <rPr>
        <sz val="10"/>
        <rFont val="Arial"/>
        <family val="0"/>
        <charset val="1"/>
      </rPr>
      <t xml:space="preserve">v21.4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3ac70ac</t>
    </r>
    <r>
      <rPr>
        <sz val="10"/>
        <rFont val="Noto Sans CJK SC"/>
        <family val="2"/>
      </rPr>
      <t xml:space="preserve">）：快照換 </t>
    </r>
    <r>
      <rPr>
        <sz val="10"/>
        <rFont val="Arial"/>
        <family val="0"/>
        <charset val="1"/>
      </rPr>
      <t xml:space="preserve">v21.4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v19.0 → v21.4 </t>
    </r>
    <r>
      <rPr>
        <sz val="10"/>
        <rFont val="Noto Sans CJK SC"/>
        <family val="2"/>
      </rPr>
      <t xml:space="preserve">只有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低成本端（機架價低端 </t>
    </r>
    <r>
      <rPr>
        <sz val="10"/>
        <rFont val="Arial"/>
        <family val="0"/>
        <charset val="1"/>
      </rPr>
      <t xml:space="preserve">7.8 → 7.5</t>
    </r>
    <r>
      <rPr>
        <sz val="10"/>
        <rFont val="Noto Sans CJK SC"/>
        <family val="2"/>
      </rPr>
      <t xml:space="preserve">）與上限檢查層（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IFW_RevGWFleet_* +0.4%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+0.6%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L1_RevGW_PQ_VR200 +1.49%</t>
    </r>
    <r>
      <rPr>
        <sz val="10"/>
        <rFont val="Noto Sans CJK SC"/>
        <family val="2"/>
      </rPr>
      <t xml:space="preserve">）變動，基準與高成本欄全部不變；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隨成本重算的結果與 </t>
    </r>
    <r>
      <rPr>
        <sz val="10"/>
        <rFont val="Arial"/>
        <family val="0"/>
        <charset val="1"/>
      </rPr>
      <t xml:space="preserve">v0.2.1 </t>
    </r>
    <r>
      <rPr>
        <sz val="10"/>
        <rFont val="Noto Sans CJK SC"/>
        <family val="2"/>
      </rPr>
      <t xml:space="preserve">相同（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0.783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1.828</t>
    </r>
    <r>
      <rPr>
        <sz val="10"/>
        <rFont val="Noto Sans CJK SC"/>
        <family val="2"/>
      </rPr>
      <t xml:space="preserve">）；自研晶片 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名稱登錄（</t>
    </r>
    <r>
      <rPr>
        <sz val="10"/>
        <rFont val="Arial"/>
        <family val="0"/>
        <charset val="1"/>
      </rPr>
      <t xml:space="preserve">IF_NonNV_Out_TPU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IF_NonNV_Hold_TPU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仍維持同期 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世代 </t>
    </r>
    <r>
      <rPr>
        <sz val="10"/>
        <rFont val="Arial"/>
        <family val="0"/>
        <charset val="1"/>
      </rPr>
      <t xml:space="preserve">× 1.0</t>
    </r>
    <r>
      <rPr>
        <sz val="10"/>
        <rFont val="Noto Sans CJK SC"/>
        <family val="2"/>
      </rPr>
      <t xml:space="preserve">，不切換）；上限第五列說明改為 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路線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帳同構；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速度不變（</t>
    </r>
    <r>
      <rPr>
        <sz val="10"/>
        <rFont val="Arial"/>
        <family val="0"/>
        <charset val="1"/>
      </rPr>
      <t xml:space="preserve">1,247.9</t>
    </r>
    <r>
      <rPr>
        <sz val="10"/>
        <rFont val="Noto Sans CJK SC"/>
        <family val="2"/>
      </rPr>
      <t xml:space="preserve">；積極 </t>
    </r>
    <r>
      <rPr>
        <sz val="10"/>
        <rFont val="Arial"/>
        <family val="0"/>
        <charset val="1"/>
      </rPr>
      <t xml:space="preserve">1,871.9 MW-IT</t>
    </r>
    <r>
      <rPr>
        <sz val="10"/>
        <rFont val="Noto Sans CJK SC"/>
        <family val="2"/>
      </rPr>
      <t xml:space="preserve">／年），層級費用線不變</t>
    </r>
  </si>
  <si>
    <t xml:space="preserve">$146.1</t>
  </si>
  <si>
    <r>
      <rPr>
        <sz val="10"/>
        <rFont val="Arial"/>
        <family val="0"/>
        <charset val="1"/>
      </rPr>
      <t xml:space="preserve">±$0.00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Noto Sans CJK SC"/>
        <family val="2"/>
      </rPr>
      <t xml:space="preserve">隨成本重算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Noto Sans CJK SC"/>
        <family val="2"/>
      </rPr>
      <t xml:space="preserve">重解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層級費用線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(5) </t>
    </r>
    <r>
      <rPr>
        <sz val="10"/>
        <rFont val="Noto Sans CJK SC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2 $218.8</t>
    </r>
    <r>
      <rPr>
        <sz val="10"/>
        <rFont val="Noto Sans CJK SC"/>
        <family val="2"/>
      </rPr>
      <t xml:space="preserve">；保守 </t>
    </r>
    <r>
      <rPr>
        <sz val="10"/>
        <rFont val="Arial"/>
        <family val="0"/>
        <charset val="1"/>
      </rPr>
      <t xml:space="preserve">$175.1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$122.9</t>
    </r>
    <r>
      <rPr>
        <sz val="10"/>
        <rFont val="Noto Sans CJK SC"/>
        <family val="2"/>
      </rPr>
      <t xml:space="preserve">（皆賣出）</t>
    </r>
  </si>
  <si>
    <t xml:space="preserve">v0.2.1</t>
  </si>
  <si>
    <t xml:space="preserve">10-22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</si>
  <si>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同步 </t>
    </r>
    <r>
      <rPr>
        <sz val="10"/>
        <rFont val="Arial"/>
        <family val="0"/>
        <charset val="1"/>
      </rPr>
      <t xml:space="preserve">v19.0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1916a06</t>
    </r>
    <r>
      <rPr>
        <sz val="10"/>
        <rFont val="Noto Sans CJK SC"/>
        <family val="2"/>
      </rPr>
      <t xml:space="preserve">）：快照換 </t>
    </r>
    <r>
      <rPr>
        <sz val="10"/>
        <rFont val="Arial"/>
        <family val="0"/>
        <charset val="1"/>
      </rPr>
      <t xml:space="preserve">v19.0</t>
    </r>
    <r>
      <rPr>
        <sz val="10"/>
        <rFont val="Noto Sans CJK SC"/>
        <family val="2"/>
      </rPr>
      <t xml:space="preserve">（驅動名稱的值與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全同，只有上限檢查層 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IFW_RevGWFleet_* </t>
    </r>
    <r>
      <rPr>
        <sz val="10"/>
        <rFont val="Noto Sans CJK SC"/>
        <family val="2"/>
      </rPr>
      <t xml:space="preserve">變動）；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改規格（證據價格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目前快照同世代成本）：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0.75 → 0.783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 → 1.828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GCP </t>
    </r>
    <r>
      <rPr>
        <sz val="10"/>
        <rFont val="Noto Sans CJK SC"/>
        <family val="2"/>
      </rPr>
      <t xml:space="preserve">牌價 </t>
    </r>
    <r>
      <rPr>
        <sz val="10"/>
        <rFont val="Arial"/>
        <family val="0"/>
        <charset val="1"/>
      </rPr>
      <t xml:space="preserve">3.027 → 3.149</t>
    </r>
    <r>
      <rPr>
        <sz val="10"/>
        <rFont val="Noto Sans CJK SC"/>
        <family val="2"/>
      </rPr>
      <t xml:space="preserve">（成本分母下降，價格不變）；上限檢查加第五列（每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，無門檻）；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速度 </t>
    </r>
    <r>
      <rPr>
        <sz val="10"/>
        <rFont val="Arial"/>
        <family val="0"/>
        <charset val="1"/>
      </rPr>
      <t xml:space="preserve">1,246.1 → 1,247.9</t>
    </r>
    <r>
      <rPr>
        <sz val="10"/>
        <rFont val="Noto Sans CJK SC"/>
        <family val="2"/>
      </rPr>
      <t xml:space="preserve">（積極 </t>
    </r>
    <r>
      <rPr>
        <sz val="10"/>
        <rFont val="Arial"/>
        <family val="0"/>
        <charset val="1"/>
      </rPr>
      <t xml:space="preserve">1,869.1 → 1,871.9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層級費用線依新營收重算（占比 </t>
    </r>
    <r>
      <rPr>
        <sz val="10"/>
        <rFont val="Arial"/>
        <family val="0"/>
        <charset val="1"/>
      </rPr>
      <t xml:space="preserve">4.83% </t>
    </r>
    <r>
      <rPr>
        <sz val="10"/>
        <rFont val="Noto Sans CJK SC"/>
        <family val="2"/>
      </rPr>
      <t xml:space="preserve">不變）</t>
    </r>
  </si>
  <si>
    <r>
      <rPr>
        <sz val="10"/>
        <rFont val="Arial"/>
        <family val="0"/>
        <charset val="1"/>
      </rPr>
      <t xml:space="preserve">+$0.25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Noto Sans CJK SC"/>
        <family val="2"/>
      </rPr>
      <t xml:space="preserve">隨成本重算 </t>
    </r>
    <r>
      <rPr>
        <sz val="10"/>
        <rFont val="Arial"/>
        <family val="0"/>
        <charset val="1"/>
      </rPr>
      <t xml:space="preserve">+0.32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Noto Sans CJK SC"/>
        <family val="2"/>
      </rPr>
      <t xml:space="preserve">重解 −</t>
    </r>
    <r>
      <rPr>
        <sz val="10"/>
        <rFont val="Arial"/>
        <family val="0"/>
        <charset val="1"/>
      </rPr>
      <t xml:space="preserve">0.06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層級費用線 −</t>
    </r>
    <r>
      <rPr>
        <sz val="10"/>
        <rFont val="Arial"/>
        <family val="0"/>
        <charset val="1"/>
      </rPr>
      <t xml:space="preserve">0.01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(5) </t>
    </r>
    <r>
      <rPr>
        <sz val="10"/>
        <rFont val="Noto Sans CJK SC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+0.33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$218.8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$175.1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$122.9</t>
    </r>
  </si>
  <si>
    <t xml:space="preserve">v0.2</t>
  </si>
  <si>
    <t xml:space="preserve">10-11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</si>
  <si>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Noto Sans CJK SC"/>
        <family val="2"/>
      </rPr>
      <t xml:space="preserve">）：快照改 </t>
    </r>
    <r>
      <rPr>
        <sz val="10"/>
        <rFont val="Arial"/>
        <family val="0"/>
        <charset val="1"/>
      </rPr>
      <t xml:space="preserve">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維護兩段機齡約 −</t>
    </r>
    <r>
      <rPr>
        <sz val="10"/>
        <rFont val="Arial"/>
        <family val="0"/>
        <charset val="1"/>
      </rPr>
      <t xml:space="preserve">50% → IF_HoldEcon GB300 −14%</t>
    </r>
    <r>
      <rPr>
        <sz val="10"/>
        <rFont val="Noto Sans CJK SC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），名稱加四層瀑布 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；上限檢查改四層瀑布（利用率層示警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、生產折減層硬上限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基準速度重解 </t>
    </r>
    <r>
      <rPr>
        <sz val="10"/>
        <rFont val="Arial"/>
        <family val="0"/>
        <charset val="1"/>
      </rPr>
      <t xml:space="preserve">1,069.4 → 1,246.1 MW-IT</t>
    </r>
    <r>
      <rPr>
        <sz val="10"/>
        <rFont val="Noto Sans CJK SC"/>
        <family val="2"/>
      </rPr>
      <t xml:space="preserve">／年（積極＝</t>
    </r>
    <r>
      <rPr>
        <sz val="10"/>
        <rFont val="Arial"/>
        <family val="0"/>
        <charset val="1"/>
      </rPr>
      <t xml:space="preserve">1.5 × </t>
    </r>
    <r>
      <rPr>
        <sz val="10"/>
        <rFont val="Noto Sans CJK SC"/>
        <family val="2"/>
      </rPr>
      <t xml:space="preserve">基準）；引擎同步 </t>
    </r>
    <r>
      <rPr>
        <sz val="10"/>
        <rFont val="Arial"/>
        <family val="0"/>
        <charset val="1"/>
      </rPr>
      <t xml:space="preserve">amazon v0.2</t>
    </r>
  </si>
  <si>
    <t xml:space="preserve">$145.9</t>
  </si>
  <si>
    <r>
      <rPr>
        <sz val="10"/>
        <rFont val="Arial"/>
        <family val="0"/>
        <charset val="1"/>
      </rPr>
      <t xml:space="preserve">−$4.68</t>
    </r>
    <r>
      <rPr>
        <sz val="10"/>
        <rFont val="Noto Sans CJK SC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收入錨 </t>
    </r>
    <r>
      <rPr>
        <sz val="10"/>
        <rFont val="Arial"/>
        <family val="0"/>
        <charset val="1"/>
      </rPr>
      <t xml:space="preserve">IF_HoldEcon +0.88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 </t>
    </r>
    <r>
      <rPr>
        <sz val="10"/>
        <rFont val="Arial"/>
        <family val="0"/>
        <charset val="1"/>
      </rPr>
      <t xml:space="preserve">+0.57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Noto Sans CJK SC"/>
        <family val="2"/>
      </rPr>
      <t xml:space="preserve">速度重解 −</t>
    </r>
    <r>
      <rPr>
        <sz val="10"/>
        <rFont val="Arial"/>
        <family val="0"/>
        <charset val="1"/>
      </rPr>
      <t xml:space="preserve">5.81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其他（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層級費用隨營收重算）−</t>
    </r>
    <r>
      <rPr>
        <sz val="10"/>
        <rFont val="Arial"/>
        <family val="0"/>
        <charset val="1"/>
      </rPr>
      <t xml:space="preserve">0.31</t>
    </r>
    <r>
      <rPr>
        <sz val="10"/>
        <rFont val="Noto Sans CJK SC"/>
        <family val="2"/>
      </rPr>
      <t xml:space="preserve">；保守 </t>
    </r>
    <r>
      <rPr>
        <sz val="10"/>
        <rFont val="Arial"/>
        <family val="0"/>
        <charset val="1"/>
      </rPr>
      <t xml:space="preserve">$174.8 → $175.8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$130.3 → $122.0</t>
    </r>
    <r>
      <rPr>
        <sz val="10"/>
        <rFont val="Noto Sans CJK SC"/>
        <family val="2"/>
      </rPr>
      <t xml:space="preserve">（皆賣出）；讀法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$218.2 → $218.5</t>
    </r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</si>
  <si>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</si>
  <si>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</si>
  <si>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</t>
    </r>
  </si>
  <si>
    <t xml:space="preserve">$150.5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</si>
  <si>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$174.8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$130.3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$218.2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交付前修訂（</t>
    </r>
    <r>
      <rPr>
        <sz val="10"/>
        <rFont val="Arial"/>
        <family val="0"/>
        <charset val="1"/>
      </rPr>
      <t xml:space="preserve">10-09</t>
    </r>
    <r>
      <rPr>
        <sz val="10"/>
        <rFont val="Noto Sans CJK SC"/>
        <family val="2"/>
      </rPr>
      <t xml:space="preserve">，查核後）：一頁摘要加評價口徑敏感度（</t>
    </r>
    <r>
      <rPr>
        <sz val="10"/>
        <rFont val="Arial"/>
        <family val="0"/>
        <charset val="1"/>
      </rPr>
      <t xml:space="preserve">WACC 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ERP 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自身倍數、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、組合；評等翻轉點）與終值占比規則句、自研晶片係數雙邊敏感度（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收入與資本支出同乘 </t>
    </r>
    <r>
      <rPr>
        <sz val="10"/>
        <rFont val="Arial"/>
        <family val="0"/>
        <charset val="1"/>
      </rPr>
      <t xml:space="preserve">0.7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Services </t>
    </r>
    <r>
      <rPr>
        <sz val="10"/>
        <rFont val="Noto Sans CJK SC"/>
        <family val="2"/>
      </rPr>
      <t xml:space="preserve">四線與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銷售起始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率標 </t>
    </r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、無形資產來源更正（數字不變）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</si>
  <si>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</si>
  <si>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</si>
  <si>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</si>
  <si>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2026Q2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2026-07-23</t>
    </r>
    <r>
      <rPr>
        <sz val="10"/>
        <rFont val="Noto Sans CJK SC"/>
        <family val="2"/>
      </rPr>
      <t xml:space="preserve">，核閱、未查核）：上半年營收 </t>
    </r>
    <r>
      <rPr>
        <sz val="10"/>
        <rFont val="Arial"/>
        <family val="0"/>
        <charset val="1"/>
      </rPr>
      <t xml:space="preserve">229.7</t>
    </r>
    <r>
      <rPr>
        <sz val="10"/>
        <rFont val="Noto Sans CJK SC"/>
        <family val="2"/>
      </rPr>
      <t xml:space="preserve">（搜尋 </t>
    </r>
    <r>
      <rPr>
        <sz val="10"/>
        <rFont val="Arial"/>
        <family val="0"/>
        <charset val="1"/>
      </rPr>
      <t xml:space="preserve">123.7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YouTube 20.9</t>
    </r>
    <r>
      <rPr>
        <sz val="10"/>
        <rFont val="Noto Sans CJK SC"/>
        <family val="2"/>
      </rPr>
      <t xml:space="preserve">、聯播網 </t>
    </r>
    <r>
      <rPr>
        <sz val="10"/>
        <rFont val="Arial"/>
        <family val="0"/>
        <charset val="1"/>
      </rPr>
      <t xml:space="preserve">14.3</t>
    </r>
    <r>
      <rPr>
        <sz val="10"/>
        <rFont val="Noto Sans CJK SC"/>
        <family val="2"/>
      </rPr>
      <t xml:space="preserve">、訂閱平台裝置 </t>
    </r>
    <r>
      <rPr>
        <sz val="10"/>
        <rFont val="Arial"/>
        <family val="0"/>
        <charset val="1"/>
      </rPr>
      <t xml:space="preserve">25.3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Cloud 44.8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Other Bets 0.8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80.5</t>
    </r>
    <r>
      <rPr>
        <sz val="10"/>
        <rFont val="Noto Sans CJK SC"/>
        <family val="2"/>
      </rPr>
      <t xml:space="preserve">；折舊 </t>
    </r>
    <r>
      <rPr>
        <sz val="10"/>
        <rFont val="Arial"/>
        <family val="0"/>
        <charset val="1"/>
      </rPr>
      <t xml:space="preserve">13.6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14.7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174.8</t>
    </r>
    <r>
      <rPr>
        <sz val="10"/>
        <rFont val="Noto Sans CJK SC"/>
        <family val="2"/>
      </rPr>
      <t xml:space="preserve">（含權益證券利益 </t>
    </r>
    <r>
      <rPr>
        <sz val="10"/>
        <rFont val="Arial"/>
        <family val="0"/>
        <charset val="1"/>
      </rPr>
      <t xml:space="preserve">135.9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</si>
  <si>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55.9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186.6</t>
    </r>
    <r>
      <rPr>
        <sz val="10"/>
        <rFont val="Noto Sans CJK SC"/>
        <family val="2"/>
      </rPr>
      <t xml:space="preserve">（有價權益證券 </t>
    </r>
    <r>
      <rPr>
        <sz val="10"/>
        <rFont val="Arial"/>
        <family val="0"/>
        <charset val="1"/>
      </rPr>
      <t xml:space="preserve">87.1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321.2</t>
    </r>
    <r>
      <rPr>
        <sz val="10"/>
        <rFont val="Noto Sans CJK SC"/>
        <family val="2"/>
      </rPr>
      <t xml:space="preserve">；長期債面額 </t>
    </r>
    <r>
      <rPr>
        <sz val="10"/>
        <rFont val="Arial"/>
        <family val="0"/>
        <charset val="1"/>
      </rPr>
      <t xml:space="preserve">101.1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18.0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2.6</t>
    </r>
    <r>
      <rPr>
        <sz val="10"/>
        <rFont val="Noto Sans CJK SC"/>
        <family val="2"/>
      </rPr>
      <t xml:space="preserve">；尚未起租租賃 </t>
    </r>
    <r>
      <rPr>
        <sz val="10"/>
        <rFont val="Arial"/>
        <family val="0"/>
        <charset val="1"/>
      </rPr>
      <t xml:space="preserve">85.2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640.5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</si>
  <si>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現金流（上半年）：</t>
    </r>
    <r>
      <rPr>
        <sz val="10"/>
        <rFont val="Arial"/>
        <family val="0"/>
        <charset val="1"/>
      </rPr>
      <t xml:space="preserve">CFO 84.9</t>
    </r>
    <r>
      <rPr>
        <sz val="10"/>
        <rFont val="Noto Sans CJK SC"/>
        <family val="2"/>
      </rPr>
      <t xml:space="preserve">；資本支出 </t>
    </r>
    <r>
      <rPr>
        <sz val="10"/>
        <rFont val="Arial"/>
        <family val="0"/>
        <charset val="1"/>
      </rPr>
      <t xml:space="preserve">80.6</t>
    </r>
    <r>
      <rPr>
        <sz val="10"/>
        <rFont val="Noto Sans CJK SC"/>
        <family val="2"/>
      </rPr>
      <t xml:space="preserve">；非上市投資與收購 </t>
    </r>
    <r>
      <rPr>
        <sz val="10"/>
        <rFont val="Arial"/>
        <family val="0"/>
        <charset val="1"/>
      </rPr>
      <t xml:space="preserve">55.4</t>
    </r>
    <r>
      <rPr>
        <sz val="10"/>
        <rFont val="Noto Sans CJK SC"/>
        <family val="2"/>
      </rPr>
      <t xml:space="preserve">；發債 </t>
    </r>
    <r>
      <rPr>
        <sz val="10"/>
        <rFont val="Arial"/>
        <family val="0"/>
        <charset val="1"/>
      </rPr>
      <t xml:space="preserve">56.2</t>
    </r>
    <r>
      <rPr>
        <sz val="10"/>
        <rFont val="Noto Sans CJK SC"/>
        <family val="2"/>
      </rPr>
      <t xml:space="preserve">、償還 </t>
    </r>
    <r>
      <rPr>
        <sz val="10"/>
        <rFont val="Arial"/>
        <family val="0"/>
        <charset val="1"/>
      </rPr>
      <t xml:space="preserve">5.3</t>
    </r>
    <r>
      <rPr>
        <sz val="10"/>
        <rFont val="Noto Sans CJK SC"/>
        <family val="2"/>
      </rPr>
      <t xml:space="preserve">；股權 </t>
    </r>
    <r>
      <rPr>
        <sz val="10"/>
        <rFont val="Arial"/>
        <family val="0"/>
        <charset val="1"/>
      </rPr>
      <t xml:space="preserve">49.6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5.2</t>
    </r>
    <r>
      <rPr>
        <sz val="10"/>
        <rFont val="Noto Sans CJK SC"/>
        <family val="2"/>
      </rPr>
      <t xml:space="preserve">；無買回。</t>
    </r>
  </si>
  <si>
    <r>
      <rPr>
        <sz val="10"/>
        <rFont val="Arial"/>
        <family val="0"/>
        <charset val="1"/>
      </rPr>
      <t xml:space="preserve">RPO 519.5B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Cloud 513.9B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指引：資本支出 </t>
    </r>
    <r>
      <rPr>
        <sz val="10"/>
        <rFont val="Arial"/>
        <family val="0"/>
        <charset val="1"/>
      </rPr>
      <t xml:space="preserve">195–205</t>
    </r>
    <r>
      <rPr>
        <sz val="10"/>
        <rFont val="Noto Sans CJK SC"/>
        <family val="2"/>
      </rPr>
      <t xml:space="preserve">（法說）；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「顯著增加」。</t>
    </r>
  </si>
  <si>
    <r>
      <rPr>
        <sz val="10"/>
        <rFont val="Arial"/>
        <family val="0"/>
        <charset val="1"/>
      </rPr>
      <t xml:space="preserve">2025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402.8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129.0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132.2</t>
    </r>
    <r>
      <rPr>
        <sz val="10"/>
        <rFont val="Noto Sans CJK SC"/>
        <family val="2"/>
      </rPr>
      <t xml:space="preserve">；折舊 </t>
    </r>
    <r>
      <rPr>
        <sz val="10"/>
        <rFont val="Arial"/>
        <family val="0"/>
        <charset val="1"/>
      </rPr>
      <t xml:space="preserve">21.1</t>
    </r>
    <r>
      <rPr>
        <sz val="10"/>
        <rFont val="Noto Sans CJK SC"/>
        <family val="2"/>
      </rPr>
      <t xml:space="preserve">；資本支出 </t>
    </r>
    <r>
      <rPr>
        <sz val="10"/>
        <rFont val="Arial"/>
        <family val="0"/>
        <charset val="1"/>
      </rPr>
      <t xml:space="preserve">91.4</t>
    </r>
    <r>
      <rPr>
        <sz val="10"/>
        <rFont val="Noto Sans CJK SC"/>
        <family val="2"/>
      </rPr>
      <t xml:space="preserve">；回購 </t>
    </r>
    <r>
      <rPr>
        <sz val="10"/>
        <rFont val="Arial"/>
        <family val="0"/>
        <charset val="1"/>
      </rPr>
      <t xml:space="preserve">45.7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10.0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</si>
  <si>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GOOGL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$350.50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4,286.61bn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12,230.00m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</si>
  <si>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$429.47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$430.00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$340.00–$515.00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61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$425.72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55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</si>
  <si>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</si>
  <si>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</si>
  <si>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</si>
  <si>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20261024_Tokenomics_v21.4.xlsx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v21.4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3ac70ac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2026-10-25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Noto Sans CJK SC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</si>
  <si>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</si>
  <si>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</si>
  <si>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</si>
  <si>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</si>
  <si>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</si>
  <si>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</si>
  <si>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</si>
  <si>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</si>
  <si>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</si>
  <si>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</si>
  <si>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</si>
  <si>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</si>
  <si>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</si>
  <si>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</si>
  <si>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</si>
  <si>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v21.4 · 3ac70ac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</si>
  <si>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</si>
  <si>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</si>
  <si>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</si>
  <si>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</si>
  <si>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</si>
  <si>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</si>
  <si>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</si>
  <si>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</si>
  <si>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</si>
  <si>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</si>
  <si>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</si>
  <si>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</si>
  <si>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</si>
  <si>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</si>
  <si>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</si>
  <si>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</si>
  <si>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</si>
  <si>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</si>
  <si>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</si>
  <si>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</si>
  <si>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</si>
  <si>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</si>
  <si>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</si>
  <si>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</si>
  <si>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</si>
  <si>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</si>
  <si>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</si>
  <si>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</si>
  <si>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</si>
  <si>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</si>
  <si>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</si>
  <si>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</si>
  <si>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</si>
  <si>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</si>
  <si>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</si>
  <si>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</si>
  <si>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</si>
  <si>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</si>
  <si>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</si>
  <si>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</si>
  <si>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</si>
  <si>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</si>
  <si>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</si>
  <si>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</si>
  <si>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</si>
  <si>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</si>
  <si>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</si>
  <si>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</si>
  <si>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</si>
  <si>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</si>
  <si>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</si>
  <si>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</si>
  <si>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</si>
  <si>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</si>
  <si>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</si>
  <si>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</si>
  <si>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</si>
  <si>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</si>
  <si>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</si>
  <si>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</si>
  <si>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</si>
  <si>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</si>
  <si>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</si>
  <si>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</si>
  <si>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</si>
  <si>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</si>
  <si>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</si>
  <si>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</si>
  <si>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</si>
  <si>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</si>
  <si>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</si>
  <si>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</si>
  <si>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</si>
  <si>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</si>
  <si>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</si>
  <si>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</si>
  <si>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</si>
  <si>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</si>
  <si>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</si>
  <si>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</si>
  <si>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</si>
  <si>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</si>
  <si>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</si>
  <si>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</si>
  <si>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</si>
  <si>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</si>
  <si>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</si>
  <si>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</si>
  <si>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</si>
  <si>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</si>
  <si>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</si>
  <si>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</si>
  <si>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</si>
  <si>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</si>
  <si>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</si>
  <si>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</si>
  <si>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</si>
  <si>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</si>
  <si>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</si>
  <si>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</si>
  <si>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</si>
  <si>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</si>
  <si>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</si>
  <si>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</si>
  <si>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</si>
  <si>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</si>
  <si>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</si>
  <si>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</si>
  <si>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</si>
  <si>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</si>
  <si>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</si>
  <si>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</si>
  <si>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</si>
  <si>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</si>
  <si>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</si>
  <si>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</si>
  <si>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</si>
  <si>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</si>
  <si>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</si>
  <si>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</si>
  <si>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</si>
  <si>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</si>
  <si>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</si>
  <si>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</si>
  <si>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</si>
  <si>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</si>
  <si>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</si>
  <si>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</si>
  <si>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</si>
  <si>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</si>
  <si>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</si>
  <si>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</si>
  <si>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</si>
  <si>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</si>
  <si>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</si>
  <si>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</si>
  <si>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</si>
  <si>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</si>
  <si>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</si>
  <si>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</si>
  <si>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</si>
  <si>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</si>
  <si>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</si>
  <si>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</si>
  <si>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</si>
  <si>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</si>
  <si>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</si>
  <si>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</si>
  <si>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</si>
  <si>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</si>
  <si>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</si>
  <si>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</si>
  <si>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</si>
  <si>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</si>
  <si>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</si>
  <si>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</si>
  <si>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</si>
  <si>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</si>
  <si>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</si>
  <si>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</si>
  <si>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</si>
  <si>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</si>
  <si>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</si>
  <si>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</si>
  <si>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</si>
  <si>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</si>
  <si>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</si>
  <si>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</si>
  <si>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</si>
  <si>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</si>
  <si>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</si>
  <si>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</si>
  <si>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</si>
  <si>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</si>
  <si>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</si>
  <si>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</si>
  <si>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</si>
  <si>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</si>
  <si>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</si>
  <si>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</si>
  <si>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</si>
  <si>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</si>
  <si>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</si>
  <si>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</si>
  <si>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</si>
  <si>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</si>
  <si>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</si>
  <si>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</si>
  <si>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</si>
  <si>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</si>
  <si>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</si>
  <si>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</si>
  <si>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</si>
  <si>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</si>
  <si>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</si>
  <si>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</si>
  <si>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</si>
  <si>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</si>
  <si>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</si>
  <si>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</si>
  <si>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</si>
  <si>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</si>
  <si>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</si>
  <si>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</si>
  <si>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</si>
  <si>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</si>
  <si>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</si>
  <si>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</si>
  <si>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</si>
  <si>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</si>
  <si>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</si>
  <si>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</si>
  <si>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</si>
  <si>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</si>
  <si>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</si>
  <si>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</si>
  <si>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</si>
  <si>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</si>
  <si>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</si>
  <si>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</si>
  <si>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</si>
  <si>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</si>
  <si>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</si>
  <si>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</si>
  <si>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</si>
  <si>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</si>
  <si>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</si>
  <si>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</si>
  <si>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</si>
  <si>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</si>
  <si>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</si>
  <si>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</si>
  <si>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</si>
  <si>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</si>
  <si>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</si>
  <si>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</si>
  <si>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</si>
  <si>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</si>
  <si>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</si>
  <si>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</si>
  <si>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</si>
  <si>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</si>
  <si>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</si>
  <si>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</si>
  <si>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</si>
  <si>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</si>
  <si>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</si>
  <si>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</si>
  <si>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</si>
  <si>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</si>
  <si>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</si>
  <si>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</si>
  <si>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</si>
  <si>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</si>
  <si>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</si>
  <si>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</si>
  <si>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</si>
  <si>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</si>
  <si>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</si>
  <si>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</si>
  <si>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</si>
  <si>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</si>
  <si>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</si>
  <si>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</si>
  <si>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</si>
  <si>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</si>
  <si>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</si>
  <si>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</si>
  <si>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</si>
  <si>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</si>
  <si>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</si>
  <si>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</si>
  <si>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</si>
  <si>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</si>
  <si>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</si>
  <si>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</si>
  <si>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</si>
  <si>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</si>
  <si>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</si>
  <si>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</si>
  <si>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</si>
  <si>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</si>
  <si>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</si>
  <si>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</si>
  <si>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</si>
  <si>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</si>
  <si>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</si>
  <si>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</si>
  <si>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</si>
  <si>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</si>
  <si>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</si>
  <si>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</si>
  <si>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</si>
  <si>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</si>
  <si>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</si>
  <si>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</si>
  <si>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</si>
  <si>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</si>
  <si>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</si>
  <si>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</si>
  <si>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</si>
  <si>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</si>
  <si>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</si>
  <si>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</si>
  <si>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TK_NonNV_Out_TPU</t>
  </si>
  <si>
    <t xml:space="preserve">IF_NonNV_Out_TPU</t>
  </si>
  <si>
    <r>
      <rPr>
        <sz val="10"/>
        <rFont val="Arial"/>
        <family val="0"/>
        <charset val="1"/>
      </rPr>
      <t xml:space="preserve">Google TPU v7 Ironwood</t>
    </r>
    <r>
      <rPr>
        <sz val="10"/>
        <rFont val="Noto Sans CJK SC"/>
        <family val="2"/>
      </rPr>
      <t xml:space="preserve">：產出比（每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產出 </t>
    </r>
    <r>
      <rPr>
        <sz val="10"/>
        <rFont val="Arial"/>
        <family val="0"/>
        <charset val="1"/>
      </rPr>
      <t xml:space="preserve">÷ VR200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B:D</t>
    </r>
    <r>
      <rPr>
        <sz val="10"/>
        <rFont val="Noto Sans CJK SC"/>
        <family val="2"/>
      </rPr>
      <t xml:space="preserve">；同層級、同 </t>
    </r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</si>
  <si>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比（</t>
    </r>
    <r>
      <rPr>
        <sz val="9"/>
        <color rgb="FF595959"/>
        <rFont val="Arial"/>
        <family val="0"/>
        <charset val="1"/>
      </rPr>
      <t xml:space="preserve">÷ VR200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</si>
  <si>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Interface!C370:E370</t>
    </r>
    <r>
      <rPr>
        <sz val="9"/>
        <color rgb="FF595959"/>
        <rFont val="Noto Sans CJK SC"/>
        <family val="2"/>
      </rPr>
      <t xml:space="preserve">（低／基準／高＝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</t>
    </r>
  </si>
  <si>
    <t xml:space="preserve">TK_NonNV_Hold_TPU</t>
  </si>
  <si>
    <t xml:space="preserve">IF_NonNV_Hold_TPU</t>
  </si>
  <si>
    <r>
      <rPr>
        <sz val="10"/>
        <rFont val="Arial"/>
        <family val="0"/>
        <charset val="1"/>
      </rPr>
      <t xml:space="preserve">Google TPU v7 Ironwood</t>
    </r>
    <r>
      <rPr>
        <sz val="10"/>
        <rFont val="Noto Sans CJK SC"/>
        <family val="2"/>
      </rPr>
      <t xml:space="preserve">：持有成本比（每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持有成本 </t>
    </r>
    <r>
      <rPr>
        <sz val="10"/>
        <rFont val="Arial"/>
        <family val="0"/>
        <charset val="1"/>
      </rPr>
      <t xml:space="preserve">÷ VR200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E:G</t>
    </r>
    <r>
      <rPr>
        <sz val="10"/>
        <rFont val="Noto Sans CJK SC"/>
        <family val="2"/>
      </rPr>
      <t xml:space="preserve">；同層級、同 </t>
    </r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</si>
  <si>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Arial"/>
        <family val="0"/>
        <charset val="1"/>
      </rPr>
      <t xml:space="preserve">Interface!C375:E375</t>
    </r>
    <r>
      <rPr>
        <sz val="9"/>
        <color rgb="FF595959"/>
        <rFont val="Noto Sans CJK SC"/>
        <family val="2"/>
      </rPr>
      <t xml:space="preserve">（低／基準／高＝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</t>
    </r>
  </si>
  <si>
    <t xml:space="preserve">TK_IFW_RevGWFleet_100_H100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</si>
  <si>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</si>
  <si>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</si>
  <si>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</si>
  <si>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</si>
  <si>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</si>
  <si>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</si>
  <si>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</si>
  <si>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</si>
  <si>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</si>
  <si>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</si>
  <si>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</si>
  <si>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</si>
  <si>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</si>
  <si>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</si>
  <si>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</si>
  <si>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</si>
  <si>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</si>
  <si>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</si>
  <si>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</si>
  <si>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</si>
  <si>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</si>
  <si>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</si>
  <si>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</si>
  <si>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</si>
  <si>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</si>
  <si>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</si>
  <si>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</si>
  <si>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</si>
  <si>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</si>
  <si>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</si>
  <si>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</si>
  <si>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</si>
  <si>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</si>
  <si>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</si>
  <si>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</si>
  <si>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</si>
  <si>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</si>
  <si>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</si>
  <si>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</si>
  <si>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</si>
  <si>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</si>
  <si>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</si>
  <si>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</si>
  <si>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</si>
  <si>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</si>
  <si>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</si>
  <si>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</si>
  <si>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</si>
  <si>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Noto Sans CJK SC"/>
        <family val="2"/>
      </rPr>
      <t xml:space="preserve">（公式）（用途限制）</t>
    </r>
  </si>
  <si>
    <t xml:space="preserve">情境、相對比較、反轉門檻</t>
  </si>
  <si>
    <t xml:space="preserve">Interface!S6:S382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</si>
  <si>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</si>
  <si>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</si>
  <si>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</si>
  <si>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</si>
  <si>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</si>
  <si>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</si>
  <si>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</si>
  <si>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</si>
  <si>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</si>
  <si>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</si>
  <si>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</si>
  <si>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</si>
  <si>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</si>
  <si>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</si>
  <si>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</si>
  <si>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</si>
  <si>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</si>
  <si>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</si>
  <si>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</si>
  <si>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</si>
  <si>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</si>
  <si>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</si>
  <si>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</si>
  <si>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IF_NonNV_Out_TPU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</si>
  <si>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IF_NonNV_Hold_TPU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</si>
  <si>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</si>
  <si>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</si>
  <si>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</si>
  <si>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</si>
  <si>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</si>
  <si>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</si>
  <si>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Noto Sans CJK SC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</si>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</sst>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0"/>
    <numFmt numFmtId="174" formatCode="0.00%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已交付＋已公開在建","基準 依資本支出指引","積極 依 2027 擴張幅度") &amp; "（預設＝基準）；共識＝data/consensus_googl_20261008.json（2026-10-08）"</f>
        <v>模型端＝目前情境：基準 依資本支出指引（預設＝基準）；共識＝data/consensus_googl_20261008.json（2026-10-08）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146.09287356031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輸入與假設!$C$374</f>
        <v>350.5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-0.583187236632496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122.889116020962</v>
      </c>
      <c r="D10" s="12" t="n">
        <f aca="false">評價_DCF與目標價!D104</f>
        <v>175.083617103409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144.130976417747</v>
      </c>
      <c r="D11" s="12" t="n">
        <f aca="false">評價_DCF與目標價!D106</f>
        <v>146.09287356031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297.925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-151.83212643969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$146.1，較現價 $350.50 低 58%；情境區間 $122.9–$175.1，方法區間 $144.1–$146.1；點位低於賣出門檻 $297.9 達 $151.8。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$175.1 低於現價 $350.50：賣出在三個擴張情境下都成立。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$342="ebitda",輸入與假設!$C$342="leaseAdj"),"需失去投資級才能融資的金額："&amp;IF(SUM(各期收支!C93:G93)&gt;0.05,"$"&amp;TEXT(SUM(各期收支!C93:G93),"0.0")&amp;"bn（五期高息債溢出）","$0")&amp;"；投資級上限＝"&amp;IF(輸入與假設!$C$342="leaseAdj","(總債務＋租賃負債) ≤ "&amp;IF(輸入與假設!$C$343=INT(輸入與假設!$C$343),TEXT(輸入與假設!$C$343,"0"),TEXT(輸入與假設!$C$343,"0.0"))&amp;"×(EBITDA＋租金)","總債務 ≤ "&amp;IF(輸入與假設!$C$343=INT(輸入與假設!$C$343),TEXT(輸入與假設!$C$343,"0"),TEXT(輸入與假設!$C$343,"0.0"))&amp;"× 當期 EBITDA")&amp;"，股權每年 ≤ 現市值 "&amp;IF(ROUND(ABS(輸入與假設!$C$353)*100,4)=INT(ROUND(ABS(輸入與假設!$C$353)*100,4)),TEXT(ROUND(ABS(輸入與假設!$C$353)*100,4),"0"),TEXT(ROUND(ABS(輸入與假設!$C$353)*100,4),"0.0"))&amp;"%"&amp;"。","")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$343=INT(輸入與假設!$C$343),TEXT(輸入與假設!$C$343,"0"),TEXT(輸入與假設!$C$343,"0.0"))&amp;"×，"&amp;IF(MAX(資產負債_新債與新股!$C$37:$G$37)&gt;輸入與假設!$C$343+0.000000001,CHOOSE(MATCH(MAX(資產負債_新債與新股!$C$37:$G$37),資產負債_新債與新股!$C$37:$G$37,0),"2026","2027","2028","2029","2030")&amp;" 超過 "&amp;TEXT(MAX(資產負債_新債與新股!$C$37:$G$37)-輸入與假設!$C$343,"0.0")&amp;"×：需股權或失去投資級。","最小空間 "&amp;TEXT(輸入與假設!$C$343-MAX(資產負債_新債與新股!$C$37:$G$37),"0.0")&amp;"×（"&amp;CHOOSE(MATCH(MAX(資產負債_新債與新股!$C$37:$G$37),資產負債_新債與新股!$C$37:$G$37,0),"2026","2027","2028","2029","2030")&amp;"）。")</f>
        <v>調整後槓桿（(債務＋租賃負債) ÷ (EBITDA＋租金)）路徑 0.6／0.6／0.5／0.5／0.7×；上限 3×，最小空間 2.3×（2030）。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14.68×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$177.95（賣出）、WACC 10% $163.15（賣出）、WACC 11% $151.66（賣出）；非 AI 分部改用公司自身 NTM EV/EBITDA 14.68× $181.18（賣出）、AI 雲端 15× $162.33（賣出）、組合：WACC 9%＋非 AI 自身倍數＋AI 15× $233.86（賣出）；評等翻轉點：WACC 約 5.7%（ERP 0.31%）以下由「賣出」轉為「中立」。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+"&amp;IF(ROUND(ABS(輸入與假設!$C$465)*100,4)=INT(ROUND(ABS(輸入與假設!$C$465)*100,4)),TEXT(ROUND(ABS(輸入與假設!$C$465)*100,4),"0"),TEXT(ROUND(ABS(輸入與假設!$C$465)*100,4),"0.0"))&amp;"%"&amp;" 且終值占 EV &lt; "&amp;IF(ROUND(ABS(輸入與假設!$C$466)*100,4)=INT(ROUND(ABS(輸入與假設!$C$466)*100,4)),TEXT(ROUND(ABS(輸入與假設!$C$466)*100,4),"0"),TEXT(ROUND(ABS(輸入與假設!$C$466)*100,4),"0.0"))&amp;"%"&amp;"；目前終值占 EV "&amp;TEXT(評價_DCF與目標價!C97*100,"0")&amp;"%"&amp;IF(評價_DCF與目標價!C97&gt;=輸入與假設!$C$466,"，此規則下只可能「賣出」或「中立」","")&amp;"（規則是否修改待 Andy 決定）。"</f>
        <v>評等規則：買進須空間 ≥ +25% 且終值占 EV &lt; 90%；目前終值占 EV 115%，此規則下只可能「賣出」或「中立」（規則是否修改待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1（影子收入不進評價）$146.09；讀法 2（自用 AI 價值中性：自用 MW 以 k＝1 計影子收入並進評價）$218.79；差額 +$72.70。主值取哪一個是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"&amp;TEXT(輸入與假設!$C$271*100,"0")&amp;"%，[Assumed]），是最大不確定："&amp;TEXT(評價_DCF與目標價!C112*100,"0")&amp;"%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30%，[Assumed]），是最大不確定：10% → $99.27、50% → $179.71（基準 $146.09）。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資本支出有沒有賺到資金成本）：2029 對外 AI ROIC "&amp;TEXT(AI增量報酬!F23*100,"0.0")&amp;"% vs WACC "&amp;TEXT(輸入與假設!$C$401*100,"0.0")&amp;"%（"&amp;IF(AI增量報酬!F25&lt;0,"−","+")&amp;TEXT(ABS(AI增量報酬!F25)*100,"0.0")&amp;"pt）；打平 k "&amp;TEXT(AI增量報酬!C29,"0.00")&amp;"（目前 "&amp;TEXT(輸入與假設!$C$63,"0.00")&amp;"）；全 AI（含影子收入）"&amp;TEXT(AI增量報酬!F27*100,"0.0")&amp;"%。"</f>
        <v>主命題（AI 資本支出有沒有賺到資金成本）：2029 對外 AI ROIC 14.2% vs WACC 11.6%（+2.6pt）；打平 k 1.12（目前 1.20）；全 AI（含影子收入）14.2%。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2026（−$"&amp;TEXT(-各期收支!C44,"0.0")&amp;"bn）",IF(各期收支!D44&lt;0,"首次為負 2027（−$"&amp;TEXT(-各期收支!D44,"0.0")&amp;"bn）",IF(各期收支!E44&lt;0,"首次為負 2028（−$"&amp;TEXT(-各期收支!E44,"0.0")&amp;"bn）",IF(各期收支!F44&lt;0,"首次為負 2029（−$"&amp;TEXT(-各期收支!F44,"0.0")&amp;"bn）",IF(各期收支!G44&lt;0,"首次為負 2030（−$"&amp;TEXT(-各期收支!G44,"0.0")&amp;"bn）","五期皆為正")))))&amp;"；"&amp;IF(SUM(各期收支!C75:G75)&lt;=0.05,"無回購計畫（減少回購步驟不適用）",IF(SUM(各期收支!C77:G77)&gt;0,"回購被迫減少："&amp;MID(IF(各期收支!C77&gt;0.05,"、2026 $"&amp;TEXT(各期收支!C77,"0.0"),"")&amp;IF(各期收支!D77&gt;0.05,"、2027 $"&amp;TEXT(各期收支!D77,"0.0"),"")&amp;IF(各期收支!E77&gt;0.05,"、2028 $"&amp;TEXT(各期收支!E77,"0.0"),"")&amp;IF(各期收支!F77&gt;0.05,"、2029 $"&amp;TEXT(各期收支!F77,"0.0"),"")&amp;IF(各期收支!G77&gt;0.05,"、2030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首次為負 2026（−$4.1bn）；回購被迫減少：2030 $17.0bn；五期新債 $81.8bn、股權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$"&amp;TEXT(MAX(運營_產能與收入!$C$55:$G$55),"0.0")&amp;"bn（"&amp;CHOOSE(MATCH(MAX(運營_產能與收入!$C$55:$G$55),運營_產能與收入!$C$55:$G$55,0),"2026","2027","2028","2029","2030")&amp;"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492.268310257</v>
      </c>
      <c r="D28" s="10" t="n">
        <f aca="false">損益!D29</f>
        <v>599.098583953189</v>
      </c>
      <c r="E28" s="10" t="n">
        <f aca="false">損益!E29</f>
        <v>695.289341815504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輸入與假設!$C$524</f>
        <v>498.69</v>
      </c>
      <c r="D29" s="10" t="n">
        <f aca="false">輸入與假設!$D$524</f>
        <v>615.038</v>
      </c>
      <c r="E29" s="10" t="n">
        <f aca="false">輸入與假設!$E$524</f>
        <v>734.199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-0.0128771175339389</v>
      </c>
      <c r="D30" s="13" t="n">
        <f aca="false">D28/D29-1</f>
        <v>-0.0259161483466237</v>
      </c>
      <c r="E30" s="13" t="n">
        <f aca="false">E28/E29-1</f>
        <v>-0.0529960653508059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輸入與假設!$C$494+損益!C22</f>
        <v>194.545029907</v>
      </c>
      <c r="D31" s="10" t="n">
        <f aca="false">損益!D34</f>
        <v>220.984011742824</v>
      </c>
      <c r="E31" s="10" t="n">
        <f aca="false">損益!E34</f>
        <v>257.521654838516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輸入與假設!$C$525</f>
        <v>233.431</v>
      </c>
      <c r="D32" s="10" t="n">
        <f aca="false">輸入與假設!$D$525</f>
        <v>298.668</v>
      </c>
      <c r="E32" s="10" t="n">
        <f aca="false">輸入與假設!$E$525</f>
        <v>382.826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-0.166584430058561</v>
      </c>
      <c r="D33" s="13" t="n">
        <f aca="false">D31/D32-1</f>
        <v>-0.260101478086625</v>
      </c>
      <c r="E33" s="13" t="n">
        <f aca="false">E31/E32-1</f>
        <v>-0.327314093508497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-38.8859700929999</v>
      </c>
      <c r="D34" s="10" t="n">
        <f aca="false">D31-D32</f>
        <v>-77.6839882571763</v>
      </c>
      <c r="E34" s="10" t="n">
        <f aca="false">E31-E32</f>
        <v>-125.304345161484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0.395201206036264</v>
      </c>
      <c r="D35" s="13" t="n">
        <f aca="false">D31/D28</f>
        <v>0.368860848050494</v>
      </c>
      <c r="E35" s="13" t="n">
        <f aca="false">E31/E28</f>
        <v>0.37038055864065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輸入與假設!$C$526</f>
        <v>0.468088391585955</v>
      </c>
      <c r="D36" s="13" t="n">
        <f aca="false">輸入與假設!$D$526</f>
        <v>0.48560901928011</v>
      </c>
      <c r="E36" s="13" t="n">
        <f aca="false">輸入與假設!$E$526</f>
        <v>0.521419942004824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-0.0728871855496913</v>
      </c>
      <c r="D37" s="13" t="n">
        <f aca="false">D35-D36</f>
        <v>-0.116748171229615</v>
      </c>
      <c r="E37" s="13" t="n">
        <f aca="false">E35-E36</f>
        <v>-0.151039383364174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輸入與假設!$C$477+輸入與假設!C$331</f>
        <v>200</v>
      </c>
      <c r="D38" s="10" t="n">
        <f aca="false">輸入與假設!D$331</f>
        <v>236.798143918332</v>
      </c>
      <c r="E38" s="10" t="n">
        <f aca="false">輸入與假設!E$331</f>
        <v>256.385290221199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輸入與假設!$C$530</f>
        <v>201.748</v>
      </c>
      <c r="D39" s="10" t="n">
        <f aca="false">輸入與假設!$D$530</f>
        <v>300.979</v>
      </c>
      <c r="E39" s="10" t="n">
        <f aca="false">輸入與假設!$E$530</f>
        <v>339.451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-0.00866427424311511</v>
      </c>
      <c r="D40" s="13" t="n">
        <f aca="false">D38/D39-1</f>
        <v>-0.213240312718388</v>
      </c>
      <c r="E40" s="13" t="n">
        <f aca="false">E38/E39-1</f>
        <v>-0.244706039395381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-29.0975195648102</v>
      </c>
      <c r="D41" s="10" t="n">
        <f aca="false">資產負債_新債與新股!D25</f>
        <v>11.7649975907079</v>
      </c>
      <c r="E41" s="10" t="n">
        <f aca="false">資產負債_新債與新股!E25</f>
        <v>30.8621576479294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輸入與假設!$C$532</f>
        <v>-131.323</v>
      </c>
      <c r="D42" s="10" t="n">
        <f aca="false">輸入與假設!$D$532</f>
        <v>-79.012</v>
      </c>
      <c r="E42" s="10" t="n">
        <f aca="false">輸入與假設!$E$532</f>
        <v>-56.291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-0.778427849159628</v>
      </c>
      <c r="D43" s="13" t="n">
        <f aca="false">D41/D42-1</f>
        <v>-1.14890140220103</v>
      </c>
      <c r="E43" s="13" t="n">
        <f aca="false">E41/E42-1</f>
        <v>-1.54826095908634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102.22548043519</v>
      </c>
      <c r="D44" s="10" t="n">
        <f aca="false">D41-D42</f>
        <v>90.7769975907079</v>
      </c>
      <c r="E44" s="10" t="n">
        <f aca="false">E41-E42</f>
        <v>87.1531576479294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MID(IF(ABS(C30)&gt;輸入與假設!$C$553,"、營收 "&amp;IF(C30&lt;0,"−","+")&amp;TEXT(ABS(C30)*100,"0.0")&amp;"%","")&amp;IF(ABS(C33)&gt;輸入與假設!$C$553,"、EBITDA "&amp;IF(C34&lt;0,"−","+")&amp;"$"&amp;TEXT(ABS(C34),"#,##0.00")&amp;"bn"&amp;"／"&amp;IF(C37&lt;0,"−","+")&amp;TEXT(ABS(C37)*100,"0.0")&amp;"pt","")&amp;IF(ABS(C40)&gt;輸入與假設!$C$553,"、CapEx "&amp;IF(C40&lt;0,"−","+")&amp;TEXT(ABS(C40)*100,"0.0")&amp;"%",""),2,999)</f>
        <v>EBITDA −$38.89bn／−7.3pt</v>
      </c>
      <c r="D45" s="10" t="str">
        <f aca="false">MID(IF(ABS(D30)&gt;輸入與假設!$C$553,"、營收 "&amp;IF(D30&lt;0,"−","+")&amp;TEXT(ABS(D30)*100,"0.0")&amp;"%","")&amp;IF(ABS(D33)&gt;輸入與假設!$C$553,"、EBITDA "&amp;IF(D34&lt;0,"−","+")&amp;"$"&amp;TEXT(ABS(D34),"#,##0.00")&amp;"bn"&amp;"／"&amp;IF(D37&lt;0,"−","+")&amp;TEXT(ABS(D37)*100,"0.0")&amp;"pt","")&amp;IF(ABS(D40)&gt;輸入與假設!$C$553,"、CapEx "&amp;IF(D40&lt;0,"−","+")&amp;TEXT(ABS(D40)*100,"0.0")&amp;"%",""),2,999)</f>
        <v>EBITDA −$77.68bn／−11.7pt、CapEx −21.3%</v>
      </c>
      <c r="E45" s="10" t="str">
        <f aca="false">MID(IF(ABS(E30)&gt;輸入與假設!$C$553,"、營收 "&amp;IF(E30&lt;0,"−","+")&amp;TEXT(ABS(E30)*100,"0.0")&amp;"%","")&amp;IF(ABS(E33)&gt;輸入與假設!$C$553,"、EBITDA "&amp;IF(E34&lt;0,"−","+")&amp;"$"&amp;TEXT(ABS(E34),"#,##0.00")&amp;"bn"&amp;"／"&amp;IF(E37&lt;0,"−","+")&amp;TEXT(ABS(E37)*100,"0.0")&amp;"pt","")&amp;IF(ABS(E40)&gt;輸入與假設!$C$553,"、CapEx "&amp;IF(E40&lt;0,"−","+")&amp;TEXT(ABS(E40)*100,"0.0")&amp;"%",""),2,999)</f>
        <v>營收 −5.3%、EBITDA −$125.30bn／−15.1pt、CapEx −24.5%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CHOOSE(C46+1,"2026–2028 營收、EBITDA、CapEx 與共識差距皆在 "&amp;IF(ROUND(ABS(輸入與假設!$C$553)*100,4)=INT(ROUND(ABS(輸入與假設!$C$553)*100,4)),TEXT(ROUND(ABS(輸入與假設!$C$553)*100,4),"0"),TEXT(ROUND(ABS(輸入與假設!$C$553)*100,4),"0.0"))&amp;"%"&amp;" 以內。","分歧始於 2026（"&amp;C45&amp;"）"&amp;"；2027 "&amp;IF(D45="","回到 "&amp;IF(ROUND(ABS(輸入與假設!$C$553)*100,4)=INT(ROUND(ABS(輸入與假設!$C$553)*100,4)),TEXT(ROUND(ABS(輸入與假設!$C$553)*100,4),"0"),TEXT(ROUND(ABS(輸入與假設!$C$553)*100,4),"0.0"))&amp;"%"&amp;" 以內",D45)&amp;"；2028 "&amp;IF(E45="","回到 "&amp;IF(ROUND(ABS(輸入與假設!$C$553)*100,4)=INT(ROUND(ABS(輸入與假設!$C$553)*100,4)),TEXT(ROUND(ABS(輸入與假設!$C$553)*100,4),"0"),TEXT(ROUND(ABS(輸入與假設!$C$553)*100,4),"0.0"))&amp;"%"&amp;" 以內",E45)&amp;"。","2026 營收、EBITDA、CapEx 與共識差距在 "&amp;IF(ROUND(ABS(輸入與假設!$C$553)*100,4)=INT(ROUND(ABS(輸入與假設!$C$553)*100,4)),TEXT(ROUND(ABS(輸入與假設!$C$553)*100,4),"0"),TEXT(ROUND(ABS(輸入與假設!$C$553)*100,4),"0.0"))&amp;"%"&amp;" 以內；分歧始於 2027（"&amp;D45&amp;"）"&amp;"；2028 "&amp;IF(E45="","回到 "&amp;IF(ROUND(ABS(輸入與假設!$C$553)*100,4)=INT(ROUND(ABS(輸入與假設!$C$553)*100,4)),TEXT(ROUND(ABS(輸入與假設!$C$553)*100,4),"0"),TEXT(ROUND(ABS(輸入與假設!$C$553)*100,4),"0.0"))&amp;"%"&amp;" 以內",E45)&amp;"。","2026–2027 營收、EBITDA、CapEx 與共識差距在 "&amp;IF(ROUND(ABS(輸入與假設!$C$553)*100,4)=INT(ROUND(ABS(輸入與假設!$C$553)*100,4)),TEXT(ROUND(ABS(輸入與假設!$C$553)*100,4),"0"),TEXT(ROUND(ABS(輸入與假設!$C$553)*100,4),"0.0"))&amp;"%"&amp;" 以內；分歧始於 2028（"&amp;E45&amp;"）。")</f>
        <v>分歧始於 2026（EBITDA −$38.89bn／−7.3pt）；2027 EBITDA −$77.68bn／−11.7pt、CapEx −21.3%；2028 營收 −5.3%、EBITDA −$125.30bn／−15.1pt、CapEx −24.5%。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IF(ABS(C30)&gt;輸入與假設!$C$553,"觀點","")</f>
        <v/>
      </c>
      <c r="D48" s="10" t="str">
        <f aca="false">IF(ABS(C30)&gt;輸入與假設!$C$553,"營收＝對外 AI 雲端（年底 "&amp;IF((輸入與假設!C$36)&lt;0,"−","")&amp;TEXT(ABS((輸入與假設!C$36)),"#,##0")&amp;" MW-IT × 每 MW 年收入，Tokenomics × k）＋搜尋／YouTube／聯播網／訂閱／Cloud 非 AI／TPU 銷售（近四季年增率收斂到長期值）；共識未揭露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IF(ABS(C37)&gt;輸入與假設!$C$554,"觀點","")</f>
        <v>觀點</v>
      </c>
      <c r="D49" s="10" t="str">
        <f aca="false">IF(ABS(C37)&gt;輸入與假設!$C$554,"營收差距 "&amp;IF((C30)&lt;0,"−","+")&amp;TEXT(ABS((C30))*100,"#,##0.0")&amp;"%"&amp;"；EBITDA 率 "&amp;IF((C35)&lt;0,"−","")&amp;TEXT(ABS((C35))*100,"#,##0.0")&amp;"%"&amp;" 對共識 "&amp;IF((C36)&lt;0,"−","")&amp;TEXT(ABS((C36))*100,"#,##0.0")&amp;"%"&amp;"（分部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−1.3%；EBITDA 率 39.5% 對共識 46.8%（分部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IF(ABS(C40)&gt;輸入與假設!$C$553,"觀點","")</f>
        <v/>
      </c>
      <c r="D50" s="10" t="str">
        <f aca="false">IF(ABS(C40)&gt;輸入與假設!$C$553,"CapEx：首期取公司指引中點 200；公司 2027 只說「顯著增加」、無數字 → 依新增 AI MW（"&amp;IF((輸入與假設!C$298)&lt;0,"−","")&amp;TEXT(ABS((輸入與假設!C$298)),"#,##0")&amp;" MW-IT 對外）÷ 對外比例 × 每 MW $"&amp;IF((輸入與假設!C$279)&lt;0,"−","")&amp;TEXT(ABS((輸入與假設!C$279)),"#,##0")&amp;"m＋非 AI 強度推導；基準情境的新增速度由 2026 指引解出（C10），之後各年資本支出＝MW 路徑 × 每 MW 成本；共識 2027 301.0","")</f>
        <v/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IF(ABS(C43)&gt;輸入與假設!$C$553,"觀點","")</f>
        <v>觀點</v>
      </c>
      <c r="D51" s="10" t="str">
        <f aca="false">IF(ABS(C43)&gt;輸入與假設!$C$553,"淨負債隨 CapEx、投資與融資瀑布而定（模型 CapEx 差距 "&amp;IF((C40)&lt;0,"−","+")&amp;TEXT(ABS((C40))*100,"#,##0.0")&amp;"%"&amp;"）；共識淨負債不含租賃","")</f>
        <v>淨負債隨 CapEx、投資與融資瀑布而定（模型 CapEx 差距 −0.9%）；共識淨負債不含租賃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IF(ABS(D30)&gt;輸入與假設!$C$553,"觀點","")</f>
        <v/>
      </c>
      <c r="D52" s="10" t="str">
        <f aca="false">IF(ABS(D30)&gt;輸入與假設!$C$553,"營收＝對外 AI 雲端（年底 "&amp;IF((輸入與假設!D$36)&lt;0,"−","")&amp;TEXT(ABS((輸入與假設!D$36)),"#,##0")&amp;" MW-IT × 每 MW 年收入，Tokenomics × k）＋搜尋／YouTube／聯播網／訂閱／Cloud 非 AI／TPU 銷售（近四季年增率收斂到長期值）；共識未揭露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IF(ABS(D37)&gt;輸入與假設!$C$554,"觀點","")</f>
        <v>觀點</v>
      </c>
      <c r="D53" s="10" t="str">
        <f aca="false">IF(ABS(D37)&gt;輸入與假設!$C$554,"營收差距 "&amp;IF((D30)&lt;0,"−","+")&amp;TEXT(ABS((D30))*100,"#,##0.0")&amp;"%"&amp;"；EBITDA 率 "&amp;IF((D35)&lt;0,"−","")&amp;TEXT(ABS((D35))*100,"#,##0.0")&amp;"%"&amp;" 對共識 "&amp;IF((D36)&lt;0,"−","")&amp;TEXT(ABS((D36))*100,"#,##0.0")&amp;"%"&amp;"（分部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−2.6%；EBITDA 率 36.9% 對共識 48.6%（分部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IF(ABS(D40)&gt;輸入與假設!$C$553,"觀點","")</f>
        <v>觀點</v>
      </c>
      <c r="D54" s="10" t="str">
        <f aca="false">IF(ABS(D40)&gt;輸入與假設!$C$553,"CapEx：首期取公司指引中點 200；公司 2027 只說「顯著增加」、無數字 → 依新增 AI MW（"&amp;IF((輸入與假設!D$298)&lt;0,"−","")&amp;TEXT(ABS((輸入與假設!D$298)),"#,##0")&amp;" MW-IT 對外）÷ 對外比例 × 每 MW $"&amp;IF((輸入與假設!D$279)&lt;0,"−","")&amp;TEXT(ABS((輸入與假設!D$279)),"#,##0")&amp;"m＋非 AI 強度推導；基準情境的新增速度由 2026 指引解出（C10），之後各年資本支出＝MW 路徑 × 每 MW 成本；共識 2027 301.0","")</f>
        <v>CapEx：首期取公司指引中點 200；公司 2027 只說「顯著增加」、無數字 → 依新增 AI MW（1,248 MW-IT 對外）÷ 對外比例 × 每 MW $46m＋非 AI 強度推導；基準情境的新增速度由 2026 指引解出（C10），之後各年資本支出＝MW 路徑 × 每 MW 成本；共識 2027 301.0</v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IF(ABS(D43)&gt;輸入與假設!$C$553,"觀點","")</f>
        <v>觀點</v>
      </c>
      <c r="D55" s="10" t="str">
        <f aca="false">IF(ABS(D43)&gt;輸入與假設!$C$553,"淨負債隨 CapEx、投資與融資瀑布而定（模型 CapEx 差距 "&amp;IF((D40)&lt;0,"−","+")&amp;TEXT(ABS((D40))*100,"#,##0.0")&amp;"%"&amp;"）；共識淨負債不含租賃","")</f>
        <v>淨負債隨 CapEx、投資與融資瀑布而定（模型 CapEx 差距 −21.3%）；共識淨負債不含租賃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IF(ABS(E30)&gt;輸入與假設!$C$553,"觀點","")</f>
        <v>觀點</v>
      </c>
      <c r="D56" s="10" t="str">
        <f aca="false">IF(ABS(E30)&gt;輸入與假設!$C$553,"營收＝對外 AI 雲端（年底 "&amp;IF((輸入與假設!E$36)&lt;0,"−","")&amp;TEXT(ABS((輸入與假設!E$36)),"#,##0")&amp;" MW-IT × 每 MW 年收入，Tokenomics × k）＋搜尋／YouTube／聯播網／訂閱／Cloud 非 AI／TPU 銷售（近四季年增率收斂到長期值）；共識未揭露 MW 與單價假設","")</f>
        <v>營收＝對外 AI 雲端（年底 5,021 MW-IT × 每 MW 年收入，Tokenomics × k）＋搜尋／YouTube／聯播網／訂閱／Cloud 非 AI／TPU 銷售（近四季年增率收斂到長期值）；共識未揭露 MW 與單價假設</v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IF(ABS(E37)&gt;輸入與假設!$C$554,"觀點","")</f>
        <v>觀點</v>
      </c>
      <c r="D57" s="10" t="str">
        <f aca="false">IF(ABS(E37)&gt;輸入與假設!$C$554,"營收差距 "&amp;IF((E30)&lt;0,"−","+")&amp;TEXT(ABS((E30))*100,"#,##0.0")&amp;"%"&amp;"；EBITDA 率 "&amp;IF((E35)&lt;0,"−","")&amp;TEXT(ABS((E35))*100,"#,##0.0")&amp;"%"&amp;" 對共識 "&amp;IF((E36)&lt;0,"−","")&amp;TEXT(ABS((E36))*100,"#,##0.0")&amp;"%"&amp;"（分部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−5.3%；EBITDA 率 37.0% 對共識 52.1%（分部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IF(ABS(E40)&gt;輸入與假設!$C$553,"觀點","")</f>
        <v>觀點</v>
      </c>
      <c r="D58" s="10" t="str">
        <f aca="false">IF(ABS(E40)&gt;輸入與假設!$C$553,"CapEx：首期取公司指引中點 200；公司 2027 只說「顯著增加」、無數字 → 依新增 AI MW（"&amp;IF((輸入與假設!E$298)&lt;0,"−","")&amp;TEXT(ABS((輸入與假設!E$298)),"#,##0")&amp;" MW-IT 對外）÷ 對外比例 × 每 MW $"&amp;IF((輸入與假設!E$279)&lt;0,"−","")&amp;TEXT(ABS((輸入與假設!E$279)),"#,##0")&amp;"m＋非 AI 強度推導；基準情境的新增速度由 2026 指引解出（C10），之後各年資本支出＝MW 路徑 × 每 MW 成本；共識 2027 301.0","")</f>
        <v>CapEx：首期取公司指引中點 200；公司 2027 只說「顯著增加」、無數字 → 依新增 AI MW（1,248 MW-IT 對外）÷ 對外比例 × 每 MW $48m＋非 AI 強度推導；基準情境的新增速度由 2026 指引解出（C10），之後各年資本支出＝MW 路徑 × 每 MW 成本；共識 2027 301.0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IF(ABS(E43)&gt;輸入與假設!$C$553,"觀點","")</f>
        <v>觀點</v>
      </c>
      <c r="D59" s="10" t="str">
        <f aca="false">IF(ABS(E43)&gt;輸入與假設!$C$553,"淨負債隨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−24.5%）；共識淨負債不含租賃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SUMPRODUCT(--(ABS(C30:E30)&gt;輸入與假設!$C$553))+SUMPRODUCT(--(ABS(C37:E37)&gt;輸入與假設!$C$554))+SUMPRODUCT(--(ABS(C40:E40)&gt;輸入與假設!$C$553))+SUMPRODUCT(--(ABS(C43:E43)&gt;輸入與假設!$C$553))</f>
        <v>9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9 項差距：觀點 9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(輸入與假設!$C$506*輸入與假設!$C$375+輸入與假設!$E$532)/輸入與假設!$E$525</f>
        <v>13.661703306463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(輸入與假設!$C$374*輸入與假設!$C$375+輸入與假設!$E$532)/輸入與假設!$E$525</f>
        <v>11.1225817995643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MAX(輸入與假設!$C$442,輸入與假設!$C$443)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輸入與假設!E$249</f>
        <v>219.613777527856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$506*輸入與假設!$C$375+輸入與假設!$E$532-輸入與假設!E$249*輸入與假設!$C$438)/MAX(輸入與假設!$E$525-輸入與假設!E$249,0.01))&lt;0.05,0,(輸入與假設!$C$506*輸入與假設!$C$375+輸入與假設!$E$532-輸入與假設!E$249*輸入與假設!$C$438)/MAX(輸入與假設!$E$525-輸入與假設!E$249,0.01))</f>
        <v>18.2709598658981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$374*輸入與假設!$C$375+輸入與假設!$E$532-輸入與假設!E$249*輸入與假設!$C$438)/MAX(輸入與假設!$E$525-輸入與假設!E$249,0.01))&lt;0.05,0,(輸入與假設!$C$374*輸入與假設!$C$375+輸入與假設!$E$532-輸入與假設!E$249*輸入與假設!$C$438)/MAX(輸入與假設!$E$525-輸入與假設!E$249,0.01))</f>
        <v>12.3152678516808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$"&amp;TEXT(輸入與假設!$C$506,"0.00")&amp;" 隱含 2028 EV/EBITDA "&amp;TEXT(C64,"0.0")&amp;"x（扣除非 AI 事業 "&amp;TEXT(輸入與假設!$C$438,"0.0")&amp;"x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$"&amp;TEXT(輸入與假設!$C$374,"0.00")&amp;" 隱含 "&amp;TEXT(C65,"0.0")&amp;"x（AI 雲端 "&amp;TEXT(C69,"0.0")&amp;"x）。"</f>
        <v>共識平均目標價 $429.47 隱含 2028 EV/EBITDA 13.7x（扣除非 AI 事業 10.2x × 模型 EBITDA $219.6bn 後，AI 雲端 18.3x），AI 雲端 倍數高於模型方法區間上緣 6x；現價 $350.50 隱含 11.1x（AI 雲端 12.3x）。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13.6377</v>
      </c>
      <c r="D71" s="17" t="str">
        <f aca="false">評價_反向DCF!C18</f>
        <v>無解</v>
      </c>
      <c r="E71" s="13" t="str">
        <f aca="false">評價_反向DCF!D18</f>
        <v>無解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48.3559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0.765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13.6377</v>
      </c>
      <c r="D74" s="17" t="str">
        <f aca="false">評價_反向DCF!C21</f>
        <v>無解</v>
      </c>
      <c r="E74" s="13" t="str">
        <f aca="false">評價_反向DCF!D21</f>
        <v>無解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Q3 2026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127.457436752333</v>
      </c>
      <c r="D78" s="10" t="str">
        <f aca="false">季度追蹤!D6</f>
        <v>不適用</v>
      </c>
      <c r="E78" s="10" t="str">
        <f aca="false">季度追蹤!F6</f>
        <v>不適用</v>
      </c>
      <c r="F78" s="10" t="str">
        <f aca="false">季度追蹤!G6</f>
        <v>不適用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INDEX(季度追蹤!$C$125:$H$125,輸入與假設!$C$559)</f>
        <v>營收：模型 $127.46bn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37.0432199229984</v>
      </c>
      <c r="D80" s="10" t="str">
        <f aca="false">季度追蹤!D9</f>
        <v>不適用</v>
      </c>
      <c r="E80" s="10" t="str">
        <f aca="false">季度追蹤!F9</f>
        <v>不適用</v>
      </c>
      <c r="F80" s="10" t="str">
        <f aca="false">季度追蹤!G9</f>
        <v>不適用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INDEX(季度追蹤!$C$128:$H$128,輸入與假設!$C$559)</f>
        <v>調整後營業利益：模型 $37.04bn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59.701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INDEX(季度追蹤!$C$129:$H$129,輸入與假設!$C$559)</f>
        <v>CapEx（毛額）：模型 $59.70bn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輸入與假設!$C$517</f>
        <v>43</v>
      </c>
      <c r="D84" s="9" t="n">
        <f aca="false">輸入與假設!$C$518</f>
        <v>13</v>
      </c>
      <c r="E84" s="9" t="n">
        <f aca="false">輸入與假設!$C$519</f>
        <v>5</v>
      </c>
      <c r="F84" s="9" t="n">
        <f aca="false">輸入與假設!$C$520</f>
        <v>0</v>
      </c>
      <c r="G84" s="9" t="n">
        <f aca="false">輸入與假設!$C$521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輸入與假設!$C$506</f>
        <v>429.47</v>
      </c>
      <c r="D85" s="12" t="n">
        <f aca="false">輸入與假設!$C$507</f>
        <v>430</v>
      </c>
      <c r="E85" s="12" t="n">
        <f aca="false">輸入與假設!$C$508</f>
        <v>340</v>
      </c>
      <c r="F85" s="12" t="n">
        <f aca="false">輸入與假設!$C$509</f>
        <v>515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已交付＋已公開在建","基準 依資本支出指引","積極 依 2027 擴張幅度")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1901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3171</v>
      </c>
      <c r="D9" s="21" t="n">
        <v>3171</v>
      </c>
      <c r="E9" s="21" t="n">
        <v>3171</v>
      </c>
      <c r="F9" s="21" t="n">
        <v>3171</v>
      </c>
      <c r="G9" s="21" t="n">
        <v>3171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850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2326</v>
      </c>
      <c r="D11" s="22" t="n">
        <f aca="false">MIN(D9,C11+輸入與假設!$C$10*D$34)</f>
        <v>3171</v>
      </c>
      <c r="E11" s="22" t="n">
        <f aca="false">MIN(E9,D11+輸入與假設!$C$10*E$34)</f>
        <v>3171</v>
      </c>
      <c r="F11" s="22" t="n">
        <f aca="false">MIN(F9,E11+輸入與假設!$C$10*F$34)</f>
        <v>3171</v>
      </c>
      <c r="G11" s="22" t="n">
        <f aca="false">MIN(G9,F11+輸入與假設!$C$10*G$34)</f>
        <v>3171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1247.9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2524.95</v>
      </c>
      <c r="D14" s="22" t="n">
        <f aca="false">MIN(D12,C14+輸入與假設!$C$13*D$34)</f>
        <v>3772.85</v>
      </c>
      <c r="E14" s="22" t="n">
        <f aca="false">MIN(E12,D14+輸入與假設!$C$13*E$34)</f>
        <v>5020.75</v>
      </c>
      <c r="F14" s="22" t="n">
        <f aca="false">MIN(F12,E14+輸入與假設!$C$13*F$34)</f>
        <v>6268.65</v>
      </c>
      <c r="G14" s="22" t="n">
        <f aca="false">MIN(G12,F14+輸入與假設!$C$13*G$34)</f>
        <v>7516.55</v>
      </c>
      <c r="I14" s="21" t="n">
        <v>1247.9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1871.9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2836.95</v>
      </c>
      <c r="D17" s="22" t="n">
        <f aca="false">MIN(D15,C17+輸入與假設!$C$16*D$34)</f>
        <v>4708.85</v>
      </c>
      <c r="E17" s="22" t="n">
        <f aca="false">MIN(E15,D17+輸入與假設!$C$16*E$34)</f>
        <v>6580.75</v>
      </c>
      <c r="F17" s="22" t="n">
        <f aca="false">MIN(F15,E17+輸入與假設!$C$16*F$34)</f>
        <v>8452.65</v>
      </c>
      <c r="G17" s="22" t="n">
        <f aca="false">MIN(G15,F17+輸入與假設!$C$16*G$34)</f>
        <v>10324.55</v>
      </c>
      <c r="I17" s="21" t="n">
        <v>1871.9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85.2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22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0.725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1462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1901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0.5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0.125</v>
      </c>
      <c r="D35" s="23" t="n">
        <v>0.25</v>
      </c>
      <c r="E35" s="23" t="n">
        <v>0.17</v>
      </c>
      <c r="F35" s="23" t="n">
        <v>0.09</v>
      </c>
      <c r="G35" s="23" t="n">
        <v>0.09</v>
      </c>
      <c r="H35" s="29" t="n">
        <f aca="false">SUM(C35:G35)</f>
        <v>0.725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2524.95</v>
      </c>
      <c r="D36" s="22" t="n">
        <f aca="false">CHOOSE(輸入與假設!$C$5,D11,D14,D17)</f>
        <v>3772.85</v>
      </c>
      <c r="E36" s="22" t="n">
        <f aca="false">CHOOSE(輸入與假設!$C$5,E11,E14,E17)</f>
        <v>5020.75</v>
      </c>
      <c r="F36" s="22" t="n">
        <f aca="false">CHOOSE(輸入與假設!$C$5,F11,F14,F17)</f>
        <v>6268.65</v>
      </c>
      <c r="G36" s="22" t="n">
        <f aca="false">CHOOSE(輸入與假設!$C$5,G11,G14,G17)</f>
        <v>7516.55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2525</v>
      </c>
      <c r="D37" s="22" t="n">
        <f aca="false">ROUND(D36*D18,0)</f>
        <v>3773</v>
      </c>
      <c r="E37" s="22" t="n">
        <f aca="false">ROUND(E36*E18,0)</f>
        <v>5021</v>
      </c>
      <c r="F37" s="22" t="n">
        <f aca="false">ROUND(F36*F18,0)</f>
        <v>6269</v>
      </c>
      <c r="G37" s="22" t="n">
        <f aca="false">ROUND(G36*G18,0)</f>
        <v>7517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C125*輸入與假設!$C$63/1000</f>
        <v>0.0119694243395313</v>
      </c>
      <c r="D39" s="30" t="n">
        <f aca="false">D125*輸入與假設!$C$63/1000</f>
        <v>0.0126008639849807</v>
      </c>
      <c r="E39" s="30" t="n">
        <f aca="false">E125*輸入與假設!$C$63/1000</f>
        <v>0.0131182733261634</v>
      </c>
      <c r="F39" s="30" t="n">
        <f aca="false">F125*輸入與假設!$C$63/1000</f>
        <v>0.0134296813379174</v>
      </c>
      <c r="G39" s="30" t="n">
        <f aca="false">G125*輸入與假設!$C$63/1000</f>
        <v>0.0136376892371549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231</v>
      </c>
      <c r="C45" s="24" t="n">
        <v>11.04</v>
      </c>
      <c r="I45" s="6" t="s">
        <v>232</v>
      </c>
    </row>
    <row r="46" customFormat="false" ht="15" hidden="false" customHeight="false" outlineLevel="1" collapsed="false">
      <c r="A46" s="3" t="s">
        <v>233</v>
      </c>
      <c r="B46" s="6" t="s">
        <v>184</v>
      </c>
      <c r="C46" s="31" t="n">
        <v>0.25</v>
      </c>
      <c r="D46" s="31" t="n">
        <v>1</v>
      </c>
      <c r="E46" s="31" t="n">
        <v>1</v>
      </c>
      <c r="F46" s="31" t="n">
        <v>0.5</v>
      </c>
      <c r="G46" s="31" t="n">
        <v>0</v>
      </c>
      <c r="I46" s="6" t="s">
        <v>234</v>
      </c>
    </row>
    <row r="47" customFormat="false" ht="15" hidden="false" customHeight="false" outlineLevel="1" collapsed="false">
      <c r="A47" s="3" t="s">
        <v>235</v>
      </c>
      <c r="B47" s="11" t="s">
        <v>65</v>
      </c>
      <c r="C47" s="32" t="n">
        <f aca="false">輸入與假設!$C$45*C46</f>
        <v>2.76</v>
      </c>
      <c r="D47" s="32" t="n">
        <f aca="false">輸入與假設!$C$45*D46</f>
        <v>11.04</v>
      </c>
      <c r="E47" s="32" t="n">
        <f aca="false">輸入與假設!$C$45*E46</f>
        <v>11.04</v>
      </c>
      <c r="F47" s="32" t="n">
        <f aca="false">輸入與假設!$C$45*F46</f>
        <v>5.52</v>
      </c>
      <c r="G47" s="32" t="n">
        <f aca="false">輸入與假設!$C$45*G46</f>
        <v>0</v>
      </c>
      <c r="I47" s="6" t="s">
        <v>236</v>
      </c>
    </row>
    <row r="48" customFormat="false" ht="15" hidden="false" customHeight="false" outlineLevel="1" collapsed="false">
      <c r="A48" s="3" t="s">
        <v>237</v>
      </c>
      <c r="B48" s="11" t="s">
        <v>65</v>
      </c>
      <c r="C48" s="32" t="n">
        <f aca="false">C44-C47</f>
        <v>-2.76</v>
      </c>
      <c r="D48" s="32" t="n">
        <f aca="false">D44-D47</f>
        <v>-11.04</v>
      </c>
      <c r="E48" s="32" t="n">
        <f aca="false">E44-E47</f>
        <v>-11.04</v>
      </c>
      <c r="F48" s="32" t="n">
        <f aca="false">F44-F47</f>
        <v>-5.52</v>
      </c>
      <c r="G48" s="32" t="n">
        <f aca="false">G44-G47</f>
        <v>0</v>
      </c>
      <c r="I48" s="6" t="s">
        <v>238</v>
      </c>
    </row>
    <row r="49" customFormat="false" ht="15" hidden="false" customHeight="false" outlineLevel="1" collapsed="false">
      <c r="A49" s="3" t="s">
        <v>239</v>
      </c>
      <c r="B49" s="11" t="s">
        <v>42</v>
      </c>
      <c r="C49" s="33" t="n">
        <v>0.063129</v>
      </c>
      <c r="I49" s="6" t="s">
        <v>240</v>
      </c>
    </row>
    <row r="50" customFormat="false" ht="15" hidden="false" customHeight="false" outlineLevel="1" collapsed="false">
      <c r="A50" s="4" t="s">
        <v>241</v>
      </c>
      <c r="B50" s="11" t="s">
        <v>65</v>
      </c>
      <c r="C50" s="24" t="n">
        <v>8.49</v>
      </c>
      <c r="I50" s="6" t="s">
        <v>242</v>
      </c>
    </row>
    <row r="51" customFormat="false" ht="15" hidden="false" customHeight="false" outlineLevel="1" collapsed="false">
      <c r="A51" s="34" t="s">
        <v>243</v>
      </c>
      <c r="B51" s="20"/>
      <c r="C51" s="20"/>
      <c r="D51" s="20"/>
      <c r="E51" s="20"/>
      <c r="F51" s="20"/>
      <c r="G51" s="20"/>
      <c r="H51" s="20"/>
    </row>
    <row r="52" customFormat="false" ht="15" hidden="false" customHeight="false" outlineLevel="2" collapsed="false">
      <c r="A52" s="2" t="s">
        <v>244</v>
      </c>
      <c r="C52" s="18" t="n">
        <v>2</v>
      </c>
      <c r="D52" s="2" t="str">
        <f aca="false">CHOOSE(C52,"低 長約下緣","基準 C1 混合","高 現貨改用 GCP 牌價")</f>
        <v>基準 C1 混合</v>
      </c>
      <c r="I52" s="6" t="s">
        <v>245</v>
      </c>
    </row>
    <row r="53" customFormat="false" ht="17.15" hidden="false" customHeight="false" outlineLevel="2" collapsed="false">
      <c r="A53" s="15" t="s">
        <v>246</v>
      </c>
      <c r="B53" s="14" t="s">
        <v>60</v>
      </c>
      <c r="C53" s="14" t="s">
        <v>247</v>
      </c>
      <c r="D53" s="14" t="s">
        <v>248</v>
      </c>
      <c r="E53" s="14" t="s">
        <v>249</v>
      </c>
    </row>
    <row r="54" customFormat="false" ht="15" hidden="false" customHeight="false" outlineLevel="2" collapsed="false">
      <c r="A54" s="3" t="s">
        <v>250</v>
      </c>
      <c r="B54" s="11" t="s">
        <v>251</v>
      </c>
      <c r="C54" s="35" t="n">
        <v>2.82</v>
      </c>
      <c r="D54" s="36" t="n">
        <f aca="false">TK_GPUhrEcon_H100</f>
        <v>1.54259654785589</v>
      </c>
      <c r="E54" s="31" t="n">
        <f aca="false">C54/D54</f>
        <v>1.82808654921445</v>
      </c>
      <c r="I54" s="6" t="s">
        <v>252</v>
      </c>
    </row>
    <row r="55" customFormat="false" ht="15" hidden="false" customHeight="false" outlineLevel="2" collapsed="false">
      <c r="A55" s="3" t="s">
        <v>253</v>
      </c>
      <c r="B55" s="11" t="s">
        <v>251</v>
      </c>
      <c r="C55" s="35" t="n">
        <v>4.858</v>
      </c>
      <c r="D55" s="36" t="n">
        <f aca="false">TK_GPUhrEcon_H100</f>
        <v>1.54259654785589</v>
      </c>
      <c r="E55" s="31" t="n">
        <f aca="false">C55/D55</f>
        <v>3.14923562272475</v>
      </c>
      <c r="I55" s="11" t="s">
        <v>254</v>
      </c>
    </row>
    <row r="56" customFormat="false" ht="15" hidden="false" customHeight="false" outlineLevel="2" collapsed="false">
      <c r="A56" s="3" t="s">
        <v>255</v>
      </c>
      <c r="B56" s="11" t="s">
        <v>256</v>
      </c>
      <c r="C56" s="35" t="n">
        <v>9.5715</v>
      </c>
      <c r="D56" s="36" t="n">
        <f aca="false">TK_HoldEcon_VR200</f>
        <v>12.2254710045841</v>
      </c>
      <c r="E56" s="31" t="n">
        <f aca="false">C56/D56</f>
        <v>0.782914621155376</v>
      </c>
      <c r="I56" s="6" t="s">
        <v>257</v>
      </c>
    </row>
    <row r="57" customFormat="false" ht="15" hidden="false" customHeight="false" outlineLevel="2" collapsed="false">
      <c r="A57" s="3" t="s">
        <v>258</v>
      </c>
      <c r="B57" s="11" t="s">
        <v>256</v>
      </c>
      <c r="C57" s="35" t="n">
        <v>7.6572</v>
      </c>
      <c r="D57" s="36" t="n">
        <f aca="false">TK_HoldEcon_VR200</f>
        <v>12.2254710045841</v>
      </c>
      <c r="E57" s="31" t="n">
        <f aca="false">C57/D57</f>
        <v>0.626331696924301</v>
      </c>
      <c r="I57" s="6" t="s">
        <v>259</v>
      </c>
    </row>
    <row r="58" customFormat="false" ht="17.15" hidden="false" customHeight="false" outlineLevel="2" collapsed="false">
      <c r="A58" s="15" t="s">
        <v>260</v>
      </c>
      <c r="B58" s="14" t="s">
        <v>60</v>
      </c>
      <c r="C58" s="14" t="s">
        <v>261</v>
      </c>
      <c r="D58" s="14" t="s">
        <v>262</v>
      </c>
      <c r="E58" s="14" t="s">
        <v>263</v>
      </c>
    </row>
    <row r="59" customFormat="false" ht="15" hidden="false" customHeight="false" outlineLevel="2" collapsed="false">
      <c r="A59" s="4" t="s">
        <v>264</v>
      </c>
      <c r="B59" s="6" t="s">
        <v>265</v>
      </c>
      <c r="C59" s="37" t="n">
        <f aca="false">C57/TK_HoldEcon_VR200</f>
        <v>0.626331696924301</v>
      </c>
      <c r="D59" s="37" t="n">
        <f aca="false">C56/TK_HoldEcon_VR200</f>
        <v>0.782914621155376</v>
      </c>
      <c r="E59" s="37" t="n">
        <f aca="false">C56/TK_HoldEcon_VR200</f>
        <v>0.782914621155376</v>
      </c>
      <c r="I59" s="6" t="s">
        <v>266</v>
      </c>
    </row>
    <row r="60" customFormat="false" ht="15" hidden="false" customHeight="false" outlineLevel="2" collapsed="false">
      <c r="A60" s="4" t="s">
        <v>267</v>
      </c>
      <c r="B60" s="6" t="s">
        <v>265</v>
      </c>
      <c r="C60" s="37" t="n">
        <f aca="false">C54/TK_GPUhrEcon_H100</f>
        <v>1.82808654921445</v>
      </c>
      <c r="D60" s="37" t="n">
        <f aca="false">C54/TK_GPUhrEcon_H100</f>
        <v>1.82808654921445</v>
      </c>
      <c r="E60" s="37" t="n">
        <f aca="false">C55/TK_GPUhrEcon_H100</f>
        <v>3.14923562272475</v>
      </c>
      <c r="I60" s="6" t="s">
        <v>268</v>
      </c>
    </row>
    <row r="61" customFormat="false" ht="15" hidden="false" customHeight="false" outlineLevel="2" collapsed="false">
      <c r="A61" s="3" t="s">
        <v>269</v>
      </c>
      <c r="B61" s="11" t="s">
        <v>42</v>
      </c>
      <c r="C61" s="23" t="n">
        <v>0.6</v>
      </c>
      <c r="D61" s="23" t="n">
        <v>0.6</v>
      </c>
      <c r="E61" s="23" t="n">
        <v>0.6</v>
      </c>
      <c r="I61" s="6" t="s">
        <v>270</v>
      </c>
    </row>
    <row r="62" customFormat="false" ht="15" hidden="false" customHeight="false" outlineLevel="2" collapsed="false">
      <c r="A62" s="3" t="s">
        <v>271</v>
      </c>
      <c r="B62" s="6" t="s">
        <v>265</v>
      </c>
      <c r="C62" s="31" t="n">
        <f aca="false">C61*C59+(1-C61)*C60</f>
        <v>1.10703363784036</v>
      </c>
      <c r="D62" s="31" t="n">
        <f aca="false">D61*D59+(1-D61)*D60</f>
        <v>1.20098339237901</v>
      </c>
      <c r="E62" s="31" t="n">
        <f aca="false">E61*E59+(1-E61)*E60</f>
        <v>1.72944302178313</v>
      </c>
      <c r="I62" s="6" t="s">
        <v>272</v>
      </c>
    </row>
    <row r="63" customFormat="false" ht="15" hidden="false" customHeight="false" outlineLevel="2" collapsed="false">
      <c r="A63" s="3" t="s">
        <v>273</v>
      </c>
      <c r="B63" s="6" t="s">
        <v>265</v>
      </c>
      <c r="C63" s="38" t="n">
        <f aca="false">CHOOSE(輸入與假設!$C$52,C62,D62,E62)</f>
        <v>1.20098339237901</v>
      </c>
      <c r="I63" s="6" t="s">
        <v>274</v>
      </c>
    </row>
    <row r="64" customFormat="false" ht="15" hidden="false" customHeight="false" outlineLevel="2" collapsed="false">
      <c r="A64" s="3" t="s">
        <v>275</v>
      </c>
      <c r="B64" s="6" t="s">
        <v>265</v>
      </c>
      <c r="C64" s="39" t="n">
        <v>1</v>
      </c>
      <c r="I64" s="6" t="s">
        <v>276</v>
      </c>
    </row>
    <row r="65" customFormat="false" ht="15" hidden="false" customHeight="false" outlineLevel="2" collapsed="false">
      <c r="A65" s="3" t="s">
        <v>277</v>
      </c>
      <c r="B65" s="6" t="s">
        <v>265</v>
      </c>
      <c r="C65" s="39" t="n">
        <v>1</v>
      </c>
      <c r="I65" s="6" t="s">
        <v>278</v>
      </c>
    </row>
    <row r="66" customFormat="false" ht="15" hidden="false" customHeight="false" outlineLevel="2" collapsed="false">
      <c r="A66" s="3" t="s">
        <v>279</v>
      </c>
      <c r="B66" s="11" t="s">
        <v>42</v>
      </c>
      <c r="C66" s="23" t="n">
        <v>0.5</v>
      </c>
      <c r="I66" s="6" t="s">
        <v>280</v>
      </c>
    </row>
    <row r="67" customFormat="false" ht="15" hidden="false" customHeight="false" outlineLevel="2" collapsed="false">
      <c r="A67" s="14" t="s">
        <v>59</v>
      </c>
      <c r="B67" s="14" t="s">
        <v>60</v>
      </c>
      <c r="C67" s="28" t="s">
        <v>61</v>
      </c>
      <c r="D67" s="28" t="s">
        <v>62</v>
      </c>
      <c r="E67" s="28" t="s">
        <v>63</v>
      </c>
      <c r="F67" s="28" t="s">
        <v>153</v>
      </c>
      <c r="G67" s="28" t="s">
        <v>154</v>
      </c>
      <c r="I67" s="14" t="s">
        <v>206</v>
      </c>
    </row>
    <row r="68" customFormat="false" ht="15" hidden="false" customHeight="false" outlineLevel="2" collapsed="false">
      <c r="A68" s="3" t="s">
        <v>281</v>
      </c>
      <c r="B68" s="11" t="s">
        <v>282</v>
      </c>
      <c r="C68" s="31" t="n">
        <f aca="false">TK_HoldEcon_H100*輸入與假設!$C$64</f>
        <v>9.70308728611469</v>
      </c>
      <c r="I68" s="11" t="s">
        <v>283</v>
      </c>
    </row>
    <row r="69" customFormat="false" ht="15" hidden="false" customHeight="false" outlineLevel="2" collapsed="false">
      <c r="A69" s="3" t="s">
        <v>284</v>
      </c>
      <c r="B69" s="11" t="s">
        <v>282</v>
      </c>
      <c r="C69" s="31" t="n">
        <f aca="false">TK_OpexGW_H100</f>
        <v>1.88466748019734</v>
      </c>
      <c r="I69" s="11" t="s">
        <v>285</v>
      </c>
    </row>
    <row r="70" customFormat="false" ht="15" hidden="false" customHeight="false" outlineLevel="2" collapsed="false">
      <c r="A70" s="3" t="s">
        <v>286</v>
      </c>
      <c r="B70" s="11" t="s">
        <v>282</v>
      </c>
      <c r="C70" s="31" t="n">
        <f aca="false">TK_IFW_RevGWFleet_Util_H100</f>
        <v>6.71554695343303</v>
      </c>
      <c r="I70" s="11" t="s">
        <v>287</v>
      </c>
    </row>
    <row r="71" customFormat="false" ht="15" hidden="false" customHeight="false" outlineLevel="2" collapsed="false">
      <c r="A71" s="3" t="s">
        <v>288</v>
      </c>
      <c r="B71" s="11" t="s">
        <v>282</v>
      </c>
      <c r="C71" s="31" t="n">
        <f aca="false">TK_IFW_RevGWFleet_Prod_H100</f>
        <v>5.04124770296105</v>
      </c>
      <c r="I71" s="11" t="s">
        <v>289</v>
      </c>
    </row>
    <row r="72" customFormat="false" ht="15" hidden="false" customHeight="false" outlineLevel="2" collapsed="false">
      <c r="A72" s="3" t="s">
        <v>290</v>
      </c>
      <c r="B72" s="11" t="s">
        <v>42</v>
      </c>
      <c r="C72" s="23" t="n">
        <v>0.15</v>
      </c>
      <c r="I72" s="6" t="s">
        <v>291</v>
      </c>
    </row>
    <row r="73" customFormat="false" ht="15" hidden="false" customHeight="false" outlineLevel="2" collapsed="false">
      <c r="A73" s="3" t="s">
        <v>292</v>
      </c>
      <c r="B73" s="11" t="s">
        <v>42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I73" s="6" t="s">
        <v>293</v>
      </c>
    </row>
    <row r="74" customFormat="false" ht="15" hidden="false" customHeight="false" outlineLevel="2" collapsed="false">
      <c r="A74" s="3" t="s">
        <v>294</v>
      </c>
      <c r="B74" s="11" t="s">
        <v>157</v>
      </c>
      <c r="C74" s="22" t="n">
        <f aca="false">輸入與假設!$C$72*輸入與假設!$C$29+MAX(0,C36-輸入與假設!$C$29)*C73</f>
        <v>285.15</v>
      </c>
      <c r="D74" s="22" t="n">
        <f aca="false">C74+MAX(0,D36-C36)*D73</f>
        <v>285.15</v>
      </c>
      <c r="E74" s="22" t="n">
        <f aca="false">D74+MAX(0,E36-D36)*E73</f>
        <v>285.15</v>
      </c>
      <c r="F74" s="22" t="n">
        <f aca="false">E74+MAX(0,F36-E36)*F73</f>
        <v>285.15</v>
      </c>
      <c r="G74" s="22" t="n">
        <f aca="false">F74+MAX(0,G36-F36)*G73</f>
        <v>285.15</v>
      </c>
      <c r="I74" s="6" t="s">
        <v>295</v>
      </c>
    </row>
    <row r="75" customFormat="false" ht="15" hidden="false" customHeight="false" outlineLevel="2" collapsed="false">
      <c r="A75" s="3" t="s">
        <v>296</v>
      </c>
      <c r="B75" s="11" t="s">
        <v>282</v>
      </c>
      <c r="C75" s="31" t="n">
        <f aca="false">TK_HoldEcon_H100</f>
        <v>9.70308728611469</v>
      </c>
      <c r="I75" s="11" t="s">
        <v>297</v>
      </c>
    </row>
    <row r="76" customFormat="false" ht="15" hidden="false" customHeight="false" outlineLevel="2" collapsed="false">
      <c r="A76" s="3" t="s">
        <v>298</v>
      </c>
      <c r="B76" s="11" t="s">
        <v>282</v>
      </c>
      <c r="C76" s="31" t="n">
        <f aca="false">TK_OpexGW_H100</f>
        <v>1.88466748019734</v>
      </c>
      <c r="I76" s="11" t="s">
        <v>285</v>
      </c>
    </row>
    <row r="77" customFormat="false" ht="15" hidden="false" customHeight="false" outlineLevel="2" collapsed="false">
      <c r="A77" s="3" t="s">
        <v>299</v>
      </c>
      <c r="B77" s="11" t="s">
        <v>282</v>
      </c>
      <c r="C77" s="31" t="n">
        <f aca="false">TK_IFW_RevGWFleet_Util_H100</f>
        <v>6.71554695343303</v>
      </c>
      <c r="I77" s="11" t="s">
        <v>287</v>
      </c>
    </row>
    <row r="78" customFormat="false" ht="15" hidden="false" customHeight="false" outlineLevel="2" collapsed="false">
      <c r="A78" s="3" t="s">
        <v>300</v>
      </c>
      <c r="B78" s="11" t="s">
        <v>282</v>
      </c>
      <c r="C78" s="31" t="n">
        <f aca="false">TK_IFW_RevGWFleet_Prod_H100</f>
        <v>5.04124770296105</v>
      </c>
      <c r="I78" s="11" t="s">
        <v>289</v>
      </c>
    </row>
    <row r="79" customFormat="false" ht="15" hidden="false" customHeight="false" outlineLevel="2" collapsed="false">
      <c r="A79" s="3" t="s">
        <v>301</v>
      </c>
      <c r="B79" s="11" t="s">
        <v>42</v>
      </c>
      <c r="C79" s="23" t="n">
        <v>0.1</v>
      </c>
      <c r="I79" s="6" t="s">
        <v>302</v>
      </c>
    </row>
    <row r="80" customFormat="false" ht="15" hidden="false" customHeight="false" outlineLevel="2" collapsed="false">
      <c r="A80" s="3" t="s">
        <v>303</v>
      </c>
      <c r="B80" s="11" t="s">
        <v>42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  <c r="I80" s="6" t="s">
        <v>293</v>
      </c>
    </row>
    <row r="81" customFormat="false" ht="15" hidden="false" customHeight="false" outlineLevel="2" collapsed="false">
      <c r="A81" s="3" t="s">
        <v>304</v>
      </c>
      <c r="B81" s="11" t="s">
        <v>157</v>
      </c>
      <c r="C81" s="22" t="n">
        <f aca="false">輸入與假設!$C$79*輸入與假設!$C$29+MAX(0,C36-輸入與假設!$C$29)*C80</f>
        <v>190.1</v>
      </c>
      <c r="D81" s="22" t="n">
        <f aca="false">C81+MAX(0,D36-C36)*D80</f>
        <v>190.1</v>
      </c>
      <c r="E81" s="22" t="n">
        <f aca="false">D81+MAX(0,E36-D36)*E80</f>
        <v>190.1</v>
      </c>
      <c r="F81" s="22" t="n">
        <f aca="false">E81+MAX(0,F36-E36)*F80</f>
        <v>190.1</v>
      </c>
      <c r="G81" s="22" t="n">
        <f aca="false">F81+MAX(0,G36-F36)*G80</f>
        <v>190.1</v>
      </c>
      <c r="I81" s="6" t="s">
        <v>295</v>
      </c>
    </row>
    <row r="82" customFormat="false" ht="15" hidden="false" customHeight="false" outlineLevel="2" collapsed="false">
      <c r="A82" s="3" t="s">
        <v>305</v>
      </c>
      <c r="B82" s="11" t="s">
        <v>282</v>
      </c>
      <c r="C82" s="31" t="n">
        <f aca="false">TK_HoldEcon_GB200*輸入與假設!$C$64</f>
        <v>8.82816556596761</v>
      </c>
      <c r="I82" s="11" t="s">
        <v>306</v>
      </c>
    </row>
    <row r="83" customFormat="false" ht="15" hidden="false" customHeight="false" outlineLevel="2" collapsed="false">
      <c r="A83" s="3" t="s">
        <v>307</v>
      </c>
      <c r="B83" s="11" t="s">
        <v>282</v>
      </c>
      <c r="C83" s="31" t="n">
        <f aca="false">TK_OpexGW_GB200</f>
        <v>1.812232738713</v>
      </c>
      <c r="I83" s="11" t="s">
        <v>308</v>
      </c>
    </row>
    <row r="84" customFormat="false" ht="15" hidden="false" customHeight="false" outlineLevel="2" collapsed="false">
      <c r="A84" s="3" t="s">
        <v>309</v>
      </c>
      <c r="B84" s="11" t="s">
        <v>282</v>
      </c>
      <c r="C84" s="31" t="n">
        <f aca="false">TK_IFW_RevGWFleet_Util_GB200</f>
        <v>33.0426250546846</v>
      </c>
      <c r="I84" s="11" t="s">
        <v>310</v>
      </c>
    </row>
    <row r="85" customFormat="false" ht="15" hidden="false" customHeight="false" outlineLevel="2" collapsed="false">
      <c r="A85" s="3" t="s">
        <v>311</v>
      </c>
      <c r="B85" s="11" t="s">
        <v>282</v>
      </c>
      <c r="C85" s="31" t="n">
        <f aca="false">TK_IFW_RevGWFleet_Prod_GB200</f>
        <v>26.3995837309476</v>
      </c>
      <c r="I85" s="11" t="s">
        <v>312</v>
      </c>
    </row>
    <row r="86" customFormat="false" ht="15" hidden="false" customHeight="false" outlineLevel="2" collapsed="false">
      <c r="A86" s="3" t="s">
        <v>313</v>
      </c>
      <c r="B86" s="11" t="s">
        <v>42</v>
      </c>
      <c r="C86" s="23" t="n">
        <v>0.35</v>
      </c>
      <c r="I86" s="6" t="s">
        <v>302</v>
      </c>
    </row>
    <row r="87" customFormat="false" ht="15" hidden="false" customHeight="false" outlineLevel="2" collapsed="false">
      <c r="A87" s="3" t="s">
        <v>314</v>
      </c>
      <c r="B87" s="11" t="s">
        <v>42</v>
      </c>
      <c r="C87" s="23" t="n">
        <v>0</v>
      </c>
      <c r="D87" s="23" t="n">
        <v>0</v>
      </c>
      <c r="E87" s="23" t="n">
        <v>0</v>
      </c>
      <c r="F87" s="23" t="n">
        <v>0</v>
      </c>
      <c r="G87" s="23" t="n">
        <v>0</v>
      </c>
      <c r="I87" s="6" t="s">
        <v>293</v>
      </c>
    </row>
    <row r="88" customFormat="false" ht="15" hidden="false" customHeight="false" outlineLevel="2" collapsed="false">
      <c r="A88" s="3" t="s">
        <v>315</v>
      </c>
      <c r="B88" s="11" t="s">
        <v>157</v>
      </c>
      <c r="C88" s="22" t="n">
        <f aca="false">輸入與假設!$C$86*輸入與假設!$C$29+MAX(0,C36-輸入與假設!$C$29)*C87</f>
        <v>665.35</v>
      </c>
      <c r="D88" s="22" t="n">
        <f aca="false">C88+MAX(0,D36-C36)*D87</f>
        <v>665.35</v>
      </c>
      <c r="E88" s="22" t="n">
        <f aca="false">D88+MAX(0,E36-D36)*E87</f>
        <v>665.35</v>
      </c>
      <c r="F88" s="22" t="n">
        <f aca="false">E88+MAX(0,F36-E36)*F87</f>
        <v>665.35</v>
      </c>
      <c r="G88" s="22" t="n">
        <f aca="false">F88+MAX(0,G36-F36)*G87</f>
        <v>665.35</v>
      </c>
      <c r="I88" s="6" t="s">
        <v>295</v>
      </c>
    </row>
    <row r="89" customFormat="false" ht="15" hidden="false" customHeight="false" outlineLevel="2" collapsed="false">
      <c r="A89" s="3" t="s">
        <v>316</v>
      </c>
      <c r="B89" s="11" t="s">
        <v>282</v>
      </c>
      <c r="C89" s="31" t="n">
        <f aca="false">TK_HoldEcon_GB200</f>
        <v>8.82816556596761</v>
      </c>
      <c r="I89" s="11" t="s">
        <v>317</v>
      </c>
    </row>
    <row r="90" customFormat="false" ht="15" hidden="false" customHeight="false" outlineLevel="2" collapsed="false">
      <c r="A90" s="3" t="s">
        <v>318</v>
      </c>
      <c r="B90" s="11" t="s">
        <v>282</v>
      </c>
      <c r="C90" s="31" t="n">
        <f aca="false">TK_OpexGW_GB200</f>
        <v>1.812232738713</v>
      </c>
      <c r="I90" s="11" t="s">
        <v>308</v>
      </c>
    </row>
    <row r="91" customFormat="false" ht="15" hidden="false" customHeight="false" outlineLevel="2" collapsed="false">
      <c r="A91" s="3" t="s">
        <v>319</v>
      </c>
      <c r="B91" s="11" t="s">
        <v>282</v>
      </c>
      <c r="C91" s="31" t="n">
        <f aca="false">TK_IFW_RevGWFleet_Util_GB200</f>
        <v>33.0426250546846</v>
      </c>
      <c r="I91" s="11" t="s">
        <v>310</v>
      </c>
    </row>
    <row r="92" customFormat="false" ht="15" hidden="false" customHeight="false" outlineLevel="2" collapsed="false">
      <c r="A92" s="3" t="s">
        <v>320</v>
      </c>
      <c r="B92" s="11" t="s">
        <v>282</v>
      </c>
      <c r="C92" s="31" t="n">
        <f aca="false">TK_IFW_RevGWFleet_Prod_GB200</f>
        <v>26.3995837309476</v>
      </c>
      <c r="I92" s="11" t="s">
        <v>312</v>
      </c>
    </row>
    <row r="93" customFormat="false" ht="15" hidden="false" customHeight="false" outlineLevel="2" collapsed="false">
      <c r="A93" s="3" t="s">
        <v>321</v>
      </c>
      <c r="B93" s="11" t="s">
        <v>42</v>
      </c>
      <c r="C93" s="23" t="n">
        <v>0.1</v>
      </c>
      <c r="I93" s="6" t="s">
        <v>302</v>
      </c>
    </row>
    <row r="94" customFormat="false" ht="15" hidden="false" customHeight="false" outlineLevel="2" collapsed="false">
      <c r="A94" s="3" t="s">
        <v>322</v>
      </c>
      <c r="B94" s="11" t="s">
        <v>42</v>
      </c>
      <c r="C94" s="23" t="n">
        <v>0</v>
      </c>
      <c r="D94" s="23" t="n">
        <v>0</v>
      </c>
      <c r="E94" s="23" t="n">
        <v>0</v>
      </c>
      <c r="F94" s="23" t="n">
        <v>0</v>
      </c>
      <c r="G94" s="23" t="n">
        <v>0</v>
      </c>
      <c r="I94" s="6" t="s">
        <v>293</v>
      </c>
    </row>
    <row r="95" customFormat="false" ht="15" hidden="false" customHeight="false" outlineLevel="2" collapsed="false">
      <c r="A95" s="3" t="s">
        <v>323</v>
      </c>
      <c r="B95" s="11" t="s">
        <v>157</v>
      </c>
      <c r="C95" s="22" t="n">
        <f aca="false">輸入與假設!$C$93*輸入與假設!$C$29+MAX(0,C36-輸入與假設!$C$29)*C94</f>
        <v>190.1</v>
      </c>
      <c r="D95" s="22" t="n">
        <f aca="false">C95+MAX(0,D36-C36)*D94</f>
        <v>190.1</v>
      </c>
      <c r="E95" s="22" t="n">
        <f aca="false">D95+MAX(0,E36-D36)*E94</f>
        <v>190.1</v>
      </c>
      <c r="F95" s="22" t="n">
        <f aca="false">E95+MAX(0,F36-E36)*F94</f>
        <v>190.1</v>
      </c>
      <c r="G95" s="22" t="n">
        <f aca="false">F95+MAX(0,G36-F36)*G94</f>
        <v>190.1</v>
      </c>
      <c r="I95" s="6" t="s">
        <v>295</v>
      </c>
    </row>
    <row r="96" customFormat="false" ht="15" hidden="false" customHeight="false" outlineLevel="2" collapsed="false">
      <c r="A96" s="3" t="s">
        <v>324</v>
      </c>
      <c r="B96" s="11" t="s">
        <v>282</v>
      </c>
      <c r="C96" s="31" t="n">
        <f aca="false">TK_HoldEcon_GB300*輸入與假設!$C$64</f>
        <v>10.8864110021101</v>
      </c>
      <c r="I96" s="11" t="s">
        <v>325</v>
      </c>
    </row>
    <row r="97" customFormat="false" ht="15" hidden="false" customHeight="false" outlineLevel="2" collapsed="false">
      <c r="A97" s="3" t="s">
        <v>326</v>
      </c>
      <c r="B97" s="11" t="s">
        <v>282</v>
      </c>
      <c r="C97" s="31" t="n">
        <f aca="false">TK_OpexGW_GB300</f>
        <v>1.98263481314457</v>
      </c>
      <c r="I97" s="11" t="s">
        <v>327</v>
      </c>
    </row>
    <row r="98" customFormat="false" ht="15" hidden="false" customHeight="false" outlineLevel="2" collapsed="false">
      <c r="A98" s="3" t="s">
        <v>328</v>
      </c>
      <c r="B98" s="11" t="s">
        <v>282</v>
      </c>
      <c r="C98" s="31" t="n">
        <f aca="false">TK_IFW_RevGWFleet_Util_GB300</f>
        <v>40.2705941922573</v>
      </c>
      <c r="I98" s="11" t="s">
        <v>329</v>
      </c>
    </row>
    <row r="99" customFormat="false" ht="15" hidden="false" customHeight="false" outlineLevel="2" collapsed="false">
      <c r="A99" s="3" t="s">
        <v>330</v>
      </c>
      <c r="B99" s="11" t="s">
        <v>282</v>
      </c>
      <c r="C99" s="31" t="n">
        <f aca="false">TK_IFW_RevGWFleet_Prod_GB300</f>
        <v>31.8934876254392</v>
      </c>
      <c r="I99" s="11" t="s">
        <v>331</v>
      </c>
    </row>
    <row r="100" customFormat="false" ht="15" hidden="false" customHeight="false" outlineLevel="2" collapsed="false">
      <c r="A100" s="3" t="s">
        <v>332</v>
      </c>
      <c r="B100" s="11" t="s">
        <v>42</v>
      </c>
      <c r="C100" s="23" t="n">
        <v>0.3</v>
      </c>
      <c r="I100" s="6" t="s">
        <v>302</v>
      </c>
    </row>
    <row r="101" customFormat="false" ht="15" hidden="false" customHeight="false" outlineLevel="2" collapsed="false">
      <c r="A101" s="3" t="s">
        <v>333</v>
      </c>
      <c r="B101" s="11" t="s">
        <v>42</v>
      </c>
      <c r="C101" s="23" t="n">
        <v>0.75</v>
      </c>
      <c r="D101" s="23" t="n">
        <v>0.4</v>
      </c>
      <c r="E101" s="23" t="n">
        <v>0</v>
      </c>
      <c r="F101" s="23" t="n">
        <v>0</v>
      </c>
      <c r="G101" s="23" t="n">
        <v>0</v>
      </c>
      <c r="I101" s="6" t="s">
        <v>293</v>
      </c>
    </row>
    <row r="102" customFormat="false" ht="15" hidden="false" customHeight="false" outlineLevel="2" collapsed="false">
      <c r="A102" s="3" t="s">
        <v>334</v>
      </c>
      <c r="B102" s="11" t="s">
        <v>157</v>
      </c>
      <c r="C102" s="22" t="n">
        <f aca="false">輸入與假設!$C$100*輸入與假設!$C$29+MAX(0,C36-輸入與假設!$C$29)*C101</f>
        <v>1038.2625</v>
      </c>
      <c r="D102" s="22" t="n">
        <f aca="false">C102+MAX(0,D36-C36)*D101</f>
        <v>1537.4225</v>
      </c>
      <c r="E102" s="22" t="n">
        <f aca="false">D102+MAX(0,E36-D36)*E101</f>
        <v>1537.4225</v>
      </c>
      <c r="F102" s="22" t="n">
        <f aca="false">E102+MAX(0,F36-E36)*F101</f>
        <v>1537.4225</v>
      </c>
      <c r="G102" s="22" t="n">
        <f aca="false">F102+MAX(0,G36-F36)*G101</f>
        <v>1537.4225</v>
      </c>
      <c r="I102" s="6" t="s">
        <v>295</v>
      </c>
    </row>
    <row r="103" customFormat="false" ht="15" hidden="false" customHeight="false" outlineLevel="2" collapsed="false">
      <c r="A103" s="3" t="s">
        <v>335</v>
      </c>
      <c r="B103" s="11" t="s">
        <v>282</v>
      </c>
      <c r="C103" s="31" t="n">
        <f aca="false">TK_HoldEcon_GB300</f>
        <v>10.8864110021101</v>
      </c>
      <c r="I103" s="11" t="s">
        <v>336</v>
      </c>
    </row>
    <row r="104" customFormat="false" ht="15" hidden="false" customHeight="false" outlineLevel="2" collapsed="false">
      <c r="A104" s="3" t="s">
        <v>337</v>
      </c>
      <c r="B104" s="11" t="s">
        <v>282</v>
      </c>
      <c r="C104" s="31" t="n">
        <f aca="false">TK_OpexGW_GB300</f>
        <v>1.98263481314457</v>
      </c>
      <c r="I104" s="11" t="s">
        <v>327</v>
      </c>
    </row>
    <row r="105" customFormat="false" ht="15" hidden="false" customHeight="false" outlineLevel="2" collapsed="false">
      <c r="A105" s="3" t="s">
        <v>338</v>
      </c>
      <c r="B105" s="11" t="s">
        <v>282</v>
      </c>
      <c r="C105" s="31" t="n">
        <f aca="false">TK_IFW_RevGWFleet_Util_GB300</f>
        <v>40.2705941922573</v>
      </c>
      <c r="I105" s="11" t="s">
        <v>329</v>
      </c>
    </row>
    <row r="106" customFormat="false" ht="15" hidden="false" customHeight="false" outlineLevel="2" collapsed="false">
      <c r="A106" s="3" t="s">
        <v>339</v>
      </c>
      <c r="B106" s="11" t="s">
        <v>282</v>
      </c>
      <c r="C106" s="31" t="n">
        <f aca="false">TK_IFW_RevGWFleet_Prod_GB300</f>
        <v>31.8934876254392</v>
      </c>
      <c r="I106" s="11" t="s">
        <v>331</v>
      </c>
    </row>
    <row r="107" customFormat="false" ht="15" hidden="false" customHeight="false" outlineLevel="2" collapsed="false">
      <c r="A107" s="3" t="s">
        <v>340</v>
      </c>
      <c r="B107" s="11" t="s">
        <v>42</v>
      </c>
      <c r="C107" s="23" t="n">
        <v>0</v>
      </c>
      <c r="I107" s="6" t="s">
        <v>302</v>
      </c>
    </row>
    <row r="108" customFormat="false" ht="15" hidden="false" customHeight="false" outlineLevel="2" collapsed="false">
      <c r="A108" s="3" t="s">
        <v>341</v>
      </c>
      <c r="B108" s="11" t="s">
        <v>42</v>
      </c>
      <c r="C108" s="23" t="n">
        <v>0.25</v>
      </c>
      <c r="D108" s="23" t="n">
        <v>0.1</v>
      </c>
      <c r="E108" s="23" t="n">
        <v>0</v>
      </c>
      <c r="F108" s="23" t="n">
        <v>0</v>
      </c>
      <c r="G108" s="23" t="n">
        <v>0</v>
      </c>
      <c r="I108" s="6" t="s">
        <v>293</v>
      </c>
    </row>
    <row r="109" customFormat="false" ht="15" hidden="false" customHeight="false" outlineLevel="2" collapsed="false">
      <c r="A109" s="3" t="s">
        <v>342</v>
      </c>
      <c r="B109" s="11" t="s">
        <v>157</v>
      </c>
      <c r="C109" s="22" t="n">
        <f aca="false">輸入與假設!$C$107*輸入與假設!$C$29+MAX(0,C36-輸入與假設!$C$29)*C108</f>
        <v>155.9875</v>
      </c>
      <c r="D109" s="22" t="n">
        <f aca="false">C109+MAX(0,D36-C36)*D108</f>
        <v>280.7775</v>
      </c>
      <c r="E109" s="22" t="n">
        <f aca="false">D109+MAX(0,E36-D36)*E108</f>
        <v>280.7775</v>
      </c>
      <c r="F109" s="22" t="n">
        <f aca="false">E109+MAX(0,F36-E36)*F108</f>
        <v>280.7775</v>
      </c>
      <c r="G109" s="22" t="n">
        <f aca="false">F109+MAX(0,G36-F36)*G108</f>
        <v>280.7775</v>
      </c>
      <c r="I109" s="6" t="s">
        <v>295</v>
      </c>
    </row>
    <row r="110" customFormat="false" ht="15" hidden="false" customHeight="false" outlineLevel="2" collapsed="false">
      <c r="A110" s="3" t="s">
        <v>343</v>
      </c>
      <c r="B110" s="11" t="s">
        <v>282</v>
      </c>
      <c r="C110" s="31" t="n">
        <f aca="false">TK_HoldEcon_VR200*輸入與假設!$C$64</f>
        <v>12.2254710045841</v>
      </c>
      <c r="I110" s="11" t="s">
        <v>344</v>
      </c>
    </row>
    <row r="111" customFormat="false" ht="15" hidden="false" customHeight="false" outlineLevel="2" collapsed="false">
      <c r="A111" s="3" t="s">
        <v>345</v>
      </c>
      <c r="B111" s="11" t="s">
        <v>282</v>
      </c>
      <c r="C111" s="31" t="n">
        <f aca="false">TK_OpexGW_VR200</f>
        <v>2.09349554831403</v>
      </c>
      <c r="I111" s="11" t="s">
        <v>346</v>
      </c>
    </row>
    <row r="112" customFormat="false" ht="15" hidden="false" customHeight="false" outlineLevel="2" collapsed="false">
      <c r="A112" s="3" t="s">
        <v>347</v>
      </c>
      <c r="B112" s="11" t="s">
        <v>282</v>
      </c>
      <c r="C112" s="31" t="n">
        <f aca="false">TK_IFW_RevGWFleet_Util_VR200</f>
        <v>66.3455197420479</v>
      </c>
      <c r="I112" s="11" t="s">
        <v>348</v>
      </c>
    </row>
    <row r="113" customFormat="false" ht="15" hidden="false" customHeight="false" outlineLevel="2" collapsed="false">
      <c r="A113" s="3" t="s">
        <v>349</v>
      </c>
      <c r="B113" s="11" t="s">
        <v>282</v>
      </c>
      <c r="C113" s="31" t="n">
        <f aca="false">TK_IFW_RevGWFleet_Prod_VR200</f>
        <v>53.4609176401029</v>
      </c>
      <c r="I113" s="11" t="s">
        <v>350</v>
      </c>
    </row>
    <row r="114" customFormat="false" ht="15" hidden="false" customHeight="false" outlineLevel="2" collapsed="false">
      <c r="A114" s="3" t="s">
        <v>351</v>
      </c>
      <c r="B114" s="11" t="s">
        <v>42</v>
      </c>
      <c r="C114" s="23" t="n">
        <v>0</v>
      </c>
      <c r="I114" s="6" t="s">
        <v>302</v>
      </c>
    </row>
    <row r="115" customFormat="false" ht="15" hidden="false" customHeight="false" outlineLevel="2" collapsed="false">
      <c r="A115" s="3" t="s">
        <v>352</v>
      </c>
      <c r="B115" s="11" t="s">
        <v>42</v>
      </c>
      <c r="C115" s="23" t="n">
        <v>0</v>
      </c>
      <c r="D115" s="23" t="n">
        <v>0.35</v>
      </c>
      <c r="E115" s="23" t="n">
        <v>0.75</v>
      </c>
      <c r="F115" s="23" t="n">
        <v>0.75</v>
      </c>
      <c r="G115" s="23" t="n">
        <v>0.75</v>
      </c>
      <c r="I115" s="6" t="s">
        <v>293</v>
      </c>
    </row>
    <row r="116" customFormat="false" ht="15" hidden="false" customHeight="false" outlineLevel="2" collapsed="false">
      <c r="A116" s="3" t="s">
        <v>353</v>
      </c>
      <c r="B116" s="11" t="s">
        <v>157</v>
      </c>
      <c r="C116" s="22" t="n">
        <f aca="false">輸入與假設!$C$114*輸入與假設!$C$29+MAX(0,C36-輸入與假設!$C$29)*C115</f>
        <v>0</v>
      </c>
      <c r="D116" s="22" t="n">
        <f aca="false">C116+MAX(0,D36-C36)*D115</f>
        <v>436.765</v>
      </c>
      <c r="E116" s="22" t="n">
        <f aca="false">D116+MAX(0,E36-D36)*E115</f>
        <v>1372.69</v>
      </c>
      <c r="F116" s="22" t="n">
        <f aca="false">E116+MAX(0,F36-E36)*F115</f>
        <v>2308.615</v>
      </c>
      <c r="G116" s="22" t="n">
        <f aca="false">F116+MAX(0,G36-F36)*G115</f>
        <v>3244.54</v>
      </c>
      <c r="I116" s="6" t="s">
        <v>295</v>
      </c>
    </row>
    <row r="117" customFormat="false" ht="15" hidden="false" customHeight="false" outlineLevel="2" collapsed="false">
      <c r="A117" s="3" t="s">
        <v>354</v>
      </c>
      <c r="B117" s="11" t="s">
        <v>282</v>
      </c>
      <c r="C117" s="31" t="n">
        <f aca="false">TK_HoldEcon_VR200</f>
        <v>12.2254710045841</v>
      </c>
      <c r="I117" s="11" t="s">
        <v>355</v>
      </c>
    </row>
    <row r="118" customFormat="false" ht="15" hidden="false" customHeight="false" outlineLevel="2" collapsed="false">
      <c r="A118" s="3" t="s">
        <v>356</v>
      </c>
      <c r="B118" s="11" t="s">
        <v>282</v>
      </c>
      <c r="C118" s="31" t="n">
        <f aca="false">TK_OpexGW_VR200</f>
        <v>2.09349554831403</v>
      </c>
      <c r="I118" s="11" t="s">
        <v>346</v>
      </c>
    </row>
    <row r="119" customFormat="false" ht="15" hidden="false" customHeight="false" outlineLevel="2" collapsed="false">
      <c r="A119" s="3" t="s">
        <v>357</v>
      </c>
      <c r="B119" s="11" t="s">
        <v>282</v>
      </c>
      <c r="C119" s="31" t="n">
        <f aca="false">TK_IFW_RevGWFleet_Util_VR200</f>
        <v>66.3455197420479</v>
      </c>
      <c r="I119" s="11" t="s">
        <v>348</v>
      </c>
    </row>
    <row r="120" customFormat="false" ht="15" hidden="false" customHeight="false" outlineLevel="2" collapsed="false">
      <c r="A120" s="3" t="s">
        <v>358</v>
      </c>
      <c r="B120" s="11" t="s">
        <v>282</v>
      </c>
      <c r="C120" s="31" t="n">
        <f aca="false">TK_IFW_RevGWFleet_Prod_VR200</f>
        <v>53.4609176401029</v>
      </c>
      <c r="I120" s="11" t="s">
        <v>350</v>
      </c>
    </row>
    <row r="121" customFormat="false" ht="15" hidden="false" customHeight="false" outlineLevel="2" collapsed="false">
      <c r="A121" s="3" t="s">
        <v>359</v>
      </c>
      <c r="B121" s="11" t="s">
        <v>42</v>
      </c>
      <c r="C121" s="23" t="n">
        <v>0</v>
      </c>
      <c r="I121" s="6" t="s">
        <v>302</v>
      </c>
    </row>
    <row r="122" customFormat="false" ht="15" hidden="false" customHeight="false" outlineLevel="2" collapsed="false">
      <c r="A122" s="3" t="s">
        <v>360</v>
      </c>
      <c r="B122" s="11" t="s">
        <v>42</v>
      </c>
      <c r="C122" s="23" t="n">
        <v>0</v>
      </c>
      <c r="D122" s="23" t="n">
        <v>0.15</v>
      </c>
      <c r="E122" s="23" t="n">
        <v>0.25</v>
      </c>
      <c r="F122" s="23" t="n">
        <v>0.25</v>
      </c>
      <c r="G122" s="23" t="n">
        <v>0.25</v>
      </c>
      <c r="I122" s="6" t="s">
        <v>293</v>
      </c>
    </row>
    <row r="123" customFormat="false" ht="15" hidden="false" customHeight="false" outlineLevel="2" collapsed="false">
      <c r="A123" s="3" t="s">
        <v>361</v>
      </c>
      <c r="B123" s="11" t="s">
        <v>157</v>
      </c>
      <c r="C123" s="22" t="n">
        <f aca="false">輸入與假設!$C$121*輸入與假設!$C$29+MAX(0,C36-輸入與假設!$C$29)*C122</f>
        <v>0</v>
      </c>
      <c r="D123" s="22" t="n">
        <f aca="false">C123+MAX(0,D36-C36)*D122</f>
        <v>187.185</v>
      </c>
      <c r="E123" s="22" t="n">
        <f aca="false">D123+MAX(0,E36-D36)*E122</f>
        <v>499.16</v>
      </c>
      <c r="F123" s="22" t="n">
        <f aca="false">E123+MAX(0,F36-E36)*F122</f>
        <v>811.135</v>
      </c>
      <c r="G123" s="22" t="n">
        <f aca="false">F123+MAX(0,G36-F36)*G122</f>
        <v>1123.11</v>
      </c>
      <c r="I123" s="6" t="s">
        <v>295</v>
      </c>
    </row>
    <row r="124" customFormat="false" ht="15" hidden="false" customHeight="false" outlineLevel="2" collapsed="false">
      <c r="A124" s="3" t="s">
        <v>362</v>
      </c>
      <c r="B124" s="11" t="s">
        <v>157</v>
      </c>
      <c r="C124" s="22" t="n">
        <f aca="false">C74+C81+C88+C95+C102+C109+C116+C123</f>
        <v>2524.95</v>
      </c>
      <c r="D124" s="22" t="n">
        <f aca="false">D74+D81+D88+D95+D102+D109+D116+D123</f>
        <v>3772.85</v>
      </c>
      <c r="E124" s="22" t="n">
        <f aca="false">E74+E81+E88+E95+E102+E109+E116+E123</f>
        <v>5020.75</v>
      </c>
      <c r="F124" s="22" t="n">
        <f aca="false">F74+F81+F88+F95+F102+F109+F116+F123</f>
        <v>6268.65</v>
      </c>
      <c r="G124" s="22" t="n">
        <f aca="false">G74+G81+G88+G95+G102+G109+G116+G123</f>
        <v>7516.55</v>
      </c>
      <c r="I124" s="6" t="s">
        <v>363</v>
      </c>
    </row>
    <row r="125" customFormat="false" ht="15" hidden="false" customHeight="false" outlineLevel="2" collapsed="false">
      <c r="A125" s="3" t="s">
        <v>364</v>
      </c>
      <c r="B125" s="11" t="s">
        <v>282</v>
      </c>
      <c r="C125" s="31" t="n">
        <f aca="false">(C74*輸入與假設!$C$68+C81*輸入與假設!$C$75+C88*輸入與假設!$C$82+C95*輸入與假設!$C$89+C102*輸入與假設!$C$96+C109*輸入與假設!$C$103+C116*輸入與假設!$C$110+C123*輸入與假設!$C$117)/MAX(0.000000001,C124)</f>
        <v>9.9663529200194</v>
      </c>
      <c r="D125" s="31" t="n">
        <f aca="false">(D74*輸入與假設!$C$68+D81*輸入與假設!$C$75+D88*輸入與假設!$C$82+D95*輸入與假設!$C$89+D102*輸入與假設!$C$96+D109*輸入與假設!$C$103+D116*輸入與假設!$C$110+D123*輸入與假設!$C$117)/MAX(0.000000001,D124)</f>
        <v>10.492121760335</v>
      </c>
      <c r="E125" s="31" t="n">
        <f aca="false">(E74*輸入與假設!$C$68+E81*輸入與假設!$C$75+E88*輸入與假設!$C$82+E95*輸入與假設!$C$89+E102*輸入與假設!$C$96+E109*輸入與假設!$C$103+E116*輸入與假設!$C$110+E123*輸入與假設!$C$117)/MAX(0.000000001,E124)</f>
        <v>10.922943155923</v>
      </c>
      <c r="F125" s="31" t="n">
        <f aca="false">(F74*輸入與假設!$C$68+F81*輸入與假設!$C$75+F88*輸入與假設!$C$82+F95*輸入與假設!$C$89+F102*輸入與假設!$C$96+F109*輸入與假設!$C$103+F116*輸入與假設!$C$110+F123*輸入與假設!$C$117)/MAX(0.000000001,F124)</f>
        <v>11.1822373424455</v>
      </c>
      <c r="G125" s="31" t="n">
        <f aca="false">(G74*輸入與假設!$C$68+G81*輸入與假設!$C$75+G88*輸入與假設!$C$82+G95*輸入與假設!$C$89+G102*輸入與假設!$C$96+G109*輸入與假設!$C$103+G116*輸入與假設!$C$110+G123*輸入與假設!$C$117)/MAX(0.000000001,G124)</f>
        <v>11.3554353238309</v>
      </c>
      <c r="I125" s="6" t="s">
        <v>365</v>
      </c>
    </row>
    <row r="126" customFormat="false" ht="15" hidden="false" customHeight="false" outlineLevel="2" collapsed="false">
      <c r="A126" s="3" t="s">
        <v>366</v>
      </c>
      <c r="B126" s="11" t="s">
        <v>282</v>
      </c>
      <c r="C126" s="31" t="n">
        <f aca="false">(C74*輸入與假設!$C$69+C81*輸入與假設!$C$76+C88*輸入與假設!$C$83+C95*輸入與假設!$C$90+C102*輸入與假設!$C$97+C109*輸入與假設!$C$104+C116*輸入與假設!$C$111+C123*輸入與假設!$C$118)/MAX(0.000000001,C124)</f>
        <v>1.90646323368531</v>
      </c>
      <c r="D126" s="31" t="n">
        <f aca="false">(D74*輸入與假設!$C$69+D81*輸入與假設!$C$76+D88*輸入與假設!$C$83+D95*輸入與假設!$C$90+D102*輸入與假設!$C$97+D109*輸入與假設!$C$104+D116*輸入與假設!$C$111+D123*輸入與假設!$C$118)/MAX(0.000000001,D124)</f>
        <v>1.9499916193132</v>
      </c>
      <c r="E126" s="31" t="n">
        <f aca="false">(E74*輸入與假設!$C$69+E81*輸入與假設!$C$76+E88*輸入與假設!$C$83+E95*輸入與假設!$C$90+E102*輸入與假設!$C$97+E109*輸入與假設!$C$104+E116*輸入與假設!$C$111+E123*輸入與假設!$C$118)/MAX(0.000000001,E124)</f>
        <v>1.98565930900103</v>
      </c>
      <c r="F126" s="31" t="n">
        <f aca="false">(F74*輸入與假設!$C$69+F81*輸入與假設!$C$76+F88*輸入與假設!$C$83+F95*輸入與假設!$C$90+F102*輸入與假設!$C$97+F109*輸入與假設!$C$104+F116*輸入與假設!$C$111+F123*輸入與假設!$C$118)/MAX(0.000000001,F124)</f>
        <v>2.00712626648608</v>
      </c>
      <c r="G126" s="31" t="n">
        <f aca="false">(G74*輸入與假設!$C$69+G81*輸入與假設!$C$76+G88*輸入與假設!$C$83+G95*輸入與假設!$C$90+G102*輸入與假設!$C$97+G109*輸入與假設!$C$104+G116*輸入與假設!$C$111+G123*輸入與假設!$C$118)/MAX(0.000000001,G124)</f>
        <v>2.02146532187627</v>
      </c>
      <c r="I126" s="6" t="s">
        <v>367</v>
      </c>
    </row>
    <row r="127" customFormat="false" ht="15" hidden="false" customHeight="false" outlineLevel="2" collapsed="false">
      <c r="A127" s="3" t="s">
        <v>368</v>
      </c>
      <c r="B127" s="11" t="s">
        <v>282</v>
      </c>
      <c r="C127" s="31" t="n">
        <f aca="false">(C74*輸入與假設!$C$70+C81*輸入與假設!$C$77+C88*輸入與假設!$C$84+C95*輸入與假設!$C$91+C102*輸入與假設!$C$98+C109*輸入與假設!$C$105+C116*輸入與假設!$C$112+C123*輸入與假設!$C$119)/MAX(0.000000001,C124)</f>
        <v>31.5059840419621</v>
      </c>
      <c r="D127" s="31" t="n">
        <f aca="false">(D74*輸入與假設!$C$70+D81*輸入與假設!$C$77+D88*輸入與假設!$C$84+D95*輸入與假設!$C$91+D102*輸入與假設!$C$98+D109*輸入與假設!$C$105+D116*輸入與假設!$C$112+D123*輸入與假設!$C$119)/MAX(0.000000001,D124)</f>
        <v>38.7171922276428</v>
      </c>
      <c r="E127" s="31" t="n">
        <f aca="false">(E74*輸入與假設!$C$70+E81*輸入與假設!$C$77+E88*輸入與假設!$C$84+E95*輸入與假設!$C$91+E102*輸入與假設!$C$98+E109*輸入與假設!$C$105+E116*輸入與假設!$C$112+E123*輸入與假設!$C$119)/MAX(0.000000001,E124)</f>
        <v>45.58417224163</v>
      </c>
      <c r="F127" s="31" t="n">
        <f aca="false">(F74*輸入與假設!$C$70+F81*輸入與假設!$C$77+F88*輸入與假設!$C$84+F95*輸入與假設!$C$91+F102*輸入與假設!$C$98+F109*輸入與假設!$C$105+F116*輸入與假設!$C$112+F123*輸入與假設!$C$119)/MAX(0.000000001,F124)</f>
        <v>49.7171331735326</v>
      </c>
      <c r="G127" s="31" t="n">
        <f aca="false">(G74*輸入與假設!$C$70+G81*輸入與假設!$C$77+G88*輸入與假設!$C$84+G95*輸入與假設!$C$91+G102*輸入與假設!$C$98+G109*輸入與假設!$C$105+G116*輸入與假設!$C$112+G123*輸入與假設!$C$119)/MAX(0.000000001,G124)</f>
        <v>52.4777831524259</v>
      </c>
      <c r="I127" s="6" t="s">
        <v>369</v>
      </c>
    </row>
    <row r="128" customFormat="false" ht="15" hidden="false" customHeight="false" outlineLevel="2" collapsed="false">
      <c r="A128" s="3" t="s">
        <v>370</v>
      </c>
      <c r="B128" s="11" t="s">
        <v>42</v>
      </c>
      <c r="C128" s="40" t="n">
        <f aca="false">C125*輸入與假設!$C$63/MAX(0.000000001,C127)</f>
        <v>0.379909553803795</v>
      </c>
      <c r="D128" s="40" t="n">
        <f aca="false">D125*輸入與假設!$C$63/MAX(0.000000001,D127)</f>
        <v>0.325459137400571</v>
      </c>
      <c r="E128" s="40" t="n">
        <f aca="false">E125*輸入與假設!$C$63/MAX(0.000000001,E127)</f>
        <v>0.287781321477702</v>
      </c>
      <c r="F128" s="40" t="n">
        <f aca="false">F125*輸入與假設!$C$63/MAX(0.000000001,F127)</f>
        <v>0.270121796665999</v>
      </c>
      <c r="G128" s="40" t="n">
        <f aca="false">G125*輸入與假設!$C$63/MAX(0.000000001,G127)</f>
        <v>0.259875482878976</v>
      </c>
      <c r="I128" s="6" t="s">
        <v>371</v>
      </c>
    </row>
    <row r="129" customFormat="false" ht="15" hidden="false" customHeight="false" outlineLevel="2" collapsed="false">
      <c r="A129" s="3" t="s">
        <v>372</v>
      </c>
      <c r="B129" s="11" t="s">
        <v>282</v>
      </c>
      <c r="C129" s="31" t="n">
        <f aca="false">(C74*輸入與假設!$C$71+C81*輸入與假設!$C$78+C88*輸入與假設!$C$85+C95*輸入與假設!$C$92+C102*輸入與假設!$C$99+C109*輸入與假設!$C$106+C116*輸入與假設!$C$113+C123*輸入與假設!$C$120)/MAX(0.000000001,C124)</f>
        <v>24.9779894533168</v>
      </c>
      <c r="D129" s="31" t="n">
        <f aca="false">(D74*輸入與假設!$C$71+D81*輸入與假設!$C$78+D88*輸入與假設!$C$85+D95*輸入與假設!$C$92+D102*輸入與假設!$C$99+D109*輸入與假設!$C$106+D116*輸入與假設!$C$113+D123*輸入與假設!$C$120)/MAX(0.000000001,D124)</f>
        <v>30.8321443035337</v>
      </c>
      <c r="E129" s="31" t="n">
        <f aca="false">(E74*輸入與假設!$C$71+E81*輸入與假設!$C$78+E88*輸入與假設!$C$85+E95*輸入與假設!$C$92+E102*輸入與假設!$C$99+E109*輸入與假設!$C$106+E116*輸入與假設!$C$113+E123*輸入與假設!$C$120)/MAX(0.000000001,E124)</f>
        <v>36.4564925078268</v>
      </c>
      <c r="F129" s="31" t="n">
        <f aca="false">(F74*輸入與假設!$C$71+F81*輸入與假設!$C$78+F88*輸入與假設!$C$85+F95*輸入與假設!$C$92+F102*輸入與假設!$C$99+F109*輸入與假設!$C$106+F116*輸入與假設!$C$113+F123*輸入與假設!$C$120)/MAX(0.000000001,F124)</f>
        <v>39.8415629970976</v>
      </c>
      <c r="G129" s="31" t="n">
        <f aca="false">(G74*輸入與假設!$C$71+G81*輸入與假設!$C$78+G88*輸入與假設!$C$85+G95*輸入與假設!$C$92+G102*輸入與假設!$C$99+G109*輸入與假設!$C$106+G116*輸入與假設!$C$113+G123*輸入與假設!$C$120)/MAX(0.000000001,G124)</f>
        <v>42.1026525473576</v>
      </c>
      <c r="I129" s="6" t="s">
        <v>373</v>
      </c>
    </row>
    <row r="130" customFormat="false" ht="15" hidden="false" customHeight="false" outlineLevel="2" collapsed="false">
      <c r="A130" s="3" t="s">
        <v>374</v>
      </c>
      <c r="B130" s="11" t="s">
        <v>42</v>
      </c>
      <c r="C130" s="40" t="n">
        <f aca="false">C125*輸入與假設!$C$63/MAX(0.000000001,C129)</f>
        <v>0.479198870745857</v>
      </c>
      <c r="D130" s="40" t="n">
        <f aca="false">D125*輸入與假設!$C$63/MAX(0.000000001,D129)</f>
        <v>0.408692430241918</v>
      </c>
      <c r="E130" s="40" t="n">
        <f aca="false">E125*輸入與假設!$C$63/MAX(0.000000001,E129)</f>
        <v>0.359833665384762</v>
      </c>
      <c r="F130" s="40" t="n">
        <f aca="false">F125*輸入與假設!$C$63/MAX(0.000000001,F129)</f>
        <v>0.337077170865403</v>
      </c>
      <c r="G130" s="40" t="n">
        <f aca="false">G125*輸入與假設!$C$63/MAX(0.000000001,G129)</f>
        <v>0.323915202772914</v>
      </c>
      <c r="I130" s="6" t="s">
        <v>375</v>
      </c>
    </row>
    <row r="131" customFormat="false" ht="15" hidden="false" customHeight="false" outlineLevel="2" collapsed="false">
      <c r="A131" s="3" t="s">
        <v>376</v>
      </c>
      <c r="B131" s="11" t="s">
        <v>42</v>
      </c>
      <c r="C131" s="40" t="n">
        <f aca="false">C125*輸入與假設!$C$63/TK_RevGW_PQ_VR200</f>
        <v>0.241739236305337</v>
      </c>
      <c r="D131" s="40" t="n">
        <f aca="false">D125*輸入與假設!$C$63/TK_RevGW_PQ_VR200</f>
        <v>0.254492041564293</v>
      </c>
      <c r="E131" s="40" t="n">
        <f aca="false">E125*輸入與假設!$C$63/TK_RevGW_PQ_VR200</f>
        <v>0.264941845618918</v>
      </c>
      <c r="F131" s="40" t="n">
        <f aca="false">F125*輸入與假設!$C$63/TK_RevGW_PQ_VR200</f>
        <v>0.27123116520567</v>
      </c>
      <c r="G131" s="40" t="n">
        <f aca="false">G125*輸入與假設!$C$63/TK_RevGW_PQ_VR200</f>
        <v>0.275432175152412</v>
      </c>
      <c r="I131" s="6" t="s">
        <v>377</v>
      </c>
    </row>
    <row r="132" customFormat="false" ht="15" hidden="false" customHeight="false" outlineLevel="2" collapsed="false">
      <c r="A132" s="3" t="s">
        <v>378</v>
      </c>
      <c r="B132" s="11" t="s">
        <v>42</v>
      </c>
      <c r="C132" s="40" t="n">
        <f aca="false">C125*輸入與假設!$C$63/TK_RevGW_PQ_VR200_Hi</f>
        <v>0.152481672131059</v>
      </c>
      <c r="D132" s="40" t="n">
        <f aca="false">D125*輸入與假設!$C$63/TK_RevGW_PQ_VR200_Hi</f>
        <v>0.1605257492944</v>
      </c>
      <c r="E132" s="40" t="n">
        <f aca="false">E125*輸入與假設!$C$63/TK_RevGW_PQ_VR200_Hi</f>
        <v>0.167117164159625</v>
      </c>
      <c r="F132" s="40" t="n">
        <f aca="false">F125*輸入與假設!$C$63/TK_RevGW_PQ_VR200_Hi</f>
        <v>0.171084273437423</v>
      </c>
      <c r="G132" s="40" t="n">
        <f aca="false">G125*輸入與假設!$C$63/TK_RevGW_PQ_VR200_Hi</f>
        <v>0.173734141249983</v>
      </c>
      <c r="I132" s="6" t="s">
        <v>379</v>
      </c>
    </row>
    <row r="133" customFormat="false" ht="15" hidden="false" customHeight="false" outlineLevel="2" collapsed="false">
      <c r="A133" s="3" t="s">
        <v>380</v>
      </c>
      <c r="B133" s="11" t="s">
        <v>42</v>
      </c>
      <c r="C133" s="40" t="n">
        <f aca="false">C125*輸入與假設!$C$63/TK_RevGW_PQ_VR200_Lo</f>
        <v>0.330376956283961</v>
      </c>
      <c r="D133" s="40" t="n">
        <f aca="false">D125*輸入與假設!$C$63/TK_RevGW_PQ_VR200_Lo</f>
        <v>0.347805790137868</v>
      </c>
      <c r="E133" s="40" t="n">
        <f aca="false">E125*輸入與假設!$C$63/TK_RevGW_PQ_VR200_Lo</f>
        <v>0.362087189012522</v>
      </c>
      <c r="F133" s="40" t="n">
        <f aca="false">F125*輸入與假設!$C$63/TK_RevGW_PQ_VR200_Lo</f>
        <v>0.37068259244775</v>
      </c>
      <c r="G133" s="40" t="n">
        <f aca="false">G125*輸入與假設!$C$63/TK_RevGW_PQ_VR200_Lo</f>
        <v>0.376423972708297</v>
      </c>
      <c r="I133" s="6" t="s">
        <v>381</v>
      </c>
    </row>
    <row r="134" customFormat="false" ht="15" hidden="false" customHeight="false" outlineLevel="1" collapsed="false">
      <c r="A134" s="34" t="s">
        <v>382</v>
      </c>
      <c r="B134" s="20"/>
      <c r="C134" s="20"/>
      <c r="D134" s="20"/>
      <c r="E134" s="20"/>
      <c r="F134" s="20"/>
      <c r="G134" s="20"/>
      <c r="H134" s="20"/>
    </row>
    <row r="135" customFormat="false" ht="15" hidden="false" customHeight="false" outlineLevel="2" collapsed="false">
      <c r="A135" s="3" t="s">
        <v>383</v>
      </c>
      <c r="B135" s="11" t="s">
        <v>65</v>
      </c>
      <c r="C135" s="41" t="n">
        <f aca="false">運營_產能與收入!C26</f>
        <v>13.2440184138872</v>
      </c>
      <c r="D135" s="41" t="n">
        <f aca="false">運營_產能與收入!D26</f>
        <v>39.6788606023057</v>
      </c>
      <c r="E135" s="41" t="n">
        <f aca="false">運營_產能與收入!E26</f>
        <v>57.6784241604754</v>
      </c>
      <c r="F135" s="41" t="n">
        <f aca="false">運營_產能與收入!F26</f>
        <v>75.8065222481422</v>
      </c>
      <c r="G135" s="41" t="n">
        <f aca="false">運營_產能與收入!G26</f>
        <v>93.9991368360136</v>
      </c>
      <c r="I135" s="6" t="s">
        <v>384</v>
      </c>
    </row>
    <row r="136" customFormat="false" ht="15" hidden="false" customHeight="false" outlineLevel="2" collapsed="false">
      <c r="A136" s="4" t="s">
        <v>385</v>
      </c>
      <c r="B136" s="11" t="s">
        <v>218</v>
      </c>
      <c r="C136" s="30" t="n">
        <f aca="false">C39*輸入與假設!$C$32*C38</f>
        <v>0.0119694243395313</v>
      </c>
      <c r="I136" s="6" t="s">
        <v>386</v>
      </c>
    </row>
    <row r="137" customFormat="false" ht="15" hidden="false" customHeight="false" outlineLevel="2" collapsed="false">
      <c r="A137" s="4" t="s">
        <v>387</v>
      </c>
      <c r="B137" s="11" t="s">
        <v>42</v>
      </c>
      <c r="C137" s="40" t="n">
        <f aca="false">1-C126/1000/MAX(0.000000001,C39*輸入與假設!$C$32)</f>
        <v>0.840722228604692</v>
      </c>
      <c r="I137" s="6" t="s">
        <v>388</v>
      </c>
    </row>
    <row r="138" customFormat="false" ht="15" hidden="false" customHeight="false" outlineLevel="2" collapsed="false">
      <c r="A138" s="3" t="s">
        <v>389</v>
      </c>
      <c r="B138" s="11" t="s">
        <v>65</v>
      </c>
      <c r="C138" s="24" t="n">
        <v>224.532</v>
      </c>
      <c r="I138" s="6" t="s">
        <v>390</v>
      </c>
    </row>
    <row r="139" customFormat="false" ht="15" hidden="false" customHeight="false" outlineLevel="2" collapsed="false">
      <c r="A139" s="3" t="s">
        <v>391</v>
      </c>
      <c r="B139" s="11" t="s">
        <v>65</v>
      </c>
      <c r="C139" s="24" t="n">
        <v>123.596</v>
      </c>
      <c r="I139" s="6" t="s">
        <v>392</v>
      </c>
    </row>
    <row r="140" customFormat="false" ht="15" hidden="false" customHeight="false" outlineLevel="2" collapsed="false">
      <c r="A140" s="3" t="s">
        <v>393</v>
      </c>
      <c r="B140" s="11" t="s">
        <v>42</v>
      </c>
      <c r="C140" s="23" t="n">
        <v>0.168013</v>
      </c>
      <c r="I140" s="6" t="s">
        <v>394</v>
      </c>
    </row>
    <row r="141" customFormat="false" ht="15" hidden="false" customHeight="false" outlineLevel="2" collapsed="false">
      <c r="A141" s="3" t="s">
        <v>395</v>
      </c>
      <c r="B141" s="11" t="s">
        <v>42</v>
      </c>
      <c r="C141" s="23" t="n">
        <v>0.586717</v>
      </c>
      <c r="I141" s="11" t="s">
        <v>396</v>
      </c>
    </row>
    <row r="142" customFormat="false" ht="15" hidden="false" customHeight="false" outlineLevel="2" collapsed="false">
      <c r="A142" s="3" t="s">
        <v>397</v>
      </c>
      <c r="B142" s="11" t="s">
        <v>42</v>
      </c>
      <c r="C142" s="23" t="n">
        <v>0.08</v>
      </c>
      <c r="I142" s="6" t="s">
        <v>398</v>
      </c>
    </row>
    <row r="143" customFormat="false" ht="15" hidden="false" customHeight="false" outlineLevel="2" collapsed="false">
      <c r="A143" s="3" t="s">
        <v>399</v>
      </c>
      <c r="B143" s="11" t="s">
        <v>42</v>
      </c>
      <c r="C143" s="23" t="n">
        <v>0.541632</v>
      </c>
      <c r="I143" s="11" t="s">
        <v>400</v>
      </c>
    </row>
    <row r="144" customFormat="false" ht="15" hidden="false" customHeight="false" outlineLevel="2" collapsed="false">
      <c r="A144" s="3" t="s">
        <v>401</v>
      </c>
      <c r="B144" s="11" t="s">
        <v>42</v>
      </c>
      <c r="C144" s="23" t="n">
        <v>0</v>
      </c>
      <c r="I144" s="6" t="s">
        <v>402</v>
      </c>
    </row>
    <row r="145" customFormat="false" ht="15" hidden="false" customHeight="false" outlineLevel="2" collapsed="false">
      <c r="A145" s="3" t="s">
        <v>403</v>
      </c>
      <c r="B145" s="11" t="s">
        <v>42</v>
      </c>
      <c r="C145" s="23" t="n">
        <v>0.06</v>
      </c>
      <c r="I145" s="6" t="s">
        <v>404</v>
      </c>
    </row>
    <row r="146" customFormat="false" ht="15" hidden="false" customHeight="false" outlineLevel="2" collapsed="false">
      <c r="A146" s="3" t="s">
        <v>405</v>
      </c>
      <c r="B146" s="11" t="s">
        <v>42</v>
      </c>
      <c r="C146" s="40" t="n">
        <f aca="false">輸入與假設!$C$140+(輸入與假設!$C$142-輸入與假設!$C$140)*0/4</f>
        <v>0.168013</v>
      </c>
      <c r="D146" s="40" t="n">
        <f aca="false">輸入與假設!$C$140+(輸入與假設!$C$142-輸入與假設!$C$140)*1/4</f>
        <v>0.14600975</v>
      </c>
      <c r="E146" s="40" t="n">
        <f aca="false">輸入與假設!$C$140+(輸入與假設!$C$142-輸入與假設!$C$140)*2/4</f>
        <v>0.1240065</v>
      </c>
      <c r="F146" s="40" t="n">
        <f aca="false">輸入與假設!$C$140+(輸入與假設!$C$142-輸入與假設!$C$140)*3/4</f>
        <v>0.10200325</v>
      </c>
      <c r="G146" s="40" t="n">
        <f aca="false">輸入與假設!$C$140+(輸入與假設!$C$142-輸入與假設!$C$140)*4/4</f>
        <v>0.08</v>
      </c>
      <c r="I146" s="6" t="s">
        <v>406</v>
      </c>
    </row>
    <row r="147" customFormat="false" ht="15" hidden="false" customHeight="false" outlineLevel="2" collapsed="false">
      <c r="A147" s="3" t="s">
        <v>407</v>
      </c>
      <c r="B147" s="11" t="s">
        <v>65</v>
      </c>
      <c r="C147" s="32" t="n">
        <f aca="false">輸入與假設!$C$138*(1+C146)</f>
        <v>262.256294916</v>
      </c>
      <c r="D147" s="32" t="n">
        <f aca="false">C147*(1+D146)</f>
        <v>300.548270972611</v>
      </c>
      <c r="E147" s="32" t="n">
        <f aca="false">D147*(1+E146)</f>
        <v>337.818210136977</v>
      </c>
      <c r="F147" s="32" t="n">
        <f aca="false">E147*(1+F146)</f>
        <v>372.276765480131</v>
      </c>
      <c r="G147" s="32" t="n">
        <f aca="false">F147*(1+G146)</f>
        <v>402.058906718542</v>
      </c>
      <c r="I147" s="6" t="s">
        <v>408</v>
      </c>
    </row>
    <row r="148" customFormat="false" ht="15" hidden="false" customHeight="false" outlineLevel="2" collapsed="false">
      <c r="A148" s="3" t="s">
        <v>409</v>
      </c>
      <c r="B148" s="11" t="s">
        <v>65</v>
      </c>
      <c r="C148" s="32" t="n">
        <f aca="false">C147-輸入與假設!$C$139</f>
        <v>138.660294916</v>
      </c>
      <c r="D148" s="32" t="n">
        <f aca="false">D147</f>
        <v>300.548270972611</v>
      </c>
      <c r="E148" s="32" t="n">
        <f aca="false">E147</f>
        <v>337.818210136977</v>
      </c>
      <c r="F148" s="32" t="n">
        <f aca="false">F147</f>
        <v>372.276765480131</v>
      </c>
      <c r="G148" s="32" t="n">
        <f aca="false">G147</f>
        <v>402.058906718542</v>
      </c>
      <c r="I148" s="11" t="s">
        <v>410</v>
      </c>
    </row>
    <row r="149" customFormat="false" ht="15" hidden="false" customHeight="false" outlineLevel="2" collapsed="false">
      <c r="A149" s="3" t="s">
        <v>411</v>
      </c>
      <c r="B149" s="11" t="s">
        <v>42</v>
      </c>
      <c r="C149" s="40" t="n">
        <f aca="false">輸入與假設!$C$141+(輸入與假設!$C$143-輸入與假設!$C$141)*0/4</f>
        <v>0.586717</v>
      </c>
      <c r="D149" s="40" t="n">
        <f aca="false">輸入與假設!$C$141+(輸入與假設!$C$143-輸入與假設!$C$141)*1/4</f>
        <v>0.57544575</v>
      </c>
      <c r="E149" s="40" t="n">
        <f aca="false">輸入與假設!$C$141+(輸入與假設!$C$143-輸入與假設!$C$141)*2/4</f>
        <v>0.5641745</v>
      </c>
      <c r="F149" s="40" t="n">
        <f aca="false">輸入與假設!$C$141+(輸入與假設!$C$143-輸入與假設!$C$141)*3/4</f>
        <v>0.55290325</v>
      </c>
      <c r="G149" s="40" t="n">
        <f aca="false">輸入與假設!$C$141+(輸入與假設!$C$143-輸入與假設!$C$141)*4/4</f>
        <v>0.541632</v>
      </c>
      <c r="I149" s="6" t="s">
        <v>406</v>
      </c>
    </row>
    <row r="150" customFormat="false" ht="15" hidden="false" customHeight="false" outlineLevel="2" collapsed="false">
      <c r="A150" s="3" t="s">
        <v>412</v>
      </c>
      <c r="B150" s="11" t="s">
        <v>65</v>
      </c>
      <c r="C150" s="32" t="n">
        <f aca="false">C148*C149</f>
        <v>81.3543522522308</v>
      </c>
      <c r="D150" s="32" t="n">
        <f aca="false">D148*D149</f>
        <v>172.949225201038</v>
      </c>
      <c r="E150" s="32" t="n">
        <f aca="false">E148*E149</f>
        <v>190.588419794924</v>
      </c>
      <c r="F150" s="32" t="n">
        <f aca="false">F148*F149</f>
        <v>205.833033533452</v>
      </c>
      <c r="G150" s="32" t="n">
        <f aca="false">G148*G149</f>
        <v>217.767969763777</v>
      </c>
      <c r="I150" s="6" t="s">
        <v>413</v>
      </c>
    </row>
    <row r="151" customFormat="false" ht="15" hidden="false" customHeight="false" outlineLevel="2" collapsed="false">
      <c r="A151" s="3" t="s">
        <v>414</v>
      </c>
      <c r="B151" s="11" t="s">
        <v>65</v>
      </c>
      <c r="C151" s="32" t="n">
        <f aca="false">C148*輸入與假設!$C$144</f>
        <v>0</v>
      </c>
      <c r="D151" s="32" t="n">
        <f aca="false">D148*輸入與假設!$C$144</f>
        <v>0</v>
      </c>
      <c r="E151" s="32" t="n">
        <f aca="false">E148*輸入與假設!$C$144</f>
        <v>0</v>
      </c>
      <c r="F151" s="32" t="n">
        <f aca="false">F148*輸入與假設!$C$144</f>
        <v>0</v>
      </c>
      <c r="G151" s="32" t="n">
        <f aca="false">G148*輸入與假設!$C$144</f>
        <v>0</v>
      </c>
      <c r="I151" s="6" t="s">
        <v>415</v>
      </c>
    </row>
    <row r="152" customFormat="false" ht="15" hidden="false" customHeight="false" outlineLevel="2" collapsed="false">
      <c r="A152" s="3" t="s">
        <v>416</v>
      </c>
      <c r="B152" s="11" t="s">
        <v>65</v>
      </c>
      <c r="C152" s="24" t="n">
        <v>40.367</v>
      </c>
      <c r="I152" s="6" t="s">
        <v>390</v>
      </c>
    </row>
    <row r="153" customFormat="false" ht="15" hidden="false" customHeight="false" outlineLevel="2" collapsed="false">
      <c r="A153" s="3" t="s">
        <v>417</v>
      </c>
      <c r="B153" s="11" t="s">
        <v>65</v>
      </c>
      <c r="C153" s="24" t="n">
        <v>20.938</v>
      </c>
      <c r="I153" s="6" t="s">
        <v>392</v>
      </c>
    </row>
    <row r="154" customFormat="false" ht="15" hidden="false" customHeight="false" outlineLevel="2" collapsed="false">
      <c r="A154" s="3" t="s">
        <v>418</v>
      </c>
      <c r="B154" s="11" t="s">
        <v>42</v>
      </c>
      <c r="C154" s="23" t="n">
        <v>0.117139</v>
      </c>
      <c r="I154" s="6" t="s">
        <v>394</v>
      </c>
    </row>
    <row r="155" customFormat="false" ht="15" hidden="false" customHeight="false" outlineLevel="2" collapsed="false">
      <c r="A155" s="3" t="s">
        <v>419</v>
      </c>
      <c r="B155" s="11" t="s">
        <v>42</v>
      </c>
      <c r="C155" s="23" t="n">
        <v>0.4</v>
      </c>
      <c r="I155" s="11" t="s">
        <v>420</v>
      </c>
    </row>
    <row r="156" customFormat="false" ht="15" hidden="false" customHeight="false" outlineLevel="2" collapsed="false">
      <c r="A156" s="3" t="s">
        <v>421</v>
      </c>
      <c r="B156" s="11" t="s">
        <v>42</v>
      </c>
      <c r="C156" s="23" t="n">
        <v>0.08</v>
      </c>
      <c r="I156" s="6" t="s">
        <v>398</v>
      </c>
    </row>
    <row r="157" customFormat="false" ht="15" hidden="false" customHeight="false" outlineLevel="2" collapsed="false">
      <c r="A157" s="3" t="s">
        <v>422</v>
      </c>
      <c r="B157" s="11" t="s">
        <v>42</v>
      </c>
      <c r="C157" s="23" t="n">
        <v>0.354915</v>
      </c>
      <c r="I157" s="11" t="s">
        <v>400</v>
      </c>
    </row>
    <row r="158" customFormat="false" ht="15" hidden="false" customHeight="false" outlineLevel="2" collapsed="false">
      <c r="A158" s="3" t="s">
        <v>423</v>
      </c>
      <c r="B158" s="11" t="s">
        <v>42</v>
      </c>
      <c r="C158" s="23" t="n">
        <v>0</v>
      </c>
      <c r="I158" s="6" t="s">
        <v>402</v>
      </c>
    </row>
    <row r="159" customFormat="false" ht="15" hidden="false" customHeight="false" outlineLevel="2" collapsed="false">
      <c r="A159" s="3" t="s">
        <v>424</v>
      </c>
      <c r="B159" s="11" t="s">
        <v>42</v>
      </c>
      <c r="C159" s="23" t="n">
        <v>0.06</v>
      </c>
      <c r="I159" s="6" t="s">
        <v>404</v>
      </c>
    </row>
    <row r="160" customFormat="false" ht="15" hidden="false" customHeight="false" outlineLevel="2" collapsed="false">
      <c r="A160" s="3" t="s">
        <v>425</v>
      </c>
      <c r="B160" s="11" t="s">
        <v>42</v>
      </c>
      <c r="C160" s="40" t="n">
        <f aca="false">輸入與假設!$C$154+(輸入與假設!$C$156-輸入與假設!$C$154)*0/4</f>
        <v>0.117139</v>
      </c>
      <c r="D160" s="40" t="n">
        <f aca="false">輸入與假設!$C$154+(輸入與假設!$C$156-輸入與假設!$C$154)*1/4</f>
        <v>0.10785425</v>
      </c>
      <c r="E160" s="40" t="n">
        <f aca="false">輸入與假設!$C$154+(輸入與假設!$C$156-輸入與假設!$C$154)*2/4</f>
        <v>0.0985695</v>
      </c>
      <c r="F160" s="40" t="n">
        <f aca="false">輸入與假設!$C$154+(輸入與假設!$C$156-輸入與假設!$C$154)*3/4</f>
        <v>0.08928475</v>
      </c>
      <c r="G160" s="40" t="n">
        <f aca="false">輸入與假設!$C$154+(輸入與假設!$C$156-輸入與假設!$C$154)*4/4</f>
        <v>0.08</v>
      </c>
      <c r="I160" s="6" t="s">
        <v>406</v>
      </c>
    </row>
    <row r="161" customFormat="false" ht="15" hidden="false" customHeight="false" outlineLevel="2" collapsed="false">
      <c r="A161" s="3" t="s">
        <v>426</v>
      </c>
      <c r="B161" s="11" t="s">
        <v>65</v>
      </c>
      <c r="C161" s="32" t="n">
        <f aca="false">輸入與假設!$C$152*(1+C160)</f>
        <v>45.095550013</v>
      </c>
      <c r="D161" s="32" t="n">
        <f aca="false">C161*(1+D160)</f>
        <v>49.9592967379896</v>
      </c>
      <c r="E161" s="32" t="n">
        <f aca="false">D161*(1+E160)</f>
        <v>54.8837596378049</v>
      </c>
      <c r="F161" s="32" t="n">
        <f aca="false">E161*(1+F160)</f>
        <v>59.7840423961264</v>
      </c>
      <c r="G161" s="32" t="n">
        <f aca="false">F161*(1+G160)</f>
        <v>64.5667657878165</v>
      </c>
      <c r="I161" s="6" t="s">
        <v>408</v>
      </c>
    </row>
    <row r="162" customFormat="false" ht="15" hidden="false" customHeight="false" outlineLevel="2" collapsed="false">
      <c r="A162" s="3" t="s">
        <v>427</v>
      </c>
      <c r="B162" s="11" t="s">
        <v>65</v>
      </c>
      <c r="C162" s="32" t="n">
        <f aca="false">C161-輸入與假設!$C$153</f>
        <v>24.157550013</v>
      </c>
      <c r="D162" s="32" t="n">
        <f aca="false">D161</f>
        <v>49.9592967379896</v>
      </c>
      <c r="E162" s="32" t="n">
        <f aca="false">E161</f>
        <v>54.8837596378049</v>
      </c>
      <c r="F162" s="32" t="n">
        <f aca="false">F161</f>
        <v>59.7840423961264</v>
      </c>
      <c r="G162" s="32" t="n">
        <f aca="false">G161</f>
        <v>64.5667657878165</v>
      </c>
      <c r="I162" s="11" t="s">
        <v>410</v>
      </c>
    </row>
    <row r="163" customFormat="false" ht="15" hidden="false" customHeight="false" outlineLevel="2" collapsed="false">
      <c r="A163" s="3" t="s">
        <v>428</v>
      </c>
      <c r="B163" s="11" t="s">
        <v>42</v>
      </c>
      <c r="C163" s="40" t="n">
        <f aca="false">輸入與假設!$C$155+(輸入與假設!$C$157-輸入與假設!$C$155)*0/4</f>
        <v>0.4</v>
      </c>
      <c r="D163" s="40" t="n">
        <f aca="false">輸入與假設!$C$155+(輸入與假設!$C$157-輸入與假設!$C$155)*1/4</f>
        <v>0.38872875</v>
      </c>
      <c r="E163" s="40" t="n">
        <f aca="false">輸入與假設!$C$155+(輸入與假設!$C$157-輸入與假設!$C$155)*2/4</f>
        <v>0.3774575</v>
      </c>
      <c r="F163" s="40" t="n">
        <f aca="false">輸入與假設!$C$155+(輸入與假設!$C$157-輸入與假設!$C$155)*3/4</f>
        <v>0.36618625</v>
      </c>
      <c r="G163" s="40" t="n">
        <f aca="false">輸入與假設!$C$155+(輸入與假設!$C$157-輸入與假設!$C$155)*4/4</f>
        <v>0.354915</v>
      </c>
      <c r="I163" s="6" t="s">
        <v>406</v>
      </c>
    </row>
    <row r="164" customFormat="false" ht="15" hidden="false" customHeight="false" outlineLevel="2" collapsed="false">
      <c r="A164" s="3" t="s">
        <v>429</v>
      </c>
      <c r="B164" s="11" t="s">
        <v>65</v>
      </c>
      <c r="C164" s="32" t="n">
        <f aca="false">C162*C163</f>
        <v>9.6630200052</v>
      </c>
      <c r="D164" s="32" t="n">
        <f aca="false">D162*D163</f>
        <v>19.4206149718378</v>
      </c>
      <c r="E164" s="32" t="n">
        <f aca="false">E162*E163</f>
        <v>20.7162867034867</v>
      </c>
      <c r="F164" s="32" t="n">
        <f aca="false">F162*F163</f>
        <v>21.8920942948785</v>
      </c>
      <c r="G164" s="32" t="n">
        <f aca="false">G162*G163</f>
        <v>22.9157136795829</v>
      </c>
      <c r="I164" s="6" t="s">
        <v>413</v>
      </c>
    </row>
    <row r="165" customFormat="false" ht="15" hidden="false" customHeight="false" outlineLevel="2" collapsed="false">
      <c r="A165" s="3" t="s">
        <v>430</v>
      </c>
      <c r="B165" s="11" t="s">
        <v>65</v>
      </c>
      <c r="C165" s="32" t="n">
        <f aca="false">C162*輸入與假設!$C$158</f>
        <v>0</v>
      </c>
      <c r="D165" s="32" t="n">
        <f aca="false">D162*輸入與假設!$C$158</f>
        <v>0</v>
      </c>
      <c r="E165" s="32" t="n">
        <f aca="false">E162*輸入與假設!$C$158</f>
        <v>0</v>
      </c>
      <c r="F165" s="32" t="n">
        <f aca="false">F162*輸入與假設!$C$158</f>
        <v>0</v>
      </c>
      <c r="G165" s="32" t="n">
        <f aca="false">G162*輸入與假設!$C$158</f>
        <v>0</v>
      </c>
      <c r="I165" s="6" t="s">
        <v>415</v>
      </c>
    </row>
    <row r="166" customFormat="false" ht="15" hidden="false" customHeight="false" outlineLevel="2" collapsed="false">
      <c r="A166" s="3" t="s">
        <v>431</v>
      </c>
      <c r="B166" s="11" t="s">
        <v>65</v>
      </c>
      <c r="C166" s="24" t="n">
        <v>29.792</v>
      </c>
      <c r="I166" s="6" t="s">
        <v>390</v>
      </c>
    </row>
    <row r="167" customFormat="false" ht="15" hidden="false" customHeight="false" outlineLevel="2" collapsed="false">
      <c r="A167" s="3" t="s">
        <v>432</v>
      </c>
      <c r="B167" s="11" t="s">
        <v>65</v>
      </c>
      <c r="C167" s="24" t="n">
        <v>14.274</v>
      </c>
      <c r="I167" s="6" t="s">
        <v>392</v>
      </c>
    </row>
    <row r="168" customFormat="false" ht="15" hidden="false" customHeight="false" outlineLevel="2" collapsed="false">
      <c r="A168" s="3" t="s">
        <v>433</v>
      </c>
      <c r="B168" s="11" t="s">
        <v>42</v>
      </c>
      <c r="C168" s="23" t="n">
        <v>-0.021785</v>
      </c>
      <c r="I168" s="6" t="s">
        <v>394</v>
      </c>
    </row>
    <row r="169" customFormat="false" ht="15" hidden="false" customHeight="false" outlineLevel="2" collapsed="false">
      <c r="A169" s="3" t="s">
        <v>434</v>
      </c>
      <c r="B169" s="11" t="s">
        <v>42</v>
      </c>
      <c r="C169" s="23" t="n">
        <v>0.15</v>
      </c>
      <c r="I169" s="11" t="s">
        <v>435</v>
      </c>
    </row>
    <row r="170" customFormat="false" ht="15" hidden="false" customHeight="false" outlineLevel="2" collapsed="false">
      <c r="A170" s="3" t="s">
        <v>436</v>
      </c>
      <c r="B170" s="11" t="s">
        <v>42</v>
      </c>
      <c r="C170" s="23" t="n">
        <v>0</v>
      </c>
      <c r="I170" s="6" t="s">
        <v>398</v>
      </c>
    </row>
    <row r="171" customFormat="false" ht="15" hidden="false" customHeight="false" outlineLevel="2" collapsed="false">
      <c r="A171" s="3" t="s">
        <v>437</v>
      </c>
      <c r="B171" s="11" t="s">
        <v>42</v>
      </c>
      <c r="C171" s="23" t="n">
        <v>0.104915</v>
      </c>
      <c r="I171" s="11" t="s">
        <v>400</v>
      </c>
    </row>
    <row r="172" customFormat="false" ht="15" hidden="false" customHeight="false" outlineLevel="2" collapsed="false">
      <c r="A172" s="3" t="s">
        <v>438</v>
      </c>
      <c r="B172" s="11" t="s">
        <v>42</v>
      </c>
      <c r="C172" s="23" t="n">
        <v>0</v>
      </c>
      <c r="I172" s="6" t="s">
        <v>402</v>
      </c>
    </row>
    <row r="173" customFormat="false" ht="15" hidden="false" customHeight="false" outlineLevel="2" collapsed="false">
      <c r="A173" s="3" t="s">
        <v>439</v>
      </c>
      <c r="B173" s="11" t="s">
        <v>42</v>
      </c>
      <c r="C173" s="23" t="n">
        <v>0.06</v>
      </c>
      <c r="I173" s="6" t="s">
        <v>404</v>
      </c>
    </row>
    <row r="174" customFormat="false" ht="15" hidden="false" customHeight="false" outlineLevel="2" collapsed="false">
      <c r="A174" s="3" t="s">
        <v>440</v>
      </c>
      <c r="B174" s="11" t="s">
        <v>42</v>
      </c>
      <c r="C174" s="40" t="n">
        <f aca="false">輸入與假設!$C$168+(輸入與假設!$C$170-輸入與假設!$C$168)*0/4</f>
        <v>-0.021785</v>
      </c>
      <c r="D174" s="40" t="n">
        <f aca="false">輸入與假設!$C$168+(輸入與假設!$C$170-輸入與假設!$C$168)*1/4</f>
        <v>-0.01633875</v>
      </c>
      <c r="E174" s="40" t="n">
        <f aca="false">輸入與假設!$C$168+(輸入與假設!$C$170-輸入與假設!$C$168)*2/4</f>
        <v>-0.0108925</v>
      </c>
      <c r="F174" s="40" t="n">
        <f aca="false">輸入與假設!$C$168+(輸入與假設!$C$170-輸入與假設!$C$168)*3/4</f>
        <v>-0.00544625</v>
      </c>
      <c r="G174" s="40" t="n">
        <f aca="false">輸入與假設!$C$168+(輸入與假設!$C$170-輸入與假設!$C$168)*4/4</f>
        <v>0</v>
      </c>
      <c r="I174" s="6" t="s">
        <v>406</v>
      </c>
    </row>
    <row r="175" customFormat="false" ht="15" hidden="false" customHeight="false" outlineLevel="2" collapsed="false">
      <c r="A175" s="3" t="s">
        <v>441</v>
      </c>
      <c r="B175" s="11" t="s">
        <v>65</v>
      </c>
      <c r="C175" s="32" t="n">
        <f aca="false">輸入與假設!$C$166*(1+C174)</f>
        <v>29.14298128</v>
      </c>
      <c r="D175" s="32" t="n">
        <f aca="false">C175*(1+D174)</f>
        <v>28.6668213946114</v>
      </c>
      <c r="E175" s="32" t="n">
        <f aca="false">D175*(1+E174)</f>
        <v>28.3545680425706</v>
      </c>
      <c r="F175" s="32" t="n">
        <f aca="false">E175*(1+F174)</f>
        <v>28.2001419763688</v>
      </c>
      <c r="G175" s="32" t="n">
        <f aca="false">F175*(1+G174)</f>
        <v>28.2001419763688</v>
      </c>
      <c r="I175" s="6" t="s">
        <v>408</v>
      </c>
    </row>
    <row r="176" customFormat="false" ht="15" hidden="false" customHeight="false" outlineLevel="2" collapsed="false">
      <c r="A176" s="3" t="s">
        <v>442</v>
      </c>
      <c r="B176" s="11" t="s">
        <v>65</v>
      </c>
      <c r="C176" s="32" t="n">
        <f aca="false">C175-輸入與假設!$C$167</f>
        <v>14.86898128</v>
      </c>
      <c r="D176" s="32" t="n">
        <f aca="false">D175</f>
        <v>28.6668213946114</v>
      </c>
      <c r="E176" s="32" t="n">
        <f aca="false">E175</f>
        <v>28.3545680425706</v>
      </c>
      <c r="F176" s="32" t="n">
        <f aca="false">F175</f>
        <v>28.2001419763688</v>
      </c>
      <c r="G176" s="32" t="n">
        <f aca="false">G175</f>
        <v>28.2001419763688</v>
      </c>
      <c r="I176" s="11" t="s">
        <v>410</v>
      </c>
    </row>
    <row r="177" customFormat="false" ht="15" hidden="false" customHeight="false" outlineLevel="2" collapsed="false">
      <c r="A177" s="3" t="s">
        <v>443</v>
      </c>
      <c r="B177" s="11" t="s">
        <v>42</v>
      </c>
      <c r="C177" s="40" t="n">
        <f aca="false">輸入與假設!$C$169+(輸入與假設!$C$171-輸入與假設!$C$169)*0/4</f>
        <v>0.15</v>
      </c>
      <c r="D177" s="40" t="n">
        <f aca="false">輸入與假設!$C$169+(輸入與假設!$C$171-輸入與假設!$C$169)*1/4</f>
        <v>0.13872875</v>
      </c>
      <c r="E177" s="40" t="n">
        <f aca="false">輸入與假設!$C$169+(輸入與假設!$C$171-輸入與假設!$C$169)*2/4</f>
        <v>0.1274575</v>
      </c>
      <c r="F177" s="40" t="n">
        <f aca="false">輸入與假設!$C$169+(輸入與假設!$C$171-輸入與假設!$C$169)*3/4</f>
        <v>0.11618625</v>
      </c>
      <c r="G177" s="40" t="n">
        <f aca="false">輸入與假設!$C$169+(輸入與假設!$C$171-輸入與假設!$C$169)*4/4</f>
        <v>0.104915</v>
      </c>
      <c r="I177" s="6" t="s">
        <v>406</v>
      </c>
    </row>
    <row r="178" customFormat="false" ht="15" hidden="false" customHeight="false" outlineLevel="2" collapsed="false">
      <c r="A178" s="3" t="s">
        <v>444</v>
      </c>
      <c r="B178" s="11" t="s">
        <v>65</v>
      </c>
      <c r="C178" s="32" t="n">
        <f aca="false">C176*C177</f>
        <v>2.230347192</v>
      </c>
      <c r="D178" s="32" t="n">
        <f aca="false">D176*D177</f>
        <v>3.9769122985477</v>
      </c>
      <c r="E178" s="32" t="n">
        <f aca="false">E176*E177</f>
        <v>3.61400235628594</v>
      </c>
      <c r="F178" s="32" t="n">
        <f aca="false">F176*F177</f>
        <v>3.27646874570187</v>
      </c>
      <c r="G178" s="32" t="n">
        <f aca="false">G176*G177</f>
        <v>2.95861789545073</v>
      </c>
      <c r="I178" s="6" t="s">
        <v>413</v>
      </c>
    </row>
    <row r="179" customFormat="false" ht="15" hidden="false" customHeight="false" outlineLevel="2" collapsed="false">
      <c r="A179" s="3" t="s">
        <v>445</v>
      </c>
      <c r="B179" s="11" t="s">
        <v>65</v>
      </c>
      <c r="C179" s="32" t="n">
        <f aca="false">C176*輸入與假設!$C$172</f>
        <v>0</v>
      </c>
      <c r="D179" s="32" t="n">
        <f aca="false">D176*輸入與假設!$C$172</f>
        <v>0</v>
      </c>
      <c r="E179" s="32" t="n">
        <f aca="false">E176*輸入與假設!$C$172</f>
        <v>0</v>
      </c>
      <c r="F179" s="32" t="n">
        <f aca="false">F176*輸入與假設!$C$172</f>
        <v>0</v>
      </c>
      <c r="G179" s="32" t="n">
        <f aca="false">G176*輸入與假設!$C$172</f>
        <v>0</v>
      </c>
      <c r="I179" s="6" t="s">
        <v>415</v>
      </c>
    </row>
    <row r="180" customFormat="false" ht="15" hidden="false" customHeight="false" outlineLevel="2" collapsed="false">
      <c r="A180" s="3" t="s">
        <v>446</v>
      </c>
      <c r="B180" s="11" t="s">
        <v>65</v>
      </c>
      <c r="C180" s="24" t="n">
        <v>48.03</v>
      </c>
      <c r="I180" s="6" t="s">
        <v>390</v>
      </c>
    </row>
    <row r="181" customFormat="false" ht="15" hidden="false" customHeight="false" outlineLevel="2" collapsed="false">
      <c r="A181" s="3" t="s">
        <v>447</v>
      </c>
      <c r="B181" s="11" t="s">
        <v>65</v>
      </c>
      <c r="C181" s="24" t="n">
        <v>25.295</v>
      </c>
      <c r="I181" s="6" t="s">
        <v>392</v>
      </c>
    </row>
    <row r="182" customFormat="false" ht="15" hidden="false" customHeight="false" outlineLevel="2" collapsed="false">
      <c r="A182" s="3" t="s">
        <v>448</v>
      </c>
      <c r="B182" s="11" t="s">
        <v>42</v>
      </c>
      <c r="C182" s="23" t="n">
        <v>0.179435</v>
      </c>
      <c r="I182" s="6" t="s">
        <v>394</v>
      </c>
    </row>
    <row r="183" customFormat="false" ht="15" hidden="false" customHeight="false" outlineLevel="2" collapsed="false">
      <c r="A183" s="3" t="s">
        <v>449</v>
      </c>
      <c r="B183" s="11" t="s">
        <v>42</v>
      </c>
      <c r="C183" s="23" t="n">
        <v>0.2</v>
      </c>
      <c r="I183" s="11" t="s">
        <v>450</v>
      </c>
    </row>
    <row r="184" customFormat="false" ht="15" hidden="false" customHeight="false" outlineLevel="2" collapsed="false">
      <c r="A184" s="3" t="s">
        <v>451</v>
      </c>
      <c r="B184" s="11" t="s">
        <v>42</v>
      </c>
      <c r="C184" s="23" t="n">
        <v>0.1</v>
      </c>
      <c r="I184" s="6" t="s">
        <v>398</v>
      </c>
    </row>
    <row r="185" customFormat="false" ht="15" hidden="false" customHeight="false" outlineLevel="2" collapsed="false">
      <c r="A185" s="3" t="s">
        <v>452</v>
      </c>
      <c r="B185" s="11" t="s">
        <v>42</v>
      </c>
      <c r="C185" s="23" t="n">
        <v>0.154915</v>
      </c>
      <c r="I185" s="11" t="s">
        <v>400</v>
      </c>
    </row>
    <row r="186" customFormat="false" ht="15" hidden="false" customHeight="false" outlineLevel="2" collapsed="false">
      <c r="A186" s="3" t="s">
        <v>453</v>
      </c>
      <c r="B186" s="11" t="s">
        <v>42</v>
      </c>
      <c r="C186" s="23" t="n">
        <v>0</v>
      </c>
      <c r="I186" s="6" t="s">
        <v>402</v>
      </c>
    </row>
    <row r="187" customFormat="false" ht="15" hidden="false" customHeight="false" outlineLevel="2" collapsed="false">
      <c r="A187" s="3" t="s">
        <v>454</v>
      </c>
      <c r="B187" s="11" t="s">
        <v>42</v>
      </c>
      <c r="C187" s="23" t="n">
        <v>0.06</v>
      </c>
      <c r="I187" s="6" t="s">
        <v>404</v>
      </c>
    </row>
    <row r="188" customFormat="false" ht="15" hidden="false" customHeight="false" outlineLevel="2" collapsed="false">
      <c r="A188" s="3" t="s">
        <v>455</v>
      </c>
      <c r="B188" s="11" t="s">
        <v>42</v>
      </c>
      <c r="C188" s="40" t="n">
        <f aca="false">輸入與假設!$C$182+(輸入與假設!$C$184-輸入與假設!$C$182)*0/4</f>
        <v>0.179435</v>
      </c>
      <c r="D188" s="40" t="n">
        <f aca="false">輸入與假設!$C$182+(輸入與假設!$C$184-輸入與假設!$C$182)*1/4</f>
        <v>0.15957625</v>
      </c>
      <c r="E188" s="40" t="n">
        <f aca="false">輸入與假設!$C$182+(輸入與假設!$C$184-輸入與假設!$C$182)*2/4</f>
        <v>0.1397175</v>
      </c>
      <c r="F188" s="40" t="n">
        <f aca="false">輸入與假設!$C$182+(輸入與假設!$C$184-輸入與假設!$C$182)*3/4</f>
        <v>0.11985875</v>
      </c>
      <c r="G188" s="40" t="n">
        <f aca="false">輸入與假設!$C$182+(輸入與假設!$C$184-輸入與假設!$C$182)*4/4</f>
        <v>0.1</v>
      </c>
      <c r="I188" s="6" t="s">
        <v>406</v>
      </c>
    </row>
    <row r="189" customFormat="false" ht="15" hidden="false" customHeight="false" outlineLevel="2" collapsed="false">
      <c r="A189" s="3" t="s">
        <v>456</v>
      </c>
      <c r="B189" s="11" t="s">
        <v>65</v>
      </c>
      <c r="C189" s="32" t="n">
        <f aca="false">輸入與假設!$C$180*(1+C188)</f>
        <v>56.64826305</v>
      </c>
      <c r="D189" s="32" t="n">
        <f aca="false">C189*(1+D188)</f>
        <v>65.6879804365326</v>
      </c>
      <c r="E189" s="32" t="n">
        <f aca="false">D189*(1+E188)</f>
        <v>74.8657408431738</v>
      </c>
      <c r="F189" s="32" t="n">
        <f aca="false">E189*(1+F188)</f>
        <v>83.8390549584606</v>
      </c>
      <c r="G189" s="32" t="n">
        <f aca="false">F189*(1+G188)</f>
        <v>92.2229604543066</v>
      </c>
      <c r="I189" s="6" t="s">
        <v>408</v>
      </c>
    </row>
    <row r="190" customFormat="false" ht="15" hidden="false" customHeight="false" outlineLevel="2" collapsed="false">
      <c r="A190" s="3" t="s">
        <v>457</v>
      </c>
      <c r="B190" s="11" t="s">
        <v>65</v>
      </c>
      <c r="C190" s="32" t="n">
        <f aca="false">C189-輸入與假設!$C$181</f>
        <v>31.35326305</v>
      </c>
      <c r="D190" s="32" t="n">
        <f aca="false">D189</f>
        <v>65.6879804365326</v>
      </c>
      <c r="E190" s="32" t="n">
        <f aca="false">E189</f>
        <v>74.8657408431738</v>
      </c>
      <c r="F190" s="32" t="n">
        <f aca="false">F189</f>
        <v>83.8390549584606</v>
      </c>
      <c r="G190" s="32" t="n">
        <f aca="false">G189</f>
        <v>92.2229604543066</v>
      </c>
      <c r="I190" s="11" t="s">
        <v>410</v>
      </c>
    </row>
    <row r="191" customFormat="false" ht="15" hidden="false" customHeight="false" outlineLevel="2" collapsed="false">
      <c r="A191" s="3" t="s">
        <v>458</v>
      </c>
      <c r="B191" s="11" t="s">
        <v>42</v>
      </c>
      <c r="C191" s="40" t="n">
        <f aca="false">輸入與假設!$C$183+(輸入與假設!$C$185-輸入與假設!$C$183)*0/4</f>
        <v>0.2</v>
      </c>
      <c r="D191" s="40" t="n">
        <f aca="false">輸入與假設!$C$183+(輸入與假設!$C$185-輸入與假設!$C$183)*1/4</f>
        <v>0.18872875</v>
      </c>
      <c r="E191" s="40" t="n">
        <f aca="false">輸入與假設!$C$183+(輸入與假設!$C$185-輸入與假設!$C$183)*2/4</f>
        <v>0.1774575</v>
      </c>
      <c r="F191" s="40" t="n">
        <f aca="false">輸入與假設!$C$183+(輸入與假設!$C$185-輸入與假設!$C$183)*3/4</f>
        <v>0.16618625</v>
      </c>
      <c r="G191" s="40" t="n">
        <f aca="false">輸入與假設!$C$183+(輸入與假設!$C$185-輸入與假設!$C$183)*4/4</f>
        <v>0.154915</v>
      </c>
      <c r="I191" s="6" t="s">
        <v>406</v>
      </c>
    </row>
    <row r="192" customFormat="false" ht="15" hidden="false" customHeight="false" outlineLevel="2" collapsed="false">
      <c r="A192" s="3" t="s">
        <v>459</v>
      </c>
      <c r="B192" s="11" t="s">
        <v>65</v>
      </c>
      <c r="C192" s="32" t="n">
        <f aca="false">C190*C191</f>
        <v>6.27065261</v>
      </c>
      <c r="D192" s="32" t="n">
        <f aca="false">D190*D191</f>
        <v>12.3972104378112</v>
      </c>
      <c r="E192" s="32" t="n">
        <f aca="false">E190*E191</f>
        <v>13.2854872056775</v>
      </c>
      <c r="F192" s="32" t="n">
        <f aca="false">F190*F191</f>
        <v>13.9328981470905</v>
      </c>
      <c r="G192" s="32" t="n">
        <f aca="false">G190*G191</f>
        <v>14.2867199187789</v>
      </c>
      <c r="I192" s="6" t="s">
        <v>413</v>
      </c>
    </row>
    <row r="193" customFormat="false" ht="15" hidden="false" customHeight="false" outlineLevel="2" collapsed="false">
      <c r="A193" s="3" t="s">
        <v>460</v>
      </c>
      <c r="B193" s="11" t="s">
        <v>65</v>
      </c>
      <c r="C193" s="32" t="n">
        <f aca="false">C190*輸入與假設!$C$186</f>
        <v>0</v>
      </c>
      <c r="D193" s="32" t="n">
        <f aca="false">D190*輸入與假設!$C$186</f>
        <v>0</v>
      </c>
      <c r="E193" s="32" t="n">
        <f aca="false">E190*輸入與假設!$C$186</f>
        <v>0</v>
      </c>
      <c r="F193" s="32" t="n">
        <f aca="false">F190*輸入與假設!$C$186</f>
        <v>0</v>
      </c>
      <c r="G193" s="32" t="n">
        <f aca="false">G190*輸入與假設!$C$186</f>
        <v>0</v>
      </c>
      <c r="I193" s="6" t="s">
        <v>415</v>
      </c>
    </row>
    <row r="194" customFormat="false" ht="15" hidden="false" customHeight="false" outlineLevel="2" collapsed="false">
      <c r="A194" s="3" t="s">
        <v>461</v>
      </c>
      <c r="B194" s="11" t="s">
        <v>65</v>
      </c>
      <c r="C194" s="24" t="n">
        <v>44.796</v>
      </c>
      <c r="I194" s="6" t="s">
        <v>462</v>
      </c>
    </row>
    <row r="195" customFormat="false" ht="15" hidden="false" customHeight="false" outlineLevel="2" collapsed="false">
      <c r="A195" s="3" t="s">
        <v>463</v>
      </c>
      <c r="B195" s="11" t="s">
        <v>65</v>
      </c>
      <c r="C195" s="24" t="n">
        <v>32.821</v>
      </c>
      <c r="I195" s="6" t="s">
        <v>464</v>
      </c>
    </row>
    <row r="196" customFormat="false" ht="15" hidden="false" customHeight="false" outlineLevel="2" collapsed="false">
      <c r="A196" s="3" t="s">
        <v>465</v>
      </c>
      <c r="B196" s="11" t="s">
        <v>42</v>
      </c>
      <c r="C196" s="23" t="n">
        <v>0.577838</v>
      </c>
      <c r="I196" s="6" t="s">
        <v>466</v>
      </c>
    </row>
    <row r="197" customFormat="false" ht="15" hidden="false" customHeight="false" outlineLevel="2" collapsed="false">
      <c r="A197" s="3" t="s">
        <v>467</v>
      </c>
      <c r="B197" s="11" t="s">
        <v>65</v>
      </c>
      <c r="C197" s="24" t="n">
        <v>77.617</v>
      </c>
      <c r="I197" s="11" t="s">
        <v>468</v>
      </c>
    </row>
    <row r="198" customFormat="false" ht="15" hidden="false" customHeight="false" outlineLevel="2" collapsed="false">
      <c r="A198" s="3" t="s">
        <v>469</v>
      </c>
      <c r="B198" s="11" t="s">
        <v>65</v>
      </c>
      <c r="C198" s="24" t="n">
        <v>49.192</v>
      </c>
      <c r="I198" s="11" t="s">
        <v>468</v>
      </c>
    </row>
    <row r="199" customFormat="false" ht="15" hidden="false" customHeight="false" outlineLevel="2" collapsed="false">
      <c r="A199" s="3" t="s">
        <v>470</v>
      </c>
      <c r="B199" s="11" t="s">
        <v>65</v>
      </c>
      <c r="C199" s="24" t="n">
        <v>28.708857</v>
      </c>
      <c r="I199" s="6" t="s">
        <v>471</v>
      </c>
    </row>
    <row r="200" customFormat="false" ht="15" hidden="false" customHeight="false" outlineLevel="2" collapsed="false">
      <c r="A200" s="3" t="s">
        <v>472</v>
      </c>
      <c r="B200" s="11" t="s">
        <v>157</v>
      </c>
      <c r="C200" s="21" t="n">
        <v>1447.9</v>
      </c>
      <c r="I200" s="6" t="s">
        <v>473</v>
      </c>
    </row>
    <row r="201" customFormat="false" ht="15" hidden="false" customHeight="false" outlineLevel="2" collapsed="false">
      <c r="A201" s="3" t="s">
        <v>474</v>
      </c>
      <c r="B201" s="11" t="s">
        <v>157</v>
      </c>
      <c r="C201" s="21" t="n">
        <v>657.3</v>
      </c>
      <c r="I201" s="6" t="s">
        <v>475</v>
      </c>
    </row>
    <row r="202" customFormat="false" ht="15" hidden="false" customHeight="false" outlineLevel="2" collapsed="false">
      <c r="A202" s="3" t="s">
        <v>476</v>
      </c>
      <c r="B202" s="11" t="s">
        <v>65</v>
      </c>
      <c r="C202" s="32" t="n">
        <f aca="false">輸入與假設!$C$136*(輸入與假設!$C$28+輸入與假設!$C$29)/2*0.5</f>
        <v>10.063293513461</v>
      </c>
      <c r="I202" s="6" t="s">
        <v>477</v>
      </c>
    </row>
    <row r="203" customFormat="false" ht="15" hidden="false" customHeight="false" outlineLevel="2" collapsed="false">
      <c r="A203" s="3" t="s">
        <v>478</v>
      </c>
      <c r="B203" s="11" t="s">
        <v>65</v>
      </c>
      <c r="C203" s="32" t="n">
        <f aca="false">輸入與假設!$C$136*輸入與假設!$C$200</f>
        <v>17.3305295012074</v>
      </c>
      <c r="I203" s="6" t="s">
        <v>479</v>
      </c>
    </row>
    <row r="204" customFormat="false" ht="15" hidden="false" customHeight="false" outlineLevel="2" collapsed="false">
      <c r="A204" s="3" t="s">
        <v>480</v>
      </c>
      <c r="B204" s="11" t="s">
        <v>65</v>
      </c>
      <c r="C204" s="32" t="n">
        <f aca="false">輸入與假設!$C$136*輸入與假設!$C$201</f>
        <v>7.86750261837393</v>
      </c>
      <c r="I204" s="6" t="s">
        <v>481</v>
      </c>
    </row>
    <row r="205" customFormat="false" ht="15" hidden="false" customHeight="false" outlineLevel="2" collapsed="false">
      <c r="A205" s="3" t="s">
        <v>482</v>
      </c>
      <c r="B205" s="11" t="s">
        <v>42</v>
      </c>
      <c r="C205" s="40" t="n">
        <f aca="false">(輸入與假設!$C$197-輸入與假設!$C$203)/(輸入與假設!$C$198-輸入與假設!$C$204)-1</f>
        <v>0.458855505054431</v>
      </c>
      <c r="I205" s="6" t="s">
        <v>483</v>
      </c>
    </row>
    <row r="206" customFormat="false" ht="15" hidden="false" customHeight="false" outlineLevel="2" collapsed="false">
      <c r="A206" s="3" t="s">
        <v>484</v>
      </c>
      <c r="B206" s="11" t="s">
        <v>65</v>
      </c>
      <c r="C206" s="32" t="n">
        <f aca="false">輸入與假設!$C$194-輸入與假設!$C$202</f>
        <v>34.732706486539</v>
      </c>
      <c r="I206" s="6" t="s">
        <v>485</v>
      </c>
    </row>
    <row r="207" customFormat="false" ht="15" hidden="false" customHeight="false" outlineLevel="2" collapsed="false">
      <c r="A207" s="3" t="s">
        <v>486</v>
      </c>
      <c r="B207" s="11" t="s">
        <v>42</v>
      </c>
      <c r="C207" s="40" t="n">
        <f aca="false">(輸入與假設!$C$199-輸入與假設!$C$203*輸入與假設!$C$137)/(輸入與假設!$C$197-輸入與假設!$C$203)</f>
        <v>0.234525184471178</v>
      </c>
      <c r="I207" s="6" t="s">
        <v>487</v>
      </c>
    </row>
    <row r="208" customFormat="false" ht="15" hidden="false" customHeight="false" outlineLevel="2" collapsed="false">
      <c r="A208" s="3" t="s">
        <v>488</v>
      </c>
      <c r="B208" s="11" t="s">
        <v>42</v>
      </c>
      <c r="C208" s="23" t="n">
        <v>0.08</v>
      </c>
      <c r="I208" s="6" t="s">
        <v>398</v>
      </c>
    </row>
    <row r="209" customFormat="false" ht="15" hidden="false" customHeight="false" outlineLevel="2" collapsed="false">
      <c r="A209" s="3" t="s">
        <v>489</v>
      </c>
      <c r="B209" s="11" t="s">
        <v>42</v>
      </c>
      <c r="C209" s="40" t="n">
        <f aca="false">輸入與假設!$C$207</f>
        <v>0.234525184471178</v>
      </c>
      <c r="I209" s="6" t="s">
        <v>490</v>
      </c>
    </row>
    <row r="210" customFormat="false" ht="15" hidden="false" customHeight="false" outlineLevel="2" collapsed="false">
      <c r="A210" s="3" t="s">
        <v>491</v>
      </c>
      <c r="B210" s="11" t="s">
        <v>42</v>
      </c>
      <c r="C210" s="23" t="n">
        <v>0</v>
      </c>
      <c r="I210" s="6" t="s">
        <v>402</v>
      </c>
    </row>
    <row r="211" customFormat="false" ht="15" hidden="false" customHeight="false" outlineLevel="2" collapsed="false">
      <c r="A211" s="3" t="s">
        <v>492</v>
      </c>
      <c r="B211" s="11" t="s">
        <v>42</v>
      </c>
      <c r="C211" s="23" t="n">
        <v>0.2</v>
      </c>
      <c r="I211" s="6" t="s">
        <v>404</v>
      </c>
    </row>
    <row r="212" customFormat="false" ht="15" hidden="false" customHeight="false" outlineLevel="2" collapsed="false">
      <c r="A212" s="3" t="s">
        <v>493</v>
      </c>
      <c r="B212" s="11" t="s">
        <v>42</v>
      </c>
      <c r="C212" s="40" t="n">
        <f aca="false">輸入與假設!$C$205+(輸入與假設!$C$208-輸入與假設!$C$205)*0/4</f>
        <v>0.458855505054431</v>
      </c>
      <c r="D212" s="40" t="n">
        <f aca="false">輸入與假設!$C$205+(輸入與假設!$C$208-輸入與假設!$C$205)*1/4</f>
        <v>0.364141628790823</v>
      </c>
      <c r="E212" s="40" t="n">
        <f aca="false">輸入與假設!$C$205+(輸入與假設!$C$208-輸入與假設!$C$205)*2/4</f>
        <v>0.269427752527216</v>
      </c>
      <c r="F212" s="40" t="n">
        <f aca="false">輸入與假設!$C$205+(輸入與假設!$C$208-輸入與假設!$C$205)*3/4</f>
        <v>0.174713876263608</v>
      </c>
      <c r="G212" s="40" t="n">
        <f aca="false">輸入與假設!$C$205+(輸入與假設!$C$208-輸入與假設!$C$205)*4/4</f>
        <v>0.08</v>
      </c>
      <c r="I212" s="6" t="s">
        <v>406</v>
      </c>
    </row>
    <row r="213" customFormat="false" ht="15" hidden="false" customHeight="false" outlineLevel="2" collapsed="false">
      <c r="A213" s="3" t="s">
        <v>494</v>
      </c>
      <c r="B213" s="11" t="s">
        <v>65</v>
      </c>
      <c r="C213" s="32" t="n">
        <f aca="false">輸入與假設!$C$194+輸入與假設!$C$195*(1+輸入與假設!$C$196)-輸入與假設!$C$202-C135</f>
        <v>73.2749090706519</v>
      </c>
      <c r="D213" s="32" t="n">
        <f aca="false">C213*(1+D212)</f>
        <v>99.9573538091385</v>
      </c>
      <c r="E213" s="32" t="n">
        <f aca="false">D213*(1+E212)</f>
        <v>126.888638994502</v>
      </c>
      <c r="F213" s="32" t="n">
        <f aca="false">E213*(1+F212)</f>
        <v>149.057844967046</v>
      </c>
      <c r="G213" s="32" t="n">
        <f aca="false">F213*(1+G212)</f>
        <v>160.982472564409</v>
      </c>
      <c r="I213" s="11" t="s">
        <v>495</v>
      </c>
    </row>
    <row r="214" customFormat="false" ht="15" hidden="false" customHeight="false" outlineLevel="2" collapsed="false">
      <c r="A214" s="3" t="s">
        <v>496</v>
      </c>
      <c r="B214" s="11" t="s">
        <v>65</v>
      </c>
      <c r="C214" s="32" t="n">
        <f aca="false">C213-輸入與假設!$C$206</f>
        <v>38.5422025841128</v>
      </c>
      <c r="D214" s="32" t="n">
        <f aca="false">D213</f>
        <v>99.9573538091385</v>
      </c>
      <c r="E214" s="32" t="n">
        <f aca="false">E213</f>
        <v>126.888638994502</v>
      </c>
      <c r="F214" s="32" t="n">
        <f aca="false">F213</f>
        <v>149.057844967046</v>
      </c>
      <c r="G214" s="32" t="n">
        <f aca="false">G213</f>
        <v>160.982472564409</v>
      </c>
      <c r="I214" s="11" t="s">
        <v>410</v>
      </c>
    </row>
    <row r="215" customFormat="false" ht="15" hidden="false" customHeight="false" outlineLevel="2" collapsed="false">
      <c r="A215" s="3" t="s">
        <v>497</v>
      </c>
      <c r="B215" s="11" t="s">
        <v>42</v>
      </c>
      <c r="C215" s="40" t="n">
        <f aca="false">輸入與假設!$C$207+(輸入與假設!$C$209-輸入與假設!$C$207)*0/4</f>
        <v>0.234525184471178</v>
      </c>
      <c r="D215" s="40" t="n">
        <f aca="false">輸入與假設!$C$207+(輸入與假設!$C$209-輸入與假設!$C$207)*1/4</f>
        <v>0.234525184471178</v>
      </c>
      <c r="E215" s="40" t="n">
        <f aca="false">輸入與假設!$C$207+(輸入與假設!$C$209-輸入與假設!$C$207)*2/4</f>
        <v>0.234525184471178</v>
      </c>
      <c r="F215" s="40" t="n">
        <f aca="false">輸入與假設!$C$207+(輸入與假設!$C$209-輸入與假設!$C$207)*3/4</f>
        <v>0.234525184471178</v>
      </c>
      <c r="G215" s="40" t="n">
        <f aca="false">輸入與假設!$C$207+(輸入與假設!$C$209-輸入與假設!$C$207)*4/4</f>
        <v>0.234525184471178</v>
      </c>
      <c r="I215" s="6" t="s">
        <v>406</v>
      </c>
    </row>
    <row r="216" customFormat="false" ht="15" hidden="false" customHeight="false" outlineLevel="2" collapsed="false">
      <c r="A216" s="3" t="s">
        <v>498</v>
      </c>
      <c r="B216" s="11" t="s">
        <v>65</v>
      </c>
      <c r="C216" s="32" t="n">
        <f aca="false">C214*C215</f>
        <v>9.03911717096457</v>
      </c>
      <c r="D216" s="32" t="n">
        <f aca="false">D214*D215</f>
        <v>23.442516841339</v>
      </c>
      <c r="E216" s="32" t="n">
        <f aca="false">E214*E215</f>
        <v>29.7585814674824</v>
      </c>
      <c r="F216" s="32" t="n">
        <f aca="false">F214*F215</f>
        <v>34.9578185877726</v>
      </c>
      <c r="G216" s="32" t="n">
        <f aca="false">G214*G215</f>
        <v>37.7544440747944</v>
      </c>
      <c r="I216" s="6" t="s">
        <v>413</v>
      </c>
    </row>
    <row r="217" customFormat="false" ht="15" hidden="false" customHeight="false" outlineLevel="2" collapsed="false">
      <c r="A217" s="3" t="s">
        <v>499</v>
      </c>
      <c r="B217" s="11" t="s">
        <v>65</v>
      </c>
      <c r="C217" s="32" t="n">
        <f aca="false">C214*輸入與假設!$C$210</f>
        <v>0</v>
      </c>
      <c r="D217" s="32" t="n">
        <f aca="false">D214*輸入與假設!$C$210</f>
        <v>0</v>
      </c>
      <c r="E217" s="32" t="n">
        <f aca="false">E214*輸入與假設!$C$210</f>
        <v>0</v>
      </c>
      <c r="F217" s="32" t="n">
        <f aca="false">F214*輸入與假設!$C$210</f>
        <v>0</v>
      </c>
      <c r="G217" s="32" t="n">
        <f aca="false">G214*輸入與假設!$C$210</f>
        <v>0</v>
      </c>
      <c r="I217" s="6" t="s">
        <v>415</v>
      </c>
    </row>
    <row r="218" customFormat="false" ht="15" hidden="false" customHeight="false" outlineLevel="2" collapsed="false">
      <c r="A218" s="3" t="s">
        <v>500</v>
      </c>
      <c r="B218" s="11" t="s">
        <v>65</v>
      </c>
      <c r="C218" s="24" t="n">
        <v>0.793</v>
      </c>
      <c r="I218" s="6" t="s">
        <v>501</v>
      </c>
    </row>
    <row r="219" customFormat="false" ht="15" hidden="false" customHeight="false" outlineLevel="2" collapsed="false">
      <c r="A219" s="3" t="s">
        <v>502</v>
      </c>
      <c r="B219" s="11" t="s">
        <v>65</v>
      </c>
      <c r="C219" s="24" t="n">
        <v>0.75</v>
      </c>
      <c r="D219" s="24" t="n">
        <v>1.6</v>
      </c>
      <c r="E219" s="24" t="n">
        <v>1.8</v>
      </c>
      <c r="F219" s="24" t="n">
        <v>2</v>
      </c>
      <c r="G219" s="24" t="n">
        <v>2.2</v>
      </c>
      <c r="I219" s="6" t="s">
        <v>503</v>
      </c>
    </row>
    <row r="220" customFormat="false" ht="15" hidden="false" customHeight="false" outlineLevel="2" collapsed="false">
      <c r="A220" s="3" t="s">
        <v>504</v>
      </c>
      <c r="B220" s="11" t="s">
        <v>42</v>
      </c>
      <c r="C220" s="23" t="n">
        <v>0</v>
      </c>
      <c r="I220" s="11" t="s">
        <v>505</v>
      </c>
    </row>
    <row r="221" customFormat="false" ht="15" hidden="false" customHeight="false" outlineLevel="2" collapsed="false">
      <c r="A221" s="3" t="s">
        <v>506</v>
      </c>
      <c r="B221" s="11" t="s">
        <v>42</v>
      </c>
      <c r="C221" s="40" t="n">
        <f aca="false">輸入與假設!$C$220</f>
        <v>0</v>
      </c>
      <c r="I221" s="6" t="s">
        <v>490</v>
      </c>
    </row>
    <row r="222" customFormat="false" ht="15" hidden="false" customHeight="false" outlineLevel="2" collapsed="false">
      <c r="A222" s="3" t="s">
        <v>507</v>
      </c>
      <c r="B222" s="11" t="s">
        <v>42</v>
      </c>
      <c r="C222" s="23" t="n">
        <v>0</v>
      </c>
      <c r="I222" s="6" t="s">
        <v>402</v>
      </c>
    </row>
    <row r="223" customFormat="false" ht="15" hidden="false" customHeight="false" outlineLevel="2" collapsed="false">
      <c r="A223" s="3" t="s">
        <v>508</v>
      </c>
      <c r="B223" s="11" t="s">
        <v>42</v>
      </c>
      <c r="C223" s="23" t="n">
        <v>0.06</v>
      </c>
      <c r="I223" s="6" t="s">
        <v>404</v>
      </c>
    </row>
    <row r="224" customFormat="false" ht="15" hidden="false" customHeight="false" outlineLevel="2" collapsed="false">
      <c r="A224" s="3" t="s">
        <v>509</v>
      </c>
      <c r="B224" s="11" t="s">
        <v>65</v>
      </c>
      <c r="C224" s="32" t="n">
        <f aca="false">C219+輸入與假設!$C$218</f>
        <v>1.543</v>
      </c>
      <c r="D224" s="32" t="n">
        <f aca="false">D219</f>
        <v>1.6</v>
      </c>
      <c r="E224" s="32" t="n">
        <f aca="false">E219</f>
        <v>1.8</v>
      </c>
      <c r="F224" s="32" t="n">
        <f aca="false">F219</f>
        <v>2</v>
      </c>
      <c r="G224" s="32" t="n">
        <f aca="false">G219</f>
        <v>2.2</v>
      </c>
      <c r="I224" s="11" t="s">
        <v>510</v>
      </c>
    </row>
    <row r="225" customFormat="false" ht="15" hidden="false" customHeight="false" outlineLevel="2" collapsed="false">
      <c r="A225" s="3" t="s">
        <v>511</v>
      </c>
      <c r="B225" s="11" t="s">
        <v>42</v>
      </c>
      <c r="C225" s="40" t="n">
        <f aca="false">輸入與假設!$C$220+(輸入與假設!$C$221-輸入與假設!$C$220)*0/4</f>
        <v>0</v>
      </c>
      <c r="D225" s="40" t="n">
        <f aca="false">輸入與假設!$C$220+(輸入與假設!$C$221-輸入與假設!$C$220)*1/4</f>
        <v>0</v>
      </c>
      <c r="E225" s="40" t="n">
        <f aca="false">輸入與假設!$C$220+(輸入與假設!$C$221-輸入與假設!$C$220)*2/4</f>
        <v>0</v>
      </c>
      <c r="F225" s="40" t="n">
        <f aca="false">輸入與假設!$C$220+(輸入與假設!$C$221-輸入與假設!$C$220)*3/4</f>
        <v>0</v>
      </c>
      <c r="G225" s="40" t="n">
        <f aca="false">輸入與假設!$C$220+(輸入與假設!$C$221-輸入與假設!$C$220)*4/4</f>
        <v>0</v>
      </c>
      <c r="I225" s="6" t="s">
        <v>406</v>
      </c>
    </row>
    <row r="226" customFormat="false" ht="15" hidden="false" customHeight="false" outlineLevel="2" collapsed="false">
      <c r="A226" s="3" t="s">
        <v>512</v>
      </c>
      <c r="B226" s="11" t="s">
        <v>65</v>
      </c>
      <c r="C226" s="24" t="n">
        <v>-4</v>
      </c>
      <c r="D226" s="24" t="n">
        <v>-8</v>
      </c>
      <c r="E226" s="24" t="n">
        <v>-8</v>
      </c>
      <c r="F226" s="24" t="n">
        <v>-8</v>
      </c>
      <c r="G226" s="24" t="n">
        <v>-8</v>
      </c>
      <c r="I226" s="6" t="s">
        <v>513</v>
      </c>
    </row>
    <row r="227" customFormat="false" ht="15" hidden="false" customHeight="false" outlineLevel="2" collapsed="false">
      <c r="A227" s="3" t="s">
        <v>514</v>
      </c>
      <c r="B227" s="11" t="s">
        <v>65</v>
      </c>
      <c r="C227" s="32" t="n">
        <f aca="false">C219*輸入與假設!$C$222</f>
        <v>0</v>
      </c>
      <c r="D227" s="32" t="n">
        <f aca="false">D219*輸入與假設!$C$222</f>
        <v>0</v>
      </c>
      <c r="E227" s="32" t="n">
        <f aca="false">E219*輸入與假設!$C$222</f>
        <v>0</v>
      </c>
      <c r="F227" s="32" t="n">
        <f aca="false">F219*輸入與假設!$C$222</f>
        <v>0</v>
      </c>
      <c r="G227" s="32" t="n">
        <f aca="false">G219*輸入與假設!$C$222</f>
        <v>0</v>
      </c>
      <c r="I227" s="6" t="s">
        <v>415</v>
      </c>
    </row>
    <row r="228" customFormat="false" ht="15" hidden="false" customHeight="false" outlineLevel="2" collapsed="false">
      <c r="A228" s="3" t="s">
        <v>515</v>
      </c>
      <c r="B228" s="11" t="s">
        <v>65</v>
      </c>
      <c r="C228" s="24" t="n">
        <v>0</v>
      </c>
      <c r="I228" s="6" t="s">
        <v>501</v>
      </c>
    </row>
    <row r="229" customFormat="false" ht="15" hidden="false" customHeight="false" outlineLevel="2" collapsed="false">
      <c r="A229" s="3" t="s">
        <v>516</v>
      </c>
      <c r="B229" s="11" t="s">
        <v>65</v>
      </c>
      <c r="C229" s="24" t="n">
        <v>1</v>
      </c>
      <c r="D229" s="24" t="n">
        <v>13</v>
      </c>
      <c r="E229" s="24" t="n">
        <v>13</v>
      </c>
      <c r="F229" s="24" t="n">
        <v>13</v>
      </c>
      <c r="G229" s="24" t="n">
        <v>13</v>
      </c>
      <c r="I229" s="6" t="s">
        <v>503</v>
      </c>
    </row>
    <row r="230" customFormat="false" ht="15" hidden="false" customHeight="false" outlineLevel="2" collapsed="false">
      <c r="A230" s="3" t="s">
        <v>517</v>
      </c>
      <c r="B230" s="11" t="s">
        <v>42</v>
      </c>
      <c r="C230" s="23" t="n">
        <v>0.25</v>
      </c>
      <c r="I230" s="11" t="s">
        <v>505</v>
      </c>
    </row>
    <row r="231" customFormat="false" ht="15" hidden="false" customHeight="false" outlineLevel="2" collapsed="false">
      <c r="A231" s="3" t="s">
        <v>518</v>
      </c>
      <c r="B231" s="11" t="s">
        <v>42</v>
      </c>
      <c r="C231" s="40" t="n">
        <f aca="false">輸入與假設!$C$230</f>
        <v>0.25</v>
      </c>
      <c r="I231" s="6" t="s">
        <v>490</v>
      </c>
    </row>
    <row r="232" customFormat="false" ht="15" hidden="false" customHeight="false" outlineLevel="2" collapsed="false">
      <c r="A232" s="3" t="s">
        <v>519</v>
      </c>
      <c r="B232" s="11" t="s">
        <v>42</v>
      </c>
      <c r="C232" s="23" t="n">
        <v>0</v>
      </c>
      <c r="I232" s="6" t="s">
        <v>402</v>
      </c>
    </row>
    <row r="233" customFormat="false" ht="15" hidden="false" customHeight="false" outlineLevel="2" collapsed="false">
      <c r="A233" s="3" t="s">
        <v>520</v>
      </c>
      <c r="B233" s="11" t="s">
        <v>42</v>
      </c>
      <c r="C233" s="23" t="n">
        <v>0</v>
      </c>
      <c r="I233" s="6" t="s">
        <v>404</v>
      </c>
    </row>
    <row r="234" customFormat="false" ht="15" hidden="false" customHeight="false" outlineLevel="2" collapsed="false">
      <c r="A234" s="3" t="s">
        <v>521</v>
      </c>
      <c r="B234" s="11" t="s">
        <v>65</v>
      </c>
      <c r="C234" s="32" t="n">
        <f aca="false">C229+輸入與假設!$C$228</f>
        <v>1</v>
      </c>
      <c r="D234" s="32" t="n">
        <f aca="false">D229</f>
        <v>13</v>
      </c>
      <c r="E234" s="32" t="n">
        <f aca="false">E229</f>
        <v>13</v>
      </c>
      <c r="F234" s="32" t="n">
        <f aca="false">F229</f>
        <v>13</v>
      </c>
      <c r="G234" s="32" t="n">
        <f aca="false">G229</f>
        <v>13</v>
      </c>
      <c r="I234" s="11" t="s">
        <v>510</v>
      </c>
    </row>
    <row r="235" customFormat="false" ht="15" hidden="false" customHeight="false" outlineLevel="2" collapsed="false">
      <c r="A235" s="3" t="s">
        <v>522</v>
      </c>
      <c r="B235" s="11" t="s">
        <v>42</v>
      </c>
      <c r="C235" s="40" t="n">
        <f aca="false">輸入與假設!$C$230+(輸入與假設!$C$231-輸入與假設!$C$230)*0/4</f>
        <v>0.25</v>
      </c>
      <c r="D235" s="40" t="n">
        <f aca="false">輸入與假設!$C$230+(輸入與假設!$C$231-輸入與假設!$C$230)*1/4</f>
        <v>0.25</v>
      </c>
      <c r="E235" s="40" t="n">
        <f aca="false">輸入與假設!$C$230+(輸入與假設!$C$231-輸入與假設!$C$230)*2/4</f>
        <v>0.25</v>
      </c>
      <c r="F235" s="40" t="n">
        <f aca="false">輸入與假設!$C$230+(輸入與假設!$C$231-輸入與假設!$C$230)*3/4</f>
        <v>0.25</v>
      </c>
      <c r="G235" s="40" t="n">
        <f aca="false">輸入與假設!$C$230+(輸入與假設!$C$231-輸入與假設!$C$230)*4/4</f>
        <v>0.25</v>
      </c>
      <c r="I235" s="6" t="s">
        <v>406</v>
      </c>
    </row>
    <row r="236" customFormat="false" ht="15" hidden="false" customHeight="false" outlineLevel="2" collapsed="false">
      <c r="A236" s="3" t="s">
        <v>523</v>
      </c>
      <c r="B236" s="11" t="s">
        <v>65</v>
      </c>
      <c r="C236" s="32" t="n">
        <f aca="false">C229*C235</f>
        <v>0.25</v>
      </c>
      <c r="D236" s="32" t="n">
        <f aca="false">D229*D235</f>
        <v>3.25</v>
      </c>
      <c r="E236" s="32" t="n">
        <f aca="false">E229*E235</f>
        <v>3.25</v>
      </c>
      <c r="F236" s="32" t="n">
        <f aca="false">F229*F235</f>
        <v>3.25</v>
      </c>
      <c r="G236" s="32" t="n">
        <f aca="false">G229*G235</f>
        <v>3.25</v>
      </c>
      <c r="I236" s="6" t="s">
        <v>413</v>
      </c>
    </row>
    <row r="237" customFormat="false" ht="15" hidden="false" customHeight="false" outlineLevel="2" collapsed="false">
      <c r="A237" s="3" t="s">
        <v>524</v>
      </c>
      <c r="B237" s="11" t="s">
        <v>65</v>
      </c>
      <c r="C237" s="32" t="n">
        <f aca="false">C229*輸入與假設!$C$232</f>
        <v>0</v>
      </c>
      <c r="D237" s="32" t="n">
        <f aca="false">D229*輸入與假設!$C$232</f>
        <v>0</v>
      </c>
      <c r="E237" s="32" t="n">
        <f aca="false">E229*輸入與假設!$C$232</f>
        <v>0</v>
      </c>
      <c r="F237" s="32" t="n">
        <f aca="false">F229*輸入與假設!$C$232</f>
        <v>0</v>
      </c>
      <c r="G237" s="32" t="n">
        <f aca="false">G229*輸入與假設!$C$232</f>
        <v>0</v>
      </c>
      <c r="I237" s="6" t="s">
        <v>415</v>
      </c>
    </row>
    <row r="238" customFormat="false" ht="15" hidden="false" customHeight="false" outlineLevel="2" collapsed="false">
      <c r="A238" s="3" t="s">
        <v>525</v>
      </c>
      <c r="B238" s="11" t="s">
        <v>65</v>
      </c>
      <c r="C238" s="24" t="n">
        <v>0</v>
      </c>
      <c r="I238" s="6" t="s">
        <v>501</v>
      </c>
    </row>
    <row r="239" customFormat="false" ht="15" hidden="false" customHeight="false" outlineLevel="2" collapsed="false">
      <c r="A239" s="3" t="s">
        <v>526</v>
      </c>
      <c r="B239" s="11" t="s">
        <v>65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I239" s="6" t="s">
        <v>503</v>
      </c>
    </row>
    <row r="240" customFormat="false" ht="15" hidden="false" customHeight="false" outlineLevel="2" collapsed="false">
      <c r="A240" s="3" t="s">
        <v>527</v>
      </c>
      <c r="B240" s="11" t="s">
        <v>42</v>
      </c>
      <c r="C240" s="23" t="n">
        <v>0</v>
      </c>
      <c r="I240" s="11" t="s">
        <v>505</v>
      </c>
    </row>
    <row r="241" customFormat="false" ht="15" hidden="false" customHeight="false" outlineLevel="2" collapsed="false">
      <c r="A241" s="3" t="s">
        <v>528</v>
      </c>
      <c r="B241" s="11" t="s">
        <v>42</v>
      </c>
      <c r="C241" s="40" t="n">
        <f aca="false">輸入與假設!$C$240</f>
        <v>0</v>
      </c>
      <c r="I241" s="6" t="s">
        <v>490</v>
      </c>
    </row>
    <row r="242" customFormat="false" ht="15" hidden="false" customHeight="false" outlineLevel="2" collapsed="false">
      <c r="A242" s="3" t="s">
        <v>529</v>
      </c>
      <c r="B242" s="11" t="s">
        <v>42</v>
      </c>
      <c r="C242" s="23" t="n">
        <v>0</v>
      </c>
      <c r="I242" s="6" t="s">
        <v>402</v>
      </c>
    </row>
    <row r="243" customFormat="false" ht="15" hidden="false" customHeight="false" outlineLevel="2" collapsed="false">
      <c r="A243" s="3" t="s">
        <v>530</v>
      </c>
      <c r="B243" s="11" t="s">
        <v>42</v>
      </c>
      <c r="C243" s="23" t="n">
        <v>0</v>
      </c>
      <c r="I243" s="6" t="s">
        <v>404</v>
      </c>
    </row>
    <row r="244" customFormat="false" ht="15" hidden="false" customHeight="false" outlineLevel="2" collapsed="false">
      <c r="A244" s="3" t="s">
        <v>531</v>
      </c>
      <c r="B244" s="11" t="s">
        <v>65</v>
      </c>
      <c r="C244" s="32" t="n">
        <f aca="false">C239+輸入與假設!$C$238</f>
        <v>0</v>
      </c>
      <c r="D244" s="32" t="n">
        <f aca="false">D239</f>
        <v>0</v>
      </c>
      <c r="E244" s="32" t="n">
        <f aca="false">E239</f>
        <v>0</v>
      </c>
      <c r="F244" s="32" t="n">
        <f aca="false">F239</f>
        <v>0</v>
      </c>
      <c r="G244" s="32" t="n">
        <f aca="false">G239</f>
        <v>0</v>
      </c>
      <c r="I244" s="11" t="s">
        <v>510</v>
      </c>
    </row>
    <row r="245" customFormat="false" ht="15" hidden="false" customHeight="false" outlineLevel="2" collapsed="false">
      <c r="A245" s="3" t="s">
        <v>532</v>
      </c>
      <c r="B245" s="11" t="s">
        <v>42</v>
      </c>
      <c r="C245" s="40" t="n">
        <f aca="false">輸入與假設!$C$240+(輸入與假設!$C$241-輸入與假設!$C$240)*0/4</f>
        <v>0</v>
      </c>
      <c r="D245" s="40" t="n">
        <f aca="false">輸入與假設!$C$240+(輸入與假設!$C$241-輸入與假設!$C$240)*1/4</f>
        <v>0</v>
      </c>
      <c r="E245" s="40" t="n">
        <f aca="false">輸入與假設!$C$240+(輸入與假設!$C$241-輸入與假設!$C$240)*2/4</f>
        <v>0</v>
      </c>
      <c r="F245" s="40" t="n">
        <f aca="false">輸入與假設!$C$240+(輸入與假設!$C$241-輸入與假設!$C$240)*3/4</f>
        <v>0</v>
      </c>
      <c r="G245" s="40" t="n">
        <f aca="false">輸入與假設!$C$240+(輸入與假設!$C$241-輸入與假設!$C$240)*4/4</f>
        <v>0</v>
      </c>
      <c r="I245" s="6" t="s">
        <v>406</v>
      </c>
    </row>
    <row r="246" customFormat="false" ht="15" hidden="false" customHeight="false" outlineLevel="2" collapsed="false">
      <c r="A246" s="3" t="s">
        <v>533</v>
      </c>
      <c r="B246" s="11" t="s">
        <v>65</v>
      </c>
      <c r="C246" s="24" t="n">
        <v>-12.689</v>
      </c>
      <c r="D246" s="24" t="n">
        <v>-28.951</v>
      </c>
      <c r="E246" s="24" t="n">
        <v>-33.599</v>
      </c>
      <c r="F246" s="24" t="n">
        <v>-37.884</v>
      </c>
      <c r="G246" s="24" t="n">
        <v>-41.425</v>
      </c>
      <c r="I246" s="6" t="s">
        <v>513</v>
      </c>
    </row>
    <row r="247" customFormat="false" ht="15" hidden="false" customHeight="false" outlineLevel="2" collapsed="false">
      <c r="A247" s="3" t="s">
        <v>534</v>
      </c>
      <c r="B247" s="11" t="s">
        <v>65</v>
      </c>
      <c r="C247" s="32" t="n">
        <f aca="false">C239*輸入與假設!$C$242</f>
        <v>0</v>
      </c>
      <c r="D247" s="32" t="n">
        <f aca="false">D239*輸入與假設!$C$242</f>
        <v>0</v>
      </c>
      <c r="E247" s="32" t="n">
        <f aca="false">E239*輸入與假設!$C$242</f>
        <v>0</v>
      </c>
      <c r="F247" s="32" t="n">
        <f aca="false">F239*輸入與假設!$C$242</f>
        <v>0</v>
      </c>
      <c r="G247" s="32" t="n">
        <f aca="false">G239*輸入與假設!$C$242</f>
        <v>0</v>
      </c>
      <c r="I247" s="6" t="s">
        <v>415</v>
      </c>
    </row>
    <row r="248" customFormat="false" ht="15" hidden="false" customHeight="false" outlineLevel="2" collapsed="false">
      <c r="A248" s="3" t="s">
        <v>535</v>
      </c>
      <c r="B248" s="11" t="s">
        <v>65</v>
      </c>
      <c r="C248" s="32" t="n">
        <f aca="false">C148+C162+C176+C190+C214+C219+C229+C239</f>
        <v>249.332291843113</v>
      </c>
      <c r="D248" s="32" t="n">
        <f aca="false">D148+D162+D176+D190+D214+D219+D229+D239</f>
        <v>559.419723350884</v>
      </c>
      <c r="E248" s="32" t="n">
        <f aca="false">E148+E162+E176+E190+E214+E219+E229+E239</f>
        <v>637.610917655028</v>
      </c>
      <c r="F248" s="32" t="n">
        <f aca="false">F148+F162+F176+F190+F214+F219+F229+F239</f>
        <v>708.157849778132</v>
      </c>
      <c r="G248" s="32" t="n">
        <f aca="false">G148+G162+G176+G190+G214+G219+G229+G239</f>
        <v>763.231247501443</v>
      </c>
      <c r="I248" s="6" t="s">
        <v>536</v>
      </c>
    </row>
    <row r="249" customFormat="false" ht="15" hidden="false" customHeight="false" outlineLevel="2" collapsed="false">
      <c r="A249" s="3" t="s">
        <v>537</v>
      </c>
      <c r="B249" s="11" t="s">
        <v>65</v>
      </c>
      <c r="C249" s="32" t="n">
        <f aca="false">C150+C164+C178+C192+C216+C226+C236+C246</f>
        <v>92.1184892303953</v>
      </c>
      <c r="D249" s="32" t="n">
        <f aca="false">D150+D164+D178+D192+D216+D226+D236+D246</f>
        <v>198.485479750573</v>
      </c>
      <c r="E249" s="32" t="n">
        <f aca="false">E150+E164+E178+E192+E216+E226+E236+E246</f>
        <v>219.613777527856</v>
      </c>
      <c r="F249" s="32" t="n">
        <f aca="false">F150+F164+F178+F192+F216+F226+F236+F246</f>
        <v>237.258313308896</v>
      </c>
      <c r="G249" s="32" t="n">
        <f aca="false">G150+G164+G178+G192+G216+G226+G236+G246</f>
        <v>249.508465332384</v>
      </c>
      <c r="I249" s="6" t="s">
        <v>538</v>
      </c>
    </row>
    <row r="250" customFormat="false" ht="15" hidden="false" customHeight="false" outlineLevel="2" collapsed="false">
      <c r="A250" s="3" t="s">
        <v>539</v>
      </c>
      <c r="B250" s="11" t="s">
        <v>65</v>
      </c>
      <c r="C250" s="32" t="n">
        <f aca="false">C151+C165+C179+C193+C217+C227+C237+C247</f>
        <v>0</v>
      </c>
      <c r="D250" s="32" t="n">
        <f aca="false">D151+D165+D179+D193+D217+D227+D237+D247</f>
        <v>0</v>
      </c>
      <c r="E250" s="32" t="n">
        <f aca="false">E151+E165+E179+E193+E217+E227+E237+E247</f>
        <v>0</v>
      </c>
      <c r="F250" s="32" t="n">
        <f aca="false">F151+F165+F179+F193+F217+F227+F237+F247</f>
        <v>0</v>
      </c>
      <c r="G250" s="32" t="n">
        <f aca="false">G151+G165+G179+G193+G217+G227+G237+G247</f>
        <v>0</v>
      </c>
      <c r="I250" s="6" t="s">
        <v>540</v>
      </c>
    </row>
    <row r="251" customFormat="false" ht="15" hidden="false" customHeight="false" outlineLevel="2" collapsed="false">
      <c r="A251" s="3" t="s">
        <v>541</v>
      </c>
      <c r="B251" s="11" t="s">
        <v>42</v>
      </c>
      <c r="C251" s="40" t="n">
        <f aca="false">C249/MAX(0.000000001,C248)</f>
        <v>0.369460724679654</v>
      </c>
      <c r="D251" s="40" t="n">
        <f aca="false">D249/MAX(0.000000001,D248)</f>
        <v>0.354806009630229</v>
      </c>
      <c r="E251" s="40" t="n">
        <f aca="false">E249/MAX(0.000000001,E248)</f>
        <v>0.344432272796614</v>
      </c>
      <c r="F251" s="40" t="n">
        <f aca="false">F249/MAX(0.000000001,F248)</f>
        <v>0.33503591520341</v>
      </c>
      <c r="G251" s="40" t="n">
        <f aca="false">G249/MAX(0.000000001,G248)</f>
        <v>0.326910705175121</v>
      </c>
      <c r="I251" s="6" t="s">
        <v>542</v>
      </c>
    </row>
    <row r="252" customFormat="false" ht="15" hidden="false" customHeight="false" outlineLevel="2" collapsed="false">
      <c r="A252" s="3" t="s">
        <v>543</v>
      </c>
      <c r="B252" s="11" t="s">
        <v>65</v>
      </c>
      <c r="C252" s="32" t="n">
        <f aca="false">輸入與假設!$C$139+C148-C147+輸入與假設!$C$153+C162-C161+輸入與假設!$C$167+C176-C175+輸入與假設!$C$181+C190-C189+輸入與假設!$C$206+C214-C213+輸入與假設!$C$218+C219-C224+輸入與假設!$C$228+C229-C234+輸入與假設!$C$238+C239-C244</f>
        <v>0</v>
      </c>
      <c r="I252" s="6" t="s">
        <v>544</v>
      </c>
    </row>
    <row r="254" customFormat="false" ht="15" hidden="false" customHeight="false" outlineLevel="0" collapsed="false">
      <c r="A254" s="7" t="s">
        <v>545</v>
      </c>
      <c r="B254" s="8"/>
      <c r="C254" s="8"/>
      <c r="D254" s="8"/>
      <c r="E254" s="8"/>
      <c r="F254" s="8"/>
      <c r="G254" s="8"/>
      <c r="H254" s="8"/>
    </row>
    <row r="255" customFormat="false" ht="15" hidden="false" customHeight="false" outlineLevel="1" collapsed="false">
      <c r="A255" s="3" t="s">
        <v>546</v>
      </c>
      <c r="B255" s="11" t="s">
        <v>42</v>
      </c>
      <c r="C255" s="42" t="n">
        <v>0.765</v>
      </c>
      <c r="I255" s="11" t="s">
        <v>547</v>
      </c>
    </row>
    <row r="256" customFormat="false" ht="15" hidden="false" customHeight="false" outlineLevel="1" collapsed="false">
      <c r="A256" s="3" t="s">
        <v>548</v>
      </c>
      <c r="B256" s="11" t="s">
        <v>42</v>
      </c>
      <c r="C256" s="42" t="n">
        <v>0.765</v>
      </c>
      <c r="I256" s="6" t="s">
        <v>549</v>
      </c>
    </row>
    <row r="257" customFormat="false" ht="15" hidden="false" customHeight="false" outlineLevel="1" collapsed="false">
      <c r="A257" s="14" t="s">
        <v>59</v>
      </c>
      <c r="B257" s="14" t="s">
        <v>60</v>
      </c>
      <c r="C257" s="28" t="s">
        <v>61</v>
      </c>
      <c r="D257" s="28" t="s">
        <v>62</v>
      </c>
      <c r="E257" s="28" t="s">
        <v>63</v>
      </c>
      <c r="F257" s="28" t="s">
        <v>153</v>
      </c>
      <c r="G257" s="28" t="s">
        <v>154</v>
      </c>
      <c r="I257" s="14" t="s">
        <v>206</v>
      </c>
    </row>
    <row r="258" customFormat="false" ht="15" hidden="false" customHeight="false" outlineLevel="1" collapsed="false">
      <c r="A258" s="4" t="s">
        <v>550</v>
      </c>
      <c r="B258" s="11" t="s">
        <v>42</v>
      </c>
      <c r="C258" s="40" t="n">
        <f aca="false">1-C126/1000/MAX(0.000000001,C39*輸入與假設!$C$32)</f>
        <v>0.840722228604692</v>
      </c>
      <c r="D258" s="40" t="n">
        <f aca="false">1-D126/1000/MAX(0.000000001,D39*輸入與假設!$C$32)</f>
        <v>0.845249371659162</v>
      </c>
      <c r="E258" s="40" t="n">
        <f aca="false">1-E126/1000/MAX(0.000000001,E39*輸入與假設!$C$32)</f>
        <v>0.84863409538504</v>
      </c>
      <c r="F258" s="40" t="n">
        <f aca="false">1-F126/1000/MAX(0.000000001,F39*輸入與假設!$C$32)</f>
        <v>0.850545503204223</v>
      </c>
      <c r="G258" s="40" t="n">
        <f aca="false">1-G126/1000/MAX(0.000000001,G39*輸入與假設!$C$32)</f>
        <v>0.851773618922997</v>
      </c>
      <c r="I258" s="6" t="s">
        <v>551</v>
      </c>
    </row>
    <row r="259" customFormat="false" ht="15" hidden="false" customHeight="false" outlineLevel="1" collapsed="false">
      <c r="A259" s="3" t="s">
        <v>552</v>
      </c>
      <c r="B259" s="11" t="s">
        <v>65</v>
      </c>
      <c r="C259" s="32" t="n">
        <f aca="false">輸入與假設!C$43*運營_產能與收入!C39</f>
        <v>0</v>
      </c>
      <c r="D259" s="32" t="n">
        <f aca="false">輸入與假設!D$43*運營_產能與收入!D39</f>
        <v>0</v>
      </c>
      <c r="E259" s="32" t="n">
        <f aca="false">輸入與假設!E$43*運營_產能與收入!E39</f>
        <v>0</v>
      </c>
      <c r="F259" s="32" t="n">
        <f aca="false">輸入與假設!F$43*運營_產能與收入!F39</f>
        <v>0</v>
      </c>
      <c r="G259" s="32" t="n">
        <f aca="false">輸入與假設!G$43*運營_產能與收入!G39</f>
        <v>0</v>
      </c>
      <c r="I259" s="6" t="s">
        <v>553</v>
      </c>
    </row>
    <row r="260" customFormat="false" ht="15" hidden="false" customHeight="false" outlineLevel="1" collapsed="true">
      <c r="A260" s="19" t="s">
        <v>554</v>
      </c>
      <c r="B260" s="20"/>
      <c r="C260" s="20"/>
      <c r="D260" s="20"/>
      <c r="E260" s="20"/>
      <c r="F260" s="20"/>
      <c r="G260" s="20"/>
      <c r="H260" s="20"/>
    </row>
    <row r="261" customFormat="false" ht="15" hidden="true" customHeight="false" outlineLevel="2" collapsed="false">
      <c r="A261" s="3" t="s">
        <v>555</v>
      </c>
      <c r="B261" s="6"/>
      <c r="C261" s="21" t="n">
        <v>0</v>
      </c>
      <c r="I261" s="11" t="s">
        <v>556</v>
      </c>
    </row>
    <row r="262" customFormat="false" ht="15" hidden="true" customHeight="false" outlineLevel="2" collapsed="false">
      <c r="A262" s="3" t="s">
        <v>557</v>
      </c>
      <c r="B262" s="11" t="s">
        <v>558</v>
      </c>
      <c r="C262" s="21" t="n">
        <v>60</v>
      </c>
      <c r="D262" s="21" t="n">
        <v>62</v>
      </c>
      <c r="E262" s="21" t="n">
        <v>64</v>
      </c>
      <c r="F262" s="21" t="n">
        <v>66</v>
      </c>
      <c r="G262" s="21" t="n">
        <v>68</v>
      </c>
      <c r="I262" s="11" t="s">
        <v>559</v>
      </c>
    </row>
    <row r="263" customFormat="false" ht="15" hidden="true" customHeight="false" outlineLevel="2" collapsed="false">
      <c r="A263" s="4" t="s">
        <v>560</v>
      </c>
      <c r="B263" s="6"/>
      <c r="C263" s="39" t="n">
        <v>1.2</v>
      </c>
      <c r="D263" s="39" t="n">
        <v>1.2</v>
      </c>
      <c r="E263" s="39" t="n">
        <v>1.2</v>
      </c>
      <c r="F263" s="39" t="n">
        <v>1.2</v>
      </c>
      <c r="G263" s="39" t="n">
        <v>1.2</v>
      </c>
      <c r="I263" s="11" t="s">
        <v>559</v>
      </c>
    </row>
    <row r="264" customFormat="false" ht="15" hidden="true" customHeight="false" outlineLevel="2" collapsed="false">
      <c r="A264" s="3" t="s">
        <v>561</v>
      </c>
      <c r="B264" s="11" t="s">
        <v>282</v>
      </c>
      <c r="C264" s="39" t="n">
        <v>0.15</v>
      </c>
      <c r="D264" s="39" t="n">
        <v>0.15</v>
      </c>
      <c r="E264" s="39" t="n">
        <v>0.16</v>
      </c>
      <c r="F264" s="39" t="n">
        <v>0.16</v>
      </c>
      <c r="G264" s="39" t="n">
        <v>0.17</v>
      </c>
      <c r="I264" s="11" t="s">
        <v>559</v>
      </c>
    </row>
    <row r="266" customFormat="false" ht="15" hidden="false" customHeight="false" outlineLevel="0" collapsed="false">
      <c r="A266" s="7" t="s">
        <v>562</v>
      </c>
      <c r="B266" s="8"/>
      <c r="C266" s="8"/>
      <c r="D266" s="8"/>
      <c r="E266" s="8"/>
      <c r="F266" s="8"/>
      <c r="G266" s="8"/>
      <c r="H266" s="8"/>
    </row>
    <row r="267" customFormat="false" ht="15" hidden="false" customHeight="false" outlineLevel="1" collapsed="false">
      <c r="A267" s="3" t="s">
        <v>563</v>
      </c>
      <c r="B267" s="11" t="s">
        <v>42</v>
      </c>
      <c r="C267" s="23" t="n">
        <v>0.35</v>
      </c>
      <c r="I267" s="6" t="s">
        <v>564</v>
      </c>
    </row>
    <row r="268" customFormat="false" ht="15" hidden="false" customHeight="false" outlineLevel="1" collapsed="false">
      <c r="A268" s="4" t="s">
        <v>565</v>
      </c>
      <c r="B268" s="11" t="s">
        <v>157</v>
      </c>
      <c r="C268" s="22" t="n">
        <f aca="false">CHOOSE(輸入與假設!$C$5,I11,I14,I17)</f>
        <v>1247.9</v>
      </c>
      <c r="I268" s="6" t="s">
        <v>566</v>
      </c>
    </row>
    <row r="269" customFormat="false" ht="15" hidden="false" customHeight="false" outlineLevel="1" collapsed="false">
      <c r="A269" s="4" t="s">
        <v>567</v>
      </c>
      <c r="B269" s="11" t="s">
        <v>65</v>
      </c>
      <c r="C269" s="24" t="n">
        <v>200</v>
      </c>
      <c r="I269" s="6" t="s">
        <v>568</v>
      </c>
    </row>
    <row r="270" customFormat="false" ht="15" hidden="false" customHeight="false" outlineLevel="1" collapsed="false">
      <c r="A270" s="4" t="s">
        <v>569</v>
      </c>
      <c r="B270" s="6" t="s">
        <v>184</v>
      </c>
      <c r="C270" s="21" t="n">
        <v>6</v>
      </c>
      <c r="I270" s="11" t="s">
        <v>570</v>
      </c>
    </row>
    <row r="271" customFormat="false" ht="15" hidden="false" customHeight="false" outlineLevel="1" collapsed="false">
      <c r="A271" s="3" t="s">
        <v>571</v>
      </c>
      <c r="B271" s="11" t="s">
        <v>42</v>
      </c>
      <c r="C271" s="23" t="n">
        <v>0.3</v>
      </c>
      <c r="I271" s="6" t="s">
        <v>572</v>
      </c>
    </row>
    <row r="272" customFormat="false" ht="15" hidden="false" customHeight="false" outlineLevel="1" collapsed="false">
      <c r="A272" s="3" t="s">
        <v>573</v>
      </c>
      <c r="B272" s="11" t="s">
        <v>42</v>
      </c>
      <c r="C272" s="23" t="n">
        <v>0.85</v>
      </c>
      <c r="I272" s="6" t="s">
        <v>574</v>
      </c>
    </row>
    <row r="273" customFormat="false" ht="15" hidden="false" customHeight="false" outlineLevel="1" collapsed="false">
      <c r="A273" s="3" t="s">
        <v>575</v>
      </c>
      <c r="B273" s="11" t="s">
        <v>65</v>
      </c>
      <c r="C273" s="24" t="n">
        <v>28.416</v>
      </c>
      <c r="I273" s="6" t="s">
        <v>576</v>
      </c>
    </row>
    <row r="274" customFormat="false" ht="15" hidden="false" customHeight="false" outlineLevel="1" collapsed="false">
      <c r="A274" s="4" t="s">
        <v>577</v>
      </c>
      <c r="B274" s="11" t="s">
        <v>157</v>
      </c>
      <c r="C274" s="21" t="n">
        <v>191</v>
      </c>
      <c r="I274" s="11" t="s">
        <v>578</v>
      </c>
    </row>
    <row r="275" customFormat="false" ht="15" hidden="false" customHeight="false" outlineLevel="1" collapsed="false">
      <c r="A275" s="4" t="s">
        <v>579</v>
      </c>
      <c r="B275" s="11" t="s">
        <v>157</v>
      </c>
      <c r="C275" s="21" t="n">
        <v>643</v>
      </c>
      <c r="I275" s="11" t="s">
        <v>580</v>
      </c>
    </row>
    <row r="276" customFormat="false" ht="15" hidden="false" customHeight="false" outlineLevel="1" collapsed="false">
      <c r="A276" s="4" t="s">
        <v>581</v>
      </c>
      <c r="B276" s="11" t="s">
        <v>65</v>
      </c>
      <c r="C276" s="24" t="n">
        <v>321.212</v>
      </c>
      <c r="I276" s="6" t="s">
        <v>582</v>
      </c>
    </row>
    <row r="277" customFormat="false" ht="15" hidden="false" customHeight="false" outlineLevel="1" collapsed="false">
      <c r="A277" s="3" t="s">
        <v>583</v>
      </c>
      <c r="B277" s="11" t="s">
        <v>42</v>
      </c>
      <c r="C277" s="23" t="n">
        <v>1</v>
      </c>
      <c r="I277" s="6" t="s">
        <v>584</v>
      </c>
    </row>
    <row r="278" customFormat="false" ht="15" hidden="false" customHeight="false" outlineLevel="1" collapsed="false">
      <c r="A278" s="14" t="s">
        <v>59</v>
      </c>
      <c r="B278" s="14" t="s">
        <v>60</v>
      </c>
      <c r="C278" s="28" t="s">
        <v>61</v>
      </c>
      <c r="D278" s="28" t="s">
        <v>62</v>
      </c>
      <c r="E278" s="28" t="s">
        <v>63</v>
      </c>
      <c r="F278" s="28" t="s">
        <v>153</v>
      </c>
      <c r="G278" s="28" t="s">
        <v>154</v>
      </c>
      <c r="I278" s="14" t="s">
        <v>206</v>
      </c>
    </row>
    <row r="279" customFormat="false" ht="15" hidden="false" customHeight="false" outlineLevel="1" collapsed="false">
      <c r="A279" s="3" t="s">
        <v>585</v>
      </c>
      <c r="B279" s="11" t="s">
        <v>282</v>
      </c>
      <c r="C279" s="43" t="n">
        <f aca="false">C73*(TK_CapexIT_H100*輸入與假設!$C$65+輸入與假設!$C$272*TK_CapexFacility_H100)+C80*(TK_CapexIT_H100+輸入與假設!$C$272*TK_CapexFacility_H100)+C87*(TK_CapexIT_GB200*輸入與假設!$C$65+輸入與假設!$C$272*TK_CapexFacility_GB200)+C94*(TK_CapexIT_GB200+輸入與假設!$C$272*TK_CapexFacility_GB200)+C101*(TK_CapexIT_GB300*輸入與假設!$C$65+輸入與假設!$C$272*TK_CapexFacility_GB300)+C108*(TK_CapexIT_GB300+輸入與假設!$C$272*TK_CapexFacility_GB300)+C115*(TK_CapexIT_VR200*輸入與假設!$C$65+輸入與假設!$C$272*TK_CapexFacility_VR200)+C122*(TK_CapexIT_VR200+輸入與假設!$C$272*TK_CapexFacility_VR200)</f>
        <v>43.006724</v>
      </c>
      <c r="D279" s="43" t="n">
        <f aca="false">D73*(TK_CapexIT_H100*輸入與假設!$C$65+輸入與假設!$C$272*TK_CapexFacility_H100)+D80*(TK_CapexIT_H100+輸入與假設!$C$272*TK_CapexFacility_H100)+D87*(TK_CapexIT_GB200*輸入與假設!$C$65+輸入與假設!$C$272*TK_CapexFacility_GB200)+D94*(TK_CapexIT_GB200+輸入與假設!$C$272*TK_CapexFacility_GB200)+D101*(TK_CapexIT_GB300*輸入與假設!$C$65+輸入與假設!$C$272*TK_CapexFacility_GB300)+D108*(TK_CapexIT_GB300+輸入與假設!$C$272*TK_CapexFacility_GB300)+D115*(TK_CapexIT_VR200*輸入與假設!$C$65+輸入與假設!$C$272*TK_CapexFacility_VR200)+D122*(TK_CapexIT_VR200+輸入與假設!$C$272*TK_CapexFacility_VR200)</f>
        <v>45.681288</v>
      </c>
      <c r="E279" s="43" t="n">
        <f aca="false">E73*(TK_CapexIT_H100*輸入與假設!$C$65+輸入與假設!$C$272*TK_CapexFacility_H100)+E80*(TK_CapexIT_H100+輸入與假設!$C$272*TK_CapexFacility_H100)+E87*(TK_CapexIT_GB200*輸入與假設!$C$65+輸入與假設!$C$272*TK_CapexFacility_GB200)+E94*(TK_CapexIT_GB200+輸入與假設!$C$272*TK_CapexFacility_GB200)+E101*(TK_CapexIT_GB300*輸入與假設!$C$65+輸入與假設!$C$272*TK_CapexFacility_GB300)+E108*(TK_CapexIT_GB300+輸入與假設!$C$272*TK_CapexFacility_GB300)+E115*(TK_CapexIT_VR200*輸入與假設!$C$65+輸入與假設!$C$272*TK_CapexFacility_VR200)+E122*(TK_CapexIT_VR200+輸入與假設!$C$272*TK_CapexFacility_VR200)</f>
        <v>48.355852</v>
      </c>
      <c r="F279" s="43" t="n">
        <f aca="false">F73*(TK_CapexIT_H100*輸入與假設!$C$65+輸入與假設!$C$272*TK_CapexFacility_H100)+F80*(TK_CapexIT_H100+輸入與假設!$C$272*TK_CapexFacility_H100)+F87*(TK_CapexIT_GB200*輸入與假設!$C$65+輸入與假設!$C$272*TK_CapexFacility_GB200)+F94*(TK_CapexIT_GB200+輸入與假設!$C$272*TK_CapexFacility_GB200)+F101*(TK_CapexIT_GB300*輸入與假設!$C$65+輸入與假設!$C$272*TK_CapexFacility_GB300)+F108*(TK_CapexIT_GB300+輸入與假設!$C$272*TK_CapexFacility_GB300)+F115*(TK_CapexIT_VR200*輸入與假設!$C$65+輸入與假設!$C$272*TK_CapexFacility_VR200)+F122*(TK_CapexIT_VR200+輸入與假設!$C$272*TK_CapexFacility_VR200)</f>
        <v>48.355852</v>
      </c>
      <c r="G279" s="43" t="n">
        <f aca="false">G73*(TK_CapexIT_H100*輸入與假設!$C$65+輸入與假設!$C$272*TK_CapexFacility_H100)+G80*(TK_CapexIT_H100+輸入與假設!$C$272*TK_CapexFacility_H100)+G87*(TK_CapexIT_GB200*輸入與假設!$C$65+輸入與假設!$C$272*TK_CapexFacility_GB200)+G94*(TK_CapexIT_GB200+輸入與假設!$C$272*TK_CapexFacility_GB200)+G101*(TK_CapexIT_GB300*輸入與假設!$C$65+輸入與假設!$C$272*TK_CapexFacility_GB300)+G108*(TK_CapexIT_GB300+輸入與假設!$C$272*TK_CapexFacility_GB300)+G115*(TK_CapexIT_VR200*輸入與假設!$C$65+輸入與假設!$C$272*TK_CapexFacility_VR200)+G122*(TK_CapexIT_VR200+輸入與假設!$C$272*TK_CapexFacility_VR200)</f>
        <v>48.355852</v>
      </c>
      <c r="I279" s="6" t="s">
        <v>586</v>
      </c>
    </row>
    <row r="280" customFormat="false" ht="15" hidden="false" customHeight="false" outlineLevel="1" collapsed="false">
      <c r="A280" s="3" t="s">
        <v>587</v>
      </c>
      <c r="B280" s="11" t="s">
        <v>282</v>
      </c>
      <c r="C280" s="43" t="n">
        <f aca="false">C73*TK_CapexIT_H100*輸入與假設!$C$65+C80*TK_CapexIT_H100+C87*TK_CapexIT_GB200*輸入與假設!$C$65+C94*TK_CapexIT_GB200+C101*TK_CapexIT_GB300*輸入與假設!$C$65+C108*TK_CapexIT_GB300+C115*TK_CapexIT_VR200*輸入與假設!$C$65+C122*TK_CapexIT_VR200</f>
        <v>32.237224</v>
      </c>
      <c r="D280" s="43" t="n">
        <f aca="false">D73*TK_CapexIT_H100*輸入與假設!$C$65+D80*TK_CapexIT_H100+D87*TK_CapexIT_GB200*輸入與假設!$C$65+D94*TK_CapexIT_GB200+D101*TK_CapexIT_GB300*輸入與假設!$C$65+D108*TK_CapexIT_GB300+D115*TK_CapexIT_VR200*輸入與假設!$C$65+D122*TK_CapexIT_VR200</f>
        <v>34.911788</v>
      </c>
      <c r="E280" s="43" t="n">
        <f aca="false">E73*TK_CapexIT_H100*輸入與假設!$C$65+E80*TK_CapexIT_H100+E87*TK_CapexIT_GB200*輸入與假設!$C$65+E94*TK_CapexIT_GB200+E101*TK_CapexIT_GB300*輸入與假設!$C$65+E108*TK_CapexIT_GB300+E115*TK_CapexIT_VR200*輸入與假設!$C$65+E122*TK_CapexIT_VR200</f>
        <v>37.586352</v>
      </c>
      <c r="F280" s="43" t="n">
        <f aca="false">F73*TK_CapexIT_H100*輸入與假設!$C$65+F80*TK_CapexIT_H100+F87*TK_CapexIT_GB200*輸入與假設!$C$65+F94*TK_CapexIT_GB200+F101*TK_CapexIT_GB300*輸入與假設!$C$65+F108*TK_CapexIT_GB300+F115*TK_CapexIT_VR200*輸入與假設!$C$65+F122*TK_CapexIT_VR200</f>
        <v>37.586352</v>
      </c>
      <c r="G280" s="43" t="n">
        <f aca="false">G73*TK_CapexIT_H100*輸入與假設!$C$65+G80*TK_CapexIT_H100+G87*TK_CapexIT_GB200*輸入與假設!$C$65+G94*TK_CapexIT_GB200+G101*TK_CapexIT_GB300*輸入與假設!$C$65+G108*TK_CapexIT_GB300+G115*TK_CapexIT_VR200*輸入與假設!$C$65+G122*TK_CapexIT_VR200</f>
        <v>37.586352</v>
      </c>
      <c r="I280" s="6" t="s">
        <v>588</v>
      </c>
    </row>
    <row r="281" customFormat="false" ht="15" hidden="false" customHeight="false" outlineLevel="1" collapsed="false">
      <c r="A281" s="3" t="s">
        <v>589</v>
      </c>
      <c r="B281" s="11" t="s">
        <v>42</v>
      </c>
      <c r="C281" s="23" t="n">
        <v>0</v>
      </c>
      <c r="I281" s="6" t="s">
        <v>590</v>
      </c>
    </row>
    <row r="282" customFormat="false" ht="15" hidden="false" customHeight="false" outlineLevel="1" collapsed="false">
      <c r="A282" s="3" t="s">
        <v>591</v>
      </c>
      <c r="B282" s="11" t="s">
        <v>42</v>
      </c>
      <c r="C282" s="23" t="n">
        <v>0</v>
      </c>
      <c r="I282" s="6" t="s">
        <v>592</v>
      </c>
    </row>
    <row r="283" customFormat="false" ht="15" hidden="false" customHeight="false" outlineLevel="1" collapsed="false">
      <c r="A283" s="3" t="s">
        <v>593</v>
      </c>
      <c r="B283" s="6" t="s">
        <v>184</v>
      </c>
      <c r="C283" s="25" t="n">
        <v>5</v>
      </c>
      <c r="I283" s="6" t="s">
        <v>594</v>
      </c>
    </row>
    <row r="284" customFormat="false" ht="15" hidden="false" customHeight="false" outlineLevel="1" collapsed="false">
      <c r="A284" s="4" t="s">
        <v>595</v>
      </c>
      <c r="B284" s="11" t="s">
        <v>65</v>
      </c>
      <c r="C284" s="24" t="n">
        <v>0</v>
      </c>
      <c r="I284" s="6" t="s">
        <v>592</v>
      </c>
    </row>
    <row r="285" customFormat="false" ht="15" hidden="false" customHeight="false" outlineLevel="1" collapsed="false">
      <c r="A285" s="3" t="s">
        <v>596</v>
      </c>
      <c r="B285" s="11" t="s">
        <v>42</v>
      </c>
      <c r="C285" s="23" t="n">
        <v>0</v>
      </c>
      <c r="I285" s="6" t="s">
        <v>597</v>
      </c>
    </row>
    <row r="286" customFormat="false" ht="15" hidden="false" customHeight="false" outlineLevel="1" collapsed="false">
      <c r="A286" s="14" t="s">
        <v>59</v>
      </c>
      <c r="B286" s="14" t="s">
        <v>60</v>
      </c>
      <c r="C286" s="28" t="s">
        <v>61</v>
      </c>
      <c r="D286" s="28" t="s">
        <v>62</v>
      </c>
      <c r="E286" s="28" t="s">
        <v>63</v>
      </c>
      <c r="F286" s="28" t="s">
        <v>153</v>
      </c>
      <c r="G286" s="28" t="s">
        <v>154</v>
      </c>
      <c r="I286" s="14" t="s">
        <v>206</v>
      </c>
    </row>
    <row r="287" customFormat="false" ht="15" hidden="false" customHeight="false" outlineLevel="1" collapsed="false">
      <c r="A287" s="3" t="s">
        <v>598</v>
      </c>
      <c r="B287" s="11" t="s">
        <v>42</v>
      </c>
      <c r="C287" s="40" t="n">
        <f aca="false">輸入與假設!$C$281*輸入與假設!$C$282</f>
        <v>0</v>
      </c>
      <c r="D287" s="40" t="n">
        <f aca="false">輸入與假設!$C$281*輸入與假設!$C$282</f>
        <v>0</v>
      </c>
      <c r="E287" s="40" t="n">
        <f aca="false">輸入與假設!$C$281*輸入與假設!$C$282</f>
        <v>0</v>
      </c>
      <c r="F287" s="40" t="n">
        <f aca="false">輸入與假設!$C$281*輸入與假設!$C$282</f>
        <v>0</v>
      </c>
      <c r="G287" s="40" t="n">
        <f aca="false">輸入與假設!$C$281*輸入與假設!$C$282</f>
        <v>0</v>
      </c>
      <c r="I287" s="6" t="s">
        <v>599</v>
      </c>
    </row>
    <row r="288" customFormat="false" ht="15" hidden="false" customHeight="false" outlineLevel="1" collapsed="false">
      <c r="A288" s="3" t="s">
        <v>600</v>
      </c>
      <c r="B288" s="11" t="s">
        <v>65</v>
      </c>
      <c r="C288" s="24" t="n">
        <v>2.042</v>
      </c>
      <c r="D288" s="24" t="n">
        <v>3.885</v>
      </c>
      <c r="E288" s="24" t="n">
        <v>3.356</v>
      </c>
      <c r="F288" s="24" t="n">
        <v>2.932</v>
      </c>
      <c r="G288" s="24" t="n">
        <v>2.331</v>
      </c>
      <c r="I288" s="6" t="s">
        <v>601</v>
      </c>
    </row>
    <row r="289" customFormat="false" ht="15" hidden="false" customHeight="false" outlineLevel="1" collapsed="false">
      <c r="A289" s="3" t="s">
        <v>602</v>
      </c>
      <c r="B289" s="6" t="s">
        <v>179</v>
      </c>
      <c r="C289" s="22" t="n">
        <f aca="false">ROUND(4*SUM($C$34:C$34),0)</f>
        <v>2</v>
      </c>
      <c r="D289" s="22" t="n">
        <f aca="false">ROUND(4*SUM($C$34:D$34),0)</f>
        <v>6</v>
      </c>
      <c r="E289" s="22" t="n">
        <f aca="false">ROUND(4*SUM($C$34:E$34),0)</f>
        <v>10</v>
      </c>
      <c r="F289" s="22" t="n">
        <f aca="false">ROUND(4*SUM($C$34:F$34),0)</f>
        <v>14</v>
      </c>
      <c r="G289" s="22" t="n">
        <f aca="false">ROUND(4*SUM($C$34:G$34),0)</f>
        <v>18</v>
      </c>
      <c r="I289" s="6" t="s">
        <v>603</v>
      </c>
    </row>
    <row r="290" customFormat="false" ht="15" hidden="false" customHeight="false" outlineLevel="1" collapsed="false">
      <c r="A290" s="3" t="s">
        <v>604</v>
      </c>
      <c r="B290" s="11" t="s">
        <v>65</v>
      </c>
      <c r="C290" s="32" t="n">
        <f aca="false">輸入與假設!$C$19/輸入與假設!$C$21/輸入與假設!$C$22/4*((MIN(MAX(0,C289-輸入與假設!$C$20),輸入與假設!$C$21)*(MIN(MAX(0,C289-輸入與假設!$C$20),輸入與假設!$C$21)+1)/2+輸入與假設!$C$21*MAX(0,MAX(0,C289-輸入與假設!$C$20)-輸入與假設!$C$21))-(MIN(MAX(0,0-輸入與假設!$C$20),輸入與假設!$C$21)*(MIN(MAX(0,0-輸入與假設!$C$20),輸入與假設!$C$21)+1)/2+輸入與假設!$C$21*MAX(0,MAX(0,0-輸入與假設!$C$20)-輸入與假設!$C$21)))</f>
        <v>0.193636363636364</v>
      </c>
      <c r="D290" s="32" t="n">
        <f aca="false">輸入與假設!$C$19/輸入與假設!$C$21/輸入與假設!$C$22/4*((MIN(MAX(0,D289-輸入與假設!$C$20),輸入與假設!$C$21)*(MIN(MAX(0,D289-輸入與假設!$C$20),輸入與假設!$C$21)+1)/2+輸入與假設!$C$21*MAX(0,MAX(0,D289-輸入與假設!$C$20)-輸入與假設!$C$21))-(MIN(MAX(0,C289-輸入與假設!$C$20),輸入與假設!$C$21)*(MIN(MAX(0,C289-輸入與假設!$C$20),輸入與假設!$C$21)+1)/2+輸入與假設!$C$21*MAX(0,MAX(0,C289-輸入與假設!$C$20)-輸入與假設!$C$21)))</f>
        <v>1.16181818181818</v>
      </c>
      <c r="E290" s="32" t="n">
        <f aca="false">輸入與假設!$C$19/輸入與假設!$C$21/輸入與假設!$C$22/4*((MIN(MAX(0,E289-輸入與假設!$C$20),輸入與假設!$C$21)*(MIN(MAX(0,E289-輸入與假設!$C$20),輸入與假設!$C$21)+1)/2+輸入與假設!$C$21*MAX(0,MAX(0,E289-輸入與假設!$C$20)-輸入與假設!$C$21))-(MIN(MAX(0,D289-輸入與假設!$C$20),輸入與假設!$C$21)*(MIN(MAX(0,D289-輸入與假設!$C$20),輸入與假設!$C$21)+1)/2+輸入與假設!$C$21*MAX(0,MAX(0,D289-輸入與假設!$C$20)-輸入與假設!$C$21)))</f>
        <v>2.19454545454545</v>
      </c>
      <c r="F290" s="32" t="n">
        <f aca="false">輸入與假設!$C$19/輸入與假設!$C$21/輸入與假設!$C$22/4*((MIN(MAX(0,F289-輸入與假設!$C$20),輸入與假設!$C$21)*(MIN(MAX(0,F289-輸入與假設!$C$20),輸入與假設!$C$21)+1)/2+輸入與假設!$C$21*MAX(0,MAX(0,F289-輸入與假設!$C$20)-輸入與假設!$C$21))-(MIN(MAX(0,E289-輸入與假設!$C$20),輸入與假設!$C$21)*(MIN(MAX(0,E289-輸入與假設!$C$20),輸入與假設!$C$21)+1)/2+輸入與假設!$C$21*MAX(0,MAX(0,E289-輸入與假設!$C$20)-輸入與假設!$C$21)))</f>
        <v>3.22727272727273</v>
      </c>
      <c r="G290" s="32" t="n">
        <f aca="false">輸入與假設!$C$19/輸入與假設!$C$21/輸入與假設!$C$22/4*((MIN(MAX(0,G289-輸入與假設!$C$20),輸入與假設!$C$21)*(MIN(MAX(0,G289-輸入與假設!$C$20),輸入與假設!$C$21)+1)/2+輸入與假設!$C$21*MAX(0,MAX(0,G289-輸入與假設!$C$20)-輸入與假設!$C$21))-(MIN(MAX(0,F289-輸入與假設!$C$20),輸入與假設!$C$21)*(MIN(MAX(0,F289-輸入與假設!$C$20),輸入與假設!$C$21)+1)/2+輸入與假設!$C$21*MAX(0,MAX(0,F289-輸入與假設!$C$20)-輸入與假設!$C$21)))</f>
        <v>4.26</v>
      </c>
      <c r="I290" s="6" t="s">
        <v>605</v>
      </c>
    </row>
    <row r="291" customFormat="false" ht="15" hidden="false" customHeight="false" outlineLevel="1" collapsed="false">
      <c r="A291" s="3" t="s">
        <v>606</v>
      </c>
      <c r="B291" s="11" t="s">
        <v>65</v>
      </c>
      <c r="C291" s="24" t="n">
        <v>0.206</v>
      </c>
      <c r="D291" s="24" t="n">
        <v>0.387</v>
      </c>
      <c r="E291" s="24" t="n">
        <v>0.377</v>
      </c>
      <c r="F291" s="24" t="n">
        <v>0.356</v>
      </c>
      <c r="G291" s="24" t="n">
        <v>0.285</v>
      </c>
      <c r="H291" s="24" t="n">
        <v>1.309</v>
      </c>
      <c r="I291" s="6" t="s">
        <v>607</v>
      </c>
    </row>
    <row r="292" customFormat="false" ht="15" hidden="false" customHeight="false" outlineLevel="1" collapsed="false">
      <c r="A292" s="3" t="s">
        <v>608</v>
      </c>
      <c r="B292" s="11" t="s">
        <v>42</v>
      </c>
      <c r="C292" s="23" t="n">
        <v>0.125564</v>
      </c>
      <c r="I292" s="6" t="s">
        <v>609</v>
      </c>
    </row>
    <row r="293" customFormat="false" ht="15" hidden="false" customHeight="false" outlineLevel="1" collapsed="false">
      <c r="A293" s="4" t="s">
        <v>610</v>
      </c>
      <c r="B293" s="11" t="s">
        <v>65</v>
      </c>
      <c r="C293" s="24" t="n">
        <v>2.222222</v>
      </c>
      <c r="D293" s="24" t="n">
        <v>4.444444</v>
      </c>
      <c r="E293" s="24" t="n">
        <v>4.444444</v>
      </c>
      <c r="F293" s="24" t="n">
        <v>4.444444</v>
      </c>
      <c r="G293" s="24" t="n">
        <v>4.444444</v>
      </c>
      <c r="I293" s="6" t="s">
        <v>611</v>
      </c>
    </row>
    <row r="294" customFormat="false" ht="15" hidden="false" customHeight="false" outlineLevel="1" collapsed="false">
      <c r="A294" s="4" t="s">
        <v>612</v>
      </c>
      <c r="B294" s="11" t="s">
        <v>65</v>
      </c>
      <c r="C294" s="24" t="n">
        <v>0</v>
      </c>
      <c r="D294" s="24" t="n">
        <v>0</v>
      </c>
      <c r="E294" s="24" t="n">
        <v>0</v>
      </c>
      <c r="F294" s="24" t="n">
        <v>0</v>
      </c>
      <c r="G294" s="24" t="n">
        <v>0</v>
      </c>
      <c r="I294" s="6" t="s">
        <v>613</v>
      </c>
    </row>
    <row r="295" customFormat="false" ht="15" hidden="false" customHeight="false" outlineLevel="1" collapsed="false">
      <c r="A295" s="4" t="s">
        <v>614</v>
      </c>
      <c r="B295" s="11" t="s">
        <v>65</v>
      </c>
      <c r="C295" s="32" t="n">
        <f aca="false">C293+C294</f>
        <v>2.222222</v>
      </c>
      <c r="D295" s="32" t="n">
        <f aca="false">D293+D294</f>
        <v>4.444444</v>
      </c>
      <c r="E295" s="32" t="n">
        <f aca="false">E293+E294</f>
        <v>4.444444</v>
      </c>
      <c r="F295" s="32" t="n">
        <f aca="false">F293+F294</f>
        <v>4.444444</v>
      </c>
      <c r="G295" s="32" t="n">
        <f aca="false">G293+G294</f>
        <v>4.444444</v>
      </c>
      <c r="I295" s="6" t="s">
        <v>615</v>
      </c>
    </row>
    <row r="296" customFormat="false" ht="15" hidden="false" customHeight="false" outlineLevel="1" collapsed="true">
      <c r="A296" s="34" t="s">
        <v>616</v>
      </c>
      <c r="B296" s="20"/>
      <c r="C296" s="20"/>
      <c r="D296" s="20"/>
      <c r="E296" s="20"/>
      <c r="F296" s="20"/>
      <c r="G296" s="20"/>
      <c r="H296" s="20"/>
    </row>
    <row r="297" customFormat="false" ht="15" hidden="true" customHeight="false" outlineLevel="2" collapsed="false">
      <c r="A297" s="3" t="s">
        <v>617</v>
      </c>
      <c r="B297" s="11" t="s">
        <v>157</v>
      </c>
      <c r="C297" s="22" t="n">
        <f aca="false">輸入與假設!$C$28</f>
        <v>1462</v>
      </c>
      <c r="D297" s="22" t="n">
        <f aca="false">C36</f>
        <v>2524.95</v>
      </c>
      <c r="E297" s="22" t="n">
        <f aca="false">D36</f>
        <v>3772.85</v>
      </c>
      <c r="F297" s="22" t="n">
        <f aca="false">E36</f>
        <v>5020.75</v>
      </c>
      <c r="G297" s="22" t="n">
        <f aca="false">F36</f>
        <v>6268.65</v>
      </c>
      <c r="I297" s="11" t="s">
        <v>618</v>
      </c>
    </row>
    <row r="298" customFormat="false" ht="15" hidden="true" customHeight="false" outlineLevel="2" collapsed="false">
      <c r="A298" s="3" t="s">
        <v>619</v>
      </c>
      <c r="B298" s="11" t="s">
        <v>157</v>
      </c>
      <c r="C298" s="22" t="n">
        <f aca="false">C36-C297</f>
        <v>1062.95</v>
      </c>
      <c r="D298" s="22" t="n">
        <f aca="false">D36-D297</f>
        <v>1247.9</v>
      </c>
      <c r="E298" s="22" t="n">
        <f aca="false">E36-E297</f>
        <v>1247.9</v>
      </c>
      <c r="F298" s="22" t="n">
        <f aca="false">F36-F297</f>
        <v>1247.9</v>
      </c>
      <c r="G298" s="22" t="n">
        <f aca="false">G36-G297</f>
        <v>1247.9</v>
      </c>
    </row>
    <row r="299" customFormat="false" ht="15" hidden="true" customHeight="false" outlineLevel="2" collapsed="false">
      <c r="A299" s="3" t="s">
        <v>620</v>
      </c>
      <c r="B299" s="11" t="s">
        <v>157</v>
      </c>
      <c r="C299" s="22" t="n">
        <f aca="false">D36-C36</f>
        <v>1247.9</v>
      </c>
      <c r="D299" s="22" t="n">
        <f aca="false">E36-D36</f>
        <v>1247.9</v>
      </c>
      <c r="E299" s="22" t="n">
        <f aca="false">F36-E36</f>
        <v>1247.9</v>
      </c>
      <c r="F299" s="22" t="n">
        <f aca="false">G36-F36</f>
        <v>1247.9</v>
      </c>
      <c r="G299" s="22" t="n">
        <f aca="false">輸入與假設!$C$268</f>
        <v>1247.9</v>
      </c>
    </row>
    <row r="300" customFormat="false" ht="15" hidden="true" customHeight="false" outlineLevel="2" collapsed="false">
      <c r="A300" s="3" t="s">
        <v>621</v>
      </c>
      <c r="B300" s="11" t="s">
        <v>157</v>
      </c>
      <c r="C300" s="21" t="n">
        <v>0</v>
      </c>
      <c r="I300" s="11" t="s">
        <v>622</v>
      </c>
    </row>
    <row r="301" customFormat="false" ht="15" hidden="true" customHeight="false" outlineLevel="2" collapsed="false">
      <c r="A301" s="3" t="s">
        <v>623</v>
      </c>
      <c r="B301" s="11" t="s">
        <v>157</v>
      </c>
      <c r="C301" s="21" t="n">
        <v>0</v>
      </c>
      <c r="D301" s="21" t="n">
        <v>0</v>
      </c>
      <c r="E301" s="21" t="n">
        <v>0</v>
      </c>
      <c r="F301" s="21" t="n">
        <v>0</v>
      </c>
      <c r="G301" s="21" t="n">
        <v>0</v>
      </c>
      <c r="I301" s="11" t="s">
        <v>624</v>
      </c>
    </row>
    <row r="302" customFormat="false" ht="15" hidden="true" customHeight="false" outlineLevel="2" collapsed="false">
      <c r="A302" s="3" t="s">
        <v>625</v>
      </c>
      <c r="B302" s="11" t="s">
        <v>157</v>
      </c>
      <c r="C302" s="22" t="n">
        <f aca="false">C301-輸入與假設!$C$300</f>
        <v>0</v>
      </c>
      <c r="D302" s="22" t="n">
        <f aca="false">D301-C301</f>
        <v>0</v>
      </c>
      <c r="E302" s="22" t="n">
        <f aca="false">E301-D301</f>
        <v>0</v>
      </c>
      <c r="F302" s="22" t="n">
        <f aca="false">F301-E301</f>
        <v>0</v>
      </c>
      <c r="G302" s="22" t="n">
        <f aca="false">G301-F301</f>
        <v>0</v>
      </c>
      <c r="I302" s="6" t="s">
        <v>626</v>
      </c>
    </row>
    <row r="303" customFormat="false" ht="15" hidden="true" customHeight="false" outlineLevel="2" collapsed="false">
      <c r="A303" s="3" t="s">
        <v>627</v>
      </c>
      <c r="B303" s="11" t="s">
        <v>157</v>
      </c>
      <c r="C303" s="22" t="n">
        <f aca="false">D302</f>
        <v>0</v>
      </c>
      <c r="D303" s="22" t="n">
        <f aca="false">E302</f>
        <v>0</v>
      </c>
      <c r="E303" s="22" t="n">
        <f aca="false">F302</f>
        <v>0</v>
      </c>
      <c r="F303" s="22" t="n">
        <f aca="false">G302</f>
        <v>0</v>
      </c>
      <c r="G303" s="22" t="n">
        <f aca="false">0</f>
        <v>0</v>
      </c>
    </row>
    <row r="304" customFormat="false" ht="15" hidden="true" customHeight="false" outlineLevel="2" collapsed="false">
      <c r="A304" s="3" t="s">
        <v>628</v>
      </c>
      <c r="B304" s="11" t="s">
        <v>65</v>
      </c>
      <c r="C304" s="32" t="n">
        <f aca="false">MAX(0,(C298*(1-輸入與假設!$C$267)+C299*輸入與假設!$C$267)/輸入與假設!$C$271-(C302*(1-輸入與假設!$C$267)+C303*輸入與假設!$C$267))*C279*輸入與假設!$C$277/1000</f>
        <v>161.659766790433</v>
      </c>
      <c r="D304" s="32" t="n">
        <f aca="false">MAX(0,(D298*(1-輸入與假設!$C$267)+D299*輸入與假設!$C$267)/輸入與假設!$C$271-(D302*(1-輸入與假設!$C$267)+D303*輸入與假設!$C$267))*D279*輸入與假設!$C$277/1000</f>
        <v>190.018930984</v>
      </c>
      <c r="E304" s="32" t="n">
        <f aca="false">MAX(0,(E298*(1-輸入與假設!$C$267)+E299*輸入與假設!$C$267)/輸入與假設!$C$271-(E302*(1-輸入與假設!$C$267)+E303*輸入與假設!$C$267))*E279*輸入與假設!$C$277/1000</f>
        <v>201.144225702667</v>
      </c>
      <c r="F304" s="32" t="n">
        <f aca="false">MAX(0,(F298*(1-輸入與假設!$C$267)+F299*輸入與假設!$C$267)/輸入與假設!$C$271-(F302*(1-輸入與假設!$C$267)+F303*輸入與假設!$C$267))*F279*輸入與假設!$C$277/1000</f>
        <v>201.144225702667</v>
      </c>
      <c r="G304" s="32" t="n">
        <f aca="false">MAX(0,(G298*(1-輸入與假設!$C$267)+G299*輸入與假設!$C$267)/輸入與假設!$C$271-(G302*(1-輸入與假設!$C$267)+G303*輸入與假設!$C$267))*G279*輸入與假設!$C$277/1000</f>
        <v>201.144225702667</v>
      </c>
      <c r="I304" s="6" t="s">
        <v>629</v>
      </c>
    </row>
    <row r="305" customFormat="false" ht="15" hidden="true" customHeight="false" outlineLevel="2" collapsed="false">
      <c r="A305" s="3" t="s">
        <v>630</v>
      </c>
      <c r="B305" s="11" t="s">
        <v>65</v>
      </c>
      <c r="C305" s="32" t="n">
        <f aca="false">C147*輸入與假設!$C$145+C161*輸入與假設!$C$159+C175*輸入與假設!$C$173+C189*輸入與假設!$C$187+C213*輸入與假設!$C$211+C224*輸入與假設!$C$223+C234*輸入與假設!$C$233+C244*輸入與假設!$C$243</f>
        <v>38.3361471696704</v>
      </c>
      <c r="D305" s="32" t="n">
        <f aca="false">D147*輸入與假設!$C$145+D161*輸入與假設!$C$159+D175*輸入與假設!$C$173+D189*輸入與假設!$C$187+D213*輸入與假設!$C$211+D224*輸入與假設!$C$223+D234*輸入與假設!$C$233+D244*輸入與假設!$C$243</f>
        <v>46.7792129343324</v>
      </c>
      <c r="E305" s="32" t="n">
        <f aca="false">E147*輸入與假設!$C$145+E161*輸入與假設!$C$159+E175*輸入與假設!$C$173+E189*輸入與假設!$C$187+E213*輸入與假設!$C$211+E224*輸入與假設!$C$223+E234*輸入與假設!$C$233+E244*輸入與假設!$C$243</f>
        <v>55.241064518532</v>
      </c>
      <c r="F305" s="32" t="n">
        <f aca="false">F147*輸入與假設!$C$145+F161*輸入與假設!$C$159+F175*輸入與假設!$C$173+F189*輸入與假設!$C$187+F213*輸入與假設!$C$211+F224*輸入與假設!$C$223+F234*輸入與假設!$C$233+F244*輸入與假設!$C$243</f>
        <v>62.5775692820743</v>
      </c>
      <c r="G305" s="32" t="n">
        <f aca="false">G147*輸入與假設!$C$145+G161*輸入與假設!$C$159+G175*輸入與假設!$C$173+G189*輸入與假設!$C$187+G213*輸入與假設!$C$211+G224*輸入與假設!$C$223+G234*輸入與假設!$C$233+G244*輸入與假設!$C$243</f>
        <v>67.5514210091038</v>
      </c>
      <c r="I305" s="6" t="s">
        <v>631</v>
      </c>
    </row>
    <row r="306" customFormat="false" ht="15" hidden="true" customHeight="false" outlineLevel="2" collapsed="false">
      <c r="A306" s="3" t="s">
        <v>632</v>
      </c>
      <c r="B306" s="11" t="s">
        <v>65</v>
      </c>
      <c r="C306" s="32" t="n">
        <f aca="false">C305*0.5</f>
        <v>19.1680735848352</v>
      </c>
      <c r="D306" s="32" t="n">
        <f aca="false">D305</f>
        <v>46.7792129343324</v>
      </c>
      <c r="E306" s="32" t="n">
        <f aca="false">E305</f>
        <v>55.241064518532</v>
      </c>
      <c r="F306" s="32" t="n">
        <f aca="false">F305</f>
        <v>62.5775692820743</v>
      </c>
      <c r="G306" s="32" t="n">
        <f aca="false">G305</f>
        <v>67.5514210091038</v>
      </c>
      <c r="I306" s="11" t="s">
        <v>633</v>
      </c>
    </row>
    <row r="307" customFormat="false" ht="15" hidden="true" customHeight="false" outlineLevel="2" collapsed="false">
      <c r="A307" s="3" t="s">
        <v>634</v>
      </c>
      <c r="B307" s="11" t="s">
        <v>65</v>
      </c>
      <c r="C307" s="32" t="n">
        <f aca="false">MAX(C304+C305,輸入與假設!$C$269)-輸入與假設!$C$477</f>
        <v>119.402</v>
      </c>
      <c r="D307" s="32" t="n">
        <f aca="false">D304+D306</f>
        <v>236.798143918332</v>
      </c>
      <c r="E307" s="32" t="n">
        <f aca="false">E304+E306</f>
        <v>256.385290221199</v>
      </c>
      <c r="F307" s="32" t="n">
        <f aca="false">F304+F306</f>
        <v>263.721794984741</v>
      </c>
      <c r="G307" s="32" t="n">
        <f aca="false">G304+G306</f>
        <v>268.69564671177</v>
      </c>
      <c r="I307" s="11" t="s">
        <v>635</v>
      </c>
    </row>
    <row r="308" customFormat="false" ht="15" hidden="true" customHeight="false" outlineLevel="2" collapsed="false">
      <c r="A308" s="4" t="s">
        <v>636</v>
      </c>
      <c r="B308" s="11" t="s">
        <v>65</v>
      </c>
      <c r="C308" s="32" t="n">
        <f aca="false">C307-C306</f>
        <v>100.233926415165</v>
      </c>
      <c r="D308" s="32" t="n">
        <f aca="false">D307-D306</f>
        <v>190.018930984</v>
      </c>
      <c r="E308" s="32" t="n">
        <f aca="false">E307-E306</f>
        <v>201.144225702667</v>
      </c>
      <c r="F308" s="32" t="n">
        <f aca="false">F307-F306</f>
        <v>201.144225702667</v>
      </c>
      <c r="G308" s="32" t="n">
        <f aca="false">G307-G306</f>
        <v>201.144225702667</v>
      </c>
      <c r="I308" s="6" t="s">
        <v>637</v>
      </c>
    </row>
    <row r="309" customFormat="false" ht="15" hidden="true" customHeight="false" outlineLevel="2" collapsed="false">
      <c r="A309" s="3" t="s">
        <v>638</v>
      </c>
      <c r="B309" s="11" t="s">
        <v>65</v>
      </c>
      <c r="C309" s="32" t="n">
        <f aca="false">IF(2026-輸入與假設!$C$270=2023,輸入與假設!$C$274,IF(2026-輸入與假設!$C$270=2024,輸入與假設!$C$275-輸入與假設!$C$274,IF(2026-輸入與假設!$C$270=2025,輸入與假設!$C$28-輸入與假設!$C$275,0)))/輸入與假設!$C$271*C280*輸入與假設!$C$277/1000</f>
        <v>0</v>
      </c>
      <c r="D309" s="32" t="n">
        <f aca="false">IF(2027-輸入與假設!$C$270=2023,輸入與假設!$C$274,IF(2027-輸入與假設!$C$270=2024,輸入與假設!$C$275-輸入與假設!$C$274,IF(2027-輸入與假設!$C$270=2025,輸入與假設!$C$28-輸入與假設!$C$275,0)))/輸入與假設!$C$271*D280*輸入與假設!$C$277/1000</f>
        <v>0</v>
      </c>
      <c r="E309" s="32" t="n">
        <f aca="false">IF(2028-輸入與假設!$C$270=2023,輸入與假設!$C$274,IF(2028-輸入與假設!$C$270=2024,輸入與假設!$C$275-輸入與假設!$C$274,IF(2028-輸入與假設!$C$270=2025,輸入與假設!$C$28-輸入與假設!$C$275,0)))/輸入與假設!$C$271*E280*輸入與假設!$C$277/1000</f>
        <v>0</v>
      </c>
      <c r="F309" s="32" t="n">
        <f aca="false">IF(2029-輸入與假設!$C$270=2023,輸入與假設!$C$274,IF(2029-輸入與假設!$C$270=2024,輸入與假設!$C$275-輸入與假設!$C$274,IF(2029-輸入與假設!$C$270=2025,輸入與假設!$C$28-輸入與假設!$C$275,0)))/輸入與假設!$C$271*F280*輸入與假設!$C$277/1000</f>
        <v>23.92997744</v>
      </c>
      <c r="G309" s="32" t="n">
        <f aca="false">IF(2030-輸入與假設!$C$270=2023,輸入與假設!$C$274,IF(2030-輸入與假設!$C$270=2024,輸入與假設!$C$275-輸入與假設!$C$274,IF(2030-輸入與假設!$C$270=2025,輸入與假設!$C$28-輸入與假設!$C$275,0)))/輸入與假設!$C$271*G280*輸入與假設!$C$277/1000</f>
        <v>56.63010368</v>
      </c>
      <c r="I309" s="6" t="s">
        <v>639</v>
      </c>
    </row>
    <row r="310" customFormat="false" ht="15" hidden="true" customHeight="false" outlineLevel="2" collapsed="false">
      <c r="A310" s="3" t="s">
        <v>640</v>
      </c>
      <c r="B310" s="11" t="s">
        <v>65</v>
      </c>
      <c r="C310" s="32" t="n">
        <f aca="false">(C297+C36)/2/輸入與假設!$C$271*C280*輸入與假設!$C$277/1000/輸入與假設!$C$270*C34</f>
        <v>17.8511389203889</v>
      </c>
      <c r="D310" s="32" t="n">
        <f aca="false">(D297+D36)/2/輸入與假設!$C$271*D280*輸入與假設!$C$277/1000/輸入與假設!$C$270*D34</f>
        <v>61.0742940184444</v>
      </c>
      <c r="E310" s="32" t="n">
        <f aca="false">(E297+E36)/2/輸入與假設!$C$271*E280*輸入與假設!$C$277/1000/輸入與假設!$C$270*E34</f>
        <v>66.21462344</v>
      </c>
      <c r="F310" s="32" t="n">
        <f aca="false">(F297+F36)/2/輸入與假設!$C$271*F280*輸入與假設!$C$277/1000/輸入與假設!$C$270*F34</f>
        <v>66.21462344</v>
      </c>
      <c r="G310" s="32" t="n">
        <f aca="false">(G297+G36)/2/輸入與假設!$C$271*G280*輸入與假設!$C$277/1000/輸入與假設!$C$270*G34</f>
        <v>143.926494330667</v>
      </c>
      <c r="I310" s="6" t="s">
        <v>641</v>
      </c>
    </row>
    <row r="311" customFormat="false" ht="15" hidden="true" customHeight="false" outlineLevel="2" collapsed="false">
      <c r="A311" s="3" t="s">
        <v>642</v>
      </c>
      <c r="B311" s="6"/>
      <c r="C311" s="22" t="n">
        <f aca="false">IF(C298&lt;=0,1,0)</f>
        <v>0</v>
      </c>
      <c r="D311" s="22" t="n">
        <f aca="false">IF(D298&lt;=0,1,0)</f>
        <v>0</v>
      </c>
      <c r="E311" s="22" t="n">
        <f aca="false">IF(E298&lt;=0,1,0)</f>
        <v>0</v>
      </c>
      <c r="F311" s="22" t="n">
        <f aca="false">IF(F298&lt;=0,1,0)</f>
        <v>0</v>
      </c>
      <c r="G311" s="22" t="n">
        <f aca="false">1</f>
        <v>1</v>
      </c>
      <c r="I311" s="6" t="s">
        <v>643</v>
      </c>
    </row>
    <row r="312" customFormat="false" ht="15" hidden="true" customHeight="false" outlineLevel="2" collapsed="false">
      <c r="A312" s="4" t="s">
        <v>644</v>
      </c>
      <c r="B312" s="11" t="s">
        <v>65</v>
      </c>
      <c r="C312" s="32" t="n">
        <f aca="false">IF(C311=1,C310,C309)</f>
        <v>0</v>
      </c>
      <c r="D312" s="32" t="n">
        <f aca="false">IF(D311=1,D310,D309)</f>
        <v>0</v>
      </c>
      <c r="E312" s="32" t="n">
        <f aca="false">IF(E311=1,E310,E309)</f>
        <v>0</v>
      </c>
      <c r="F312" s="32" t="n">
        <f aca="false">IF(F311=1,F310,F309)</f>
        <v>23.92997744</v>
      </c>
      <c r="G312" s="32" t="n">
        <f aca="false">IF(G311=1,G310,G309)</f>
        <v>143.926494330667</v>
      </c>
      <c r="I312" s="6" t="s">
        <v>645</v>
      </c>
    </row>
    <row r="313" customFormat="false" ht="15" hidden="true" customHeight="false" outlineLevel="2" collapsed="false">
      <c r="A313" s="3" t="s">
        <v>646</v>
      </c>
      <c r="B313" s="11" t="s">
        <v>65</v>
      </c>
      <c r="C313" s="32" t="n">
        <f aca="false">輸入與假設!$C$276</f>
        <v>321.212</v>
      </c>
      <c r="D313" s="32" t="n">
        <f aca="false">C313+運營_產能與收入!C$54</f>
        <v>440.614</v>
      </c>
      <c r="E313" s="32" t="n">
        <f aca="false">D313+運營_產能與收入!D$54</f>
        <v>677.412143918332</v>
      </c>
      <c r="F313" s="32" t="n">
        <f aca="false">E313+運營_產能與收入!E$54</f>
        <v>933.797434139531</v>
      </c>
      <c r="G313" s="32" t="n">
        <f aca="false">F313+運營_產能與收入!F$54</f>
        <v>1197.51922912427</v>
      </c>
      <c r="I313" s="6" t="s">
        <v>647</v>
      </c>
    </row>
    <row r="314" customFormat="false" ht="15" hidden="false" customHeight="false" outlineLevel="1" collapsed="false">
      <c r="A314" s="34" t="s">
        <v>648</v>
      </c>
      <c r="B314" s="20"/>
      <c r="C314" s="20"/>
      <c r="D314" s="20"/>
      <c r="E314" s="20"/>
      <c r="F314" s="20"/>
      <c r="G314" s="20"/>
      <c r="H314" s="20"/>
    </row>
    <row r="315" customFormat="false" ht="15" hidden="false" customHeight="false" outlineLevel="2" collapsed="false">
      <c r="A315" s="3" t="s">
        <v>649</v>
      </c>
      <c r="B315" s="11" t="s">
        <v>157</v>
      </c>
      <c r="C315" s="22" t="n">
        <f aca="false">MAX(0,輸入與假設!$C$29/輸入與假設!$C$271-輸入與假設!$C$300)</f>
        <v>6336.66666666667</v>
      </c>
      <c r="I315" s="6" t="s">
        <v>650</v>
      </c>
    </row>
    <row r="316" customFormat="false" ht="15" hidden="false" customHeight="false" outlineLevel="2" collapsed="false">
      <c r="A316" s="4" t="s">
        <v>651</v>
      </c>
      <c r="B316" s="11" t="s">
        <v>65</v>
      </c>
      <c r="C316" s="32" t="n">
        <f aca="false">輸入與假設!$C$315*(0.15*TK_CapexIT_H100*輸入與假設!$C$65+0.1*TK_CapexIT_H100+0.35*TK_CapexIT_GB200*輸入與假設!$C$65+0.1*TK_CapexIT_GB200+0.3*TK_CapexIT_GB300*輸入與假設!$C$65+0*TK_CapexIT_GB300+0*TK_CapexIT_VR200*輸入與假設!$C$65+0*TK_CapexIT_VR200)/1000</f>
        <v>173.342995496667</v>
      </c>
      <c r="I316" s="6" t="s">
        <v>652</v>
      </c>
    </row>
    <row r="317" customFormat="false" ht="15" hidden="false" customHeight="false" outlineLevel="2" collapsed="false">
      <c r="A317" s="4" t="s">
        <v>653</v>
      </c>
      <c r="B317" s="11" t="s">
        <v>65</v>
      </c>
      <c r="C317" s="32" t="n">
        <f aca="false">輸入與假設!$C$315*輸入與假設!$C$272*(0.15*TK_CapexFacility_H100+0.1*TK_CapexFacility_H100+0.35*TK_CapexFacility_GB200+0.1*TK_CapexFacility_GB200+0.3*TK_CapexFacility_GB300+0*TK_CapexFacility_GB300+0*TK_CapexFacility_VR200+0*TK_CapexFacility_VR200)/1000</f>
        <v>68.2427316666667</v>
      </c>
      <c r="I317" s="6" t="s">
        <v>654</v>
      </c>
    </row>
    <row r="318" customFormat="false" ht="15" hidden="false" customHeight="false" outlineLevel="2" collapsed="false">
      <c r="A318" s="3" t="s">
        <v>655</v>
      </c>
      <c r="B318" s="6" t="s">
        <v>184</v>
      </c>
      <c r="C318" s="43" t="n">
        <f aca="false">(0.15*TK_CapexFacility_H100+0.1*TK_CapexFacility_H100+0.35*TK_CapexFacility_GB200+0.1*TK_CapexFacility_GB200+0.3*TK_CapexFacility_GB300+0*TK_CapexFacility_GB300+0*TK_CapexFacility_VR200+0*TK_CapexFacility_VR200)/(0.15*TK_DeprFac_H100+0.1*TK_DeprFac_H100+0.35*TK_DeprFac_GB200+0.1*TK_DeprFac_GB200+0.3*TK_DeprFac_GB300+0*TK_DeprFac_GB300+0*TK_DeprFac_VR200+0*TK_DeprFac_VR200)</f>
        <v>19.9711020622619</v>
      </c>
      <c r="I318" s="6" t="s">
        <v>656</v>
      </c>
    </row>
    <row r="319" customFormat="false" ht="15" hidden="false" customHeight="false" outlineLevel="2" collapsed="false">
      <c r="A319" s="4" t="s">
        <v>657</v>
      </c>
      <c r="B319" s="11" t="s">
        <v>65</v>
      </c>
      <c r="C319" s="32" t="n">
        <f aca="false">輸入與假設!$C$316/輸入與假設!$C$270+輸入與假設!$C$317/輸入與假設!$C$318</f>
        <v>32.3075731522222</v>
      </c>
      <c r="I319" s="6" t="s">
        <v>658</v>
      </c>
    </row>
    <row r="320" customFormat="false" ht="15" hidden="false" customHeight="false" outlineLevel="2" collapsed="false">
      <c r="A320" s="3" t="s">
        <v>659</v>
      </c>
      <c r="B320" s="11" t="s">
        <v>65</v>
      </c>
      <c r="C320" s="32" t="n">
        <f aca="false">輸入與假設!$C$276-輸入與假設!$C$316-輸入與假設!$C$317</f>
        <v>79.6262728366666</v>
      </c>
      <c r="I320" s="6" t="s">
        <v>660</v>
      </c>
    </row>
    <row r="321" customFormat="false" ht="15" hidden="false" customHeight="false" outlineLevel="2" collapsed="false">
      <c r="A321" s="3" t="s">
        <v>661</v>
      </c>
      <c r="B321" s="11" t="s">
        <v>42</v>
      </c>
      <c r="C321" s="23" t="n">
        <v>0.75</v>
      </c>
      <c r="I321" s="6" t="s">
        <v>662</v>
      </c>
    </row>
    <row r="322" customFormat="false" ht="15" hidden="false" customHeight="false" outlineLevel="2" collapsed="false">
      <c r="A322" s="3" t="s">
        <v>663</v>
      </c>
      <c r="B322" s="6" t="s">
        <v>184</v>
      </c>
      <c r="C322" s="25" t="n">
        <v>10</v>
      </c>
      <c r="I322" s="6" t="s">
        <v>664</v>
      </c>
    </row>
    <row r="323" customFormat="false" ht="15" hidden="false" customHeight="false" outlineLevel="2" collapsed="false">
      <c r="A323" s="4" t="s">
        <v>665</v>
      </c>
      <c r="B323" s="11" t="s">
        <v>65</v>
      </c>
      <c r="C323" s="32" t="n">
        <f aca="false">輸入與假設!$C$273-輸入與假設!$C$319-輸入與假設!$C$320/輸入與假設!$C$322</f>
        <v>-11.8542004358889</v>
      </c>
      <c r="I323" s="6" t="s">
        <v>666</v>
      </c>
    </row>
    <row r="324" customFormat="false" ht="15" hidden="false" customHeight="false" outlineLevel="2" collapsed="false">
      <c r="A324" s="14" t="s">
        <v>59</v>
      </c>
      <c r="B324" s="14" t="s">
        <v>60</v>
      </c>
      <c r="C324" s="28" t="s">
        <v>61</v>
      </c>
      <c r="D324" s="28" t="s">
        <v>62</v>
      </c>
      <c r="E324" s="28" t="s">
        <v>63</v>
      </c>
      <c r="F324" s="28" t="s">
        <v>153</v>
      </c>
      <c r="G324" s="28" t="s">
        <v>154</v>
      </c>
      <c r="I324" s="14" t="s">
        <v>206</v>
      </c>
    </row>
    <row r="325" customFormat="false" ht="15" hidden="false" customHeight="false" outlineLevel="2" collapsed="false">
      <c r="A325" s="4" t="s">
        <v>667</v>
      </c>
      <c r="B325" s="11" t="s">
        <v>65</v>
      </c>
      <c r="C325" s="32" t="n">
        <f aca="false">輸入與假設!$C$316</f>
        <v>173.342995496667</v>
      </c>
      <c r="D325" s="32" t="n">
        <f aca="false">C325+(運營_產能與收入!C$54-C306)*C280/C279</f>
        <v>248.476910329268</v>
      </c>
      <c r="E325" s="32" t="n">
        <f aca="false">D325+(運營_產能與收入!D$54-D306)*D280/D279</f>
        <v>393.698311146601</v>
      </c>
      <c r="F325" s="32" t="n">
        <f aca="false">E325+(運營_產能與收入!E$54-E306)*E280/E279</f>
        <v>550.045006682601</v>
      </c>
      <c r="G325" s="32" t="n">
        <f aca="false">F325+(運營_產能與收入!F$54-F306)*F280/F279</f>
        <v>706.391702218601</v>
      </c>
      <c r="I325" s="6" t="s">
        <v>668</v>
      </c>
    </row>
    <row r="326" customFormat="false" ht="15" hidden="false" customHeight="false" outlineLevel="2" collapsed="false">
      <c r="A326" s="4" t="s">
        <v>669</v>
      </c>
      <c r="B326" s="11" t="s">
        <v>65</v>
      </c>
      <c r="C326" s="32" t="n">
        <f aca="false">輸入與假設!$C$317</f>
        <v>68.2427316666667</v>
      </c>
      <c r="D326" s="32" t="n">
        <f aca="false">C326+(運營_產能與收入!C$54-C306)*(1-C280/C279)</f>
        <v>93.3427432492303</v>
      </c>
      <c r="E326" s="32" t="n">
        <f aca="false">D326+(運營_產能與收入!D$54-D306)*(1-D280/D279)</f>
        <v>138.140273415897</v>
      </c>
      <c r="F326" s="32" t="n">
        <f aca="false">E326+(運營_產能與收入!E$54-E306)*(1-E280/E279)</f>
        <v>182.937803582564</v>
      </c>
      <c r="G326" s="32" t="n">
        <f aca="false">F326+(運營_產能與收入!F$54-F306)*(1-F280/F279)</f>
        <v>227.73533374923</v>
      </c>
      <c r="I326" s="6" t="s">
        <v>670</v>
      </c>
    </row>
    <row r="327" customFormat="false" ht="15" hidden="false" customHeight="false" outlineLevel="2" collapsed="false">
      <c r="A327" s="4" t="s">
        <v>671</v>
      </c>
      <c r="B327" s="11" t="s">
        <v>65</v>
      </c>
      <c r="C327" s="32" t="n">
        <f aca="false">((C325+0.5*(運營_產能與收入!C$54-C306)*C280/C279)/輸入與假設!$C$270+(C326+0.5*(運營_產能與收入!C$54-C306)*(1-C280/C279))/輸入與假設!$C$318)*C34</f>
        <v>19.5985704981648</v>
      </c>
      <c r="D327" s="32" t="n">
        <f aca="false">((D325+0.5*(運營_產能與收入!D$54-D306)*D280/D279)/輸入與假設!$C$270+(D326+0.5*(運營_產能與收入!D$54-D306)*(1-D280/D279))/輸入與假設!$C$318)*D34</f>
        <v>59.3100510328537</v>
      </c>
      <c r="E327" s="32" t="n">
        <f aca="false">((E325+0.5*(運營_產能與收入!E$54-E306)*E280/E279)/輸入與假設!$C$270+(E326+0.5*(運營_產能與收入!E$54-E306)*(1-E280/E279))/輸入與假設!$C$318)*E34</f>
        <v>86.6838433109092</v>
      </c>
      <c r="F327" s="32" t="n">
        <f aca="false">((F325+0.5*(運營_產能與收入!F$54-F306)*F280/F279)/輸入與假設!$C$270+(F326+0.5*(運營_產能與收入!F$54-F306)*(1-F280/F279))/輸入與假設!$C$318)*F34</f>
        <v>114.984743482187</v>
      </c>
      <c r="G327" s="32" t="n">
        <f aca="false">((G325+0.5*(運營_產能與收入!G$54-G306)*G280/G279)/輸入與假設!$C$270+(G326+0.5*(運營_產能與收入!G$54-G306)*(1-G280/G279))/輸入與假設!$C$318)*G34</f>
        <v>143.285643653465</v>
      </c>
      <c r="I327" s="6" t="s">
        <v>672</v>
      </c>
    </row>
    <row r="328" customFormat="false" ht="15" hidden="false" customHeight="false" outlineLevel="2" collapsed="false">
      <c r="A328" s="3" t="s">
        <v>673</v>
      </c>
      <c r="B328" s="11" t="s">
        <v>65</v>
      </c>
      <c r="C328" s="32" t="n">
        <f aca="false">輸入與假設!$C$320</f>
        <v>79.6262728366666</v>
      </c>
      <c r="D328" s="32" t="n">
        <f aca="false">C328+C306</f>
        <v>98.7943464215018</v>
      </c>
      <c r="E328" s="32" t="n">
        <f aca="false">D328+D306</f>
        <v>145.573559355834</v>
      </c>
      <c r="F328" s="32" t="n">
        <f aca="false">E328+E306</f>
        <v>200.814623874366</v>
      </c>
      <c r="G328" s="32" t="n">
        <f aca="false">F328+F306</f>
        <v>263.392193156441</v>
      </c>
      <c r="I328" s="6" t="s">
        <v>674</v>
      </c>
    </row>
    <row r="329" customFormat="false" ht="15" hidden="false" customHeight="false" outlineLevel="2" collapsed="false">
      <c r="A329" s="3" t="s">
        <v>675</v>
      </c>
      <c r="B329" s="11" t="s">
        <v>65</v>
      </c>
      <c r="C329" s="32" t="n">
        <f aca="false">(C328+0.5*C306)/輸入與假設!$C$322*C34</f>
        <v>4.46051548145421</v>
      </c>
      <c r="D329" s="32" t="n">
        <f aca="false">(D328+0.5*D306)/輸入與假設!$C$322*D34</f>
        <v>12.2183952888668</v>
      </c>
      <c r="E329" s="32" t="n">
        <f aca="false">(E328+0.5*E306)/輸入與假設!$C$322*E34</f>
        <v>17.31940916151</v>
      </c>
      <c r="F329" s="32" t="n">
        <f aca="false">(F328+0.5*F306)/輸入與假設!$C$322*F34</f>
        <v>23.2103408515403</v>
      </c>
      <c r="G329" s="32" t="n">
        <f aca="false">(G328+0.5*G306)/輸入與假設!$C$322*G34</f>
        <v>29.7167903660992</v>
      </c>
      <c r="I329" s="6" t="s">
        <v>676</v>
      </c>
    </row>
    <row r="330" customFormat="false" ht="15" hidden="false" customHeight="false" outlineLevel="1" collapsed="false">
      <c r="A330" s="34" t="s">
        <v>677</v>
      </c>
      <c r="B330" s="20"/>
      <c r="C330" s="20"/>
      <c r="D330" s="20"/>
      <c r="E330" s="20"/>
      <c r="F330" s="20"/>
      <c r="G330" s="20"/>
      <c r="H330" s="20"/>
    </row>
    <row r="331" customFormat="false" ht="15" hidden="false" customHeight="false" outlineLevel="2" collapsed="false">
      <c r="A331" s="3" t="s">
        <v>678</v>
      </c>
      <c r="B331" s="11" t="s">
        <v>65</v>
      </c>
      <c r="C331" s="44" t="n">
        <f aca="false">C307+C312</f>
        <v>119.402</v>
      </c>
      <c r="D331" s="44" t="n">
        <f aca="false">D307+D312</f>
        <v>236.798143918332</v>
      </c>
      <c r="E331" s="44" t="n">
        <f aca="false">E307+E312</f>
        <v>256.385290221199</v>
      </c>
      <c r="F331" s="44" t="n">
        <f aca="false">F307+F312</f>
        <v>287.651772424741</v>
      </c>
      <c r="G331" s="44" t="n">
        <f aca="false">G307+G312</f>
        <v>412.622141042437</v>
      </c>
      <c r="I331" s="6" t="s">
        <v>679</v>
      </c>
    </row>
    <row r="332" customFormat="false" ht="15" hidden="false" customHeight="false" outlineLevel="2" collapsed="false">
      <c r="A332" s="4" t="s">
        <v>680</v>
      </c>
      <c r="B332" s="11" t="s">
        <v>65</v>
      </c>
      <c r="C332" s="44" t="n">
        <f aca="false">C327+C329</f>
        <v>24.059085979619</v>
      </c>
      <c r="D332" s="44" t="n">
        <f aca="false">D327+D329</f>
        <v>71.5284463217205</v>
      </c>
      <c r="E332" s="44" t="n">
        <f aca="false">E327+E329</f>
        <v>104.003252472419</v>
      </c>
      <c r="F332" s="44" t="n">
        <f aca="false">F327+F329</f>
        <v>138.195084333727</v>
      </c>
      <c r="G332" s="44" t="n">
        <f aca="false">G327+G329</f>
        <v>173.002434019564</v>
      </c>
      <c r="I332" s="6" t="s">
        <v>681</v>
      </c>
    </row>
    <row r="334" customFormat="false" ht="15" hidden="false" customHeight="false" outlineLevel="0" collapsed="false">
      <c r="A334" s="7" t="s">
        <v>682</v>
      </c>
      <c r="B334" s="8"/>
      <c r="C334" s="8"/>
      <c r="D334" s="8"/>
      <c r="E334" s="8"/>
      <c r="F334" s="8"/>
      <c r="G334" s="8"/>
      <c r="H334" s="8"/>
    </row>
    <row r="335" customFormat="false" ht="15" hidden="false" customHeight="false" outlineLevel="1" collapsed="false">
      <c r="A335" s="3" t="s">
        <v>683</v>
      </c>
      <c r="B335" s="11" t="s">
        <v>65</v>
      </c>
      <c r="C335" s="24" t="n">
        <v>155.411</v>
      </c>
      <c r="I335" s="6" t="s">
        <v>684</v>
      </c>
    </row>
    <row r="336" customFormat="false" ht="15" hidden="false" customHeight="false" outlineLevel="1" collapsed="false">
      <c r="A336" s="3" t="s">
        <v>685</v>
      </c>
      <c r="B336" s="11" t="s">
        <v>65</v>
      </c>
      <c r="C336" s="24" t="n">
        <v>0</v>
      </c>
      <c r="I336" s="6" t="s">
        <v>686</v>
      </c>
    </row>
    <row r="337" customFormat="false" ht="15" hidden="false" customHeight="false" outlineLevel="1" collapsed="false">
      <c r="A337" s="3" t="s">
        <v>687</v>
      </c>
      <c r="B337" s="6"/>
      <c r="C337" s="21" t="n">
        <v>1</v>
      </c>
      <c r="I337" s="6" t="s">
        <v>688</v>
      </c>
    </row>
    <row r="338" customFormat="false" ht="15" hidden="false" customHeight="false" outlineLevel="1" collapsed="false">
      <c r="A338" s="3" t="s">
        <v>689</v>
      </c>
      <c r="B338" s="11" t="s">
        <v>65</v>
      </c>
      <c r="C338" s="24" t="n">
        <v>10.4</v>
      </c>
      <c r="I338" s="6" t="s">
        <v>690</v>
      </c>
    </row>
    <row r="339" customFormat="false" ht="15" hidden="false" customHeight="false" outlineLevel="1" collapsed="false">
      <c r="A339" s="3" t="s">
        <v>691</v>
      </c>
      <c r="B339" s="6"/>
      <c r="C339" s="21" t="n">
        <v>0</v>
      </c>
      <c r="I339" s="6" t="s">
        <v>692</v>
      </c>
    </row>
    <row r="340" customFormat="false" ht="15" hidden="false" customHeight="false" outlineLevel="1" collapsed="false">
      <c r="A340" s="3" t="s">
        <v>693</v>
      </c>
      <c r="B340" s="6"/>
      <c r="C340" s="21" t="n">
        <v>1</v>
      </c>
      <c r="I340" s="6" t="s">
        <v>694</v>
      </c>
    </row>
    <row r="341" customFormat="false" ht="15" hidden="false" customHeight="false" outlineLevel="1" collapsed="false">
      <c r="A341" s="3" t="s">
        <v>695</v>
      </c>
      <c r="B341" s="11" t="s">
        <v>111</v>
      </c>
      <c r="C341" s="45" t="n">
        <v>0.5</v>
      </c>
      <c r="I341" s="6" t="s">
        <v>696</v>
      </c>
    </row>
    <row r="342" customFormat="false" ht="15" hidden="false" customHeight="false" outlineLevel="1" collapsed="false">
      <c r="A342" s="3" t="s">
        <v>697</v>
      </c>
      <c r="B342" s="6"/>
      <c r="C342" s="27" t="s">
        <v>698</v>
      </c>
      <c r="I342" s="11" t="s">
        <v>699</v>
      </c>
    </row>
    <row r="343" customFormat="false" ht="15" hidden="false" customHeight="false" outlineLevel="1" collapsed="false">
      <c r="A343" s="3" t="s">
        <v>700</v>
      </c>
      <c r="B343" s="11" t="s">
        <v>111</v>
      </c>
      <c r="C343" s="45" t="n">
        <v>3</v>
      </c>
      <c r="I343" s="11" t="s">
        <v>701</v>
      </c>
    </row>
    <row r="344" customFormat="false" ht="15" hidden="false" customHeight="false" outlineLevel="1" collapsed="false">
      <c r="A344" s="3" t="s">
        <v>702</v>
      </c>
      <c r="B344" s="6" t="s">
        <v>184</v>
      </c>
      <c r="C344" s="21" t="n">
        <v>3</v>
      </c>
      <c r="I344" s="11" t="s">
        <v>703</v>
      </c>
    </row>
    <row r="345" customFormat="false" ht="15" hidden="false" customHeight="false" outlineLevel="1" collapsed="false">
      <c r="A345" s="3" t="s">
        <v>704</v>
      </c>
      <c r="B345" s="11" t="s">
        <v>39</v>
      </c>
      <c r="C345" s="46" t="n">
        <v>0.22</v>
      </c>
      <c r="I345" s="6" t="s">
        <v>705</v>
      </c>
    </row>
    <row r="346" customFormat="false" ht="15" hidden="false" customHeight="false" outlineLevel="1" collapsed="false">
      <c r="A346" s="3" t="s">
        <v>706</v>
      </c>
      <c r="B346" s="11" t="s">
        <v>42</v>
      </c>
      <c r="C346" s="23" t="n">
        <v>0.05</v>
      </c>
      <c r="I346" s="6" t="s">
        <v>707</v>
      </c>
    </row>
    <row r="347" customFormat="false" ht="15" hidden="false" customHeight="false" outlineLevel="1" collapsed="false">
      <c r="A347" s="3" t="s">
        <v>708</v>
      </c>
      <c r="B347" s="11" t="s">
        <v>709</v>
      </c>
      <c r="C347" s="35" t="n">
        <v>12.23</v>
      </c>
      <c r="I347" s="6" t="s">
        <v>710</v>
      </c>
    </row>
    <row r="348" customFormat="false" ht="15" hidden="false" customHeight="false" outlineLevel="1" collapsed="false">
      <c r="A348" s="3" t="s">
        <v>711</v>
      </c>
      <c r="B348" s="11" t="s">
        <v>65</v>
      </c>
      <c r="C348" s="24" t="n">
        <v>50</v>
      </c>
      <c r="I348" s="6" t="s">
        <v>712</v>
      </c>
    </row>
    <row r="349" customFormat="false" ht="15" hidden="false" customHeight="false" outlineLevel="1" collapsed="false">
      <c r="A349" s="3" t="s">
        <v>713</v>
      </c>
      <c r="B349" s="11" t="s">
        <v>65</v>
      </c>
      <c r="C349" s="24" t="n">
        <v>17.003</v>
      </c>
      <c r="I349" s="6" t="s">
        <v>714</v>
      </c>
    </row>
    <row r="350" customFormat="false" ht="15" hidden="false" customHeight="false" outlineLevel="1" collapsed="false">
      <c r="A350" s="3" t="s">
        <v>715</v>
      </c>
      <c r="B350" s="11" t="s">
        <v>42</v>
      </c>
      <c r="C350" s="23" t="n">
        <v>0</v>
      </c>
      <c r="I350" s="11" t="s">
        <v>716</v>
      </c>
    </row>
    <row r="351" customFormat="false" ht="15" hidden="false" customHeight="false" outlineLevel="1" collapsed="false">
      <c r="A351" s="3" t="s">
        <v>717</v>
      </c>
      <c r="B351" s="11" t="s">
        <v>39</v>
      </c>
      <c r="C351" s="46" t="n">
        <v>350.5</v>
      </c>
      <c r="I351" s="6" t="s">
        <v>718</v>
      </c>
    </row>
    <row r="352" customFormat="false" ht="15" hidden="false" customHeight="false" outlineLevel="1" collapsed="false">
      <c r="A352" s="3" t="s">
        <v>719</v>
      </c>
      <c r="B352" s="11" t="s">
        <v>42</v>
      </c>
      <c r="C352" s="23" t="n">
        <v>0.1</v>
      </c>
      <c r="I352" s="6" t="s">
        <v>720</v>
      </c>
    </row>
    <row r="353" customFormat="false" ht="15" hidden="false" customHeight="false" outlineLevel="1" collapsed="false">
      <c r="A353" s="3" t="s">
        <v>721</v>
      </c>
      <c r="B353" s="11" t="s">
        <v>42</v>
      </c>
      <c r="C353" s="23" t="n">
        <v>0.05</v>
      </c>
      <c r="I353" s="6" t="s">
        <v>722</v>
      </c>
    </row>
    <row r="354" customFormat="false" ht="15" hidden="false" customHeight="false" outlineLevel="1" collapsed="false">
      <c r="A354" s="3" t="s">
        <v>723</v>
      </c>
      <c r="B354" s="11" t="s">
        <v>709</v>
      </c>
      <c r="C354" s="35" t="n">
        <v>12.23</v>
      </c>
      <c r="I354" s="6" t="s">
        <v>724</v>
      </c>
    </row>
    <row r="355" customFormat="false" ht="15" hidden="false" customHeight="false" outlineLevel="1" collapsed="false">
      <c r="A355" s="3" t="s">
        <v>725</v>
      </c>
      <c r="B355" s="11" t="s">
        <v>231</v>
      </c>
      <c r="C355" s="24" t="n">
        <v>0</v>
      </c>
      <c r="I355" s="6" t="s">
        <v>726</v>
      </c>
    </row>
    <row r="356" customFormat="false" ht="15" hidden="false" customHeight="false" outlineLevel="1" collapsed="false">
      <c r="A356" s="3" t="s">
        <v>727</v>
      </c>
      <c r="B356" s="11" t="s">
        <v>231</v>
      </c>
      <c r="C356" s="24" t="n">
        <v>0</v>
      </c>
      <c r="I356" s="6" t="s">
        <v>726</v>
      </c>
    </row>
    <row r="357" customFormat="false" ht="15" hidden="false" customHeight="false" outlineLevel="1" collapsed="false">
      <c r="A357" s="3" t="s">
        <v>728</v>
      </c>
      <c r="B357" s="11" t="s">
        <v>231</v>
      </c>
      <c r="C357" s="24" t="n">
        <v>0</v>
      </c>
      <c r="I357" s="6" t="s">
        <v>726</v>
      </c>
    </row>
    <row r="358" customFormat="false" ht="15" hidden="false" customHeight="false" outlineLevel="1" collapsed="false">
      <c r="A358" s="3" t="s">
        <v>729</v>
      </c>
      <c r="B358" s="11" t="s">
        <v>231</v>
      </c>
      <c r="C358" s="32" t="n">
        <f aca="false">CHOOSE(輸入與假設!$C$5,輸入與假設!$C$355,輸入與假設!$C$356,輸入與假設!$C$357)</f>
        <v>0</v>
      </c>
      <c r="I358" s="6" t="s">
        <v>730</v>
      </c>
    </row>
    <row r="359" customFormat="false" ht="15" hidden="false" customHeight="false" outlineLevel="1" collapsed="false">
      <c r="A359" s="3" t="s">
        <v>731</v>
      </c>
      <c r="B359" s="11" t="s">
        <v>42</v>
      </c>
      <c r="C359" s="23" t="n">
        <v>0</v>
      </c>
      <c r="I359" s="11" t="s">
        <v>732</v>
      </c>
    </row>
    <row r="360" customFormat="false" ht="15" hidden="false" customHeight="false" outlineLevel="1" collapsed="false">
      <c r="A360" s="3" t="s">
        <v>733</v>
      </c>
      <c r="B360" s="11" t="s">
        <v>42</v>
      </c>
      <c r="C360" s="23" t="n">
        <v>0</v>
      </c>
      <c r="I360" s="11" t="s">
        <v>734</v>
      </c>
    </row>
    <row r="361" customFormat="false" ht="15" hidden="false" customHeight="false" outlineLevel="1" collapsed="false">
      <c r="A361" s="3" t="s">
        <v>735</v>
      </c>
      <c r="B361" s="11" t="s">
        <v>42</v>
      </c>
      <c r="C361" s="23" t="n">
        <v>0.12</v>
      </c>
      <c r="I361" s="6" t="s">
        <v>736</v>
      </c>
    </row>
    <row r="362" customFormat="false" ht="15" hidden="false" customHeight="false" outlineLevel="1" collapsed="false">
      <c r="A362" s="3" t="s">
        <v>737</v>
      </c>
      <c r="B362" s="11" t="s">
        <v>42</v>
      </c>
      <c r="C362" s="23" t="n">
        <v>0.168</v>
      </c>
      <c r="I362" s="6" t="s">
        <v>738</v>
      </c>
    </row>
    <row r="363" customFormat="false" ht="15" hidden="false" customHeight="false" outlineLevel="1" collapsed="false">
      <c r="A363" s="4" t="s">
        <v>739</v>
      </c>
      <c r="B363" s="11" t="s">
        <v>740</v>
      </c>
      <c r="C363" s="21"/>
      <c r="I363" s="6" t="s">
        <v>741</v>
      </c>
    </row>
    <row r="364" customFormat="false" ht="15" hidden="false" customHeight="false" outlineLevel="1" collapsed="false">
      <c r="A364" s="4" t="s">
        <v>742</v>
      </c>
      <c r="B364" s="6"/>
      <c r="C364" s="21" t="n">
        <v>0</v>
      </c>
      <c r="I364" s="6" t="s">
        <v>743</v>
      </c>
    </row>
    <row r="365" customFormat="false" ht="15" hidden="false" customHeight="false" outlineLevel="1" collapsed="false">
      <c r="A365" s="4" t="s">
        <v>744</v>
      </c>
      <c r="B365" s="11" t="s">
        <v>740</v>
      </c>
      <c r="C365" s="21" t="n">
        <v>450</v>
      </c>
      <c r="I365" s="11" t="s">
        <v>745</v>
      </c>
    </row>
    <row r="366" customFormat="false" ht="15" hidden="false" customHeight="false" outlineLevel="1" collapsed="false">
      <c r="A366" s="4" t="s">
        <v>746</v>
      </c>
      <c r="B366" s="11" t="s">
        <v>42</v>
      </c>
      <c r="C366" s="23" t="n">
        <v>0.4</v>
      </c>
      <c r="I366" s="6" t="s">
        <v>747</v>
      </c>
    </row>
    <row r="367" customFormat="false" ht="15" hidden="false" customHeight="false" outlineLevel="1" collapsed="false">
      <c r="A367" s="14" t="s">
        <v>59</v>
      </c>
      <c r="B367" s="14" t="s">
        <v>60</v>
      </c>
      <c r="C367" s="28" t="s">
        <v>61</v>
      </c>
      <c r="D367" s="28" t="s">
        <v>62</v>
      </c>
      <c r="E367" s="28" t="s">
        <v>63</v>
      </c>
      <c r="F367" s="28" t="s">
        <v>153</v>
      </c>
      <c r="G367" s="28" t="s">
        <v>154</v>
      </c>
      <c r="I367" s="14" t="s">
        <v>206</v>
      </c>
    </row>
    <row r="368" customFormat="false" ht="15" hidden="false" customHeight="false" outlineLevel="1" collapsed="false">
      <c r="A368" s="3" t="s">
        <v>748</v>
      </c>
      <c r="B368" s="11" t="s">
        <v>65</v>
      </c>
      <c r="C368" s="24" t="n">
        <v>0.535</v>
      </c>
      <c r="D368" s="24" t="n">
        <v>1.203</v>
      </c>
      <c r="E368" s="24" t="n">
        <v>1.203</v>
      </c>
      <c r="F368" s="24" t="n">
        <v>0.602</v>
      </c>
      <c r="G368" s="24" t="n">
        <v>0</v>
      </c>
      <c r="I368" s="6" t="s">
        <v>749</v>
      </c>
    </row>
    <row r="369" customFormat="false" ht="15" hidden="false" customHeight="false" outlineLevel="1" collapsed="false">
      <c r="A369" s="3" t="s">
        <v>750</v>
      </c>
      <c r="B369" s="11" t="s">
        <v>65</v>
      </c>
      <c r="C369" s="24" t="n">
        <v>2</v>
      </c>
      <c r="D369" s="24" t="n">
        <v>1</v>
      </c>
      <c r="E369" s="24" t="n">
        <v>2.676</v>
      </c>
      <c r="F369" s="24" t="n">
        <v>1.764</v>
      </c>
      <c r="G369" s="24" t="n">
        <v>7.186</v>
      </c>
      <c r="I369" s="6" t="s">
        <v>751</v>
      </c>
    </row>
    <row r="370" customFormat="false" ht="15" hidden="false" customHeight="false" outlineLevel="1" collapsed="false">
      <c r="A370" s="3" t="s">
        <v>752</v>
      </c>
      <c r="B370" s="11" t="s">
        <v>42</v>
      </c>
      <c r="C370" s="23" t="n">
        <v>0.05</v>
      </c>
      <c r="D370" s="23" t="n">
        <v>0.05</v>
      </c>
      <c r="E370" s="23" t="n">
        <v>0.05</v>
      </c>
      <c r="F370" s="23" t="n">
        <v>0.05</v>
      </c>
      <c r="G370" s="23" t="n">
        <v>0.05</v>
      </c>
      <c r="I370" s="6" t="s">
        <v>753</v>
      </c>
    </row>
    <row r="371" customFormat="false" ht="15" hidden="false" customHeight="false" outlineLevel="1" collapsed="false">
      <c r="A371" s="3" t="s">
        <v>754</v>
      </c>
      <c r="B371" s="11" t="s">
        <v>65</v>
      </c>
      <c r="C371" s="41" t="n">
        <f aca="false">資產負債_既有債務!C42</f>
        <v>2.01268256759658</v>
      </c>
      <c r="D371" s="41" t="n">
        <f aca="false">資產負債_既有債務!D42</f>
        <v>3.96503593798289</v>
      </c>
      <c r="E371" s="41" t="n">
        <f aca="false">資產負債_既有債務!E42</f>
        <v>3.8911125616679</v>
      </c>
      <c r="F371" s="41" t="n">
        <f aca="false">資產負債_既有債務!F42</f>
        <v>3.80182534979671</v>
      </c>
      <c r="G371" s="41" t="n">
        <f aca="false">資產負債_既有債務!G42</f>
        <v>3.62184324478607</v>
      </c>
      <c r="I371" s="6" t="s">
        <v>755</v>
      </c>
    </row>
    <row r="373" customFormat="false" ht="15" hidden="false" customHeight="false" outlineLevel="0" collapsed="false">
      <c r="A373" s="7" t="s">
        <v>756</v>
      </c>
      <c r="B373" s="8"/>
      <c r="C373" s="8"/>
      <c r="D373" s="8"/>
      <c r="E373" s="8"/>
      <c r="F373" s="8"/>
      <c r="G373" s="8"/>
      <c r="H373" s="8"/>
    </row>
    <row r="374" customFormat="false" ht="15" hidden="false" customHeight="false" outlineLevel="1" collapsed="false">
      <c r="A374" s="3" t="s">
        <v>757</v>
      </c>
      <c r="B374" s="11" t="s">
        <v>39</v>
      </c>
      <c r="C374" s="46" t="n">
        <v>350.5</v>
      </c>
      <c r="I374" s="11" t="s">
        <v>758</v>
      </c>
    </row>
    <row r="375" customFormat="false" ht="15" hidden="false" customHeight="false" outlineLevel="1" collapsed="false">
      <c r="A375" s="3" t="s">
        <v>759</v>
      </c>
      <c r="B375" s="11" t="s">
        <v>709</v>
      </c>
      <c r="C375" s="35" t="n">
        <v>12.309</v>
      </c>
      <c r="I375" s="6" t="s">
        <v>760</v>
      </c>
    </row>
    <row r="376" customFormat="false" ht="15" hidden="false" customHeight="false" outlineLevel="1" collapsed="false">
      <c r="A376" s="3" t="s">
        <v>761</v>
      </c>
      <c r="B376" s="11" t="s">
        <v>65</v>
      </c>
      <c r="C376" s="24" t="n">
        <v>-54.326</v>
      </c>
      <c r="I376" s="6" t="s">
        <v>762</v>
      </c>
    </row>
    <row r="377" customFormat="false" ht="15" hidden="false" customHeight="false" outlineLevel="1" collapsed="false">
      <c r="A377" s="3" t="s">
        <v>763</v>
      </c>
      <c r="B377" s="11" t="s">
        <v>42</v>
      </c>
      <c r="C377" s="23" t="n">
        <v>0.2</v>
      </c>
      <c r="I377" s="6" t="s">
        <v>764</v>
      </c>
    </row>
    <row r="378" customFormat="false" ht="15" hidden="false" customHeight="false" outlineLevel="1" collapsed="false">
      <c r="A378" s="4" t="s">
        <v>765</v>
      </c>
      <c r="B378" s="11" t="s">
        <v>65</v>
      </c>
      <c r="C378" s="24" t="n">
        <v>965</v>
      </c>
      <c r="I378" s="6" t="s">
        <v>766</v>
      </c>
    </row>
    <row r="379" customFormat="false" ht="15" hidden="false" customHeight="false" outlineLevel="1" collapsed="false">
      <c r="A379" s="4" t="s">
        <v>767</v>
      </c>
      <c r="B379" s="11" t="s">
        <v>42</v>
      </c>
      <c r="C379" s="23" t="n">
        <v>0.125</v>
      </c>
      <c r="I379" s="6"/>
    </row>
    <row r="380" customFormat="false" ht="15" hidden="false" customHeight="false" outlineLevel="1" collapsed="false">
      <c r="A380" s="4" t="s">
        <v>768</v>
      </c>
      <c r="B380" s="6"/>
      <c r="C380" s="21" t="n">
        <v>0</v>
      </c>
      <c r="I380" s="11" t="s">
        <v>769</v>
      </c>
    </row>
    <row r="381" customFormat="false" ht="15" hidden="false" customHeight="false" outlineLevel="1" collapsed="false">
      <c r="A381" s="4" t="s">
        <v>770</v>
      </c>
      <c r="B381" s="11" t="s">
        <v>65</v>
      </c>
      <c r="C381" s="24" t="n">
        <v>94.1</v>
      </c>
      <c r="I381" s="11" t="s">
        <v>771</v>
      </c>
    </row>
    <row r="382" customFormat="false" ht="15" hidden="false" customHeight="false" outlineLevel="1" collapsed="false">
      <c r="A382" s="4" t="s">
        <v>772</v>
      </c>
      <c r="B382" s="11" t="s">
        <v>42</v>
      </c>
      <c r="C382" s="23" t="n">
        <v>1</v>
      </c>
      <c r="I382" s="6"/>
    </row>
    <row r="383" customFormat="false" ht="15" hidden="false" customHeight="false" outlineLevel="1" collapsed="false">
      <c r="A383" s="4" t="s">
        <v>773</v>
      </c>
      <c r="B383" s="6"/>
      <c r="C383" s="21" t="n">
        <v>1</v>
      </c>
      <c r="I383" s="11" t="s">
        <v>769</v>
      </c>
    </row>
    <row r="384" customFormat="false" ht="15" hidden="false" customHeight="false" outlineLevel="1" collapsed="false">
      <c r="A384" s="3" t="s">
        <v>774</v>
      </c>
      <c r="B384" s="11" t="s">
        <v>65</v>
      </c>
      <c r="C384" s="24" t="n">
        <v>7.089</v>
      </c>
      <c r="I384" s="6" t="s">
        <v>775</v>
      </c>
    </row>
    <row r="385" customFormat="false" ht="15" hidden="false" customHeight="false" outlineLevel="1" collapsed="false">
      <c r="A385" s="3" t="s">
        <v>776</v>
      </c>
      <c r="B385" s="11" t="s">
        <v>42</v>
      </c>
      <c r="C385" s="23" t="n">
        <v>1</v>
      </c>
      <c r="I385" s="6"/>
    </row>
    <row r="386" customFormat="false" ht="15" hidden="false" customHeight="false" outlineLevel="1" collapsed="false">
      <c r="A386" s="3" t="s">
        <v>777</v>
      </c>
      <c r="B386" s="6"/>
      <c r="C386" s="21" t="n">
        <v>1</v>
      </c>
      <c r="I386" s="11" t="s">
        <v>769</v>
      </c>
    </row>
    <row r="387" customFormat="false" ht="15" hidden="false" customHeight="false" outlineLevel="1" collapsed="false">
      <c r="A387" s="3" t="s">
        <v>778</v>
      </c>
      <c r="B387" s="11" t="s">
        <v>65</v>
      </c>
      <c r="C387" s="32" t="n">
        <f aca="false">輸入與假設!$C$378*輸入與假設!$C$379*(1-IF(輸入與假設!$C$380=1,0,輸入與假設!$C$377))+輸入與假設!$C$381*輸入與假設!$C$382*(1-IF(輸入與假設!$C$383=1,0,輸入與假設!$C$377))+輸入與假設!$C$384*輸入與假設!$C$385*(1-IF(輸入與假設!$C$386=1,0,輸入與假設!$C$377))</f>
        <v>197.689</v>
      </c>
      <c r="I387" s="6" t="s">
        <v>779</v>
      </c>
    </row>
    <row r="388" customFormat="false" ht="15" hidden="false" customHeight="false" outlineLevel="1" collapsed="false">
      <c r="A388" s="3" t="s">
        <v>780</v>
      </c>
      <c r="B388" s="11" t="s">
        <v>65</v>
      </c>
      <c r="C388" s="24" t="n">
        <v>17.356</v>
      </c>
      <c r="I388" s="11" t="s">
        <v>781</v>
      </c>
    </row>
    <row r="389" customFormat="false" ht="15" hidden="false" customHeight="false" outlineLevel="1" collapsed="false">
      <c r="A389" s="3" t="s">
        <v>782</v>
      </c>
      <c r="B389" s="11" t="s">
        <v>65</v>
      </c>
      <c r="C389" s="24" t="n">
        <v>7.1</v>
      </c>
      <c r="I389" s="11" t="s">
        <v>783</v>
      </c>
    </row>
    <row r="390" customFormat="false" ht="15" hidden="false" customHeight="false" outlineLevel="1" collapsed="false">
      <c r="A390" s="3" t="s">
        <v>784</v>
      </c>
      <c r="B390" s="11" t="s">
        <v>65</v>
      </c>
      <c r="C390" s="32" t="n">
        <f aca="false">輸入與假設!$C$388+輸入與假設!$C$389-輸入與假設!$C$387</f>
        <v>-173.233</v>
      </c>
      <c r="I390" s="6" t="s">
        <v>785</v>
      </c>
    </row>
    <row r="391" customFormat="false" ht="15" hidden="false" customHeight="false" outlineLevel="1" collapsed="false">
      <c r="A391" s="3" t="s">
        <v>786</v>
      </c>
      <c r="B391" s="11" t="s">
        <v>42</v>
      </c>
      <c r="C391" s="23" t="n">
        <v>0.168</v>
      </c>
      <c r="I391" s="11" t="s">
        <v>787</v>
      </c>
    </row>
    <row r="392" customFormat="false" ht="15" hidden="false" customHeight="false" outlineLevel="1" collapsed="false">
      <c r="A392" s="3" t="s">
        <v>788</v>
      </c>
      <c r="B392" s="11" t="s">
        <v>42</v>
      </c>
      <c r="C392" s="23" t="n">
        <v>0.0528</v>
      </c>
      <c r="I392" s="11" t="s">
        <v>789</v>
      </c>
    </row>
    <row r="393" customFormat="false" ht="15" hidden="false" customHeight="false" outlineLevel="1" collapsed="false">
      <c r="A393" s="4" t="s">
        <v>790</v>
      </c>
      <c r="B393" s="11" t="s">
        <v>111</v>
      </c>
      <c r="C393" s="39" t="n">
        <v>1.28845</v>
      </c>
      <c r="I393" s="11" t="s">
        <v>791</v>
      </c>
    </row>
    <row r="394" customFormat="false" ht="15" hidden="false" customHeight="false" outlineLevel="1" collapsed="false">
      <c r="A394" s="4" t="s">
        <v>792</v>
      </c>
      <c r="B394" s="11" t="s">
        <v>42</v>
      </c>
      <c r="C394" s="23" t="n">
        <v>0.05</v>
      </c>
      <c r="I394" s="11" t="s">
        <v>793</v>
      </c>
    </row>
    <row r="395" customFormat="false" ht="15" hidden="false" customHeight="false" outlineLevel="1" collapsed="false">
      <c r="A395" s="3" t="s">
        <v>794</v>
      </c>
      <c r="B395" s="11" t="s">
        <v>42</v>
      </c>
      <c r="C395" s="40" t="n">
        <f aca="false">輸入與假設!$C$392+輸入與假設!$C$393*輸入與假設!$C$394</f>
        <v>0.1172225</v>
      </c>
      <c r="I395" s="11" t="s">
        <v>795</v>
      </c>
    </row>
    <row r="396" customFormat="false" ht="15" hidden="false" customHeight="false" outlineLevel="1" collapsed="false">
      <c r="A396" s="3" t="s">
        <v>796</v>
      </c>
      <c r="B396" s="11" t="s">
        <v>42</v>
      </c>
      <c r="C396" s="23" t="n">
        <v>0.06527</v>
      </c>
      <c r="I396" s="11" t="s">
        <v>797</v>
      </c>
    </row>
    <row r="397" customFormat="false" ht="15" hidden="false" customHeight="false" outlineLevel="1" collapsed="false">
      <c r="A397" s="3" t="s">
        <v>798</v>
      </c>
      <c r="B397" s="11" t="s">
        <v>65</v>
      </c>
      <c r="C397" s="32" t="n">
        <f aca="false">輸入與假設!$C$374*12.23</f>
        <v>4286.615</v>
      </c>
      <c r="I397" s="6" t="s">
        <v>799</v>
      </c>
    </row>
    <row r="398" customFormat="false" ht="15" hidden="false" customHeight="false" outlineLevel="1" collapsed="false">
      <c r="A398" s="3" t="s">
        <v>800</v>
      </c>
      <c r="B398" s="11" t="s">
        <v>65</v>
      </c>
      <c r="C398" s="24" t="n">
        <v>101.085</v>
      </c>
      <c r="I398" s="6" t="s">
        <v>801</v>
      </c>
    </row>
    <row r="399" customFormat="false" ht="15" hidden="false" customHeight="false" outlineLevel="1" collapsed="false">
      <c r="A399" s="4" t="s">
        <v>802</v>
      </c>
      <c r="B399" s="11" t="s">
        <v>42</v>
      </c>
      <c r="C399" s="40" t="n">
        <f aca="false">輸入與假設!$C$397/(輸入與假設!$C$398+輸入與假設!$C$397)*輸入與假設!$C$395+輸入與假設!$C$398/(輸入與假設!$C$398+輸入與假設!$C$397)*輸入與假設!$C$396*(1-輸入與假設!$C$391)</f>
        <v>0.115772981601272</v>
      </c>
      <c r="I399" s="11" t="s">
        <v>803</v>
      </c>
    </row>
    <row r="400" customFormat="false" ht="15" hidden="false" customHeight="false" outlineLevel="1" collapsed="false">
      <c r="A400" s="4" t="s">
        <v>804</v>
      </c>
      <c r="B400" s="11" t="s">
        <v>42</v>
      </c>
      <c r="C400" s="23"/>
      <c r="I400" s="11" t="s">
        <v>805</v>
      </c>
    </row>
    <row r="401" customFormat="false" ht="15" hidden="false" customHeight="false" outlineLevel="1" collapsed="false">
      <c r="A401" s="4" t="s">
        <v>806</v>
      </c>
      <c r="B401" s="11" t="s">
        <v>42</v>
      </c>
      <c r="C401" s="40" t="n">
        <f aca="false">IF(ISBLANK(輸入與假設!$C$400),輸入與假設!$C$399,輸入與假設!$C$400)</f>
        <v>0.115772981601272</v>
      </c>
      <c r="I401" s="6" t="s">
        <v>807</v>
      </c>
    </row>
    <row r="402" customFormat="false" ht="15" hidden="false" customHeight="false" outlineLevel="1" collapsed="false">
      <c r="A402" s="3" t="s">
        <v>808</v>
      </c>
      <c r="B402" s="11" t="s">
        <v>42</v>
      </c>
      <c r="C402" s="23" t="n">
        <v>0.03</v>
      </c>
      <c r="I402" s="11" t="s">
        <v>225</v>
      </c>
    </row>
    <row r="403" customFormat="false" ht="15" hidden="false" customHeight="false" outlineLevel="1" collapsed="false">
      <c r="A403" s="3" t="s">
        <v>809</v>
      </c>
      <c r="B403" s="11" t="s">
        <v>42</v>
      </c>
      <c r="C403" s="23" t="n">
        <v>0.8</v>
      </c>
      <c r="I403" s="11" t="s">
        <v>810</v>
      </c>
    </row>
    <row r="404" customFormat="false" ht="15" hidden="false" customHeight="false" outlineLevel="1" collapsed="false">
      <c r="A404" s="3" t="s">
        <v>811</v>
      </c>
      <c r="B404" s="11" t="s">
        <v>65</v>
      </c>
      <c r="C404" s="24" t="n">
        <v>0</v>
      </c>
      <c r="I404" s="11" t="s">
        <v>812</v>
      </c>
    </row>
    <row r="405" customFormat="false" ht="15" hidden="false" customHeight="false" outlineLevel="1" collapsed="false">
      <c r="A405" s="4" t="s">
        <v>813</v>
      </c>
      <c r="B405" s="11" t="s">
        <v>42</v>
      </c>
      <c r="C405" s="23" t="n">
        <v>0.8</v>
      </c>
      <c r="I405" s="6" t="s">
        <v>814</v>
      </c>
    </row>
    <row r="406" customFormat="false" ht="15" hidden="false" customHeight="false" outlineLevel="1" collapsed="false">
      <c r="A406" s="3" t="s">
        <v>815</v>
      </c>
      <c r="B406" s="11" t="s">
        <v>42</v>
      </c>
      <c r="C406" s="23" t="n">
        <v>0</v>
      </c>
      <c r="I406" s="6" t="s">
        <v>816</v>
      </c>
    </row>
    <row r="407" customFormat="false" ht="15" hidden="false" customHeight="false" outlineLevel="1" collapsed="false">
      <c r="A407" s="4" t="s">
        <v>817</v>
      </c>
      <c r="B407" s="11" t="s">
        <v>111</v>
      </c>
      <c r="C407" s="47" t="n">
        <v>6</v>
      </c>
      <c r="I407" s="11" t="s">
        <v>818</v>
      </c>
    </row>
    <row r="408" customFormat="false" ht="15" hidden="false" customHeight="false" outlineLevel="1" collapsed="false">
      <c r="A408" s="3" t="s">
        <v>819</v>
      </c>
      <c r="B408" s="11" t="s">
        <v>111</v>
      </c>
      <c r="C408" s="47" t="n">
        <v>10.79</v>
      </c>
      <c r="I408" s="11" t="s">
        <v>820</v>
      </c>
    </row>
    <row r="409" customFormat="false" ht="15" hidden="false" customHeight="false" outlineLevel="1" collapsed="false">
      <c r="A409" s="3" t="s">
        <v>821</v>
      </c>
      <c r="B409" s="11" t="s">
        <v>111</v>
      </c>
      <c r="C409" s="47" t="n">
        <v>6.91</v>
      </c>
      <c r="I409" s="11" t="s">
        <v>822</v>
      </c>
    </row>
    <row r="410" customFormat="false" ht="15" hidden="false" customHeight="false" outlineLevel="1" collapsed="false">
      <c r="A410" s="3" t="s">
        <v>823</v>
      </c>
      <c r="B410" s="11" t="s">
        <v>111</v>
      </c>
      <c r="C410" s="47" t="n">
        <v>6.53</v>
      </c>
      <c r="I410" s="11" t="s">
        <v>824</v>
      </c>
    </row>
    <row r="411" customFormat="false" ht="15" hidden="false" customHeight="false" outlineLevel="1" collapsed="false">
      <c r="A411" s="3" t="s">
        <v>825</v>
      </c>
      <c r="B411" s="11" t="s">
        <v>111</v>
      </c>
      <c r="C411" s="47" t="n">
        <v>11.38</v>
      </c>
      <c r="I411" s="11" t="s">
        <v>826</v>
      </c>
    </row>
    <row r="412" customFormat="false" ht="15" hidden="false" customHeight="false" outlineLevel="1" collapsed="false">
      <c r="A412" s="3" t="s">
        <v>827</v>
      </c>
      <c r="B412" s="11" t="s">
        <v>111</v>
      </c>
      <c r="C412" s="47" t="n">
        <v>13.63</v>
      </c>
      <c r="I412" s="11" t="s">
        <v>828</v>
      </c>
    </row>
    <row r="413" customFormat="false" ht="15" hidden="false" customHeight="false" outlineLevel="1" collapsed="false">
      <c r="A413" s="3" t="s">
        <v>829</v>
      </c>
      <c r="B413" s="11" t="s">
        <v>111</v>
      </c>
      <c r="C413" s="47" t="n">
        <v>7.43</v>
      </c>
      <c r="I413" s="11" t="s">
        <v>830</v>
      </c>
    </row>
    <row r="414" customFormat="false" ht="15" hidden="false" customHeight="false" outlineLevel="1" collapsed="false">
      <c r="A414" s="3" t="s">
        <v>831</v>
      </c>
      <c r="B414" s="11" t="s">
        <v>111</v>
      </c>
      <c r="C414" s="47" t="n">
        <v>10.79</v>
      </c>
      <c r="I414" s="11" t="s">
        <v>820</v>
      </c>
    </row>
    <row r="415" customFormat="false" ht="15" hidden="false" customHeight="false" outlineLevel="1" collapsed="false">
      <c r="A415" s="3" t="s">
        <v>832</v>
      </c>
      <c r="B415" s="11" t="s">
        <v>111</v>
      </c>
      <c r="C415" s="47" t="n">
        <v>6.91</v>
      </c>
      <c r="I415" s="11" t="s">
        <v>822</v>
      </c>
    </row>
    <row r="416" customFormat="false" ht="15" hidden="false" customHeight="false" outlineLevel="1" collapsed="false">
      <c r="A416" s="3" t="s">
        <v>833</v>
      </c>
      <c r="B416" s="11" t="s">
        <v>111</v>
      </c>
      <c r="C416" s="47" t="n">
        <v>6.53</v>
      </c>
      <c r="I416" s="11" t="s">
        <v>824</v>
      </c>
    </row>
    <row r="417" customFormat="false" ht="15" hidden="false" customHeight="false" outlineLevel="1" collapsed="false">
      <c r="A417" s="3" t="s">
        <v>834</v>
      </c>
      <c r="B417" s="11" t="s">
        <v>111</v>
      </c>
      <c r="C417" s="47" t="n">
        <v>11.38</v>
      </c>
      <c r="I417" s="11" t="s">
        <v>826</v>
      </c>
    </row>
    <row r="418" customFormat="false" ht="15" hidden="false" customHeight="false" outlineLevel="1" collapsed="false">
      <c r="A418" s="3" t="s">
        <v>835</v>
      </c>
      <c r="B418" s="11" t="s">
        <v>111</v>
      </c>
      <c r="C418" s="47" t="n">
        <v>13.63</v>
      </c>
      <c r="I418" s="11" t="s">
        <v>828</v>
      </c>
    </row>
    <row r="419" customFormat="false" ht="15" hidden="false" customHeight="false" outlineLevel="1" collapsed="false">
      <c r="A419" s="3" t="s">
        <v>836</v>
      </c>
      <c r="B419" s="11" t="s">
        <v>111</v>
      </c>
      <c r="C419" s="47" t="n">
        <v>7.43</v>
      </c>
      <c r="I419" s="11" t="s">
        <v>830</v>
      </c>
    </row>
    <row r="420" customFormat="false" ht="15" hidden="false" customHeight="false" outlineLevel="1" collapsed="false">
      <c r="A420" s="3" t="s">
        <v>837</v>
      </c>
      <c r="B420" s="11" t="s">
        <v>111</v>
      </c>
      <c r="C420" s="48" t="n">
        <f aca="false">MEDIAN(輸入與假設!$C$414,輸入與假設!$C$415,輸入與假設!$C$416,輸入與假設!$C$417,輸入與假設!$C$418,輸入與假設!$C$419)</f>
        <v>9.11</v>
      </c>
      <c r="I420" s="6" t="s">
        <v>838</v>
      </c>
    </row>
    <row r="421" customFormat="false" ht="15" hidden="false" customHeight="false" outlineLevel="1" collapsed="false">
      <c r="A421" s="3" t="s">
        <v>839</v>
      </c>
      <c r="B421" s="11" t="s">
        <v>111</v>
      </c>
      <c r="C421" s="47" t="n">
        <v>15.41</v>
      </c>
      <c r="I421" s="11" t="s">
        <v>840</v>
      </c>
    </row>
    <row r="422" customFormat="false" ht="15" hidden="false" customHeight="false" outlineLevel="1" collapsed="false">
      <c r="A422" s="3" t="s">
        <v>841</v>
      </c>
      <c r="B422" s="11" t="s">
        <v>111</v>
      </c>
      <c r="C422" s="47" t="n">
        <v>31.97</v>
      </c>
      <c r="I422" s="11" t="s">
        <v>842</v>
      </c>
    </row>
    <row r="423" customFormat="false" ht="15" hidden="false" customHeight="false" outlineLevel="1" collapsed="false">
      <c r="A423" s="3" t="s">
        <v>843</v>
      </c>
      <c r="B423" s="11" t="s">
        <v>111</v>
      </c>
      <c r="C423" s="47" t="n">
        <v>10.58</v>
      </c>
      <c r="I423" s="11" t="s">
        <v>844</v>
      </c>
    </row>
    <row r="424" customFormat="false" ht="15" hidden="false" customHeight="false" outlineLevel="1" collapsed="false">
      <c r="A424" s="3" t="s">
        <v>845</v>
      </c>
      <c r="B424" s="11" t="s">
        <v>111</v>
      </c>
      <c r="C424" s="48" t="n">
        <f aca="false">MEDIAN(輸入與假設!$C$421,輸入與假設!$C$422,輸入與假設!$C$423)</f>
        <v>15.41</v>
      </c>
      <c r="I424" s="6" t="s">
        <v>838</v>
      </c>
    </row>
    <row r="425" customFormat="false" ht="15" hidden="false" customHeight="false" outlineLevel="1" collapsed="false">
      <c r="A425" s="3" t="s">
        <v>846</v>
      </c>
      <c r="B425" s="11" t="s">
        <v>111</v>
      </c>
      <c r="C425" s="47" t="n">
        <v>9.49</v>
      </c>
      <c r="I425" s="11" t="s">
        <v>847</v>
      </c>
    </row>
    <row r="426" customFormat="false" ht="15" hidden="false" customHeight="false" outlineLevel="1" collapsed="false">
      <c r="A426" s="3" t="s">
        <v>848</v>
      </c>
      <c r="B426" s="11" t="s">
        <v>111</v>
      </c>
      <c r="C426" s="47" t="n">
        <v>12.51</v>
      </c>
      <c r="I426" s="11" t="s">
        <v>849</v>
      </c>
    </row>
    <row r="427" customFormat="false" ht="15" hidden="false" customHeight="false" outlineLevel="1" collapsed="false">
      <c r="A427" s="3" t="s">
        <v>850</v>
      </c>
      <c r="B427" s="11" t="s">
        <v>111</v>
      </c>
      <c r="C427" s="47" t="n">
        <v>15.13</v>
      </c>
      <c r="I427" s="11" t="s">
        <v>851</v>
      </c>
    </row>
    <row r="428" customFormat="false" ht="15" hidden="false" customHeight="false" outlineLevel="1" collapsed="false">
      <c r="A428" s="3" t="s">
        <v>852</v>
      </c>
      <c r="B428" s="11" t="s">
        <v>111</v>
      </c>
      <c r="C428" s="47" t="n">
        <v>10.81</v>
      </c>
      <c r="I428" s="11" t="s">
        <v>853</v>
      </c>
    </row>
    <row r="429" customFormat="false" ht="15" hidden="false" customHeight="false" outlineLevel="1" collapsed="false">
      <c r="A429" s="3" t="s">
        <v>854</v>
      </c>
      <c r="B429" s="11" t="s">
        <v>111</v>
      </c>
      <c r="C429" s="47" t="n">
        <v>20.63</v>
      </c>
      <c r="I429" s="11" t="s">
        <v>855</v>
      </c>
    </row>
    <row r="430" customFormat="false" ht="15" hidden="false" customHeight="false" outlineLevel="1" collapsed="false">
      <c r="A430" s="3" t="s">
        <v>856</v>
      </c>
      <c r="B430" s="11" t="s">
        <v>111</v>
      </c>
      <c r="C430" s="47" t="n">
        <v>9.7</v>
      </c>
      <c r="I430" s="11" t="s">
        <v>857</v>
      </c>
    </row>
    <row r="431" customFormat="false" ht="15" hidden="false" customHeight="false" outlineLevel="1" collapsed="false">
      <c r="A431" s="3" t="s">
        <v>858</v>
      </c>
      <c r="B431" s="11" t="s">
        <v>111</v>
      </c>
      <c r="C431" s="47" t="n">
        <v>21.2</v>
      </c>
      <c r="I431" s="11" t="s">
        <v>859</v>
      </c>
    </row>
    <row r="432" customFormat="false" ht="15" hidden="false" customHeight="false" outlineLevel="1" collapsed="false">
      <c r="A432" s="3" t="s">
        <v>860</v>
      </c>
      <c r="B432" s="11" t="s">
        <v>111</v>
      </c>
      <c r="C432" s="47" t="n">
        <v>24.49</v>
      </c>
      <c r="I432" s="11" t="s">
        <v>861</v>
      </c>
    </row>
    <row r="433" customFormat="false" ht="15" hidden="false" customHeight="false" outlineLevel="1" collapsed="false">
      <c r="A433" s="3" t="s">
        <v>862</v>
      </c>
      <c r="B433" s="11" t="s">
        <v>111</v>
      </c>
      <c r="C433" s="48" t="n">
        <f aca="false">MEDIAN(輸入與假設!$C$425,輸入與假設!$C$426,輸入與假設!$C$427,輸入與假設!$C$428,輸入與假設!$C$429,輸入與假設!$C$430,輸入與假設!$C$431,輸入與假設!$C$432)</f>
        <v>13.82</v>
      </c>
      <c r="I433" s="6" t="s">
        <v>838</v>
      </c>
    </row>
    <row r="434" customFormat="false" ht="15" hidden="false" customHeight="false" outlineLevel="1" collapsed="false">
      <c r="A434" s="3" t="s">
        <v>863</v>
      </c>
      <c r="B434" s="11" t="s">
        <v>111</v>
      </c>
      <c r="C434" s="48" t="n">
        <f aca="false">輸入與假設!$C$407</f>
        <v>6</v>
      </c>
      <c r="I434" s="6" t="s">
        <v>864</v>
      </c>
    </row>
    <row r="435" customFormat="false" ht="15" hidden="false" customHeight="false" outlineLevel="1" collapsed="false">
      <c r="A435" s="3" t="s">
        <v>865</v>
      </c>
      <c r="B435" s="11" t="s">
        <v>111</v>
      </c>
      <c r="C435" s="48" t="n">
        <f aca="false">輸入與假設!$C$407</f>
        <v>6</v>
      </c>
      <c r="I435" s="6" t="s">
        <v>866</v>
      </c>
    </row>
    <row r="436" customFormat="false" ht="15" hidden="false" customHeight="false" outlineLevel="1" collapsed="false">
      <c r="A436" s="3" t="s">
        <v>867</v>
      </c>
      <c r="B436" s="11" t="s">
        <v>111</v>
      </c>
      <c r="C436" s="48" t="n">
        <f aca="false">(INDEX(輸入與假設!$D$150:$G$150,1,輸入與假設!$C$439)*輸入與假設!$C$420+INDEX(輸入與假設!$D$164:$G$164,1,輸入與假設!$C$439)*輸入與假設!$C$420+INDEX(輸入與假設!$D$178:$G$178,1,輸入與假設!$C$439)*輸入與假設!$C$420+INDEX(輸入與假設!$D$192:$G$192,1,輸入與假設!$C$439)*輸入與假設!$C$424+INDEX(輸入與假設!$D$216:$G$216,1,輸入與假設!$C$439)*輸入與假設!$C$433+INDEX(輸入與假設!$D$226:$G$226,1,輸入與假設!$C$439)*輸入與假設!$C$434+INDEX(輸入與假設!$D$236:$G$236,1,輸入與假設!$C$439)*輸入與假設!$C$435+INDEX(輸入與假設!$D$246:$G$246,1,輸入與假設!$C$439)*輸入與假設!$C$420)/MAX(0.000000001,INDEX(輸入與假設!$D$150:$G$150,1,輸入與假設!$C$439)+INDEX(輸入與假設!$D$164:$G$164,1,輸入與假設!$C$439)+INDEX(輸入與假設!$D$178:$G$178,1,輸入與假設!$C$439)+INDEX(輸入與假設!$D$192:$G$192,1,輸入與假設!$C$439)+INDEX(輸入與假設!$D$216:$G$216,1,輸入與假設!$C$439)+INDEX(輸入與假設!$D$226:$G$226,1,輸入與假設!$C$439)+INDEX(輸入與假設!$D$236:$G$236,1,輸入與假設!$C$439)+INDEX(輸入與假設!$D$246:$G$246,1,輸入與假設!$C$439))</f>
        <v>10.2362032514207</v>
      </c>
      <c r="I436" s="6" t="s">
        <v>868</v>
      </c>
    </row>
    <row r="437" customFormat="false" ht="15" hidden="false" customHeight="false" outlineLevel="1" collapsed="false">
      <c r="A437" s="3" t="s">
        <v>869</v>
      </c>
      <c r="B437" s="11" t="s">
        <v>111</v>
      </c>
      <c r="C437" s="47"/>
      <c r="I437" s="11" t="s">
        <v>870</v>
      </c>
    </row>
    <row r="438" customFormat="false" ht="15" hidden="false" customHeight="false" outlineLevel="1" collapsed="false">
      <c r="A438" s="3" t="s">
        <v>871</v>
      </c>
      <c r="B438" s="11" t="s">
        <v>111</v>
      </c>
      <c r="C438" s="48" t="n">
        <f aca="false">IF(ISBLANK(輸入與假設!$C$437),輸入與假設!$C$436,輸入與假設!$C$437)</f>
        <v>10.2362032514207</v>
      </c>
      <c r="I438" s="6" t="s">
        <v>872</v>
      </c>
    </row>
    <row r="439" customFormat="false" ht="15" hidden="false" customHeight="false" outlineLevel="1" collapsed="false">
      <c r="A439" s="4" t="s">
        <v>873</v>
      </c>
      <c r="B439" s="6"/>
      <c r="C439" s="18" t="n">
        <v>3</v>
      </c>
      <c r="I439" s="6" t="s">
        <v>874</v>
      </c>
    </row>
    <row r="440" customFormat="false" ht="15" hidden="false" customHeight="false" outlineLevel="1" collapsed="false">
      <c r="A440" s="3" t="s">
        <v>875</v>
      </c>
      <c r="B440" s="11" t="s">
        <v>42</v>
      </c>
      <c r="C440" s="23" t="n">
        <v>0.45</v>
      </c>
      <c r="I440" s="6"/>
    </row>
    <row r="441" customFormat="false" ht="15" hidden="false" customHeight="false" outlineLevel="1" collapsed="false">
      <c r="A441" s="3" t="s">
        <v>876</v>
      </c>
      <c r="B441" s="11" t="s">
        <v>42</v>
      </c>
      <c r="C441" s="23" t="n">
        <v>0.55</v>
      </c>
      <c r="I441" s="6"/>
    </row>
    <row r="442" customFormat="false" ht="15" hidden="false" customHeight="false" outlineLevel="1" collapsed="false">
      <c r="A442" s="3" t="s">
        <v>877</v>
      </c>
      <c r="B442" s="11" t="s">
        <v>111</v>
      </c>
      <c r="C442" s="47" t="n">
        <v>5</v>
      </c>
      <c r="I442" s="11" t="s">
        <v>878</v>
      </c>
    </row>
    <row r="443" customFormat="false" ht="15" hidden="false" customHeight="false" outlineLevel="1" collapsed="false">
      <c r="A443" s="3" t="s">
        <v>879</v>
      </c>
      <c r="B443" s="11" t="s">
        <v>111</v>
      </c>
      <c r="C443" s="47" t="n">
        <v>6</v>
      </c>
      <c r="I443" s="6"/>
    </row>
    <row r="444" customFormat="false" ht="15" hidden="false" customHeight="false" outlineLevel="1" collapsed="false">
      <c r="A444" s="3" t="s">
        <v>880</v>
      </c>
      <c r="B444" s="11" t="s">
        <v>42</v>
      </c>
      <c r="C444" s="23" t="n">
        <v>0.01</v>
      </c>
      <c r="I444" s="6" t="s">
        <v>881</v>
      </c>
    </row>
    <row r="445" customFormat="false" ht="15" hidden="false" customHeight="false" outlineLevel="1" collapsed="false">
      <c r="A445" s="3" t="s">
        <v>882</v>
      </c>
      <c r="B445" s="11" t="s">
        <v>65</v>
      </c>
      <c r="C445" s="24" t="n">
        <v>28.147</v>
      </c>
      <c r="I445" s="11" t="s">
        <v>883</v>
      </c>
    </row>
    <row r="446" customFormat="false" ht="15" hidden="false" customHeight="false" outlineLevel="1" collapsed="false">
      <c r="A446" s="34" t="s">
        <v>884</v>
      </c>
      <c r="B446" s="20"/>
      <c r="C446" s="20"/>
      <c r="D446" s="20"/>
      <c r="E446" s="20"/>
      <c r="F446" s="20"/>
      <c r="G446" s="20"/>
      <c r="H446" s="20"/>
    </row>
    <row r="447" customFormat="false" ht="15" hidden="false" customHeight="false" outlineLevel="2" collapsed="false">
      <c r="A447" s="4" t="s">
        <v>885</v>
      </c>
      <c r="B447" s="6"/>
      <c r="C447" s="18" t="n">
        <v>1</v>
      </c>
      <c r="I447" s="11" t="s">
        <v>886</v>
      </c>
    </row>
    <row r="448" customFormat="false" ht="15" hidden="false" customHeight="false" outlineLevel="2" collapsed="false">
      <c r="A448" s="3" t="s">
        <v>887</v>
      </c>
      <c r="B448" s="11" t="s">
        <v>42</v>
      </c>
      <c r="C448" s="23" t="n">
        <v>0.5</v>
      </c>
      <c r="I448" s="6" t="s">
        <v>888</v>
      </c>
    </row>
    <row r="449" customFormat="false" ht="15" hidden="false" customHeight="false" outlineLevel="2" collapsed="false">
      <c r="A449" s="3" t="s">
        <v>889</v>
      </c>
      <c r="B449" s="6" t="s">
        <v>184</v>
      </c>
      <c r="C449" s="25" t="n">
        <v>4.5</v>
      </c>
      <c r="I449" s="6" t="s">
        <v>890</v>
      </c>
    </row>
    <row r="450" customFormat="false" ht="15" hidden="false" customHeight="false" outlineLevel="1" collapsed="false">
      <c r="A450" s="19" t="s">
        <v>891</v>
      </c>
      <c r="B450" s="20"/>
      <c r="C450" s="20"/>
      <c r="D450" s="20"/>
      <c r="E450" s="20"/>
      <c r="F450" s="20"/>
      <c r="G450" s="20"/>
      <c r="H450" s="20"/>
    </row>
    <row r="451" customFormat="false" ht="15" hidden="false" customHeight="false" outlineLevel="2" collapsed="false">
      <c r="A451" s="3" t="s">
        <v>892</v>
      </c>
      <c r="B451" s="6" t="s">
        <v>893</v>
      </c>
      <c r="C451" s="22" t="n">
        <v>12</v>
      </c>
      <c r="I451" s="11" t="s">
        <v>894</v>
      </c>
    </row>
    <row r="452" customFormat="false" ht="15" hidden="false" customHeight="false" outlineLevel="2" collapsed="false">
      <c r="A452" s="3" t="s">
        <v>895</v>
      </c>
      <c r="B452" s="6"/>
      <c r="C452" s="49" t="s">
        <v>896</v>
      </c>
      <c r="I452" s="11" t="s">
        <v>897</v>
      </c>
    </row>
    <row r="453" customFormat="false" ht="15" hidden="false" customHeight="false" outlineLevel="2" collapsed="false">
      <c r="A453" s="3" t="s">
        <v>898</v>
      </c>
      <c r="B453" s="6"/>
      <c r="C453" s="49" t="s">
        <v>899</v>
      </c>
      <c r="I453" s="11" t="s">
        <v>900</v>
      </c>
    </row>
    <row r="454" customFormat="false" ht="15" hidden="false" customHeight="false" outlineLevel="2" collapsed="false">
      <c r="A454" s="3" t="s">
        <v>901</v>
      </c>
      <c r="B454" s="6"/>
      <c r="C454" s="49" t="s">
        <v>902</v>
      </c>
      <c r="I454" s="6" t="s">
        <v>903</v>
      </c>
    </row>
    <row r="455" customFormat="false" ht="15" hidden="false" customHeight="false" outlineLevel="2" collapsed="false">
      <c r="A455" s="3" t="s">
        <v>904</v>
      </c>
      <c r="B455" s="6" t="s">
        <v>184</v>
      </c>
      <c r="C455" s="32" t="n">
        <v>1</v>
      </c>
      <c r="I455" s="6"/>
    </row>
    <row r="456" customFormat="false" ht="15" hidden="false" customHeight="false" outlineLevel="2" collapsed="false">
      <c r="A456" s="3" t="s">
        <v>905</v>
      </c>
      <c r="B456" s="6"/>
      <c r="C456" s="49" t="s">
        <v>906</v>
      </c>
      <c r="I456" s="6" t="s">
        <v>907</v>
      </c>
    </row>
    <row r="457" customFormat="false" ht="15" hidden="false" customHeight="false" outlineLevel="2" collapsed="false">
      <c r="A457" s="3" t="s">
        <v>908</v>
      </c>
      <c r="B457" s="6"/>
      <c r="C457" s="49" t="s">
        <v>909</v>
      </c>
      <c r="I457" s="11" t="s">
        <v>910</v>
      </c>
    </row>
    <row r="458" customFormat="false" ht="15" hidden="false" customHeight="false" outlineLevel="2" collapsed="false">
      <c r="A458" s="3" t="s">
        <v>911</v>
      </c>
      <c r="B458" s="6"/>
      <c r="C458" s="49" t="s">
        <v>912</v>
      </c>
      <c r="I458" s="11" t="s">
        <v>913</v>
      </c>
    </row>
    <row r="459" customFormat="false" ht="15" hidden="false" customHeight="false" outlineLevel="2" collapsed="false">
      <c r="A459" s="3" t="s">
        <v>914</v>
      </c>
      <c r="B459" s="6" t="s">
        <v>184</v>
      </c>
      <c r="C459" s="32" t="n">
        <v>0.5</v>
      </c>
      <c r="I459" s="11" t="s">
        <v>915</v>
      </c>
    </row>
    <row r="460" customFormat="false" ht="15" hidden="false" customHeight="false" outlineLevel="2" collapsed="false">
      <c r="A460" s="14" t="s">
        <v>916</v>
      </c>
      <c r="B460" s="14" t="s">
        <v>60</v>
      </c>
      <c r="C460" s="28" t="s">
        <v>61</v>
      </c>
      <c r="D460" s="28" t="s">
        <v>62</v>
      </c>
      <c r="E460" s="28" t="s">
        <v>63</v>
      </c>
      <c r="F460" s="28" t="s">
        <v>153</v>
      </c>
      <c r="G460" s="28" t="s">
        <v>154</v>
      </c>
      <c r="I460" s="14" t="s">
        <v>206</v>
      </c>
    </row>
    <row r="461" customFormat="false" ht="15" hidden="false" customHeight="false" outlineLevel="2" collapsed="false">
      <c r="A461" s="3" t="s">
        <v>917</v>
      </c>
      <c r="B461" s="6"/>
      <c r="C461" s="49" t="s">
        <v>918</v>
      </c>
      <c r="D461" s="49" t="s">
        <v>919</v>
      </c>
      <c r="E461" s="49" t="s">
        <v>920</v>
      </c>
      <c r="F461" s="49" t="s">
        <v>921</v>
      </c>
      <c r="G461" s="49" t="s">
        <v>922</v>
      </c>
      <c r="I461" s="6" t="s">
        <v>923</v>
      </c>
    </row>
    <row r="462" customFormat="false" ht="15" hidden="false" customHeight="false" outlineLevel="2" collapsed="false">
      <c r="A462" s="3" t="s">
        <v>924</v>
      </c>
      <c r="B462" s="6" t="s">
        <v>184</v>
      </c>
      <c r="C462" s="32" t="n">
        <v>0.5</v>
      </c>
      <c r="D462" s="32" t="n">
        <v>1.5</v>
      </c>
      <c r="E462" s="32" t="n">
        <v>2.5</v>
      </c>
      <c r="F462" s="32" t="n">
        <v>3.5</v>
      </c>
      <c r="G462" s="32" t="n">
        <v>4.5</v>
      </c>
      <c r="I462" s="6" t="s">
        <v>923</v>
      </c>
    </row>
    <row r="463" customFormat="false" ht="15" hidden="false" customHeight="false" outlineLevel="2" collapsed="false">
      <c r="A463" s="3" t="s">
        <v>925</v>
      </c>
      <c r="B463" s="6" t="s">
        <v>184</v>
      </c>
      <c r="C463" s="32" t="n">
        <v>0</v>
      </c>
      <c r="D463" s="32" t="n">
        <v>0.5</v>
      </c>
      <c r="E463" s="32" t="n">
        <v>1.5</v>
      </c>
      <c r="F463" s="32" t="n">
        <v>2.5</v>
      </c>
      <c r="G463" s="32" t="n">
        <v>3.5</v>
      </c>
      <c r="I463" s="6" t="s">
        <v>923</v>
      </c>
    </row>
    <row r="464" customFormat="false" ht="15" hidden="false" customHeight="false" outlineLevel="1" collapsed="false">
      <c r="A464" s="19" t="s">
        <v>926</v>
      </c>
      <c r="B464" s="20"/>
      <c r="C464" s="20"/>
      <c r="D464" s="20"/>
      <c r="E464" s="20"/>
      <c r="F464" s="20"/>
      <c r="G464" s="20"/>
      <c r="H464" s="20"/>
    </row>
    <row r="465" customFormat="false" ht="15" hidden="false" customHeight="false" outlineLevel="2" collapsed="false">
      <c r="A465" s="3" t="s">
        <v>927</v>
      </c>
      <c r="B465" s="11" t="s">
        <v>42</v>
      </c>
      <c r="C465" s="23" t="n">
        <v>0.25</v>
      </c>
      <c r="I465" s="6" t="s">
        <v>928</v>
      </c>
    </row>
    <row r="466" customFormat="false" ht="15" hidden="false" customHeight="false" outlineLevel="2" collapsed="false">
      <c r="A466" s="3" t="s">
        <v>929</v>
      </c>
      <c r="B466" s="11" t="s">
        <v>42</v>
      </c>
      <c r="C466" s="23" t="n">
        <v>0.9</v>
      </c>
      <c r="I466" s="6" t="s">
        <v>930</v>
      </c>
    </row>
    <row r="467" customFormat="false" ht="15" hidden="false" customHeight="false" outlineLevel="2" collapsed="false">
      <c r="A467" s="3" t="s">
        <v>931</v>
      </c>
      <c r="B467" s="11" t="s">
        <v>42</v>
      </c>
      <c r="C467" s="23" t="n">
        <v>-0.15</v>
      </c>
      <c r="I467" s="6" t="s">
        <v>932</v>
      </c>
    </row>
    <row r="468" customFormat="false" ht="15" hidden="false" customHeight="false" outlineLevel="2" collapsed="false">
      <c r="A468" s="3" t="s">
        <v>933</v>
      </c>
      <c r="B468" s="11" t="s">
        <v>111</v>
      </c>
      <c r="C468" s="47" t="n">
        <v>1.5</v>
      </c>
      <c r="I468" s="6" t="s">
        <v>934</v>
      </c>
    </row>
    <row r="469" customFormat="false" ht="15" hidden="false" customHeight="false" outlineLevel="2" collapsed="false">
      <c r="A469" s="3" t="s">
        <v>935</v>
      </c>
      <c r="B469" s="11" t="s">
        <v>42</v>
      </c>
      <c r="C469" s="23" t="n">
        <v>-0.08</v>
      </c>
      <c r="I469" s="6" t="s">
        <v>936</v>
      </c>
    </row>
    <row r="470" customFormat="false" ht="15" hidden="false" customHeight="false" outlineLevel="2" collapsed="false">
      <c r="A470" s="3" t="s">
        <v>937</v>
      </c>
      <c r="B470" s="11" t="s">
        <v>42</v>
      </c>
      <c r="C470" s="23" t="n">
        <v>0.05</v>
      </c>
      <c r="I470" s="6" t="s">
        <v>938</v>
      </c>
    </row>
    <row r="471" customFormat="false" ht="15" hidden="false" customHeight="false" outlineLevel="2" collapsed="false">
      <c r="A471" s="3" t="s">
        <v>939</v>
      </c>
      <c r="B471" s="11" t="s">
        <v>42</v>
      </c>
      <c r="C471" s="23" t="n">
        <v>0.85</v>
      </c>
      <c r="I471" s="6" t="s">
        <v>940</v>
      </c>
    </row>
    <row r="473" customFormat="false" ht="15" hidden="false" customHeight="false" outlineLevel="0" collapsed="true">
      <c r="A473" s="7" t="s">
        <v>941</v>
      </c>
      <c r="B473" s="8"/>
      <c r="C473" s="8"/>
      <c r="D473" s="8"/>
      <c r="E473" s="8"/>
      <c r="F473" s="8"/>
      <c r="G473" s="8"/>
      <c r="H473" s="8"/>
    </row>
    <row r="474" customFormat="false" ht="15" hidden="true" customHeight="false" outlineLevel="1" collapsed="false">
      <c r="A474" s="4" t="s">
        <v>942</v>
      </c>
      <c r="B474" s="11" t="s">
        <v>65</v>
      </c>
      <c r="C474" s="24" t="n">
        <v>120.53</v>
      </c>
      <c r="I474" s="11" t="s">
        <v>943</v>
      </c>
    </row>
    <row r="475" customFormat="false" ht="15" hidden="true" customHeight="false" outlineLevel="1" collapsed="false">
      <c r="A475" s="3" t="s">
        <v>944</v>
      </c>
      <c r="B475" s="11" t="s">
        <v>65</v>
      </c>
      <c r="C475" s="24" t="n">
        <v>84.859</v>
      </c>
      <c r="I475" s="11" t="s">
        <v>945</v>
      </c>
    </row>
    <row r="476" customFormat="false" ht="15" hidden="true" customHeight="false" outlineLevel="1" collapsed="false">
      <c r="A476" s="3" t="s">
        <v>946</v>
      </c>
      <c r="B476" s="11" t="s">
        <v>65</v>
      </c>
      <c r="C476" s="24" t="n">
        <v>80.598</v>
      </c>
      <c r="I476" s="6" t="s">
        <v>947</v>
      </c>
    </row>
    <row r="477" customFormat="false" ht="15" hidden="true" customHeight="false" outlineLevel="1" collapsed="false">
      <c r="A477" s="4" t="s">
        <v>948</v>
      </c>
      <c r="B477" s="11" t="s">
        <v>65</v>
      </c>
      <c r="C477" s="24" t="n">
        <v>80.598</v>
      </c>
      <c r="I477" s="6" t="s">
        <v>949</v>
      </c>
    </row>
    <row r="478" customFormat="false" ht="15" hidden="true" customHeight="false" outlineLevel="1" collapsed="false">
      <c r="A478" s="4" t="s">
        <v>950</v>
      </c>
      <c r="B478" s="11" t="s">
        <v>65</v>
      </c>
      <c r="C478" s="24" t="n">
        <v>55.44</v>
      </c>
      <c r="I478" s="6" t="s">
        <v>951</v>
      </c>
    </row>
    <row r="479" customFormat="false" ht="15" hidden="true" customHeight="false" outlineLevel="1" collapsed="false">
      <c r="A479" s="3" t="s">
        <v>952</v>
      </c>
      <c r="B479" s="11" t="s">
        <v>65</v>
      </c>
      <c r="C479" s="24" t="n">
        <v>56.226</v>
      </c>
      <c r="I479" s="6" t="s">
        <v>953</v>
      </c>
    </row>
    <row r="480" customFormat="false" ht="15" hidden="true" customHeight="false" outlineLevel="1" collapsed="false">
      <c r="A480" s="3" t="s">
        <v>954</v>
      </c>
      <c r="B480" s="11" t="s">
        <v>65</v>
      </c>
      <c r="C480" s="24" t="n">
        <v>5.253</v>
      </c>
      <c r="I480" s="6" t="s">
        <v>955</v>
      </c>
    </row>
    <row r="481" customFormat="false" ht="15" hidden="true" customHeight="false" outlineLevel="1" collapsed="false">
      <c r="A481" s="4" t="s">
        <v>956</v>
      </c>
      <c r="B481" s="11" t="s">
        <v>65</v>
      </c>
      <c r="C481" s="24" t="n">
        <v>1.011</v>
      </c>
      <c r="I481" s="6" t="s">
        <v>957</v>
      </c>
    </row>
    <row r="482" customFormat="false" ht="15" hidden="true" customHeight="false" outlineLevel="1" collapsed="false">
      <c r="A482" s="3" t="s">
        <v>958</v>
      </c>
      <c r="B482" s="11" t="s">
        <v>65</v>
      </c>
      <c r="C482" s="24" t="n">
        <v>49.562</v>
      </c>
      <c r="I482" s="6" t="s">
        <v>959</v>
      </c>
    </row>
    <row r="483" customFormat="false" ht="15" hidden="true" customHeight="false" outlineLevel="1" collapsed="false">
      <c r="A483" s="3" t="s">
        <v>960</v>
      </c>
      <c r="B483" s="11" t="s">
        <v>65</v>
      </c>
      <c r="C483" s="24" t="n">
        <v>1.811</v>
      </c>
      <c r="I483" s="11" t="s">
        <v>961</v>
      </c>
    </row>
    <row r="484" customFormat="false" ht="15" hidden="true" customHeight="false" outlineLevel="1" collapsed="false">
      <c r="A484" s="3" t="s">
        <v>962</v>
      </c>
      <c r="B484" s="11" t="s">
        <v>65</v>
      </c>
      <c r="C484" s="24" t="n">
        <v>2.692</v>
      </c>
      <c r="I484" s="6" t="s">
        <v>963</v>
      </c>
    </row>
    <row r="485" customFormat="false" ht="15" hidden="true" customHeight="false" outlineLevel="1" collapsed="false">
      <c r="A485" s="3" t="s">
        <v>964</v>
      </c>
      <c r="B485" s="11" t="s">
        <v>65</v>
      </c>
      <c r="C485" s="24" t="n">
        <v>229.692</v>
      </c>
      <c r="I485" s="6" t="s">
        <v>965</v>
      </c>
    </row>
    <row r="486" customFormat="false" ht="15" hidden="true" customHeight="false" outlineLevel="1" collapsed="false">
      <c r="A486" s="4" t="s">
        <v>966</v>
      </c>
      <c r="B486" s="11" t="s">
        <v>65</v>
      </c>
      <c r="C486" s="24" t="n">
        <v>80.466</v>
      </c>
      <c r="I486" s="11" t="s">
        <v>967</v>
      </c>
    </row>
    <row r="487" customFormat="false" ht="15" hidden="true" customHeight="false" outlineLevel="1" collapsed="false">
      <c r="A487" s="3" t="s">
        <v>968</v>
      </c>
      <c r="B487" s="11" t="s">
        <v>65</v>
      </c>
      <c r="C487" s="24" t="n">
        <v>174.771</v>
      </c>
      <c r="I487" s="6" t="s">
        <v>969</v>
      </c>
    </row>
    <row r="488" customFormat="false" ht="15" hidden="true" customHeight="false" outlineLevel="1" collapsed="false">
      <c r="A488" s="3" t="s">
        <v>970</v>
      </c>
      <c r="B488" s="11" t="s">
        <v>65</v>
      </c>
      <c r="C488" s="24" t="n">
        <v>0</v>
      </c>
      <c r="I488" s="6" t="s">
        <v>971</v>
      </c>
    </row>
    <row r="489" customFormat="false" ht="15" hidden="true" customHeight="false" outlineLevel="1" collapsed="false">
      <c r="A489" s="4" t="s">
        <v>972</v>
      </c>
      <c r="B489" s="11" t="s">
        <v>65</v>
      </c>
      <c r="C489" s="24" t="n">
        <v>13.586</v>
      </c>
      <c r="I489" s="6" t="s">
        <v>973</v>
      </c>
    </row>
    <row r="490" customFormat="false" ht="15" hidden="true" customHeight="false" outlineLevel="1" collapsed="false">
      <c r="A490" s="4" t="s">
        <v>974</v>
      </c>
      <c r="B490" s="11" t="s">
        <v>65</v>
      </c>
      <c r="C490" s="24" t="n">
        <v>14.708</v>
      </c>
      <c r="I490" s="6" t="s">
        <v>975</v>
      </c>
    </row>
    <row r="491" customFormat="false" ht="15" hidden="true" customHeight="false" outlineLevel="1" collapsed="false">
      <c r="A491" s="4" t="s">
        <v>976</v>
      </c>
      <c r="B491" s="11" t="s">
        <v>39</v>
      </c>
      <c r="C491" s="24" t="n">
        <v>14.22</v>
      </c>
      <c r="I491" s="11" t="s">
        <v>977</v>
      </c>
    </row>
    <row r="492" customFormat="false" ht="15" hidden="true" customHeight="false" outlineLevel="1" collapsed="false">
      <c r="A492" s="4" t="s">
        <v>978</v>
      </c>
      <c r="B492" s="11" t="s">
        <v>39</v>
      </c>
      <c r="C492" s="24" t="n">
        <v>15.44</v>
      </c>
      <c r="I492" s="11" t="s">
        <v>979</v>
      </c>
    </row>
    <row r="493" customFormat="false" ht="15" hidden="true" customHeight="false" outlineLevel="1" collapsed="false">
      <c r="A493" s="3" t="s">
        <v>980</v>
      </c>
      <c r="B493" s="11" t="s">
        <v>65</v>
      </c>
      <c r="C493" s="24" t="n">
        <v>5.231</v>
      </c>
      <c r="I493" s="6" t="s">
        <v>981</v>
      </c>
    </row>
    <row r="494" customFormat="false" ht="15" hidden="true" customHeight="false" outlineLevel="1" collapsed="false">
      <c r="A494" s="3" t="s">
        <v>982</v>
      </c>
      <c r="B494" s="11" t="s">
        <v>65</v>
      </c>
      <c r="C494" s="24" t="n">
        <v>94.052</v>
      </c>
      <c r="I494" s="11" t="s">
        <v>983</v>
      </c>
    </row>
    <row r="495" customFormat="false" ht="15" hidden="true" customHeight="false" outlineLevel="1" collapsed="false">
      <c r="A495" s="3" t="s">
        <v>984</v>
      </c>
      <c r="B495" s="11" t="s">
        <v>65</v>
      </c>
      <c r="C495" s="24" t="n">
        <v>0</v>
      </c>
      <c r="I495" s="11" t="s">
        <v>985</v>
      </c>
    </row>
    <row r="497" customFormat="false" ht="15" hidden="false" customHeight="false" outlineLevel="0" collapsed="false">
      <c r="A497" s="7" t="s">
        <v>986</v>
      </c>
      <c r="B497" s="8"/>
      <c r="C497" s="8"/>
      <c r="D497" s="8"/>
      <c r="E497" s="8"/>
      <c r="F497" s="8"/>
      <c r="G497" s="8"/>
      <c r="H497" s="8"/>
      <c r="I497" s="6" t="s">
        <v>987</v>
      </c>
    </row>
    <row r="498" customFormat="false" ht="15" hidden="false" customHeight="false" outlineLevel="1" collapsed="false">
      <c r="A498" s="3" t="s">
        <v>988</v>
      </c>
      <c r="D498" s="12" t="n">
        <f aca="false">評價_DCF與目標價!C51</f>
        <v>146.09287356031</v>
      </c>
      <c r="E498" s="9" t="n">
        <f aca="false">評價_DCF與目標價!C99</f>
        <v>-1</v>
      </c>
    </row>
    <row r="499" customFormat="false" ht="15" hidden="false" customHeight="false" outlineLevel="1" collapsed="false">
      <c r="A499" s="3" t="s">
        <v>989</v>
      </c>
      <c r="C499" s="9" t="n">
        <v>1</v>
      </c>
      <c r="D499" s="50" t="n">
        <f t="dataTable" ref="D499:E501" dt2D="0" dtr="0" r1="C5"/>
        <v>175.083617103409</v>
      </c>
      <c r="E499" s="51" t="n">
        <v>-1</v>
      </c>
    </row>
    <row r="500" customFormat="false" ht="15" hidden="false" customHeight="false" outlineLevel="1" collapsed="false">
      <c r="A500" s="3" t="s">
        <v>990</v>
      </c>
      <c r="C500" s="9" t="n">
        <v>2</v>
      </c>
      <c r="D500" s="50" t="n">
        <v>146.09287356031</v>
      </c>
      <c r="E500" s="51" t="n">
        <v>-1</v>
      </c>
    </row>
    <row r="501" customFormat="false" ht="15" hidden="false" customHeight="false" outlineLevel="1" collapsed="false">
      <c r="A501" s="3" t="s">
        <v>991</v>
      </c>
      <c r="C501" s="9" t="n">
        <v>3</v>
      </c>
      <c r="D501" s="50" t="n">
        <v>122.889116020962</v>
      </c>
      <c r="E501" s="51" t="n">
        <v>-1</v>
      </c>
    </row>
    <row r="503" customFormat="false" ht="15" hidden="false" customHeight="false" outlineLevel="0" collapsed="false">
      <c r="A503" s="7" t="s">
        <v>992</v>
      </c>
      <c r="B503" s="8"/>
      <c r="C503" s="8"/>
      <c r="D503" s="8"/>
      <c r="E503" s="8"/>
      <c r="F503" s="8"/>
      <c r="G503" s="8"/>
      <c r="H503" s="8"/>
      <c r="I503" s="6" t="s">
        <v>993</v>
      </c>
    </row>
    <row r="504" customFormat="false" ht="15" hidden="false" customHeight="false" outlineLevel="1" collapsed="false">
      <c r="A504" s="14" t="s">
        <v>994</v>
      </c>
      <c r="B504" s="14" t="s">
        <v>60</v>
      </c>
      <c r="C504" s="14" t="s">
        <v>995</v>
      </c>
      <c r="D504" s="14"/>
      <c r="E504" s="14"/>
      <c r="F504" s="14" t="s">
        <v>996</v>
      </c>
      <c r="G504" s="14" t="s">
        <v>997</v>
      </c>
      <c r="H504" s="14"/>
      <c r="I504" s="14" t="s">
        <v>998</v>
      </c>
      <c r="J504" s="14" t="s">
        <v>999</v>
      </c>
    </row>
    <row r="505" customFormat="false" ht="15" hidden="false" customHeight="false" outlineLevel="1" collapsed="false">
      <c r="A505" s="3" t="s">
        <v>1000</v>
      </c>
      <c r="B505" s="11" t="s">
        <v>39</v>
      </c>
      <c r="C505" s="46" t="n">
        <v>350.5</v>
      </c>
      <c r="F505" s="11" t="s">
        <v>912</v>
      </c>
      <c r="G505" s="11" t="s">
        <v>1001</v>
      </c>
      <c r="I505" s="11" t="s">
        <v>1002</v>
      </c>
      <c r="J505" s="6" t="s">
        <v>1003</v>
      </c>
    </row>
    <row r="506" customFormat="false" ht="15" hidden="false" customHeight="false" outlineLevel="1" collapsed="false">
      <c r="A506" s="3" t="s">
        <v>1004</v>
      </c>
      <c r="B506" s="11" t="s">
        <v>39</v>
      </c>
      <c r="C506" s="46" t="n">
        <v>429.47</v>
      </c>
      <c r="F506" s="11" t="s">
        <v>1005</v>
      </c>
      <c r="G506" s="11" t="s">
        <v>1006</v>
      </c>
      <c r="I506" s="11" t="s">
        <v>1007</v>
      </c>
      <c r="J506" s="6"/>
    </row>
    <row r="507" customFormat="false" ht="15" hidden="false" customHeight="false" outlineLevel="1" collapsed="false">
      <c r="A507" s="3" t="s">
        <v>1008</v>
      </c>
      <c r="B507" s="11" t="s">
        <v>39</v>
      </c>
      <c r="C507" s="46" t="n">
        <v>430</v>
      </c>
      <c r="F507" s="11" t="s">
        <v>1005</v>
      </c>
      <c r="G507" s="11" t="s">
        <v>1006</v>
      </c>
      <c r="I507" s="11" t="s">
        <v>1007</v>
      </c>
      <c r="J507" s="6"/>
    </row>
    <row r="508" customFormat="false" ht="15" hidden="false" customHeight="false" outlineLevel="1" collapsed="false">
      <c r="A508" s="3" t="s">
        <v>1009</v>
      </c>
      <c r="B508" s="11" t="s">
        <v>39</v>
      </c>
      <c r="C508" s="46" t="n">
        <v>340</v>
      </c>
      <c r="F508" s="11" t="s">
        <v>1005</v>
      </c>
      <c r="G508" s="11" t="s">
        <v>1006</v>
      </c>
      <c r="I508" s="11" t="s">
        <v>1007</v>
      </c>
      <c r="J508" s="6"/>
    </row>
    <row r="509" customFormat="false" ht="15" hidden="false" customHeight="false" outlineLevel="1" collapsed="false">
      <c r="A509" s="3" t="s">
        <v>1010</v>
      </c>
      <c r="B509" s="11" t="s">
        <v>39</v>
      </c>
      <c r="C509" s="46" t="n">
        <v>515</v>
      </c>
      <c r="F509" s="11" t="s">
        <v>1005</v>
      </c>
      <c r="G509" s="11" t="s">
        <v>1006</v>
      </c>
      <c r="I509" s="11" t="s">
        <v>1007</v>
      </c>
      <c r="J509" s="6"/>
    </row>
    <row r="510" customFormat="false" ht="15" hidden="false" customHeight="false" outlineLevel="1" collapsed="false">
      <c r="A510" s="3" t="s">
        <v>1011</v>
      </c>
      <c r="B510" s="6" t="s">
        <v>140</v>
      </c>
      <c r="C510" s="21" t="n">
        <v>61</v>
      </c>
      <c r="F510" s="11" t="s">
        <v>1005</v>
      </c>
      <c r="G510" s="11" t="s">
        <v>1006</v>
      </c>
      <c r="I510" s="11" t="s">
        <v>1007</v>
      </c>
      <c r="J510" s="6"/>
    </row>
    <row r="511" customFormat="false" ht="15" hidden="false" customHeight="false" outlineLevel="1" collapsed="false">
      <c r="A511" s="3" t="s">
        <v>1012</v>
      </c>
      <c r="B511" s="6"/>
      <c r="C511" s="4" t="s">
        <v>1013</v>
      </c>
      <c r="F511" s="11" t="s">
        <v>1005</v>
      </c>
      <c r="G511" s="11" t="s">
        <v>1006</v>
      </c>
      <c r="I511" s="11" t="s">
        <v>1007</v>
      </c>
      <c r="J511" s="6"/>
    </row>
    <row r="512" customFormat="false" ht="15" hidden="false" customHeight="false" outlineLevel="1" collapsed="false">
      <c r="A512" s="3" t="s">
        <v>1014</v>
      </c>
      <c r="B512" s="11" t="s">
        <v>39</v>
      </c>
      <c r="C512" s="46" t="n">
        <v>425.72</v>
      </c>
      <c r="F512" s="11" t="s">
        <v>1005</v>
      </c>
      <c r="G512" s="11" t="s">
        <v>1006</v>
      </c>
      <c r="I512" s="11" t="s">
        <v>1015</v>
      </c>
      <c r="J512" s="6"/>
    </row>
    <row r="513" customFormat="false" ht="15" hidden="false" customHeight="false" outlineLevel="1" collapsed="false">
      <c r="A513" s="3" t="s">
        <v>1016</v>
      </c>
      <c r="B513" s="6" t="s">
        <v>140</v>
      </c>
      <c r="C513" s="21" t="n">
        <v>55</v>
      </c>
      <c r="F513" s="11" t="s">
        <v>1005</v>
      </c>
      <c r="G513" s="11" t="s">
        <v>1006</v>
      </c>
      <c r="I513" s="11" t="s">
        <v>1015</v>
      </c>
      <c r="J513" s="6"/>
    </row>
    <row r="514" customFormat="false" ht="15" hidden="false" customHeight="false" outlineLevel="1" collapsed="false">
      <c r="A514" s="3" t="s">
        <v>1017</v>
      </c>
      <c r="B514" s="6"/>
      <c r="C514" s="4" t="s">
        <v>1018</v>
      </c>
      <c r="F514" s="11" t="s">
        <v>1005</v>
      </c>
      <c r="G514" s="11" t="s">
        <v>1006</v>
      </c>
      <c r="I514" s="11" t="s">
        <v>1015</v>
      </c>
      <c r="J514" s="6"/>
    </row>
    <row r="515" customFormat="false" ht="15" hidden="false" customHeight="false" outlineLevel="1" collapsed="false">
      <c r="A515" s="3" t="s">
        <v>1019</v>
      </c>
      <c r="B515" s="11" t="s">
        <v>39</v>
      </c>
      <c r="C515" s="46" t="n">
        <v>429.47</v>
      </c>
      <c r="F515" s="11" t="s">
        <v>1005</v>
      </c>
      <c r="G515" s="11" t="s">
        <v>1006</v>
      </c>
      <c r="I515" s="11" t="s">
        <v>1020</v>
      </c>
      <c r="J515" s="6"/>
    </row>
    <row r="516" customFormat="false" ht="17.15" hidden="false" customHeight="false" outlineLevel="1" collapsed="false">
      <c r="A516" s="14" t="s">
        <v>1021</v>
      </c>
      <c r="B516" s="14" t="s">
        <v>60</v>
      </c>
      <c r="C516" s="14" t="s">
        <v>995</v>
      </c>
      <c r="D516" s="14"/>
      <c r="E516" s="14"/>
      <c r="F516" s="14" t="s">
        <v>996</v>
      </c>
      <c r="G516" s="14" t="s">
        <v>997</v>
      </c>
      <c r="H516" s="14"/>
      <c r="I516" s="14" t="s">
        <v>998</v>
      </c>
      <c r="J516" s="14" t="s">
        <v>999</v>
      </c>
    </row>
    <row r="517" customFormat="false" ht="15" hidden="false" customHeight="false" outlineLevel="1" collapsed="false">
      <c r="A517" s="3" t="s">
        <v>1022</v>
      </c>
      <c r="B517" s="6" t="s">
        <v>140</v>
      </c>
      <c r="C517" s="21" t="n">
        <v>43</v>
      </c>
      <c r="F517" s="11" t="s">
        <v>1005</v>
      </c>
      <c r="G517" s="11" t="s">
        <v>1006</v>
      </c>
      <c r="I517" s="11" t="s">
        <v>1007</v>
      </c>
      <c r="J517" s="6"/>
    </row>
    <row r="518" customFormat="false" ht="15" hidden="false" customHeight="false" outlineLevel="1" collapsed="false">
      <c r="A518" s="3" t="s">
        <v>1023</v>
      </c>
      <c r="B518" s="6" t="s">
        <v>140</v>
      </c>
      <c r="C518" s="21" t="n">
        <v>13</v>
      </c>
      <c r="F518" s="11" t="s">
        <v>1005</v>
      </c>
      <c r="G518" s="11" t="s">
        <v>1006</v>
      </c>
      <c r="I518" s="11" t="s">
        <v>1007</v>
      </c>
      <c r="J518" s="6"/>
    </row>
    <row r="519" customFormat="false" ht="15" hidden="false" customHeight="false" outlineLevel="1" collapsed="false">
      <c r="A519" s="3" t="s">
        <v>1024</v>
      </c>
      <c r="B519" s="6" t="s">
        <v>140</v>
      </c>
      <c r="C519" s="21" t="n">
        <v>5</v>
      </c>
      <c r="F519" s="11" t="s">
        <v>1005</v>
      </c>
      <c r="G519" s="11" t="s">
        <v>1006</v>
      </c>
      <c r="I519" s="11" t="s">
        <v>1007</v>
      </c>
      <c r="J519" s="6"/>
    </row>
    <row r="520" customFormat="false" ht="15" hidden="false" customHeight="false" outlineLevel="1" collapsed="false">
      <c r="A520" s="3" t="s">
        <v>1025</v>
      </c>
      <c r="B520" s="6" t="s">
        <v>140</v>
      </c>
      <c r="C520" s="21" t="n">
        <v>0</v>
      </c>
      <c r="F520" s="11" t="s">
        <v>1005</v>
      </c>
      <c r="G520" s="11" t="s">
        <v>1006</v>
      </c>
      <c r="I520" s="11" t="s">
        <v>1007</v>
      </c>
      <c r="J520" s="6"/>
    </row>
    <row r="521" customFormat="false" ht="15" hidden="false" customHeight="false" outlineLevel="1" collapsed="false">
      <c r="A521" s="3" t="s">
        <v>1026</v>
      </c>
      <c r="B521" s="6" t="s">
        <v>140</v>
      </c>
      <c r="C521" s="21" t="n">
        <v>0</v>
      </c>
      <c r="F521" s="11" t="s">
        <v>1005</v>
      </c>
      <c r="G521" s="11" t="s">
        <v>1006</v>
      </c>
      <c r="I521" s="11" t="s">
        <v>1007</v>
      </c>
      <c r="J521" s="6"/>
    </row>
    <row r="522" customFormat="false" ht="15" hidden="false" customHeight="false" outlineLevel="1" collapsed="false">
      <c r="A522" s="3" t="s">
        <v>1027</v>
      </c>
      <c r="B522" s="6" t="s">
        <v>140</v>
      </c>
      <c r="C522" s="21" t="n">
        <v>61</v>
      </c>
      <c r="F522" s="11" t="s">
        <v>1005</v>
      </c>
      <c r="G522" s="11" t="s">
        <v>1006</v>
      </c>
      <c r="I522" s="11" t="s">
        <v>1007</v>
      </c>
      <c r="J522" s="6"/>
    </row>
    <row r="523" customFormat="false" ht="17.15" hidden="false" customHeight="false" outlineLevel="1" collapsed="false">
      <c r="A523" s="14" t="s">
        <v>1028</v>
      </c>
      <c r="B523" s="14" t="s">
        <v>60</v>
      </c>
      <c r="C523" s="14" t="s">
        <v>995</v>
      </c>
      <c r="D523" s="14"/>
      <c r="E523" s="14"/>
      <c r="F523" s="14" t="s">
        <v>996</v>
      </c>
      <c r="G523" s="14" t="s">
        <v>997</v>
      </c>
      <c r="H523" s="14"/>
      <c r="I523" s="14" t="s">
        <v>998</v>
      </c>
      <c r="J523" s="14" t="s">
        <v>999</v>
      </c>
    </row>
    <row r="524" customFormat="false" ht="15" hidden="false" customHeight="false" outlineLevel="1" collapsed="false">
      <c r="A524" s="3" t="s">
        <v>1029</v>
      </c>
      <c r="B524" s="11" t="s">
        <v>65</v>
      </c>
      <c r="C524" s="52" t="n">
        <v>498.69</v>
      </c>
      <c r="D524" s="52" t="n">
        <v>615.038</v>
      </c>
      <c r="E524" s="52" t="n">
        <v>734.199</v>
      </c>
      <c r="F524" s="11" t="s">
        <v>1005</v>
      </c>
      <c r="G524" s="11" t="s">
        <v>1006</v>
      </c>
      <c r="I524" s="11" t="s">
        <v>1030</v>
      </c>
      <c r="J524" s="6"/>
    </row>
    <row r="525" customFormat="false" ht="15" hidden="false" customHeight="false" outlineLevel="1" collapsed="false">
      <c r="A525" s="3" t="s">
        <v>1031</v>
      </c>
      <c r="B525" s="11" t="s">
        <v>65</v>
      </c>
      <c r="C525" s="52" t="n">
        <v>233.431</v>
      </c>
      <c r="D525" s="52" t="n">
        <v>298.668</v>
      </c>
      <c r="E525" s="52" t="n">
        <v>382.826</v>
      </c>
      <c r="F525" s="11" t="s">
        <v>1005</v>
      </c>
      <c r="G525" s="11" t="s">
        <v>1006</v>
      </c>
      <c r="I525" s="11" t="s">
        <v>1030</v>
      </c>
      <c r="J525" s="6"/>
    </row>
    <row r="526" customFormat="false" ht="15" hidden="false" customHeight="false" outlineLevel="1" collapsed="false">
      <c r="A526" s="3" t="s">
        <v>1032</v>
      </c>
      <c r="B526" s="11" t="s">
        <v>42</v>
      </c>
      <c r="C526" s="23" t="n">
        <v>0.468088391585955</v>
      </c>
      <c r="D526" s="23" t="n">
        <v>0.48560901928011</v>
      </c>
      <c r="E526" s="23" t="n">
        <v>0.521419942004824</v>
      </c>
      <c r="F526" s="11" t="s">
        <v>1005</v>
      </c>
      <c r="G526" s="11" t="s">
        <v>1006</v>
      </c>
      <c r="I526" s="11" t="s">
        <v>1030</v>
      </c>
      <c r="J526" s="6"/>
    </row>
    <row r="527" customFormat="false" ht="15" hidden="false" customHeight="false" outlineLevel="1" collapsed="false">
      <c r="A527" s="3" t="s">
        <v>1033</v>
      </c>
      <c r="B527" s="11" t="s">
        <v>65</v>
      </c>
      <c r="C527" s="52" t="n">
        <v>171.681</v>
      </c>
      <c r="D527" s="52" t="n">
        <v>216.996</v>
      </c>
      <c r="E527" s="52" t="n">
        <v>263.325</v>
      </c>
      <c r="F527" s="11" t="s">
        <v>1005</v>
      </c>
      <c r="G527" s="11" t="s">
        <v>1006</v>
      </c>
      <c r="I527" s="11" t="s">
        <v>1030</v>
      </c>
      <c r="J527" s="6"/>
    </row>
    <row r="528" customFormat="false" ht="15" hidden="false" customHeight="false" outlineLevel="1" collapsed="false">
      <c r="A528" s="3" t="s">
        <v>1034</v>
      </c>
      <c r="B528" s="11" t="s">
        <v>65</v>
      </c>
      <c r="C528" s="52" t="n">
        <v>254.864</v>
      </c>
      <c r="D528" s="52" t="n">
        <v>187.475</v>
      </c>
      <c r="E528" s="52" t="n">
        <v>223.329</v>
      </c>
      <c r="F528" s="11" t="s">
        <v>1005</v>
      </c>
      <c r="G528" s="11" t="s">
        <v>1006</v>
      </c>
      <c r="I528" s="11" t="s">
        <v>1030</v>
      </c>
      <c r="J528" s="6"/>
    </row>
    <row r="529" customFormat="false" ht="15" hidden="false" customHeight="false" outlineLevel="1" collapsed="false">
      <c r="A529" s="3" t="s">
        <v>1035</v>
      </c>
      <c r="B529" s="11" t="s">
        <v>39</v>
      </c>
      <c r="C529" s="46" t="n">
        <v>20.63</v>
      </c>
      <c r="D529" s="46" t="n">
        <v>14.95</v>
      </c>
      <c r="E529" s="46" t="n">
        <v>17.89</v>
      </c>
      <c r="F529" s="11" t="s">
        <v>1005</v>
      </c>
      <c r="G529" s="11" t="s">
        <v>1006</v>
      </c>
      <c r="I529" s="11" t="s">
        <v>1030</v>
      </c>
      <c r="J529" s="6"/>
    </row>
    <row r="530" customFormat="false" ht="15" hidden="false" customHeight="false" outlineLevel="1" collapsed="false">
      <c r="A530" s="3" t="s">
        <v>1036</v>
      </c>
      <c r="B530" s="11" t="s">
        <v>65</v>
      </c>
      <c r="C530" s="52" t="n">
        <v>201.748</v>
      </c>
      <c r="D530" s="52" t="n">
        <v>300.979</v>
      </c>
      <c r="E530" s="52" t="n">
        <v>339.451</v>
      </c>
      <c r="F530" s="11" t="s">
        <v>1005</v>
      </c>
      <c r="G530" s="11" t="s">
        <v>1006</v>
      </c>
      <c r="I530" s="11" t="s">
        <v>1030</v>
      </c>
      <c r="J530" s="6"/>
    </row>
    <row r="531" customFormat="false" ht="15" hidden="false" customHeight="false" outlineLevel="1" collapsed="false">
      <c r="A531" s="3" t="s">
        <v>1037</v>
      </c>
      <c r="B531" s="11" t="s">
        <v>65</v>
      </c>
      <c r="C531" s="52" t="n">
        <v>8.448</v>
      </c>
      <c r="D531" s="52" t="n">
        <v>-36.658</v>
      </c>
      <c r="E531" s="52" t="n">
        <v>6.759</v>
      </c>
      <c r="F531" s="11" t="s">
        <v>1005</v>
      </c>
      <c r="G531" s="11" t="s">
        <v>1006</v>
      </c>
      <c r="I531" s="11" t="s">
        <v>1030</v>
      </c>
      <c r="J531" s="6"/>
    </row>
    <row r="532" customFormat="false" ht="15" hidden="false" customHeight="false" outlineLevel="1" collapsed="false">
      <c r="A532" s="3" t="s">
        <v>1038</v>
      </c>
      <c r="B532" s="11" t="s">
        <v>65</v>
      </c>
      <c r="C532" s="52" t="n">
        <v>-131.323</v>
      </c>
      <c r="D532" s="52" t="n">
        <v>-79.012</v>
      </c>
      <c r="E532" s="52" t="n">
        <v>-56.291</v>
      </c>
      <c r="F532" s="11" t="s">
        <v>1005</v>
      </c>
      <c r="G532" s="11" t="s">
        <v>1006</v>
      </c>
      <c r="I532" s="11" t="s">
        <v>1030</v>
      </c>
      <c r="J532" s="6"/>
    </row>
    <row r="533" customFormat="false" ht="15" hidden="false" customHeight="false" outlineLevel="1" collapsed="false">
      <c r="A533" s="3" t="s">
        <v>1039</v>
      </c>
      <c r="B533" s="11" t="s">
        <v>39</v>
      </c>
      <c r="C533" s="46" t="n">
        <v>0.8727</v>
      </c>
      <c r="D533" s="46" t="n">
        <v>0.9153</v>
      </c>
      <c r="E533" s="46" t="n">
        <v>0.9546</v>
      </c>
      <c r="F533" s="11" t="s">
        <v>1005</v>
      </c>
      <c r="G533" s="11" t="s">
        <v>1006</v>
      </c>
      <c r="I533" s="11" t="s">
        <v>1030</v>
      </c>
      <c r="J533" s="6"/>
    </row>
    <row r="534" customFormat="false" ht="15" hidden="false" customHeight="false" outlineLevel="1" collapsed="false">
      <c r="A534" s="3" t="s">
        <v>1040</v>
      </c>
      <c r="B534" s="6"/>
      <c r="C534" s="3" t="s">
        <v>1041</v>
      </c>
      <c r="F534" s="11" t="s">
        <v>1005</v>
      </c>
      <c r="G534" s="11" t="s">
        <v>1006</v>
      </c>
      <c r="I534" s="11" t="s">
        <v>1030</v>
      </c>
      <c r="J534" s="6"/>
    </row>
    <row r="535" customFormat="false" ht="17.15" hidden="false" customHeight="false" outlineLevel="1" collapsed="false">
      <c r="A535" s="15" t="s">
        <v>1042</v>
      </c>
      <c r="B535" s="14" t="s">
        <v>60</v>
      </c>
      <c r="C535" s="14" t="s">
        <v>995</v>
      </c>
      <c r="D535" s="14"/>
      <c r="E535" s="14"/>
      <c r="F535" s="14" t="s">
        <v>996</v>
      </c>
      <c r="G535" s="14" t="s">
        <v>997</v>
      </c>
      <c r="H535" s="14"/>
      <c r="I535" s="14" t="s">
        <v>998</v>
      </c>
      <c r="J535" s="14" t="s">
        <v>999</v>
      </c>
    </row>
    <row r="536" customFormat="false" ht="15" hidden="false" customHeight="false" outlineLevel="1" collapsed="false">
      <c r="A536" s="3" t="s">
        <v>1043</v>
      </c>
      <c r="B536" s="11" t="s">
        <v>65</v>
      </c>
      <c r="C536" s="52" t="n">
        <v>498.74</v>
      </c>
      <c r="D536" s="52" t="n">
        <v>614.95</v>
      </c>
      <c r="F536" s="11" t="s">
        <v>1005</v>
      </c>
      <c r="G536" s="11" t="s">
        <v>1006</v>
      </c>
      <c r="I536" s="11" t="s">
        <v>1044</v>
      </c>
      <c r="J536" s="6"/>
    </row>
    <row r="537" customFormat="false" ht="15" hidden="false" customHeight="false" outlineLevel="1" collapsed="false">
      <c r="A537" s="3" t="s">
        <v>1045</v>
      </c>
      <c r="B537" s="11" t="s">
        <v>65</v>
      </c>
      <c r="C537" s="52" t="n">
        <v>489.8</v>
      </c>
      <c r="D537" s="52" t="n">
        <v>519.8</v>
      </c>
      <c r="F537" s="11" t="s">
        <v>1005</v>
      </c>
      <c r="G537" s="11" t="s">
        <v>1006</v>
      </c>
      <c r="I537" s="11" t="s">
        <v>1044</v>
      </c>
      <c r="J537" s="6"/>
    </row>
    <row r="538" customFormat="false" ht="15" hidden="false" customHeight="false" outlineLevel="1" collapsed="false">
      <c r="A538" s="3" t="s">
        <v>1046</v>
      </c>
      <c r="B538" s="11" t="s">
        <v>39</v>
      </c>
      <c r="C538" s="46" t="n">
        <v>12.15</v>
      </c>
      <c r="D538" s="46" t="n">
        <v>15.17</v>
      </c>
      <c r="F538" s="11" t="s">
        <v>1005</v>
      </c>
      <c r="G538" s="11" t="s">
        <v>1006</v>
      </c>
      <c r="I538" s="11" t="s">
        <v>1044</v>
      </c>
      <c r="J538" s="6"/>
    </row>
    <row r="539" customFormat="false" ht="15" hidden="false" customHeight="false" outlineLevel="1" collapsed="false">
      <c r="A539" s="3" t="s">
        <v>1047</v>
      </c>
      <c r="B539" s="11" t="s">
        <v>39</v>
      </c>
      <c r="C539" s="46" t="n">
        <v>11.5</v>
      </c>
      <c r="D539" s="46" t="n">
        <v>13.47</v>
      </c>
      <c r="F539" s="11" t="s">
        <v>1005</v>
      </c>
      <c r="G539" s="11" t="s">
        <v>1006</v>
      </c>
      <c r="I539" s="11" t="s">
        <v>1044</v>
      </c>
      <c r="J539" s="11" t="s">
        <v>1048</v>
      </c>
    </row>
    <row r="540" customFormat="false" ht="15" hidden="false" customHeight="false" outlineLevel="1" collapsed="false">
      <c r="A540" s="14" t="s">
        <v>1049</v>
      </c>
      <c r="B540" s="14" t="s">
        <v>60</v>
      </c>
      <c r="C540" s="14" t="s">
        <v>995</v>
      </c>
      <c r="D540" s="14"/>
      <c r="E540" s="14"/>
      <c r="F540" s="14" t="s">
        <v>996</v>
      </c>
      <c r="G540" s="14" t="s">
        <v>997</v>
      </c>
      <c r="H540" s="14"/>
      <c r="I540" s="14" t="s">
        <v>998</v>
      </c>
      <c r="J540" s="14" t="s">
        <v>999</v>
      </c>
    </row>
    <row r="541" customFormat="false" ht="15" hidden="false" customHeight="false" outlineLevel="1" collapsed="false">
      <c r="A541" s="3" t="s">
        <v>1050</v>
      </c>
      <c r="B541" s="11" t="s">
        <v>65</v>
      </c>
      <c r="C541" s="52" t="n">
        <v>195</v>
      </c>
      <c r="D541" s="52" t="n">
        <v>205</v>
      </c>
      <c r="F541" s="6" t="s">
        <v>1051</v>
      </c>
      <c r="G541" s="11" t="s">
        <v>1006</v>
      </c>
      <c r="I541" s="11" t="s">
        <v>1052</v>
      </c>
      <c r="J541" s="6" t="s">
        <v>1053</v>
      </c>
    </row>
    <row r="542" customFormat="false" ht="15" hidden="false" customHeight="false" outlineLevel="1" collapsed="false">
      <c r="A542" s="14" t="s">
        <v>1054</v>
      </c>
      <c r="B542" s="14" t="s">
        <v>60</v>
      </c>
      <c r="C542" s="14" t="s">
        <v>995</v>
      </c>
      <c r="D542" s="14"/>
      <c r="E542" s="14"/>
      <c r="F542" s="14" t="s">
        <v>996</v>
      </c>
      <c r="G542" s="14" t="s">
        <v>997</v>
      </c>
      <c r="H542" s="14"/>
      <c r="I542" s="14" t="s">
        <v>998</v>
      </c>
      <c r="J542" s="14" t="s">
        <v>999</v>
      </c>
    </row>
    <row r="543" customFormat="false" ht="15" hidden="false" customHeight="false" outlineLevel="1" collapsed="false">
      <c r="A543" s="3" t="s">
        <v>1055</v>
      </c>
      <c r="B543" s="11" t="s">
        <v>39</v>
      </c>
      <c r="C543" s="46" t="n">
        <v>400</v>
      </c>
      <c r="F543" s="11" t="s">
        <v>1005</v>
      </c>
      <c r="G543" s="11" t="s">
        <v>1006</v>
      </c>
      <c r="I543" s="11" t="s">
        <v>1056</v>
      </c>
      <c r="J543" s="11" t="s">
        <v>1057</v>
      </c>
    </row>
    <row r="544" customFormat="false" ht="15" hidden="false" customHeight="false" outlineLevel="1" collapsed="false">
      <c r="A544" s="3" t="s">
        <v>1058</v>
      </c>
      <c r="B544" s="11" t="s">
        <v>39</v>
      </c>
      <c r="C544" s="46" t="n">
        <v>400</v>
      </c>
      <c r="F544" s="11" t="s">
        <v>1005</v>
      </c>
      <c r="G544" s="11" t="s">
        <v>1006</v>
      </c>
      <c r="I544" s="11" t="s">
        <v>1056</v>
      </c>
      <c r="J544" s="11" t="s">
        <v>1059</v>
      </c>
    </row>
    <row r="545" customFormat="false" ht="15" hidden="false" customHeight="false" outlineLevel="1" collapsed="false">
      <c r="A545" s="3" t="s">
        <v>1060</v>
      </c>
      <c r="B545" s="11" t="s">
        <v>39</v>
      </c>
      <c r="C545" s="46" t="n">
        <v>450</v>
      </c>
      <c r="F545" s="11" t="s">
        <v>1005</v>
      </c>
      <c r="G545" s="11" t="s">
        <v>1006</v>
      </c>
      <c r="I545" s="11" t="s">
        <v>1056</v>
      </c>
      <c r="J545" s="11" t="s">
        <v>1059</v>
      </c>
    </row>
    <row r="546" customFormat="false" ht="15" hidden="false" customHeight="false" outlineLevel="1" collapsed="false">
      <c r="A546" s="3" t="s">
        <v>1061</v>
      </c>
      <c r="B546" s="11" t="s">
        <v>39</v>
      </c>
      <c r="C546" s="46" t="n">
        <v>417</v>
      </c>
      <c r="F546" s="11" t="s">
        <v>1005</v>
      </c>
      <c r="G546" s="11" t="s">
        <v>1006</v>
      </c>
      <c r="I546" s="11" t="s">
        <v>1056</v>
      </c>
      <c r="J546" s="11" t="s">
        <v>1062</v>
      </c>
    </row>
    <row r="547" customFormat="false" ht="15" hidden="false" customHeight="false" outlineLevel="1" collapsed="false">
      <c r="A547" s="3" t="s">
        <v>1063</v>
      </c>
      <c r="B547" s="11" t="s">
        <v>39</v>
      </c>
      <c r="C547" s="46" t="n">
        <v>420</v>
      </c>
      <c r="F547" s="11" t="s">
        <v>1005</v>
      </c>
      <c r="G547" s="11" t="s">
        <v>1006</v>
      </c>
      <c r="I547" s="11" t="s">
        <v>1056</v>
      </c>
      <c r="J547" s="11" t="s">
        <v>1062</v>
      </c>
    </row>
    <row r="548" customFormat="false" ht="15" hidden="false" customHeight="false" outlineLevel="1" collapsed="false">
      <c r="A548" s="14" t="s">
        <v>1064</v>
      </c>
      <c r="B548" s="14" t="s">
        <v>60</v>
      </c>
      <c r="C548" s="14" t="s">
        <v>995</v>
      </c>
      <c r="D548" s="14"/>
      <c r="E548" s="14"/>
      <c r="F548" s="14" t="s">
        <v>996</v>
      </c>
      <c r="G548" s="14" t="s">
        <v>997</v>
      </c>
      <c r="H548" s="14"/>
      <c r="I548" s="14" t="s">
        <v>998</v>
      </c>
      <c r="J548" s="14" t="s">
        <v>999</v>
      </c>
    </row>
    <row r="549" customFormat="false" ht="15" hidden="false" customHeight="false" outlineLevel="1" collapsed="false">
      <c r="A549" s="3" t="s">
        <v>1065</v>
      </c>
      <c r="B549" s="6"/>
      <c r="C549" s="4" t="s">
        <v>1066</v>
      </c>
      <c r="F549" s="11" t="s">
        <v>1005</v>
      </c>
      <c r="G549" s="6"/>
      <c r="I549" s="6" t="s">
        <v>1067</v>
      </c>
      <c r="J549" s="6"/>
    </row>
    <row r="550" customFormat="false" ht="15" hidden="false" customHeight="false" outlineLevel="1" collapsed="false">
      <c r="A550" s="3" t="s">
        <v>1068</v>
      </c>
      <c r="B550" s="6"/>
      <c r="C550" s="3" t="s">
        <v>1069</v>
      </c>
      <c r="F550" s="11" t="s">
        <v>1005</v>
      </c>
      <c r="G550" s="6"/>
      <c r="I550" s="6" t="s">
        <v>1067</v>
      </c>
      <c r="J550" s="6"/>
    </row>
    <row r="551" customFormat="false" ht="15" hidden="false" customHeight="false" outlineLevel="1" collapsed="false">
      <c r="A551" s="3" t="s">
        <v>1070</v>
      </c>
      <c r="B551" s="6"/>
      <c r="C551" s="4" t="s">
        <v>1071</v>
      </c>
      <c r="F551" s="11" t="s">
        <v>1005</v>
      </c>
      <c r="G551" s="6"/>
      <c r="I551" s="6" t="s">
        <v>1067</v>
      </c>
      <c r="J551" s="6"/>
    </row>
    <row r="552" customFormat="false" ht="15" hidden="false" customHeight="false" outlineLevel="1" collapsed="false">
      <c r="A552" s="3" t="s">
        <v>1072</v>
      </c>
      <c r="B552" s="6"/>
      <c r="C552" s="3" t="s">
        <v>1073</v>
      </c>
      <c r="F552" s="11" t="s">
        <v>1005</v>
      </c>
      <c r="G552" s="6"/>
      <c r="I552" s="6" t="s">
        <v>1067</v>
      </c>
      <c r="J552" s="6"/>
    </row>
    <row r="553" customFormat="false" ht="15" hidden="false" customHeight="false" outlineLevel="1" collapsed="false">
      <c r="A553" s="3" t="s">
        <v>1074</v>
      </c>
      <c r="B553" s="11" t="s">
        <v>42</v>
      </c>
      <c r="C553" s="23" t="n">
        <v>0.05</v>
      </c>
      <c r="I553" s="6" t="s">
        <v>1075</v>
      </c>
    </row>
    <row r="554" customFormat="false" ht="15" hidden="false" customHeight="false" outlineLevel="1" collapsed="false">
      <c r="A554" s="3" t="s">
        <v>1076</v>
      </c>
      <c r="B554" s="11" t="s">
        <v>77</v>
      </c>
      <c r="C554" s="23" t="n">
        <v>0.02</v>
      </c>
      <c r="I554" s="6" t="s">
        <v>1077</v>
      </c>
    </row>
    <row r="556" customFormat="false" ht="15" hidden="false" customHeight="false" outlineLevel="0" collapsed="false">
      <c r="A556" s="7" t="s">
        <v>1078</v>
      </c>
      <c r="B556" s="8"/>
      <c r="C556" s="8"/>
      <c r="D556" s="8"/>
      <c r="E556" s="8"/>
      <c r="F556" s="8"/>
      <c r="G556" s="8"/>
      <c r="H556" s="8"/>
    </row>
    <row r="557" customFormat="false" ht="15" hidden="false" customHeight="false" outlineLevel="1" collapsed="false">
      <c r="A557" s="14" t="s">
        <v>1079</v>
      </c>
      <c r="B557" s="14" t="s">
        <v>60</v>
      </c>
      <c r="C557" s="15" t="s">
        <v>1080</v>
      </c>
      <c r="D557" s="15" t="s">
        <v>1081</v>
      </c>
      <c r="E557" s="15" t="s">
        <v>1082</v>
      </c>
      <c r="F557" s="15" t="s">
        <v>1083</v>
      </c>
      <c r="G557" s="15" t="s">
        <v>1084</v>
      </c>
      <c r="H557" s="15" t="s">
        <v>1085</v>
      </c>
      <c r="J557" s="14" t="s">
        <v>1086</v>
      </c>
    </row>
    <row r="558" customFormat="false" ht="15" hidden="false" customHeight="false" outlineLevel="1" collapsed="false">
      <c r="A558" s="3" t="s">
        <v>1087</v>
      </c>
      <c r="C558" s="22" t="n">
        <v>1</v>
      </c>
      <c r="D558" s="22" t="n">
        <v>1</v>
      </c>
      <c r="E558" s="22" t="n">
        <v>2</v>
      </c>
      <c r="F558" s="22" t="n">
        <v>2</v>
      </c>
      <c r="G558" s="22" t="n">
        <v>2</v>
      </c>
      <c r="H558" s="22" t="n">
        <v>2</v>
      </c>
      <c r="J558" s="6" t="s">
        <v>1088</v>
      </c>
    </row>
    <row r="559" customFormat="false" ht="15" hidden="false" customHeight="false" outlineLevel="1" collapsed="false">
      <c r="A559" s="3" t="s">
        <v>1089</v>
      </c>
      <c r="C559" s="18" t="n">
        <v>1</v>
      </c>
      <c r="J559" s="6" t="s">
        <v>1090</v>
      </c>
    </row>
    <row r="560" customFormat="false" ht="15" hidden="false" customHeight="false" outlineLevel="1" collapsed="false">
      <c r="A560" s="3" t="s">
        <v>1091</v>
      </c>
      <c r="B560" s="11" t="s">
        <v>65</v>
      </c>
      <c r="C560" s="52" t="n">
        <v>119.796</v>
      </c>
      <c r="J560" s="6" t="s">
        <v>1092</v>
      </c>
    </row>
    <row r="561" customFormat="false" ht="15" hidden="false" customHeight="false" outlineLevel="1" collapsed="false">
      <c r="A561" s="3" t="s">
        <v>1093</v>
      </c>
      <c r="B561" s="11" t="s">
        <v>157</v>
      </c>
      <c r="C561" s="21" t="n">
        <v>1901</v>
      </c>
      <c r="J561" s="6" t="s">
        <v>1094</v>
      </c>
    </row>
    <row r="562" customFormat="false" ht="15" hidden="false" customHeight="false" outlineLevel="1" collapsed="false">
      <c r="A562" s="3" t="s">
        <v>1095</v>
      </c>
      <c r="B562" s="11" t="s">
        <v>65</v>
      </c>
      <c r="C562" s="52"/>
      <c r="D562" s="52"/>
      <c r="E562" s="52"/>
      <c r="F562" s="52"/>
      <c r="G562" s="52"/>
      <c r="H562" s="52"/>
      <c r="J562" s="6" t="s">
        <v>1096</v>
      </c>
    </row>
    <row r="563" customFormat="false" ht="15" hidden="false" customHeight="false" outlineLevel="1" collapsed="false">
      <c r="A563" s="3" t="s">
        <v>1097</v>
      </c>
      <c r="B563" s="11" t="s">
        <v>65</v>
      </c>
      <c r="C563" s="52"/>
      <c r="D563" s="52"/>
      <c r="E563" s="52"/>
      <c r="F563" s="52"/>
      <c r="G563" s="52"/>
      <c r="H563" s="52"/>
    </row>
    <row r="564" customFormat="false" ht="15" hidden="false" customHeight="false" outlineLevel="1" collapsed="false">
      <c r="A564" s="3" t="s">
        <v>1098</v>
      </c>
      <c r="B564" s="11" t="s">
        <v>65</v>
      </c>
      <c r="C564" s="52"/>
      <c r="D564" s="52"/>
      <c r="E564" s="52"/>
      <c r="F564" s="52"/>
      <c r="G564" s="52"/>
      <c r="H564" s="52"/>
    </row>
    <row r="565" customFormat="false" ht="15" hidden="false" customHeight="false" outlineLevel="1" collapsed="false">
      <c r="A565" s="3" t="s">
        <v>1099</v>
      </c>
      <c r="B565" s="11" t="s">
        <v>65</v>
      </c>
      <c r="C565" s="52"/>
      <c r="D565" s="52"/>
      <c r="E565" s="52"/>
      <c r="F565" s="52"/>
      <c r="G565" s="52"/>
      <c r="H565" s="52"/>
    </row>
    <row r="566" customFormat="false" ht="15" hidden="false" customHeight="false" outlineLevel="1" collapsed="false">
      <c r="A566" s="3" t="s">
        <v>1100</v>
      </c>
      <c r="B566" s="11" t="s">
        <v>157</v>
      </c>
      <c r="C566" s="21"/>
      <c r="D566" s="21"/>
      <c r="E566" s="21"/>
      <c r="F566" s="21"/>
      <c r="G566" s="21"/>
      <c r="H566" s="21"/>
    </row>
    <row r="567" customFormat="false" ht="15" hidden="false" customHeight="false" outlineLevel="1" collapsed="false">
      <c r="A567" s="3" t="s">
        <v>1101</v>
      </c>
      <c r="C567" s="27"/>
      <c r="D567" s="27"/>
      <c r="E567" s="27"/>
      <c r="F567" s="27"/>
      <c r="G567" s="27"/>
      <c r="H567" s="27"/>
    </row>
    <row r="568" customFormat="false" ht="15" hidden="false" customHeight="false" outlineLevel="1" collapsed="false">
      <c r="A568" s="3" t="s">
        <v>1102</v>
      </c>
      <c r="C568" s="27"/>
      <c r="D568" s="27"/>
      <c r="E568" s="27"/>
      <c r="F568" s="27"/>
      <c r="G568" s="27"/>
      <c r="H568" s="27"/>
    </row>
    <row r="569" customFormat="false" ht="15" hidden="false" customHeight="false" outlineLevel="1" collapsed="false">
      <c r="A569" s="3" t="s">
        <v>1103</v>
      </c>
      <c r="C569" s="27"/>
      <c r="D569" s="27"/>
      <c r="E569" s="27"/>
      <c r="F569" s="27"/>
      <c r="G569" s="27"/>
      <c r="H569" s="27"/>
    </row>
    <row r="570" customFormat="false" ht="15" hidden="false" customHeight="false" outlineLevel="1" collapsed="false">
      <c r="A570" s="3" t="s">
        <v>1104</v>
      </c>
      <c r="B570" s="11" t="s">
        <v>65</v>
      </c>
      <c r="C570" s="52" t="n">
        <v>195</v>
      </c>
      <c r="D570" s="52" t="n">
        <v>205</v>
      </c>
      <c r="E570" s="52" t="n">
        <v>80.598</v>
      </c>
      <c r="J570" s="11" t="s">
        <v>1105</v>
      </c>
    </row>
  </sheetData>
  <dataValidations count="1">
    <dataValidation allowBlank="false" error="請輸入 1–4" errorStyle="stop" errorTitle="錨定年度" operator="between" showDropDown="false" showErrorMessage="true" showInputMessage="false" sqref="C439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1106</v>
      </c>
    </row>
    <row r="2" customFormat="false" ht="15" hidden="false" customHeight="false" outlineLevel="0" collapsed="false">
      <c r="A2" s="11" t="s">
        <v>1107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1108</v>
      </c>
    </row>
    <row r="5" customFormat="false" ht="15" hidden="false" customHeight="false" outlineLevel="0" collapsed="false">
      <c r="A5" s="53" t="s">
        <v>1109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1110</v>
      </c>
      <c r="B6" s="11" t="s">
        <v>65</v>
      </c>
      <c r="C6" s="32" t="n">
        <f aca="false">輸入與假設!$C$477+輸入與假設!C$331</f>
        <v>200</v>
      </c>
      <c r="D6" s="32" t="n">
        <f aca="false">輸入與假設!D$331</f>
        <v>236.798143918332</v>
      </c>
      <c r="E6" s="32" t="n">
        <f aca="false">輸入與假設!E$331</f>
        <v>256.385290221199</v>
      </c>
      <c r="F6" s="32" t="n">
        <f aca="false">輸入與假設!F$331</f>
        <v>287.651772424741</v>
      </c>
      <c r="G6" s="32" t="n">
        <f aca="false">輸入與假設!G$331</f>
        <v>412.622141042437</v>
      </c>
      <c r="I6" s="11" t="s">
        <v>1111</v>
      </c>
    </row>
    <row r="7" customFormat="false" ht="15" hidden="false" customHeight="false" outlineLevel="1" collapsed="false">
      <c r="A7" s="3" t="s">
        <v>1112</v>
      </c>
      <c r="B7" s="11" t="s">
        <v>42</v>
      </c>
      <c r="C7" s="54" t="n">
        <f aca="false">輸入與假設!C$287</f>
        <v>0</v>
      </c>
      <c r="D7" s="54" t="n">
        <f aca="false">輸入與假設!D$287</f>
        <v>0</v>
      </c>
      <c r="E7" s="54" t="n">
        <f aca="false">輸入與假設!E$287</f>
        <v>0</v>
      </c>
      <c r="F7" s="54" t="n">
        <f aca="false">輸入與假設!F$287</f>
        <v>0</v>
      </c>
      <c r="G7" s="54" t="n">
        <f aca="false">輸入與假設!G$287</f>
        <v>0</v>
      </c>
    </row>
    <row r="8" customFormat="false" ht="15" hidden="false" customHeight="false" outlineLevel="1" collapsed="false">
      <c r="A8" s="3" t="s">
        <v>1113</v>
      </c>
      <c r="B8" s="11" t="s">
        <v>65</v>
      </c>
      <c r="C8" s="32" t="n">
        <f aca="false">輸入與假設!C$307*C7</f>
        <v>0</v>
      </c>
      <c r="D8" s="32" t="n">
        <f aca="false">輸入與假設!D$307*D7</f>
        <v>0</v>
      </c>
      <c r="E8" s="32" t="n">
        <f aca="false">輸入與假設!E$307*E7</f>
        <v>0</v>
      </c>
      <c r="F8" s="32" t="n">
        <f aca="false">輸入與假設!F$307*F7</f>
        <v>0</v>
      </c>
      <c r="G8" s="32" t="n">
        <f aca="false">輸入與假設!G$307*G7</f>
        <v>0</v>
      </c>
      <c r="I8" s="6" t="s">
        <v>1114</v>
      </c>
    </row>
    <row r="9" customFormat="false" ht="15" hidden="false" customHeight="false" outlineLevel="1" collapsed="false">
      <c r="A9" s="3" t="s">
        <v>1115</v>
      </c>
      <c r="B9" s="11" t="s">
        <v>65</v>
      </c>
      <c r="C9" s="32" t="n">
        <f aca="false">輸入與假設!$C$284</f>
        <v>0</v>
      </c>
      <c r="D9" s="32" t="n">
        <f aca="false">C12</f>
        <v>0</v>
      </c>
      <c r="E9" s="32" t="n">
        <f aca="false">D12</f>
        <v>0</v>
      </c>
      <c r="F9" s="32" t="n">
        <f aca="false">E12</f>
        <v>0</v>
      </c>
      <c r="G9" s="32" t="n">
        <f aca="false">F12</f>
        <v>0</v>
      </c>
      <c r="I9" s="11" t="s">
        <v>1116</v>
      </c>
    </row>
    <row r="10" customFormat="false" ht="15" hidden="false" customHeight="false" outlineLevel="1" collapsed="false">
      <c r="A10" s="3" t="s">
        <v>1117</v>
      </c>
      <c r="B10" s="11" t="s">
        <v>65</v>
      </c>
      <c r="C10" s="32" t="n">
        <f aca="false">輸入與假設!$C$285*(C9+0.5*C8)*運營_產能與收入!C7</f>
        <v>0</v>
      </c>
      <c r="D10" s="32" t="n">
        <f aca="false">輸入與假設!$C$285*(D9+0.5*D8)*運營_產能與收入!D7</f>
        <v>0</v>
      </c>
      <c r="E10" s="32" t="n">
        <f aca="false">輸入與假設!$C$285*(E9+0.5*E8)*運營_產能與收入!E7</f>
        <v>0</v>
      </c>
      <c r="F10" s="32" t="n">
        <f aca="false">輸入與假設!$C$285*(F9+0.5*F8)*運營_產能與收入!F7</f>
        <v>0</v>
      </c>
      <c r="G10" s="32" t="n">
        <f aca="false">輸入與假設!$C$285*(G9+0.5*G8)*運營_產能與收入!G7</f>
        <v>0</v>
      </c>
      <c r="I10" s="6" t="s">
        <v>1118</v>
      </c>
    </row>
    <row r="11" customFormat="false" ht="15" hidden="false" customHeight="false" outlineLevel="1" collapsed="false">
      <c r="A11" s="3" t="s">
        <v>1119</v>
      </c>
      <c r="B11" s="11" t="s">
        <v>65</v>
      </c>
      <c r="C11" s="32" t="n">
        <f aca="false">MIN(C9+C10,(C9+C10)/輸入與假設!$C$283*運營_產能與收入!C7)</f>
        <v>0</v>
      </c>
      <c r="D11" s="32" t="n">
        <f aca="false">MIN(D9+D10,(D9+D10)/輸入與假設!$C$283*運營_產能與收入!D7)</f>
        <v>0</v>
      </c>
      <c r="E11" s="32" t="n">
        <f aca="false">MIN(E9+E10,(E9+E10)/輸入與假設!$C$283*運營_產能與收入!E7)</f>
        <v>0</v>
      </c>
      <c r="F11" s="32" t="n">
        <f aca="false">MIN(F9+F10,(F9+F10)/輸入與假設!$C$283*運營_產能與收入!F7)</f>
        <v>0</v>
      </c>
      <c r="G11" s="32" t="n">
        <f aca="false">MIN(G9+G10,(G9+G10)/輸入與假設!$C$283*運營_產能與收入!G7)</f>
        <v>0</v>
      </c>
      <c r="I11" s="6" t="s">
        <v>1120</v>
      </c>
    </row>
    <row r="12" customFormat="false" ht="15" hidden="false" customHeight="false" outlineLevel="1" collapsed="false">
      <c r="A12" s="3" t="s">
        <v>1121</v>
      </c>
      <c r="B12" s="11" t="s">
        <v>65</v>
      </c>
      <c r="C12" s="32" t="n">
        <f aca="false">C9+C8+C10-C11</f>
        <v>0</v>
      </c>
      <c r="D12" s="32" t="n">
        <f aca="false">D9+D8+D10-D11</f>
        <v>0</v>
      </c>
      <c r="E12" s="32" t="n">
        <f aca="false">E9+E8+E10-E11</f>
        <v>0</v>
      </c>
      <c r="F12" s="32" t="n">
        <f aca="false">F9+F8+F10-F11</f>
        <v>0</v>
      </c>
      <c r="G12" s="32" t="n">
        <f aca="false">G9+G8+G10-G11</f>
        <v>0</v>
      </c>
      <c r="I12" s="6" t="s">
        <v>1122</v>
      </c>
    </row>
    <row r="13" customFormat="false" ht="15" hidden="false" customHeight="false" outlineLevel="1" collapsed="false">
      <c r="A13" s="4" t="s">
        <v>1123</v>
      </c>
      <c r="B13" s="11" t="s">
        <v>65</v>
      </c>
      <c r="C13" s="32" t="n">
        <f aca="false">輸入與假設!$C$476+輸入與假設!C$331</f>
        <v>200</v>
      </c>
      <c r="D13" s="32" t="n">
        <f aca="false">輸入與假設!D$331</f>
        <v>236.798143918332</v>
      </c>
      <c r="E13" s="32" t="n">
        <f aca="false">輸入與假設!E$331</f>
        <v>256.385290221199</v>
      </c>
      <c r="F13" s="32" t="n">
        <f aca="false">輸入與假設!F$331</f>
        <v>287.651772424741</v>
      </c>
      <c r="G13" s="32" t="n">
        <f aca="false">輸入與假設!G$331</f>
        <v>412.622141042437</v>
      </c>
      <c r="I13" s="11" t="s">
        <v>1124</v>
      </c>
    </row>
    <row r="14" customFormat="false" ht="15" hidden="false" customHeight="false" outlineLevel="1" collapsed="false">
      <c r="A14" s="3" t="s">
        <v>1125</v>
      </c>
      <c r="B14" s="11" t="s">
        <v>65</v>
      </c>
      <c r="C14" s="41" t="n">
        <f aca="false">輸入與假設!C$288</f>
        <v>2.042</v>
      </c>
      <c r="D14" s="41" t="n">
        <f aca="false">輸入與假設!D$288</f>
        <v>3.885</v>
      </c>
      <c r="E14" s="41" t="n">
        <f aca="false">輸入與假設!E$288</f>
        <v>3.356</v>
      </c>
      <c r="F14" s="41" t="n">
        <f aca="false">輸入與假設!F$288</f>
        <v>2.932</v>
      </c>
      <c r="G14" s="41" t="n">
        <f aca="false">輸入與假設!G$288</f>
        <v>2.331</v>
      </c>
      <c r="I14" s="6" t="s">
        <v>1126</v>
      </c>
    </row>
    <row r="15" customFormat="false" ht="15" hidden="false" customHeight="false" outlineLevel="1" collapsed="false">
      <c r="A15" s="3" t="s">
        <v>1127</v>
      </c>
      <c r="B15" s="11" t="s">
        <v>65</v>
      </c>
      <c r="C15" s="41" t="n">
        <f aca="false">運營_產能與收入!C59</f>
        <v>0.193636363636364</v>
      </c>
      <c r="D15" s="41" t="n">
        <f aca="false">運營_產能與收入!D59</f>
        <v>1.16181818181818</v>
      </c>
      <c r="E15" s="41" t="n">
        <f aca="false">運營_產能與收入!E59</f>
        <v>2.19454545454545</v>
      </c>
      <c r="F15" s="41" t="n">
        <f aca="false">運營_產能與收入!F59</f>
        <v>3.22727272727273</v>
      </c>
      <c r="G15" s="41" t="n">
        <f aca="false">運營_產能與收入!G59</f>
        <v>4.26</v>
      </c>
      <c r="I15" s="6" t="s">
        <v>1128</v>
      </c>
    </row>
    <row r="16" customFormat="false" ht="15" hidden="false" customHeight="false" outlineLevel="1" collapsed="false">
      <c r="A16" s="3" t="s">
        <v>1129</v>
      </c>
      <c r="B16" s="11" t="s">
        <v>65</v>
      </c>
      <c r="C16" s="32" t="n">
        <f aca="false">輸入與假設!C$291+C15*輸入與假設!$C$292</f>
        <v>0.230313756363636</v>
      </c>
      <c r="D16" s="32" t="n">
        <f aca="false">輸入與假設!D$291+D15*輸入與假設!$C$292</f>
        <v>0.532882538181818</v>
      </c>
      <c r="E16" s="32" t="n">
        <f aca="false">輸入與假設!E$291+E15*輸入與假設!$C$292</f>
        <v>0.652555905454545</v>
      </c>
      <c r="F16" s="32" t="n">
        <f aca="false">輸入與假設!F$291+F15*輸入與假設!$C$292</f>
        <v>0.761229272727273</v>
      </c>
      <c r="G16" s="32" t="n">
        <f aca="false">輸入與假設!G$291+G15*輸入與假設!$C$292</f>
        <v>0.81990264</v>
      </c>
      <c r="I16" s="6" t="s">
        <v>1130</v>
      </c>
    </row>
    <row r="17" customFormat="false" ht="15" hidden="false" customHeight="false" outlineLevel="1" collapsed="false">
      <c r="A17" s="3" t="s">
        <v>1131</v>
      </c>
      <c r="B17" s="11" t="s">
        <v>65</v>
      </c>
      <c r="C17" s="41" t="n">
        <f aca="false">輸入與假設!C$371</f>
        <v>2.01268256759658</v>
      </c>
      <c r="D17" s="41" t="n">
        <f aca="false">輸入與假設!D$371</f>
        <v>3.96503593798289</v>
      </c>
      <c r="E17" s="41" t="n">
        <f aca="false">輸入與假設!E$371</f>
        <v>3.8911125616679</v>
      </c>
      <c r="F17" s="41" t="n">
        <f aca="false">輸入與假設!F$371</f>
        <v>3.80182534979671</v>
      </c>
      <c r="G17" s="41" t="n">
        <f aca="false">輸入與假設!G$371</f>
        <v>3.62184324478607</v>
      </c>
      <c r="I17" s="6" t="str">
        <f aca="false">"6/30 債務餘額的利息。2026 全年利息＝1H 實際 1.811＋2H "&amp;TEXT(C17,"0.0")&amp;"＝"&amp;TEXT(1.811+C17,"0.00")&amp;"（見下方備忘）"</f>
        <v>6/30 債務餘額的利息。2026 全年利息＝1H 實際 1.811＋2H 2.0＝3.82（見下方備忘）</v>
      </c>
    </row>
    <row r="18" customFormat="false" ht="15" hidden="false" customHeight="false" outlineLevel="1" collapsed="false">
      <c r="A18" s="3" t="s">
        <v>1132</v>
      </c>
      <c r="B18" s="11" t="s">
        <v>65</v>
      </c>
      <c r="C18" s="32" t="n">
        <f aca="false">輸入與假設!$C$474</f>
        <v>120.53</v>
      </c>
      <c r="D18" s="32" t="n">
        <f aca="false">C56</f>
        <v>128.18251956481</v>
      </c>
      <c r="E18" s="32" t="n">
        <f aca="false">D56</f>
        <v>86.3200024092921</v>
      </c>
      <c r="F18" s="32" t="n">
        <f aca="false">E56</f>
        <v>64.5468423520706</v>
      </c>
      <c r="G18" s="32" t="n">
        <f aca="false">F56</f>
        <v>55.9807161626762</v>
      </c>
      <c r="I18" s="11" t="s">
        <v>1133</v>
      </c>
    </row>
    <row r="19" customFormat="false" ht="15" hidden="false" customHeight="false" outlineLevel="1" collapsed="false">
      <c r="A19" s="3" t="s">
        <v>1134</v>
      </c>
      <c r="B19" s="11" t="s">
        <v>42</v>
      </c>
      <c r="C19" s="40" t="n">
        <f aca="false">IF(輸入與假設!$C$364=1,輸入與假設!C$370+MAX(0,輸入與假設!$C$363-450)/100*0.004,輸入與假設!C$370)</f>
        <v>0.05</v>
      </c>
      <c r="D19" s="40" t="n">
        <f aca="false">IF(輸入與假設!$C$364=1,輸入與假設!D$370+MAX(0,輸入與假設!$C$363-450)/100*0.004,輸入與假設!D$370)</f>
        <v>0.05</v>
      </c>
      <c r="E19" s="40" t="n">
        <f aca="false">IF(輸入與假設!$C$364=1,輸入與假設!E$370+MAX(0,輸入與假設!$C$363-450)/100*0.004,輸入與假設!E$370)</f>
        <v>0.05</v>
      </c>
      <c r="F19" s="40" t="n">
        <f aca="false">IF(輸入與假設!$C$364=1,輸入與假設!F$370+MAX(0,輸入與假設!$C$363-450)/100*0.004,輸入與假設!F$370)</f>
        <v>0.05</v>
      </c>
      <c r="G19" s="40" t="n">
        <f aca="false">IF(輸入與假設!$C$364=1,輸入與假設!G$370+MAX(0,輸入與假設!$C$363-450)/100*0.004,輸入與假設!G$370)</f>
        <v>0.05</v>
      </c>
      <c r="I19" s="11" t="s">
        <v>1135</v>
      </c>
    </row>
    <row r="20" customFormat="false" ht="15" hidden="false" customHeight="false" outlineLevel="1" collapsed="false">
      <c r="A20" s="3" t="s">
        <v>1136</v>
      </c>
      <c r="B20" s="11" t="s">
        <v>65</v>
      </c>
      <c r="C20" s="32" t="n">
        <f aca="false">C94</f>
        <v>0</v>
      </c>
      <c r="D20" s="32" t="n">
        <f aca="false">D94</f>
        <v>0</v>
      </c>
      <c r="E20" s="32" t="n">
        <f aca="false">E94</f>
        <v>0</v>
      </c>
      <c r="F20" s="32" t="n">
        <f aca="false">F94</f>
        <v>0</v>
      </c>
      <c r="G20" s="32" t="n">
        <f aca="false">G94</f>
        <v>4.08827642211133</v>
      </c>
      <c r="I20" s="6" t="s">
        <v>1137</v>
      </c>
    </row>
    <row r="21" customFormat="false" ht="15" hidden="false" customHeight="false" outlineLevel="1" collapsed="false">
      <c r="A21" s="3" t="s">
        <v>1138</v>
      </c>
      <c r="B21" s="11" t="s">
        <v>65</v>
      </c>
      <c r="C21" s="32" t="n">
        <f aca="false">C17+C20</f>
        <v>2.01268256759658</v>
      </c>
      <c r="D21" s="32" t="n">
        <f aca="false">D17+D20</f>
        <v>3.96503593798289</v>
      </c>
      <c r="E21" s="32" t="n">
        <f aca="false">E17+E20</f>
        <v>3.8911125616679</v>
      </c>
      <c r="F21" s="32" t="n">
        <f aca="false">F17+F20</f>
        <v>3.80182534979671</v>
      </c>
      <c r="G21" s="32" t="n">
        <f aca="false">G17+G20</f>
        <v>7.7101196668974</v>
      </c>
    </row>
    <row r="22" customFormat="false" ht="15" hidden="false" customHeight="false" outlineLevel="1" collapsed="false">
      <c r="A22" s="4" t="s">
        <v>1139</v>
      </c>
      <c r="B22" s="11" t="s">
        <v>65</v>
      </c>
      <c r="C22" s="32" t="n">
        <f aca="false">輸入與假設!$C$478+輸入與假設!C$295</f>
        <v>57.662222</v>
      </c>
      <c r="D22" s="32" t="n">
        <f aca="false">輸入與假設!D$295</f>
        <v>4.444444</v>
      </c>
      <c r="E22" s="32" t="n">
        <f aca="false">輸入與假設!E$295</f>
        <v>4.444444</v>
      </c>
      <c r="F22" s="32" t="n">
        <f aca="false">輸入與假設!F$295</f>
        <v>4.444444</v>
      </c>
      <c r="G22" s="32" t="n">
        <f aca="false">輸入與假設!G$295</f>
        <v>4.444444</v>
      </c>
      <c r="I22" s="11" t="s">
        <v>1140</v>
      </c>
    </row>
    <row r="23" customFormat="false" ht="15" hidden="false" customHeight="false" outlineLevel="1" collapsed="false">
      <c r="A23" s="3" t="s">
        <v>1141</v>
      </c>
      <c r="B23" s="11" t="s">
        <v>65</v>
      </c>
      <c r="C23" s="32" t="n">
        <f aca="false">輸入與假設!$C$493+4*輸入與假設!$C$345*(1+輸入與假設!$C$346)^0*運營_產能與收入!C7*(輸入與假設!$C$347+0+SUMPRODUCT(資產負債_既有債務!$D$27:$D$27*資產負債_既有債務!$H$23:$H$23*(資產負債_既有債務!$G$23:$G$23&lt;0)))+輸入與假設!C$368</f>
        <v>11.1472</v>
      </c>
      <c r="D23" s="32" t="n">
        <f aca="false">4*輸入與假設!$C$345*(1+輸入與假設!$C$346)^1*運營_產能與收入!D7*(輸入與假設!$C$347+C97+SUMPRODUCT(資產負債_既有債務!$D$27:$D$27*資產負債_既有債務!$H$23:$H$23*(資產負債_既有債務!$G$23:$G$23&lt;1)))+輸入與假設!D$368</f>
        <v>12.4811080570613</v>
      </c>
      <c r="E23" s="32" t="n">
        <f aca="false">4*輸入與假設!$C$345*(1+輸入與假設!$C$346)^2*運營_產能與收入!E7*(輸入與假設!$C$347+D97+SUMPRODUCT(資產負債_既有債務!$D$27:$D$27*資產負債_既有債務!$H$23:$H$23*(資產負債_既有債務!$G$23:$G$23&lt;2)))+輸入與假設!E$368</f>
        <v>12.9979483797432</v>
      </c>
      <c r="F23" s="32" t="n">
        <f aca="false">4*輸入與假設!$C$345*(1+輸入與假設!$C$346)^3*運營_產能與收入!F7*(輸入與假設!$C$347+E97+SUMPRODUCT(資產負債_既有債務!$D$27:$D$27*資產負債_既有債務!$H$23:$H$23*(資產負債_既有債務!$G$23:$G$23&lt;3)))+輸入與假設!F$368</f>
        <v>12.9372774645506</v>
      </c>
      <c r="G23" s="32" t="n">
        <f aca="false">4*輸入與假設!$C$345*(1+輸入與假設!$C$346)^4*運營_產能與收入!G7*(輸入與假設!$C$347+F97+SUMPRODUCT(資產負債_既有債務!$D$27:$D$27*資產負債_既有債務!$H$23:$H$23*(資產負債_既有債務!$G$23:$G$23&lt;4)))+輸入與假設!G$368</f>
        <v>12.9585554107918</v>
      </c>
      <c r="I23" s="6" t="s">
        <v>1142</v>
      </c>
    </row>
    <row r="24" customFormat="false" ht="15" hidden="false" customHeight="false" outlineLevel="1" collapsed="false">
      <c r="A24" s="3" t="s">
        <v>1143</v>
      </c>
      <c r="B24" s="11" t="s">
        <v>65</v>
      </c>
      <c r="C24" s="32" t="n">
        <f aca="false">輸入與假設!$C$495+C76</f>
        <v>8.5015</v>
      </c>
      <c r="D24" s="32" t="n">
        <f aca="false">D76</f>
        <v>17.003</v>
      </c>
      <c r="E24" s="32" t="n">
        <f aca="false">E76</f>
        <v>17.003</v>
      </c>
      <c r="F24" s="32" t="n">
        <f aca="false">F76</f>
        <v>17.003</v>
      </c>
      <c r="G24" s="32" t="n">
        <f aca="false">G76</f>
        <v>0</v>
      </c>
      <c r="I24" s="11" t="s">
        <v>1144</v>
      </c>
    </row>
    <row r="25" customFormat="false" ht="15" hidden="false" customHeight="false" outlineLevel="1" collapsed="false">
      <c r="A25" s="3" t="s">
        <v>1145</v>
      </c>
      <c r="B25" s="11" t="s">
        <v>65</v>
      </c>
      <c r="C25" s="32" t="n">
        <f aca="false">IF(輸入與假設!$C$261=1,運營_產能與收入!C9*8760*輸入與假設!C$263*輸入與假設!C$262/1000000000*運營_產能與收入!C7,0)</f>
        <v>0</v>
      </c>
      <c r="D25" s="32" t="n">
        <f aca="false">IF(輸入與假設!$C$261=1,運營_產能與收入!D9*8760*輸入與假設!D$263*輸入與假設!D$262/1000000000*運營_產能與收入!D7,0)</f>
        <v>0</v>
      </c>
      <c r="E25" s="32" t="n">
        <f aca="false">IF(輸入與假設!$C$261=1,運營_產能與收入!E9*8760*輸入與假設!E$263*輸入與假設!E$262/1000000000*運營_產能與收入!E7,0)</f>
        <v>0</v>
      </c>
      <c r="F25" s="32" t="n">
        <f aca="false">IF(輸入與假設!$C$261=1,運營_產能與收入!F9*8760*輸入與假設!F$263*輸入與假設!F$262/1000000000*運營_產能與收入!F7,0)</f>
        <v>0</v>
      </c>
      <c r="G25" s="32" t="n">
        <f aca="false">IF(輸入與假設!$C$261=1,運營_產能與收入!G9*8760*輸入與假設!G$263*輸入與假設!G$262/1000000000*運營_產能與收入!G7,0)</f>
        <v>0</v>
      </c>
      <c r="I25" s="6" t="s">
        <v>1146</v>
      </c>
    </row>
    <row r="26" customFormat="false" ht="15" hidden="false" customHeight="false" outlineLevel="1" collapsed="false">
      <c r="A26" s="3" t="s">
        <v>1147</v>
      </c>
      <c r="B26" s="11" t="s">
        <v>65</v>
      </c>
      <c r="C26" s="32" t="n">
        <f aca="false">IF(輸入與假設!$C$261=1,運營_產能與收入!C9*輸入與假設!C$264/1000*運營_產能與收入!C7,0)</f>
        <v>0</v>
      </c>
      <c r="D26" s="32" t="n">
        <f aca="false">IF(輸入與假設!$C$261=1,運營_產能與收入!D9*輸入與假設!D$264/1000*運營_產能與收入!D7,0)</f>
        <v>0</v>
      </c>
      <c r="E26" s="32" t="n">
        <f aca="false">IF(輸入與假設!$C$261=1,運營_產能與收入!E9*輸入與假設!E$264/1000*運營_產能與收入!E7,0)</f>
        <v>0</v>
      </c>
      <c r="F26" s="32" t="n">
        <f aca="false">IF(輸入與假設!$C$261=1,運營_產能與收入!F9*輸入與假設!F$264/1000*運營_產能與收入!F7,0)</f>
        <v>0</v>
      </c>
      <c r="G26" s="32" t="n">
        <f aca="false">IF(輸入與假設!$C$261=1,運營_產能與收入!G9*輸入與假設!G$264/1000*運營_產能與收入!G7,0)</f>
        <v>0</v>
      </c>
    </row>
    <row r="27" customFormat="false" ht="15" hidden="false" customHeight="false" outlineLevel="1" collapsed="false">
      <c r="A27" s="3" t="s">
        <v>1148</v>
      </c>
      <c r="B27" s="11" t="s">
        <v>65</v>
      </c>
      <c r="C27" s="32" t="n">
        <f aca="false">輸入與假設!$C$480+IF(輸入與假設!$C$340=1,輸入與假設!C$369,0)+資產負債_既有債務!C38</f>
        <v>7.253</v>
      </c>
      <c r="D27" s="32" t="n">
        <f aca="false">IF(輸入與假設!$C$340=1,輸入與假設!D$369,0)+資產負債_既有債務!D38</f>
        <v>1</v>
      </c>
      <c r="E27" s="32" t="n">
        <f aca="false">IF(輸入與假設!$C$340=1,輸入與假設!E$369,0)+資產負債_既有債務!E38</f>
        <v>2.676</v>
      </c>
      <c r="F27" s="32" t="n">
        <f aca="false">IF(輸入與假設!$C$340=1,輸入與假設!F$369,0)+資產負債_既有債務!F38</f>
        <v>1.764</v>
      </c>
      <c r="G27" s="32" t="n">
        <f aca="false">IF(輸入與假設!$C$340=1,輸入與假設!G$369,0)+資產負債_既有債務!G38</f>
        <v>7.186</v>
      </c>
      <c r="I27" s="11" t="s">
        <v>1149</v>
      </c>
    </row>
    <row r="28" customFormat="false" ht="15" hidden="false" customHeight="false" outlineLevel="1" collapsed="false">
      <c r="A28" s="4" t="s">
        <v>1150</v>
      </c>
      <c r="B28" s="11" t="s">
        <v>65</v>
      </c>
      <c r="C28" s="32" t="n">
        <f aca="false">輸入與假設!$C$481</f>
        <v>1.011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1151</v>
      </c>
    </row>
    <row r="29" customFormat="false" ht="15" hidden="false" customHeight="false" outlineLevel="1" collapsed="false">
      <c r="A29" s="3" t="s">
        <v>1152</v>
      </c>
      <c r="B29" s="11" t="s">
        <v>65</v>
      </c>
      <c r="C29" s="32" t="n">
        <f aca="false">輸入與假設!$C$362*MAX(0,運營_產能與收入!C38*輸入與假設!C$258+輸入與假設!C$48+輸入與假設!C$249-輸入與假設!C$250-運營_產能與收入!C62-輸入與假設!C$332-輸入與假設!C$371)</f>
        <v>12.5027719084438</v>
      </c>
      <c r="D29" s="32" t="n">
        <f aca="false">輸入與假設!$C$362*MAX(0,運營_產能與收入!D38*輸入與假設!D$258+輸入與假設!D$48+輸入與假設!D$249-輸入與假設!D$250-運營_產能與收入!D62-輸入與假設!D$332-輸入與假設!D$371)</f>
        <v>24.4424089531642</v>
      </c>
      <c r="E29" s="32" t="n">
        <f aca="false">輸入與假設!$C$362*MAX(0,運營_產能與收入!E38*輸入與假設!E$258+輸入與假設!E$48+輸入與假設!E$249-輸入與假設!E$250-運營_產能與收入!E62-輸入與假設!E$332-輸入與假設!E$371)</f>
        <v>25.137384687144</v>
      </c>
      <c r="F29" s="32" t="n">
        <f aca="false">輸入與假設!$C$362*MAX(0,運營_產能與收入!F38*輸入與假設!F$258+輸入與假設!F$48+輸入與假設!F$249-輸入與假設!F$250-運營_產能與收入!F62-輸入與假設!F$332-輸入與假設!F$371)</f>
        <v>25.9086744398294</v>
      </c>
      <c r="G29" s="32" t="n">
        <f aca="false">輸入與假設!$C$362*MAX(0,運營_產能與收入!G38*輸入與假設!G$258+輸入與假設!G$48+輸入與假設!G$249-輸入與假設!G$250-運營_產能與收入!G62-輸入與假設!G$332-輸入與假設!G$371)</f>
        <v>25.6956290684492</v>
      </c>
      <c r="I29" s="6" t="s">
        <v>1153</v>
      </c>
    </row>
    <row r="30" customFormat="false" ht="15" hidden="false" customHeight="false" outlineLevel="1" collapsed="false">
      <c r="A30" s="2" t="s">
        <v>1154</v>
      </c>
      <c r="B30" s="11" t="s">
        <v>65</v>
      </c>
      <c r="C30" s="44" t="n">
        <f aca="false">C13+C16+C21+C22+C25+C26+C27+C28+C29+C23+C24</f>
        <v>300.320690232404</v>
      </c>
      <c r="D30" s="44" t="n">
        <f aca="false">D13+D16+D21+D22+D25+D26+D27+D28+D29+D23+D24</f>
        <v>300.667023404723</v>
      </c>
      <c r="E30" s="44" t="n">
        <f aca="false">E13+E16+E21+E22+E25+E26+E27+E28+E29+E23+E24</f>
        <v>323.187735755208</v>
      </c>
      <c r="F30" s="44" t="n">
        <f aca="false">F13+F16+F21+F22+F25+F26+F27+F28+F29+F23+F24</f>
        <v>354.272222951645</v>
      </c>
      <c r="G30" s="44" t="n">
        <f aca="false">G13+G16+G21+G22+G25+G26+G27+G28+G29+G23+G24</f>
        <v>471.436791828575</v>
      </c>
      <c r="I30" s="11" t="s">
        <v>1155</v>
      </c>
    </row>
    <row r="31" customFormat="false" ht="15" hidden="false" customHeight="false" outlineLevel="0" collapsed="false">
      <c r="A31" s="53" t="s">
        <v>1156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1157</v>
      </c>
      <c r="B32" s="11" t="s">
        <v>65</v>
      </c>
      <c r="C32" s="41" t="n">
        <f aca="false">輸入與假設!$C$475</f>
        <v>84.859</v>
      </c>
      <c r="D32" s="41" t="n">
        <f aca="false">0</f>
        <v>0</v>
      </c>
      <c r="E32" s="41" t="n">
        <f aca="false">0</f>
        <v>0</v>
      </c>
      <c r="F32" s="41" t="n">
        <f aca="false">0</f>
        <v>0</v>
      </c>
      <c r="G32" s="41" t="n">
        <f aca="false">0</f>
        <v>0</v>
      </c>
      <c r="I32" s="6" t="s">
        <v>1158</v>
      </c>
    </row>
    <row r="33" customFormat="false" ht="15" hidden="false" customHeight="false" outlineLevel="1" collapsed="false">
      <c r="A33" s="4" t="s">
        <v>1159</v>
      </c>
      <c r="B33" s="11" t="s">
        <v>65</v>
      </c>
      <c r="C33" s="41" t="n">
        <f aca="false">運營_產能與收入!C40</f>
        <v>0</v>
      </c>
      <c r="D33" s="41" t="n">
        <f aca="false">運營_產能與收入!D40</f>
        <v>0</v>
      </c>
      <c r="E33" s="41" t="n">
        <f aca="false">運營_產能與收入!E40</f>
        <v>0</v>
      </c>
      <c r="F33" s="41" t="n">
        <f aca="false">運營_產能與收入!F40</f>
        <v>0</v>
      </c>
      <c r="G33" s="41" t="n">
        <f aca="false">運營_產能與收入!G40</f>
        <v>0</v>
      </c>
    </row>
    <row r="34" customFormat="false" ht="15" hidden="false" customHeight="false" outlineLevel="1" collapsed="false">
      <c r="A34" s="3" t="s">
        <v>1160</v>
      </c>
      <c r="B34" s="11" t="s">
        <v>65</v>
      </c>
      <c r="C34" s="41" t="n">
        <f aca="false">運營_產能與收入!C41</f>
        <v>11.1345406766048</v>
      </c>
      <c r="D34" s="41" t="n">
        <f aca="false">運營_產能與收入!D41</f>
        <v>33.5385319922504</v>
      </c>
      <c r="E34" s="41" t="n">
        <f aca="false">運營_產能與收入!E41</f>
        <v>48.9478773106597</v>
      </c>
      <c r="F34" s="41" t="n">
        <f aca="false">運營_產能與收入!F41</f>
        <v>64.4768966117082</v>
      </c>
      <c r="G34" s="41" t="n">
        <f aca="false">運營_產能與收入!G41</f>
        <v>80.0659849584493</v>
      </c>
    </row>
    <row r="35" customFormat="false" ht="15" hidden="false" customHeight="false" outlineLevel="1" collapsed="false">
      <c r="A35" s="3" t="s">
        <v>1161</v>
      </c>
      <c r="B35" s="11" t="s">
        <v>65</v>
      </c>
      <c r="C35" s="41" t="n">
        <f aca="false">輸入與假設!C$259</f>
        <v>0</v>
      </c>
      <c r="D35" s="41" t="n">
        <f aca="false">輸入與假設!D$259</f>
        <v>0</v>
      </c>
      <c r="E35" s="41" t="n">
        <f aca="false">輸入與假設!E$259</f>
        <v>0</v>
      </c>
      <c r="F35" s="41" t="n">
        <f aca="false">輸入與假設!F$259</f>
        <v>0</v>
      </c>
      <c r="G35" s="41" t="n">
        <f aca="false">輸入與假設!G$259</f>
        <v>0</v>
      </c>
    </row>
    <row r="36" customFormat="false" ht="15" hidden="false" customHeight="false" outlineLevel="1" collapsed="false">
      <c r="A36" s="4" t="s">
        <v>1162</v>
      </c>
      <c r="B36" s="11" t="s">
        <v>65</v>
      </c>
      <c r="C36" s="41" t="n">
        <f aca="false">輸入與假設!C$48</f>
        <v>-2.76</v>
      </c>
      <c r="D36" s="41" t="n">
        <f aca="false">輸入與假設!D$48</f>
        <v>-11.04</v>
      </c>
      <c r="E36" s="41" t="n">
        <f aca="false">輸入與假設!E$48</f>
        <v>-11.04</v>
      </c>
      <c r="F36" s="41" t="n">
        <f aca="false">輸入與假設!F$48</f>
        <v>-5.52</v>
      </c>
      <c r="G36" s="41" t="n">
        <f aca="false">輸入與假設!G$48</f>
        <v>0</v>
      </c>
      <c r="I36" s="6" t="s">
        <v>1163</v>
      </c>
    </row>
    <row r="37" customFormat="false" ht="15" hidden="false" customHeight="false" outlineLevel="1" collapsed="false">
      <c r="A37" s="4" t="s">
        <v>1164</v>
      </c>
      <c r="B37" s="11" t="s">
        <v>65</v>
      </c>
      <c r="C37" s="41" t="n">
        <f aca="false">輸入與假設!C$249-輸入與假設!C$250</f>
        <v>92.1184892303953</v>
      </c>
      <c r="D37" s="41" t="n">
        <f aca="false">輸入與假設!D$249-輸入與假設!D$250</f>
        <v>198.485479750573</v>
      </c>
      <c r="E37" s="41" t="n">
        <f aca="false">輸入與假設!E$249-輸入與假設!E$250</f>
        <v>219.613777527856</v>
      </c>
      <c r="F37" s="41" t="n">
        <f aca="false">輸入與假設!F$249-輸入與假設!F$250</f>
        <v>237.258313308896</v>
      </c>
      <c r="G37" s="41" t="n">
        <f aca="false">輸入與假設!G$249-輸入與假設!G$250</f>
        <v>249.508465332384</v>
      </c>
      <c r="I37" s="6" t="s">
        <v>1165</v>
      </c>
    </row>
    <row r="38" customFormat="false" ht="15" hidden="false" customHeight="false" outlineLevel="1" collapsed="false">
      <c r="A38" s="4" t="s">
        <v>1166</v>
      </c>
      <c r="B38" s="11" t="s">
        <v>65</v>
      </c>
      <c r="C38" s="32" t="n">
        <f aca="false">-運營_產能與收入!C62</f>
        <v>-0</v>
      </c>
      <c r="D38" s="32" t="n">
        <f aca="false">-運營_產能與收入!D62</f>
        <v>-0</v>
      </c>
      <c r="E38" s="32" t="n">
        <f aca="false">-運營_產能與收入!E62</f>
        <v>-0</v>
      </c>
      <c r="F38" s="32" t="n">
        <f aca="false">-運營_產能與收入!F62</f>
        <v>-0</v>
      </c>
      <c r="G38" s="32" t="n">
        <f aca="false">-運營_產能與收入!G62</f>
        <v>-0</v>
      </c>
      <c r="I38" s="6" t="s">
        <v>1167</v>
      </c>
    </row>
    <row r="39" customFormat="false" ht="15" hidden="false" customHeight="false" outlineLevel="1" collapsed="false">
      <c r="A39" s="4" t="s">
        <v>1168</v>
      </c>
      <c r="B39" s="11" t="s">
        <v>65</v>
      </c>
      <c r="C39" s="32" t="n">
        <f aca="false">輸入與假設!$C$49*(運營_產能與收入!C38+輸入與假設!C$248)</f>
        <v>16.5761798902142</v>
      </c>
      <c r="D39" s="32" t="n">
        <f aca="false">輸入與假設!$C$49*(運營_產能與收入!D38+輸入與假設!D$248)</f>
        <v>37.8204945063809</v>
      </c>
      <c r="E39" s="32" t="n">
        <f aca="false">輸入與假設!$C$49*(運營_產能與收入!E38+輸入與假設!E$248)</f>
        <v>43.8929208594709</v>
      </c>
      <c r="F39" s="32" t="n">
        <f aca="false">輸入與假設!$C$49*(運營_產能與收入!F38+輸入與假設!F$248)</f>
        <v>49.4908868416467</v>
      </c>
      <c r="G39" s="32" t="n">
        <f aca="false">輸入與假設!$C$49*(運營_產能與收入!G38+輸入與假設!G$248)</f>
        <v>54.1160969328393</v>
      </c>
      <c r="I39" s="6" t="s">
        <v>1169</v>
      </c>
    </row>
    <row r="40" customFormat="false" ht="15" hidden="false" customHeight="false" outlineLevel="1" collapsed="false">
      <c r="A40" s="4" t="s">
        <v>1170</v>
      </c>
      <c r="B40" s="11" t="s">
        <v>65</v>
      </c>
      <c r="C40" s="32" t="n">
        <f aca="false">IF(ISBLANK(輸入與假設!$C$50),0,輸入與假設!$C$50)</f>
        <v>8.49</v>
      </c>
      <c r="D40" s="32" t="n">
        <f aca="false">0</f>
        <v>0</v>
      </c>
      <c r="E40" s="32" t="n">
        <f aca="false">0</f>
        <v>0</v>
      </c>
      <c r="F40" s="32" t="n">
        <f aca="false">0</f>
        <v>0</v>
      </c>
      <c r="G40" s="32" t="n">
        <f aca="false">0</f>
        <v>0</v>
      </c>
      <c r="I40" s="11" t="s">
        <v>1171</v>
      </c>
    </row>
    <row r="41" customFormat="false" ht="15" hidden="false" customHeight="false" outlineLevel="1" collapsed="false">
      <c r="A41" s="3" t="s">
        <v>1172</v>
      </c>
      <c r="B41" s="11" t="s">
        <v>65</v>
      </c>
      <c r="C41" s="32" t="n">
        <f aca="false">C8</f>
        <v>0</v>
      </c>
      <c r="D41" s="32" t="n">
        <f aca="false">D8</f>
        <v>0</v>
      </c>
      <c r="E41" s="32" t="n">
        <f aca="false">E8</f>
        <v>0</v>
      </c>
      <c r="F41" s="32" t="n">
        <f aca="false">F8</f>
        <v>0</v>
      </c>
      <c r="G41" s="32" t="n">
        <f aca="false">G8</f>
        <v>0</v>
      </c>
    </row>
    <row r="42" customFormat="false" ht="15" hidden="false" customHeight="false" outlineLevel="1" collapsed="false">
      <c r="A42" s="4" t="s">
        <v>1173</v>
      </c>
      <c r="B42" s="11" t="s">
        <v>65</v>
      </c>
      <c r="C42" s="32" t="n">
        <f aca="false">-C11</f>
        <v>-0</v>
      </c>
      <c r="D42" s="32" t="n">
        <f aca="false">-D11</f>
        <v>-0</v>
      </c>
      <c r="E42" s="32" t="n">
        <f aca="false">-E11</f>
        <v>-0</v>
      </c>
      <c r="F42" s="32" t="n">
        <f aca="false">-F11</f>
        <v>-0</v>
      </c>
      <c r="G42" s="32" t="n">
        <f aca="false">-G11</f>
        <v>-0</v>
      </c>
      <c r="I42" s="6" t="s">
        <v>1174</v>
      </c>
    </row>
    <row r="43" customFormat="false" ht="15" hidden="false" customHeight="false" outlineLevel="1" collapsed="false">
      <c r="A43" s="2" t="s">
        <v>1175</v>
      </c>
      <c r="B43" s="11" t="s">
        <v>65</v>
      </c>
      <c r="C43" s="44" t="n">
        <f aca="false">C32+C33+C34+C35+C36+C37+C38+C39+C40+C41+C42</f>
        <v>210.418209797214</v>
      </c>
      <c r="D43" s="44" t="n">
        <f aca="false">D32+D33+D34+D35+D36+D37+D38+D39+D40+D41+D42</f>
        <v>258.804506249205</v>
      </c>
      <c r="E43" s="44" t="n">
        <f aca="false">E32+E33+E34+E35+E36+E37+E38+E39+E40+E41+E42</f>
        <v>301.414575697987</v>
      </c>
      <c r="F43" s="44" t="n">
        <f aca="false">F32+F33+F34+F35+F36+F37+F38+F39+F40+F41+F42</f>
        <v>345.706096762251</v>
      </c>
      <c r="G43" s="44" t="n">
        <f aca="false">G32+G33+G34+G35+G36+G37+G38+G39+G40+G41+G42</f>
        <v>383.690547223673</v>
      </c>
    </row>
    <row r="44" customFormat="false" ht="15" hidden="false" customHeight="false" outlineLevel="1" collapsed="false">
      <c r="A44" s="2" t="s">
        <v>1176</v>
      </c>
      <c r="B44" s="11" t="s">
        <v>65</v>
      </c>
      <c r="C44" s="44" t="n">
        <f aca="false">C43-C29-C21-C13</f>
        <v>-4.09724467882612</v>
      </c>
      <c r="D44" s="44" t="n">
        <f aca="false">D43-D29-D21-D13</f>
        <v>-6.40108256027492</v>
      </c>
      <c r="E44" s="44" t="n">
        <f aca="false">E43-E29-E21-E13</f>
        <v>16.0007882279762</v>
      </c>
      <c r="F44" s="44" t="n">
        <f aca="false">F43-F29-F21-F13</f>
        <v>28.3438245478835</v>
      </c>
      <c r="G44" s="44" t="n">
        <f aca="false">G43-G29-G21-G13</f>
        <v>-62.3373425541111</v>
      </c>
      <c r="I44" s="6" t="s">
        <v>1177</v>
      </c>
    </row>
    <row r="45" customFormat="false" ht="15" hidden="false" customHeight="false" outlineLevel="1" collapsed="false">
      <c r="A45" s="3" t="s">
        <v>1178</v>
      </c>
      <c r="B45" s="11" t="s">
        <v>65</v>
      </c>
      <c r="C45" s="32" t="n">
        <f aca="false">輸入與假設!$C$482+IF(輸入與假設!$C$337=1,輸入與假設!$C$336,0)</f>
        <v>49.562</v>
      </c>
      <c r="D45" s="32" t="n">
        <f aca="false">0</f>
        <v>0</v>
      </c>
      <c r="E45" s="32" t="n">
        <f aca="false">0</f>
        <v>0</v>
      </c>
      <c r="F45" s="32" t="n">
        <f aca="false">0</f>
        <v>0</v>
      </c>
      <c r="G45" s="32" t="n">
        <f aca="false">0</f>
        <v>0</v>
      </c>
      <c r="I45" s="11" t="s">
        <v>1179</v>
      </c>
    </row>
    <row r="46" customFormat="false" ht="15" hidden="false" customHeight="false" outlineLevel="1" collapsed="false">
      <c r="A46" s="4" t="s">
        <v>1180</v>
      </c>
      <c r="B46" s="11" t="s">
        <v>65</v>
      </c>
      <c r="C46" s="41" t="n">
        <f aca="false">輸入與假設!$C$479</f>
        <v>56.226</v>
      </c>
      <c r="D46" s="41" t="n">
        <f aca="false">0</f>
        <v>0</v>
      </c>
      <c r="E46" s="41" t="n">
        <f aca="false">0</f>
        <v>0</v>
      </c>
      <c r="F46" s="41" t="n">
        <f aca="false">0</f>
        <v>0</v>
      </c>
      <c r="G46" s="41" t="n">
        <f aca="false">0</f>
        <v>0</v>
      </c>
      <c r="I46" s="6" t="s">
        <v>1181</v>
      </c>
    </row>
    <row r="47" customFormat="false" ht="15" hidden="false" customHeight="false" outlineLevel="1" collapsed="false">
      <c r="A47" s="3" t="s">
        <v>1182</v>
      </c>
      <c r="B47" s="11" t="s">
        <v>65</v>
      </c>
      <c r="C47" s="32" t="n">
        <f aca="false">C86</f>
        <v>0</v>
      </c>
      <c r="D47" s="32" t="n">
        <f aca="false">D86</f>
        <v>0</v>
      </c>
      <c r="E47" s="32" t="n">
        <f aca="false">E86</f>
        <v>0</v>
      </c>
      <c r="F47" s="32" t="n">
        <f aca="false">F86</f>
        <v>0</v>
      </c>
      <c r="G47" s="32" t="n">
        <f aca="false">G86</f>
        <v>81.7655284422266</v>
      </c>
      <c r="I47" s="6" t="s">
        <v>1183</v>
      </c>
    </row>
    <row r="48" customFormat="false" ht="15" hidden="false" customHeight="false" outlineLevel="1" collapsed="false">
      <c r="A48" s="4" t="s">
        <v>1184</v>
      </c>
      <c r="B48" s="11" t="s">
        <v>65</v>
      </c>
      <c r="C48" s="32" t="n">
        <f aca="false">C89</f>
        <v>0</v>
      </c>
      <c r="D48" s="32" t="n">
        <f aca="false">D89</f>
        <v>0</v>
      </c>
      <c r="E48" s="32" t="n">
        <f aca="false">E89</f>
        <v>0</v>
      </c>
      <c r="F48" s="32" t="n">
        <f aca="false">F89</f>
        <v>0</v>
      </c>
      <c r="G48" s="32" t="n">
        <f aca="false">G89</f>
        <v>0</v>
      </c>
      <c r="I48" s="6" t="s">
        <v>1185</v>
      </c>
    </row>
    <row r="49" customFormat="false" ht="15" hidden="false" customHeight="false" outlineLevel="1" collapsed="false">
      <c r="A49" s="3" t="s">
        <v>1186</v>
      </c>
      <c r="B49" s="11" t="s">
        <v>65</v>
      </c>
      <c r="C49" s="32" t="n">
        <f aca="false">C92</f>
        <v>0</v>
      </c>
      <c r="D49" s="32" t="n">
        <f aca="false">D92</f>
        <v>0</v>
      </c>
      <c r="E49" s="32" t="n">
        <f aca="false">E92</f>
        <v>0</v>
      </c>
      <c r="F49" s="32" t="n">
        <f aca="false">F92</f>
        <v>0</v>
      </c>
      <c r="G49" s="32" t="n">
        <f aca="false">G92</f>
        <v>0</v>
      </c>
      <c r="I49" s="6" t="s">
        <v>1187</v>
      </c>
    </row>
    <row r="50" customFormat="false" ht="15" hidden="false" customHeight="false" outlineLevel="1" collapsed="false">
      <c r="A50" s="3" t="s">
        <v>1188</v>
      </c>
      <c r="B50" s="11" t="s">
        <v>65</v>
      </c>
      <c r="C50" s="32" t="n">
        <f aca="false">C93</f>
        <v>0</v>
      </c>
      <c r="D50" s="32" t="n">
        <f aca="false">D93</f>
        <v>0</v>
      </c>
      <c r="E50" s="32" t="n">
        <f aca="false">E93</f>
        <v>0</v>
      </c>
      <c r="F50" s="32" t="n">
        <f aca="false">F93</f>
        <v>0</v>
      </c>
      <c r="G50" s="32" t="n">
        <f aca="false">G93</f>
        <v>0</v>
      </c>
      <c r="I50" s="6" t="s">
        <v>1189</v>
      </c>
    </row>
    <row r="51" customFormat="false" ht="15" hidden="false" customHeight="false" outlineLevel="1" collapsed="false">
      <c r="A51" s="2" t="s">
        <v>1190</v>
      </c>
      <c r="B51" s="11" t="s">
        <v>65</v>
      </c>
      <c r="C51" s="44" t="n">
        <f aca="false">C43+C45+C46+C47+C48+C49+C50</f>
        <v>316.206209797214</v>
      </c>
      <c r="D51" s="44" t="n">
        <f aca="false">D43+D45+D46+D47+D48+D49+D50</f>
        <v>258.804506249205</v>
      </c>
      <c r="E51" s="44" t="n">
        <f aca="false">E43+E45+E46+E47+E48+E49+E50</f>
        <v>301.414575697987</v>
      </c>
      <c r="F51" s="44" t="n">
        <f aca="false">F43+F45+F46+F47+F48+F49+F50</f>
        <v>345.706096762251</v>
      </c>
      <c r="G51" s="44" t="n">
        <f aca="false">G43+G45+G46+G47+G48+G49+G50</f>
        <v>465.456075665899</v>
      </c>
    </row>
    <row r="52" customFormat="false" ht="15" hidden="false" customHeight="false" outlineLevel="0" collapsed="false">
      <c r="A52" s="53" t="s">
        <v>1191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1192</v>
      </c>
      <c r="B53" s="11" t="s">
        <v>65</v>
      </c>
      <c r="C53" s="32" t="n">
        <f aca="false">輸入與假設!$C$335-(輸入與假設!$C$474+輸入與假設!$C$475+輸入與假設!$C$479+輸入與假設!$C$482-輸入與假設!$C$476-輸入與假設!$C$478-輸入與假設!$C$480-輸入與假設!$C$481-輸入與假設!$C$493-輸入與假設!$C$495)</f>
        <v>-8.23300000000003</v>
      </c>
      <c r="D53" s="32" t="n">
        <f aca="false">0</f>
        <v>0</v>
      </c>
      <c r="E53" s="32" t="n">
        <f aca="false">0</f>
        <v>0</v>
      </c>
      <c r="F53" s="32" t="n">
        <f aca="false">0</f>
        <v>0</v>
      </c>
      <c r="G53" s="32" t="n">
        <f aca="false">0</f>
        <v>0</v>
      </c>
      <c r="I53" s="6" t="s">
        <v>1193</v>
      </c>
    </row>
    <row r="54" customFormat="false" ht="15" hidden="false" customHeight="false" outlineLevel="1" collapsed="false">
      <c r="A54" s="2" t="s">
        <v>1194</v>
      </c>
      <c r="B54" s="11" t="s">
        <v>65</v>
      </c>
      <c r="C54" s="44" t="n">
        <f aca="false">C43-(C30-C27-C28)</f>
        <v>-81.6384804351898</v>
      </c>
      <c r="D54" s="44" t="n">
        <f aca="false">D43-(D30-D27-D28)</f>
        <v>-40.8625171555181</v>
      </c>
      <c r="E54" s="44" t="n">
        <f aca="false">E43-(E30-E27-E28)</f>
        <v>-19.0971600572215</v>
      </c>
      <c r="F54" s="44" t="n">
        <f aca="false">F43-(F30-F27-F28)</f>
        <v>-6.80212618939436</v>
      </c>
      <c r="G54" s="44" t="n">
        <f aca="false">G43-(G30-G27-G28)</f>
        <v>-80.5602446049028</v>
      </c>
      <c r="I54" s="6" t="s">
        <v>1195</v>
      </c>
    </row>
    <row r="55" customFormat="false" ht="15" hidden="false" customHeight="false" outlineLevel="1" collapsed="false">
      <c r="A55" s="3" t="s">
        <v>1196</v>
      </c>
      <c r="B55" s="11" t="s">
        <v>65</v>
      </c>
      <c r="C55" s="32" t="n">
        <f aca="false">C51-C30+C53</f>
        <v>7.65251956481021</v>
      </c>
      <c r="D55" s="32" t="n">
        <f aca="false">D51-D30+D53</f>
        <v>-41.8625171555181</v>
      </c>
      <c r="E55" s="32" t="n">
        <f aca="false">E51-E30+E53</f>
        <v>-21.7731600572215</v>
      </c>
      <c r="F55" s="32" t="n">
        <f aca="false">F51-F30+F53</f>
        <v>-8.56612618939437</v>
      </c>
      <c r="G55" s="32" t="n">
        <f aca="false">G51-G30+G53</f>
        <v>-5.98071616267623</v>
      </c>
    </row>
    <row r="56" customFormat="false" ht="15" hidden="false" customHeight="false" outlineLevel="1" collapsed="false">
      <c r="A56" s="2" t="s">
        <v>1197</v>
      </c>
      <c r="B56" s="11" t="s">
        <v>65</v>
      </c>
      <c r="C56" s="44" t="n">
        <f aca="false">C18+C55</f>
        <v>128.18251956481</v>
      </c>
      <c r="D56" s="44" t="n">
        <f aca="false">D18+D55</f>
        <v>86.3200024092921</v>
      </c>
      <c r="E56" s="44" t="n">
        <f aca="false">E18+E55</f>
        <v>64.5468423520706</v>
      </c>
      <c r="F56" s="44" t="n">
        <f aca="false">F18+F55</f>
        <v>55.9807161626762</v>
      </c>
      <c r="G56" s="44" t="n">
        <f aca="false">G18+G55</f>
        <v>50</v>
      </c>
      <c r="I56" s="6" t="s">
        <v>1198</v>
      </c>
    </row>
    <row r="58" customFormat="false" ht="15" hidden="false" customHeight="false" outlineLevel="0" collapsed="false">
      <c r="A58" s="53" t="s">
        <v>1199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1200</v>
      </c>
      <c r="B59" s="11" t="s">
        <v>42</v>
      </c>
      <c r="C59" s="23" t="n">
        <v>0.038</v>
      </c>
      <c r="I59" s="11" t="s">
        <v>1201</v>
      </c>
    </row>
    <row r="60" customFormat="false" ht="15" hidden="false" customHeight="false" outlineLevel="1" collapsed="false">
      <c r="A60" s="3" t="s">
        <v>1202</v>
      </c>
      <c r="B60" s="6" t="s">
        <v>184</v>
      </c>
      <c r="C60" s="25" t="n">
        <v>8</v>
      </c>
      <c r="I60" s="6" t="s">
        <v>1203</v>
      </c>
    </row>
    <row r="61" customFormat="false" ht="15" hidden="false" customHeight="false" outlineLevel="1" collapsed="false">
      <c r="A61" s="3" t="s">
        <v>1204</v>
      </c>
      <c r="B61" s="11" t="s">
        <v>65</v>
      </c>
      <c r="C61" s="32" t="n">
        <f aca="false">輸入與假設!D$288*(1+各期收支!$C$59)^(-(運營_產能與收入!$D$51-運營_產能與收入!$D$7/2-運營_產能與收入!$C$51))+輸入與假設!E$288*(1+各期收支!$C$59)^(-(運營_產能與收入!$E$51-運營_產能與收入!$E$7/2-運營_產能與收入!$C$51))+輸入與假設!F$288*(1+各期收支!$C$59)^(-(運營_產能與收入!$F$51-運營_產能與收入!$F$7/2-運營_產能與收入!$C$51))+輸入與假設!G$288*(1+各期收支!$C$59)^(-(運營_產能與收入!$G$51-運營_產能與收入!$G$7/2-運營_產能與收入!$C$51))+9.707/各期收支!$C$60*(1+各期收支!$C$59)^0.5*(1-(1+各期收支!$C$59)^(-各期收支!$C$60))/各期收支!$C$59*(1+各期收支!$C$59)^(-(運營_產能與收入!$G$51-運營_產能與收入!$C$51))</f>
        <v>18.9325657023888</v>
      </c>
      <c r="D61" s="32" t="n">
        <f aca="false">輸入與假設!E$288*(1+各期收支!$C$59)^(-(運營_產能與收入!$E$51-運營_產能與收入!$E$7/2-運營_產能與收入!$D$51))+輸入與假設!F$288*(1+各期收支!$C$59)^(-(運營_產能與收入!$F$51-運營_產能與收入!$F$7/2-運營_產能與收入!$D$51))+輸入與假設!G$288*(1+各期收支!$C$59)^(-(運營_產能與收入!$G$51-運營_產能與收入!$G$7/2-運營_產能與收入!$D$51))+9.707/各期收支!$C$60*(1+各期收支!$C$59)^0.5*(1-(1+各期收支!$C$59)^(-各期收支!$C$60))/各期收支!$C$59*(1+各期收支!$C$59)^(-(運營_產能與收入!$G$51-運營_產能與收入!$D$51))</f>
        <v>15.6938764262235</v>
      </c>
      <c r="E61" s="32" t="n">
        <f aca="false">輸入與假設!F$288*(1+各期收支!$C$59)^(-(運營_產能與收入!$F$51-運營_產能與收入!$F$7/2-運營_產能與收入!$E$51))+輸入與假設!G$288*(1+各期收支!$C$59)^(-(運營_產能與收入!$G$51-運營_產能與收入!$G$7/2-運營_產能與收入!$E$51))+9.707/各期收支!$C$60*(1+各期收支!$C$59)^0.5*(1-(1+各期收支!$C$59)^(-各期收支!$C$60))/各期收支!$C$59*(1+各期收支!$C$59)^(-(運營_產能與收入!$G$51-運營_產能與收入!$E$51))</f>
        <v>12.8710742452964</v>
      </c>
      <c r="F61" s="32" t="n">
        <f aca="false">輸入與假設!G$288*(1+各期收支!$C$59)^(-(運營_產能與收入!$G$51-運營_產能與收入!$G$7/2-運營_產能與收入!$F$51))+9.707/各期收支!$C$60*(1+各期收支!$C$59)^0.5*(1-(1+各期收支!$C$59)^(-各期收支!$C$60))/各期收支!$C$59*(1+各期收支!$C$59)^(-(運營_產能與收入!$G$51-運營_產能與收入!$F$51))</f>
        <v>10.3729864699603</v>
      </c>
      <c r="G61" s="32" t="n">
        <f aca="false">9.707/各期收支!$C$60*(1+各期收支!$C$59)^0.5*(1-(1+各期收支!$C$59)^(-各期收支!$C$60))/各期收支!$C$59*(1+各期收支!$C$59)^(-(運營_產能與收入!$G$51-運營_產能與收入!$G$51))</f>
        <v>8.39228389210513</v>
      </c>
      <c r="I61" s="6" t="s">
        <v>1205</v>
      </c>
    </row>
    <row r="62" customFormat="false" ht="15" hidden="false" customHeight="false" outlineLevel="1" collapsed="false">
      <c r="A62" s="3" t="s">
        <v>1206</v>
      </c>
      <c r="B62" s="11" t="s">
        <v>65</v>
      </c>
      <c r="C62" s="32" t="n">
        <f aca="false">IF(OR(運營_產能與收入!$C$50&lt;=0,運營_產能與收入!$C$56&lt;=0),1*輸入與假設!$C$19/輸入與假設!$C$21/輸入與假設!$C$22/4/((1+各期收支!$C$59)^0.25-1)*(MIN(MAX(0,輸入與假設!C$289-(輸入與假設!$C$20)),輸入與假設!$C$21)-(1+各期收支!$C$59)^(-(4*輸入與假設!$C$22-MAX(0,輸入與假設!C$289-(輸入與假設!$C$20)))/4)*(1-(1+各期收支!$C$59)^(-MIN(MAX(0,輸入與假設!C$289-(輸入與假設!$C$20)),輸入與假設!$C$21)/4))/(1-(1+各期收支!$C$59)^(-0.25))),(1-運營_產能與收入!$C$56)*輸入與假設!$C$19/輸入與假設!$C$21/輸入與假設!$C$22/4/((1+各期收支!$C$59)^0.25-1)*(MIN(MAX(0,輸入與假設!C$289-(輸入與假設!$C$20)),輸入與假設!$C$21)-(1+各期收支!$C$59)^(-(4*輸入與假設!$C$22-MAX(0,輸入與假設!C$289-(輸入與假設!$C$20)))/4)*(1-(1+各期收支!$C$59)^(-MIN(MAX(0,輸入與假設!C$289-(輸入與假設!$C$20)),輸入與假設!$C$21)/4))/(1-(1+各期收支!$C$59)^(-0.25)))+運營_產能與收入!$C$56*輸入與假設!$C$19/輸入與假設!$C$21/輸入與假設!$C$22/4/((1+各期收支!$C$59)^0.25-1)*(MIN(MAX(0,輸入與假設!C$289-(輸入與假設!$C$20+運營_產能與收入!$C$50/3)),輸入與假設!$C$21)-(1+各期收支!$C$59)^(-(4*輸入與假設!$C$22-MAX(0,輸入與假設!C$289-(輸入與假設!$C$20+運營_產能與收入!$C$50/3)))/4)*(1-(1+各期收支!$C$59)^(-MIN(MAX(0,輸入與假設!C$289-(輸入與假設!$C$20+運營_產能與收入!$C$50/3)),輸入與假設!$C$21)/4))/(1-(1+各期收支!$C$59)^(-0.25))))</f>
        <v>5.79356770907146</v>
      </c>
      <c r="D62" s="32" t="n">
        <f aca="false">IF(OR(運營_產能與收入!$C$50&lt;=0,運營_產能與收入!$C$56&lt;=0),1*輸入與假設!$C$19/輸入與假設!$C$21/輸入與假設!$C$22/4/((1+各期收支!$C$59)^0.25-1)*(MIN(MAX(0,輸入與假設!D$289-(輸入與假設!$C$20)),輸入與假設!$C$21)-(1+各期收支!$C$59)^(-(4*輸入與假設!$C$22-MAX(0,輸入與假設!D$289-(輸入與假設!$C$20)))/4)*(1-(1+各期收支!$C$59)^(-MIN(MAX(0,輸入與假設!D$289-(輸入與假設!$C$20)),輸入與假設!$C$21)/4))/(1-(1+各期收支!$C$59)^(-0.25))),(1-運營_產能與收入!$C$56)*輸入與假設!$C$19/輸入與假設!$C$21/輸入與假設!$C$22/4/((1+各期收支!$C$59)^0.25-1)*(MIN(MAX(0,輸入與假設!D$289-(輸入與假設!$C$20)),輸入與假設!$C$21)-(1+各期收支!$C$59)^(-(4*輸入與假設!$C$22-MAX(0,輸入與假設!D$289-(輸入與假設!$C$20)))/4)*(1-(1+各期收支!$C$59)^(-MIN(MAX(0,輸入與假設!D$289-(輸入與假設!$C$20)),輸入與假設!$C$21)/4))/(1-(1+各期收支!$C$59)^(-0.25)))+運營_產能與收入!$C$56*輸入與假設!$C$19/輸入與假設!$C$21/輸入與假設!$C$22/4/((1+各期收支!$C$59)^0.25-1)*(MIN(MAX(0,輸入與假設!D$289-(輸入與假設!$C$20+運營_產能與收入!$C$50/3)),輸入與假設!$C$21)-(1+各期收支!$C$59)^(-(4*輸入與假設!$C$22-MAX(0,輸入與假設!D$289-(輸入與假設!$C$20+運營_產能與收入!$C$50/3)))/4)*(1-(1+各期收支!$C$59)^(-MIN(MAX(0,輸入與假設!D$289-(輸入與假設!$C$20+運營_產能與收入!$C$50/3)),輸入與假設!$C$21)/4))/(1-(1+各期收支!$C$59)^(-0.25))))</f>
        <v>16.9268544264945</v>
      </c>
      <c r="E62" s="32" t="n">
        <f aca="false">IF(OR(運營_產能與收入!$C$50&lt;=0,運營_產能與收入!$C$56&lt;=0),1*輸入與假設!$C$19/輸入與假設!$C$21/輸入與假設!$C$22/4/((1+各期收支!$C$59)^0.25-1)*(MIN(MAX(0,輸入與假設!E$289-(輸入與假設!$C$20)),輸入與假設!$C$21)-(1+各期收支!$C$59)^(-(4*輸入與假設!$C$22-MAX(0,輸入與假設!E$289-(輸入與假設!$C$20)))/4)*(1-(1+各期收支!$C$59)^(-MIN(MAX(0,輸入與假設!E$289-(輸入與假設!$C$20)),輸入與假設!$C$21)/4))/(1-(1+各期收支!$C$59)^(-0.25))),(1-運營_產能與收入!$C$56)*輸入與假設!$C$19/輸入與假設!$C$21/輸入與假設!$C$22/4/((1+各期收支!$C$59)^0.25-1)*(MIN(MAX(0,輸入與假設!E$289-(輸入與假設!$C$20)),輸入與假設!$C$21)-(1+各期收支!$C$59)^(-(4*輸入與假設!$C$22-MAX(0,輸入與假設!E$289-(輸入與假設!$C$20)))/4)*(1-(1+各期收支!$C$59)^(-MIN(MAX(0,輸入與假設!E$289-(輸入與假設!$C$20)),輸入與假設!$C$21)/4))/(1-(1+各期收支!$C$59)^(-0.25)))+運營_產能與收入!$C$56*輸入與假設!$C$19/輸入與假設!$C$21/輸入與假設!$C$22/4/((1+各期收支!$C$59)^0.25-1)*(MIN(MAX(0,輸入與假設!E$289-(輸入與假設!$C$20+運營_產能與收入!$C$50/3)),輸入與假設!$C$21)-(1+各期收支!$C$59)^(-(4*輸入與假設!$C$22-MAX(0,輸入與假設!E$289-(輸入與假設!$C$20+運營_產能與收入!$C$50/3)))/4)*(1-(1+各期收支!$C$59)^(-MIN(MAX(0,輸入與假設!E$289-(輸入與假設!$C$20+運營_產能與收入!$C$50/3)),輸入與假設!$C$21)/4))/(1-(1+各期收支!$C$59)^(-0.25))))</f>
        <v>27.435876745485</v>
      </c>
      <c r="F62" s="32" t="n">
        <f aca="false">IF(OR(運營_產能與收入!$C$50&lt;=0,運營_產能與收入!$C$56&lt;=0),1*輸入與假設!$C$19/輸入與假設!$C$21/輸入與假設!$C$22/4/((1+各期收支!$C$59)^0.25-1)*(MIN(MAX(0,輸入與假設!F$289-(輸入與假設!$C$20)),輸入與假設!$C$21)-(1+各期收支!$C$59)^(-(4*輸入與假設!$C$22-MAX(0,輸入與假設!F$289-(輸入與假設!$C$20)))/4)*(1-(1+各期收支!$C$59)^(-MIN(MAX(0,輸入與假設!F$289-(輸入與假設!$C$20)),輸入與假設!$C$21)/4))/(1-(1+各期收支!$C$59)^(-0.25))),(1-運營_產能與收入!$C$56)*輸入與假設!$C$19/輸入與假設!$C$21/輸入與假設!$C$22/4/((1+各期收支!$C$59)^0.25-1)*(MIN(MAX(0,輸入與假設!F$289-(輸入與假設!$C$20)),輸入與假設!$C$21)-(1+各期收支!$C$59)^(-(4*輸入與假設!$C$22-MAX(0,輸入與假設!F$289-(輸入與假設!$C$20)))/4)*(1-(1+各期收支!$C$59)^(-MIN(MAX(0,輸入與假設!F$289-(輸入與假設!$C$20)),輸入與假設!$C$21)/4))/(1-(1+各期收支!$C$59)^(-0.25)))+運營_產能與收入!$C$56*輸入與假設!$C$19/輸入與假設!$C$21/輸入與假設!$C$22/4/((1+各期收支!$C$59)^0.25-1)*(MIN(MAX(0,輸入與假設!F$289-(輸入與假設!$C$20+運營_產能與收入!$C$50/3)),輸入與假設!$C$21)-(1+各期收支!$C$59)^(-(4*輸入與假設!$C$22-MAX(0,輸入與假設!F$289-(輸入與假設!$C$20+運營_產能與收入!$C$50/3)))/4)*(1-(1+各期收支!$C$59)^(-MIN(MAX(0,輸入與假設!F$289-(輸入與假設!$C$20+運營_產能與收入!$C$50/3)),輸入與假設!$C$21)/4))/(1-(1+各期收支!$C$59)^(-0.25))))</f>
        <v>37.2969126189025</v>
      </c>
      <c r="G62" s="32" t="n">
        <f aca="false">IF(OR(運營_產能與收入!$C$50&lt;=0,運營_產能與收入!$C$56&lt;=0),1*輸入與假設!$C$19/輸入與假設!$C$21/輸入與假設!$C$22/4/((1+各期收支!$C$59)^0.25-1)*(MIN(MAX(0,輸入與假設!G$289-(輸入與假設!$C$20)),輸入與假設!$C$21)-(1+各期收支!$C$59)^(-(4*輸入與假設!$C$22-MAX(0,輸入與假設!G$289-(輸入與假設!$C$20)))/4)*(1-(1+各期收支!$C$59)^(-MIN(MAX(0,輸入與假設!G$289-(輸入與假設!$C$20)),輸入與假設!$C$21)/4))/(1-(1+各期收支!$C$59)^(-0.25))),(1-運營_產能與收入!$C$56)*輸入與假設!$C$19/輸入與假設!$C$21/輸入與假設!$C$22/4/((1+各期收支!$C$59)^0.25-1)*(MIN(MAX(0,輸入與假設!G$289-(輸入與假設!$C$20)),輸入與假設!$C$21)-(1+各期收支!$C$59)^(-(4*輸入與假設!$C$22-MAX(0,輸入與假設!G$289-(輸入與假設!$C$20)))/4)*(1-(1+各期收支!$C$59)^(-MIN(MAX(0,輸入與假設!G$289-(輸入與假設!$C$20)),輸入與假設!$C$21)/4))/(1-(1+各期收支!$C$59)^(-0.25)))+運營_產能與收入!$C$56*輸入與假設!$C$19/輸入與假設!$C$21/輸入與假設!$C$22/4/((1+各期收支!$C$59)^0.25-1)*(MIN(MAX(0,輸入與假設!G$289-(輸入與假設!$C$20+運營_產能與收入!$C$50/3)),輸入與假設!$C$21)-(1+各期收支!$C$59)^(-(4*輸入與假設!$C$22-MAX(0,輸入與假設!G$289-(輸入與假設!$C$20+運營_產能與收入!$C$50/3)))/4)*(1-(1+各期收支!$C$59)^(-MIN(MAX(0,輸入與假設!G$289-(輸入與假設!$C$20+運營_產能與收入!$C$50/3)),輸入與假設!$C$21)/4))/(1-(1+各期收支!$C$59)^(-0.25))))</f>
        <v>46.4853385618154</v>
      </c>
      <c r="I62" s="6" t="s">
        <v>1207</v>
      </c>
    </row>
    <row r="63" customFormat="false" ht="15" hidden="false" customHeight="false" outlineLevel="1" collapsed="false">
      <c r="A63" s="2" t="s">
        <v>1208</v>
      </c>
      <c r="B63" s="11" t="s">
        <v>65</v>
      </c>
      <c r="C63" s="44" t="n">
        <f aca="false">C61+C62</f>
        <v>24.7261334114602</v>
      </c>
      <c r="D63" s="44" t="n">
        <f aca="false">D61+D62</f>
        <v>32.620730852718</v>
      </c>
      <c r="E63" s="44" t="n">
        <f aca="false">E61+E62</f>
        <v>40.3069509907814</v>
      </c>
      <c r="F63" s="44" t="n">
        <f aca="false">F61+F62</f>
        <v>47.6698990888628</v>
      </c>
      <c r="G63" s="44" t="n">
        <f aca="false">G61+G62</f>
        <v>54.8776224539205</v>
      </c>
    </row>
    <row r="65" customFormat="false" ht="15" hidden="false" customHeight="false" outlineLevel="0" collapsed="false">
      <c r="A65" s="53" t="s">
        <v>1209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1210</v>
      </c>
      <c r="B66" s="11" t="s">
        <v>65</v>
      </c>
      <c r="C66" s="32" t="n">
        <f aca="false">C13+C16+C17+C22+C25+C26+C27+C28+C29+C23</f>
        <v>291.819190232404</v>
      </c>
      <c r="D66" s="32" t="n">
        <f aca="false">D13+D16+D17+D22+D25+D26+D27+D28+D29+D23</f>
        <v>283.664023404723</v>
      </c>
      <c r="E66" s="32" t="n">
        <f aca="false">E13+E16+E17+E22+E25+E26+E27+E28+E29+E23</f>
        <v>306.184735755208</v>
      </c>
      <c r="F66" s="32" t="n">
        <f aca="false">F13+F16+F17+F22+F25+F26+F27+F28+F29+F23</f>
        <v>337.269222951645</v>
      </c>
      <c r="G66" s="32" t="n">
        <f aca="false">G13+G16+G17+G22+G25+G26+G27+G28+G29+G23</f>
        <v>467.348515406464</v>
      </c>
      <c r="I66" s="6" t="s">
        <v>1211</v>
      </c>
    </row>
    <row r="67" customFormat="false" ht="15" hidden="false" customHeight="false" outlineLevel="1" collapsed="false">
      <c r="A67" s="3" t="s">
        <v>1212</v>
      </c>
      <c r="B67" s="11" t="s">
        <v>65</v>
      </c>
      <c r="C67" s="32" t="n">
        <f aca="false">0</f>
        <v>0</v>
      </c>
      <c r="D67" s="32" t="n">
        <f aca="false">C98</f>
        <v>0</v>
      </c>
      <c r="E67" s="32" t="n">
        <f aca="false">D98</f>
        <v>0</v>
      </c>
      <c r="F67" s="32" t="n">
        <f aca="false">E98</f>
        <v>0</v>
      </c>
      <c r="G67" s="32" t="n">
        <f aca="false">F98</f>
        <v>0</v>
      </c>
    </row>
    <row r="68" customFormat="false" ht="15" hidden="false" customHeight="false" outlineLevel="1" collapsed="false">
      <c r="A68" s="3" t="s">
        <v>1213</v>
      </c>
      <c r="B68" s="11" t="s">
        <v>42</v>
      </c>
      <c r="C68" s="55" t="n">
        <f aca="false">C19*運營_產能與收入!C7</f>
        <v>0.025</v>
      </c>
      <c r="D68" s="55" t="n">
        <f aca="false">D19*運營_產能與收入!D7</f>
        <v>0.05</v>
      </c>
      <c r="E68" s="55" t="n">
        <f aca="false">E19*運營_產能與收入!E7</f>
        <v>0.05</v>
      </c>
      <c r="F68" s="55" t="n">
        <f aca="false">F19*運營_產能與收入!F7</f>
        <v>0.05</v>
      </c>
      <c r="G68" s="55" t="n">
        <f aca="false">G19*運營_產能與收入!G7</f>
        <v>0.05</v>
      </c>
    </row>
    <row r="69" customFormat="false" ht="15" hidden="false" customHeight="false" outlineLevel="1" collapsed="false">
      <c r="A69" s="3" t="s">
        <v>1214</v>
      </c>
      <c r="B69" s="11" t="s">
        <v>65</v>
      </c>
      <c r="C69" s="32" t="n">
        <f aca="false">0</f>
        <v>0</v>
      </c>
      <c r="D69" s="32" t="n">
        <f aca="false">C100</f>
        <v>0</v>
      </c>
      <c r="E69" s="32" t="n">
        <f aca="false">D100</f>
        <v>0</v>
      </c>
      <c r="F69" s="32" t="n">
        <f aca="false">E100</f>
        <v>0</v>
      </c>
      <c r="G69" s="32" t="n">
        <f aca="false">F100</f>
        <v>0</v>
      </c>
    </row>
    <row r="70" customFormat="false" ht="15" hidden="false" customHeight="false" outlineLevel="1" collapsed="false">
      <c r="A70" s="3" t="s">
        <v>1215</v>
      </c>
      <c r="B70" s="11" t="s">
        <v>65</v>
      </c>
      <c r="C70" s="32" t="n">
        <f aca="false">0</f>
        <v>0</v>
      </c>
      <c r="D70" s="32" t="n">
        <f aca="false">C101</f>
        <v>0</v>
      </c>
      <c r="E70" s="32" t="n">
        <f aca="false">D101</f>
        <v>0</v>
      </c>
      <c r="F70" s="32" t="n">
        <f aca="false">E101</f>
        <v>0</v>
      </c>
      <c r="G70" s="32" t="n">
        <f aca="false">F101</f>
        <v>0</v>
      </c>
    </row>
    <row r="71" customFormat="false" ht="15" hidden="false" customHeight="false" outlineLevel="1" collapsed="false">
      <c r="A71" s="3" t="s">
        <v>1216</v>
      </c>
      <c r="B71" s="11" t="s">
        <v>42</v>
      </c>
      <c r="C71" s="55" t="n">
        <f aca="false">輸入與假設!$C$359*運營_產能與收入!C7</f>
        <v>0</v>
      </c>
      <c r="D71" s="55" t="n">
        <f aca="false">輸入與假設!$C$359*運營_產能與收入!D7</f>
        <v>0</v>
      </c>
      <c r="E71" s="55" t="n">
        <f aca="false">輸入與假設!$C$359*運營_產能與收入!E7</f>
        <v>0</v>
      </c>
      <c r="F71" s="55" t="n">
        <f aca="false">輸入與假設!$C$359*運營_產能與收入!F7</f>
        <v>0</v>
      </c>
      <c r="G71" s="55" t="n">
        <f aca="false">輸入與假設!$C$359*運營_產能與收入!G7</f>
        <v>0</v>
      </c>
    </row>
    <row r="72" customFormat="false" ht="15" hidden="false" customHeight="false" outlineLevel="1" collapsed="false">
      <c r="A72" s="3" t="s">
        <v>1217</v>
      </c>
      <c r="B72" s="11" t="s">
        <v>42</v>
      </c>
      <c r="C72" s="55" t="n">
        <f aca="false">(輸入與假設!$C$361+IF(輸入與假設!$C$364=1,MAX(0,輸入與假設!$C$363-輸入與假設!$C$365)/10000*輸入與假設!$C$366,0))*運營_產能與收入!C7</f>
        <v>0.06</v>
      </c>
      <c r="D72" s="55" t="n">
        <f aca="false">(輸入與假設!$C$361+IF(輸入與假設!$C$364=1,MAX(0,輸入與假設!$C$363-輸入與假設!$C$365)/10000*輸入與假設!$C$366,0))*運營_產能與收入!D7</f>
        <v>0.12</v>
      </c>
      <c r="E72" s="55" t="n">
        <f aca="false">(輸入與假設!$C$361+IF(輸入與假設!$C$364=1,MAX(0,輸入與假設!$C$363-輸入與假設!$C$365)/10000*輸入與假設!$C$366,0))*運營_產能與收入!E7</f>
        <v>0.12</v>
      </c>
      <c r="F72" s="55" t="n">
        <f aca="false">(輸入與假設!$C$361+IF(輸入與假設!$C$364=1,MAX(0,輸入與假設!$C$363-輸入與假設!$C$365)/10000*輸入與假設!$C$366,0))*運營_產能與收入!F7</f>
        <v>0.12</v>
      </c>
      <c r="G72" s="55" t="n">
        <f aca="false">(輸入與假設!$C$361+IF(輸入與假設!$C$364=1,MAX(0,輸入與假設!$C$363-輸入與假設!$C$365)/10000*輸入與假設!$C$366,0))*運營_產能與收入!G7</f>
        <v>0.12</v>
      </c>
    </row>
    <row r="73" customFormat="false" ht="15" hidden="false" customHeight="false" outlineLevel="1" collapsed="false">
      <c r="A73" s="3" t="s">
        <v>1218</v>
      </c>
      <c r="B73" s="11" t="s">
        <v>65</v>
      </c>
      <c r="C73" s="32" t="n">
        <f aca="false">C18+C43+C45+C46+C53-C66-C68*C67-C72*C69-C71*C70</f>
        <v>136.68401956481</v>
      </c>
      <c r="D73" s="32" t="n">
        <f aca="false">D18+D43+D45+D46+D53-D66-D68*D67-D72*D69-D71*D70</f>
        <v>103.323002409292</v>
      </c>
      <c r="E73" s="32" t="n">
        <f aca="false">E18+E43+E45+E46+E53-E66-E68*E67-E72*E69-E71*E70</f>
        <v>81.5498423520706</v>
      </c>
      <c r="F73" s="32" t="n">
        <f aca="false">F18+F43+F45+F46+F53-F66-F68*F67-F72*F69-F71*F70</f>
        <v>72.9837161626762</v>
      </c>
      <c r="G73" s="32" t="n">
        <f aca="false">G18+G43+G45+G46+G53-G66-G68*G67-G72*G69-G71*G70</f>
        <v>-27.6772520201152</v>
      </c>
    </row>
    <row r="74" customFormat="false" ht="15" hidden="false" customHeight="false" outlineLevel="1" collapsed="false">
      <c r="A74" s="2" t="s">
        <v>1219</v>
      </c>
      <c r="B74" s="11" t="s">
        <v>65</v>
      </c>
      <c r="C74" s="44" t="n">
        <f aca="false">MAX(0,輸入與假設!$C$348-(C73-C76))</f>
        <v>0</v>
      </c>
      <c r="D74" s="44" t="n">
        <f aca="false">MAX(0,輸入與假設!$C$348-(D73-D76))</f>
        <v>0</v>
      </c>
      <c r="E74" s="44" t="n">
        <f aca="false">MAX(0,輸入與假設!$C$348-(E73-E76))</f>
        <v>0</v>
      </c>
      <c r="F74" s="44" t="n">
        <f aca="false">MAX(0,輸入與假設!$C$348-(F73-F76))</f>
        <v>0</v>
      </c>
      <c r="G74" s="44" t="n">
        <f aca="false">MAX(0,輸入與假設!$C$348-(G73-G76))</f>
        <v>77.6772520201153</v>
      </c>
      <c r="I74" s="6" t="s">
        <v>1220</v>
      </c>
    </row>
    <row r="75" customFormat="false" ht="15" hidden="false" customHeight="false" outlineLevel="1" collapsed="false">
      <c r="A75" s="3" t="s">
        <v>1221</v>
      </c>
      <c r="B75" s="11" t="s">
        <v>65</v>
      </c>
      <c r="C75" s="32" t="n">
        <f aca="false">輸入與假設!$C$349*運營_產能與收入!C7</f>
        <v>8.5015</v>
      </c>
      <c r="D75" s="32" t="n">
        <f aca="false">輸入與假設!$C$349*運營_產能與收入!D7</f>
        <v>17.003</v>
      </c>
      <c r="E75" s="32" t="n">
        <f aca="false">輸入與假設!$C$349*運營_產能與收入!E7</f>
        <v>17.003</v>
      </c>
      <c r="F75" s="32" t="n">
        <f aca="false">輸入與假設!$C$349*運營_產能與收入!F7</f>
        <v>17.003</v>
      </c>
      <c r="G75" s="32" t="n">
        <f aca="false">輸入與假設!$C$349*運營_產能與收入!G7</f>
        <v>17.003</v>
      </c>
      <c r="I75" s="11" t="s">
        <v>1222</v>
      </c>
    </row>
    <row r="76" customFormat="false" ht="15" hidden="false" customHeight="false" outlineLevel="1" collapsed="false">
      <c r="A76" s="2" t="s">
        <v>1223</v>
      </c>
      <c r="B76" s="11" t="s">
        <v>65</v>
      </c>
      <c r="C76" s="44" t="n">
        <f aca="false">MIN(C75,MAX(C75*輸入與假設!$C$350,C73-輸入與假設!$C$348))</f>
        <v>8.5015</v>
      </c>
      <c r="D76" s="44" t="n">
        <f aca="false">MIN(D75,MAX(D75*輸入與假設!$C$350,D73-輸入與假設!$C$348))</f>
        <v>17.003</v>
      </c>
      <c r="E76" s="44" t="n">
        <f aca="false">MIN(E75,MAX(E75*輸入與假設!$C$350,E73-輸入與假設!$C$348))</f>
        <v>17.003</v>
      </c>
      <c r="F76" s="44" t="n">
        <f aca="false">MIN(F75,MAX(F75*輸入與假設!$C$350,F73-輸入與假設!$C$348))</f>
        <v>17.003</v>
      </c>
      <c r="G76" s="44" t="n">
        <f aca="false">MIN(G75,MAX(G75*輸入與假設!$C$350,G73-輸入與假設!$C$348))</f>
        <v>0</v>
      </c>
      <c r="I76" s="6" t="s">
        <v>1224</v>
      </c>
    </row>
    <row r="77" customFormat="false" ht="15" hidden="false" customHeight="false" outlineLevel="1" collapsed="false">
      <c r="A77" s="3" t="s">
        <v>1225</v>
      </c>
      <c r="B77" s="11" t="s">
        <v>65</v>
      </c>
      <c r="C77" s="32" t="n">
        <f aca="false">C75-C76</f>
        <v>0</v>
      </c>
      <c r="D77" s="32" t="n">
        <f aca="false">D75-D76</f>
        <v>0</v>
      </c>
      <c r="E77" s="32" t="n">
        <f aca="false">E75-E76</f>
        <v>0</v>
      </c>
      <c r="F77" s="32" t="n">
        <f aca="false">F75-F76</f>
        <v>0</v>
      </c>
      <c r="G77" s="32" t="n">
        <f aca="false">G75-G76</f>
        <v>17.003</v>
      </c>
      <c r="I77" s="6" t="s">
        <v>1226</v>
      </c>
    </row>
    <row r="78" customFormat="false" ht="15" hidden="false" customHeight="false" outlineLevel="1" collapsed="false">
      <c r="A78" s="3" t="s">
        <v>1227</v>
      </c>
      <c r="B78" s="11" t="s">
        <v>709</v>
      </c>
      <c r="C78" s="31" t="n">
        <f aca="false">C76/MAX(0.01,輸入與假設!$C$351)</f>
        <v>0.0242553495007133</v>
      </c>
      <c r="D78" s="31" t="n">
        <f aca="false">D76/MAX(0.01,輸入與假設!$C$351)</f>
        <v>0.0485106990014265</v>
      </c>
      <c r="E78" s="31" t="n">
        <f aca="false">E76/MAX(0.01,輸入與假設!$C$351)</f>
        <v>0.0485106990014265</v>
      </c>
      <c r="F78" s="31" t="n">
        <f aca="false">F76/MAX(0.01,輸入與假設!$C$351)</f>
        <v>0.0485106990014265</v>
      </c>
      <c r="G78" s="31" t="n">
        <f aca="false">G76/MAX(0.01,輸入與假設!$C$351)</f>
        <v>0</v>
      </c>
      <c r="I78" s="6" t="s">
        <v>1228</v>
      </c>
    </row>
    <row r="79" customFormat="false" ht="15" hidden="false" customHeight="false" outlineLevel="1" collapsed="false">
      <c r="A79" s="3" t="s">
        <v>1229</v>
      </c>
      <c r="B79" s="11" t="s">
        <v>65</v>
      </c>
      <c r="C79" s="32" t="n">
        <f aca="false">輸入與假設!$C$24+輸入與假設!$C$25</f>
        <v>0</v>
      </c>
      <c r="D79" s="32" t="n">
        <f aca="false">C81</f>
        <v>66.2200920694358</v>
      </c>
      <c r="E79" s="32" t="n">
        <f aca="false">D81</f>
        <v>66.1137027907243</v>
      </c>
      <c r="F79" s="32" t="n">
        <f aca="false">E81</f>
        <v>62.4339693047579</v>
      </c>
      <c r="G79" s="32" t="n">
        <f aca="false">F81</f>
        <v>41.0117413196161</v>
      </c>
      <c r="I79" s="11" t="s">
        <v>1230</v>
      </c>
    </row>
    <row r="80" customFormat="false" ht="15" hidden="false" customHeight="false" outlineLevel="1" collapsed="false">
      <c r="A80" s="3" t="s">
        <v>1231</v>
      </c>
      <c r="B80" s="11" t="s">
        <v>65</v>
      </c>
      <c r="C80" s="32" t="n">
        <f aca="false">MAX(0,運營_產能與收入!C24/運營_產能與收入!C7-0)*輸入與假設!$C$344</f>
        <v>79.4641104833229</v>
      </c>
      <c r="D80" s="32" t="n">
        <f aca="false">MAX(0,運營_產能與收入!D24/運營_產能與收入!D7-運營_產能與收入!C24/運營_產能與收入!C7)*輸入與假設!$C$344</f>
        <v>39.5724713235942</v>
      </c>
      <c r="E80" s="32" t="n">
        <f aca="false">MAX(0,運營_產能與收入!E24/運營_產能與收入!E7-運營_產能與收入!D24/運營_產能與收入!D7)*輸入與假設!$C$344</f>
        <v>53.9986906745091</v>
      </c>
      <c r="F80" s="32" t="n">
        <f aca="false">MAX(0,運營_產能與收入!F24/運營_產能與收入!F7-運營_產能與收入!E24/運營_產能與收入!E7)*輸入與假設!$C$344</f>
        <v>54.3842942630004</v>
      </c>
      <c r="G80" s="32" t="n">
        <f aca="false">MAX(0,運營_產能與收入!G24/運營_產能與收入!G7-運營_產能與收入!F24/運營_產能與收入!F7)*輸入與假設!$C$344</f>
        <v>54.5778437636143</v>
      </c>
    </row>
    <row r="81" customFormat="false" ht="15" hidden="false" customHeight="false" outlineLevel="1" collapsed="false">
      <c r="A81" s="3" t="s">
        <v>1232</v>
      </c>
      <c r="B81" s="11" t="s">
        <v>65</v>
      </c>
      <c r="C81" s="32" t="n">
        <f aca="false">C79-運營_產能與收入!C18-運營_產能與收入!C24+C80</f>
        <v>66.2200920694358</v>
      </c>
      <c r="D81" s="32" t="n">
        <f aca="false">D79-運營_產能與收入!D18-運營_產能與收入!D24+D80</f>
        <v>66.1137027907243</v>
      </c>
      <c r="E81" s="32" t="n">
        <f aca="false">E79-運營_產能與收入!E18-運營_產能與收入!E24+E80</f>
        <v>62.4339693047579</v>
      </c>
      <c r="F81" s="32" t="n">
        <f aca="false">F79-運營_產能與收入!F18-運營_產能與收入!F24+F80</f>
        <v>41.0117413196161</v>
      </c>
      <c r="G81" s="32" t="n">
        <f aca="false">G79-運營_產能與收入!G18-運營_產能與收入!G24+G80</f>
        <v>1.59044824721675</v>
      </c>
      <c r="I81" s="6" t="s">
        <v>1233</v>
      </c>
    </row>
    <row r="82" customFormat="false" ht="15" hidden="false" customHeight="false" outlineLevel="1" collapsed="false">
      <c r="A82" s="3" t="s">
        <v>1234</v>
      </c>
      <c r="B82" s="11" t="s">
        <v>65</v>
      </c>
      <c r="C82" s="32" t="n">
        <f aca="false">IF(輸入與假設!$C$340=1,資產負債_既有債務!C34,資產負債_既有債務!$E$16)+資產負債_既有債務!$E$19+資產負債_既有債務!C39</f>
        <v>99.085</v>
      </c>
      <c r="D82" s="32" t="n">
        <f aca="false">IF(輸入與假設!$C$340=1,資產負債_既有債務!D34,資產負債_既有債務!$E$16)+資產負債_既有債務!$E$19+資產負債_既有債務!D39</f>
        <v>98.085</v>
      </c>
      <c r="E82" s="32" t="n">
        <f aca="false">IF(輸入與假設!$C$340=1,資產負債_既有債務!E34,資產負債_既有債務!$E$16)+資產負債_既有債務!$E$19+資產負債_既有債務!E39</f>
        <v>95.409</v>
      </c>
      <c r="F82" s="32" t="n">
        <f aca="false">IF(輸入與假設!$C$340=1,資產負債_既有債務!F34,資產負債_既有債務!$E$16)+資產負債_既有債務!$E$19+資產負債_既有債務!F39</f>
        <v>93.645</v>
      </c>
      <c r="G82" s="32" t="n">
        <f aca="false">IF(輸入與假設!$C$340=1,資產負債_既有債務!G34,資產負債_既有債務!$E$16)+資產負債_既有債務!$E$19+資產負債_既有債務!G39</f>
        <v>86.459</v>
      </c>
      <c r="I82" s="6" t="s">
        <v>1235</v>
      </c>
    </row>
    <row r="83" customFormat="false" ht="15" hidden="false" customHeight="false" outlineLevel="1" collapsed="false">
      <c r="A83" s="3" t="s">
        <v>1236</v>
      </c>
      <c r="B83" s="11" t="s">
        <v>65</v>
      </c>
      <c r="C83" s="32" t="n">
        <f aca="false">IF(輸入與假設!$C$342="leaseAdj",輸入與假設!$C$343*(損益!C22+C16)/運營_產能與收入!C7-C63,IF(輸入與假設!$C$342="ebitda",輸入與假設!$C$343*損益!C22/運營_產能與收入!C7,輸入與假設!$C$341*C81))</f>
        <v>579.613928568722</v>
      </c>
      <c r="D83" s="32" t="n">
        <f aca="false">IF(輸入與假設!$C$342="leaseAdj",輸入與假設!$C$343*(損益!D22+D16)/運營_產能與收入!D7-D63,IF(輸入與假設!$C$342="ebitda",輸入與假設!$C$343*損益!D22/運營_產能與收入!D7,輸入與假設!$C$341*D81))</f>
        <v>631.929951990299</v>
      </c>
      <c r="E83" s="32" t="n">
        <f aca="false">IF(輸入與假設!$C$342="leaseAdj",輸入與假設!$C$343*(損益!E22+E16)/運營_產能與收入!E7-E63,IF(輸入與假設!$C$342="ebitda",輸入與假設!$C$343*損益!E22/運營_產能與收入!E7,輸入與假設!$C$341*E81))</f>
        <v>734.21568124113</v>
      </c>
      <c r="F83" s="32" t="n">
        <f aca="false">IF(輸入與假設!$C$342="leaseAdj",輸入與假設!$C$343*(損益!F22+F16)/運營_產能與收入!F7-F63,IF(輸入與假設!$C$342="ebitda",輸入與假設!$C$343*損益!F22/運營_產能與收入!F7,輸入與假設!$C$341*F81))</f>
        <v>843.259418491131</v>
      </c>
      <c r="G83" s="32" t="n">
        <f aca="false">IF(輸入與假設!$C$342="leaseAdj",輸入與假設!$C$343*(損益!G22+G16)/運營_產能與收入!G7-G63,IF(輸入與假設!$C$342="ebitda",輸入與假設!$C$343*損益!G22/運營_產能與收入!G7,輸入與假設!$C$341*G81))</f>
        <v>936.305436338579</v>
      </c>
      <c r="I83" s="11" t="s">
        <v>1237</v>
      </c>
    </row>
    <row r="84" customFormat="false" ht="15" hidden="false" customHeight="false" outlineLevel="1" collapsed="false">
      <c r="A84" s="3" t="s">
        <v>1238</v>
      </c>
      <c r="B84" s="11" t="s">
        <v>65</v>
      </c>
      <c r="C84" s="32" t="n">
        <f aca="false">IF(輸入與假設!$C$339=1,輸入與假設!$C$338,0)</f>
        <v>0</v>
      </c>
      <c r="D84" s="32" t="n">
        <f aca="false">C99</f>
        <v>0</v>
      </c>
      <c r="E84" s="32" t="n">
        <f aca="false">D99</f>
        <v>0</v>
      </c>
      <c r="F84" s="32" t="n">
        <f aca="false">E99</f>
        <v>0</v>
      </c>
      <c r="G84" s="32" t="n">
        <f aca="false">F99</f>
        <v>0</v>
      </c>
    </row>
    <row r="85" customFormat="false" ht="15" hidden="false" customHeight="false" outlineLevel="1" collapsed="false">
      <c r="A85" s="3" t="s">
        <v>1239</v>
      </c>
      <c r="B85" s="11" t="s">
        <v>65</v>
      </c>
      <c r="C85" s="32" t="n">
        <f aca="false">MAX(0,C83-(C82+C67+C70),C84)</f>
        <v>480.528928568722</v>
      </c>
      <c r="D85" s="32" t="n">
        <f aca="false">MAX(0,D83-(D82+D67+D70),D84)</f>
        <v>533.844951990299</v>
      </c>
      <c r="E85" s="32" t="n">
        <f aca="false">MAX(0,E83-(E82+E67+E70),E84)</f>
        <v>638.80668124113</v>
      </c>
      <c r="F85" s="32" t="n">
        <f aca="false">MAX(0,F83-(F82+F67+F70),F84)</f>
        <v>749.614418491131</v>
      </c>
      <c r="G85" s="32" t="n">
        <f aca="false">MAX(0,G83-(G82+G67+G70),G84)</f>
        <v>849.84643633858</v>
      </c>
      <c r="I85" s="6" t="s">
        <v>1240</v>
      </c>
    </row>
    <row r="86" customFormat="false" ht="15" hidden="false" customHeight="false" outlineLevel="1" collapsed="false">
      <c r="A86" s="2" t="s">
        <v>1241</v>
      </c>
      <c r="B86" s="11" t="s">
        <v>65</v>
      </c>
      <c r="C86" s="44" t="n">
        <f aca="false">MIN(C85,C74/(1-C68))</f>
        <v>0</v>
      </c>
      <c r="D86" s="44" t="n">
        <f aca="false">MIN(D85,D74/(1-D68))</f>
        <v>0</v>
      </c>
      <c r="E86" s="44" t="n">
        <f aca="false">MIN(E85,E74/(1-E68))</f>
        <v>0</v>
      </c>
      <c r="F86" s="44" t="n">
        <f aca="false">MIN(F85,F74/(1-F68))</f>
        <v>0</v>
      </c>
      <c r="G86" s="44" t="n">
        <f aca="false">MIN(G85,G74/(1-G68))</f>
        <v>81.7655284422266</v>
      </c>
      <c r="I86" s="6" t="s">
        <v>1242</v>
      </c>
    </row>
    <row r="87" customFormat="false" ht="15" hidden="false" customHeight="false" outlineLevel="1" collapsed="false">
      <c r="A87" s="3" t="s">
        <v>1243</v>
      </c>
      <c r="B87" s="11" t="s">
        <v>65</v>
      </c>
      <c r="C87" s="32" t="n">
        <f aca="false">MAX(0,C74+C68*C86-C86)</f>
        <v>0</v>
      </c>
      <c r="D87" s="32" t="n">
        <f aca="false">MAX(0,D74+D68*D86-D86)</f>
        <v>0</v>
      </c>
      <c r="E87" s="32" t="n">
        <f aca="false">MAX(0,E74+E68*E86-E86)</f>
        <v>0</v>
      </c>
      <c r="F87" s="32" t="n">
        <f aca="false">MAX(0,F74+F68*F86-F86)</f>
        <v>0</v>
      </c>
      <c r="G87" s="32" t="n">
        <f aca="false">MAX(0,G74+G68*G86-G86)</f>
        <v>0</v>
      </c>
    </row>
    <row r="88" customFormat="false" ht="15" hidden="false" customHeight="false" outlineLevel="1" collapsed="false">
      <c r="A88" s="3" t="s">
        <v>1244</v>
      </c>
      <c r="B88" s="11" t="s">
        <v>65</v>
      </c>
      <c r="C88" s="32" t="n">
        <f aca="false">MAX(0,輸入與假設!$C$358)*運營_產能與收入!C7</f>
        <v>0</v>
      </c>
      <c r="D88" s="32" t="n">
        <f aca="false">MAX(0,輸入與假設!$C$358)*運營_產能與收入!D7</f>
        <v>0</v>
      </c>
      <c r="E88" s="32" t="n">
        <f aca="false">MAX(0,輸入與假設!$C$358)*運營_產能與收入!E7</f>
        <v>0</v>
      </c>
      <c r="F88" s="32" t="n">
        <f aca="false">MAX(0,輸入與假設!$C$358)*運營_產能與收入!F7</f>
        <v>0</v>
      </c>
      <c r="G88" s="32" t="n">
        <f aca="false">MAX(0,輸入與假設!$C$358)*運營_產能與收入!G7</f>
        <v>0</v>
      </c>
      <c r="I88" s="6" t="s">
        <v>1245</v>
      </c>
    </row>
    <row r="89" customFormat="false" ht="15" hidden="false" customHeight="false" outlineLevel="1" collapsed="false">
      <c r="A89" s="2" t="s">
        <v>1246</v>
      </c>
      <c r="B89" s="11" t="s">
        <v>65</v>
      </c>
      <c r="C89" s="44" t="n">
        <f aca="false">MIN(C88,C87/(1-C71))</f>
        <v>0</v>
      </c>
      <c r="D89" s="44" t="n">
        <f aca="false">MIN(D88,D87/(1-D71))</f>
        <v>0</v>
      </c>
      <c r="E89" s="44" t="n">
        <f aca="false">MIN(E88,E87/(1-E71))</f>
        <v>0</v>
      </c>
      <c r="F89" s="44" t="n">
        <f aca="false">MIN(F88,F87/(1-F71))</f>
        <v>0</v>
      </c>
      <c r="G89" s="44" t="n">
        <f aca="false">MIN(G88,G87/(1-G71))</f>
        <v>0</v>
      </c>
      <c r="I89" s="6" t="s">
        <v>1247</v>
      </c>
    </row>
    <row r="90" customFormat="false" ht="15" hidden="false" customHeight="false" outlineLevel="1" collapsed="false">
      <c r="A90" s="3" t="s">
        <v>1248</v>
      </c>
      <c r="B90" s="11" t="s">
        <v>65</v>
      </c>
      <c r="C90" s="32" t="n">
        <f aca="false">MAX(0,C87+C71*C89-C89)</f>
        <v>0</v>
      </c>
      <c r="D90" s="32" t="n">
        <f aca="false">MAX(0,D87+D71*D89-D89)</f>
        <v>0</v>
      </c>
      <c r="E90" s="32" t="n">
        <f aca="false">MAX(0,E87+E71*E89-E89)</f>
        <v>0</v>
      </c>
      <c r="F90" s="32" t="n">
        <f aca="false">MAX(0,F87+F71*F89-F89)</f>
        <v>0</v>
      </c>
      <c r="G90" s="32" t="n">
        <f aca="false">MAX(0,G87+G71*G89-G89)</f>
        <v>0</v>
      </c>
    </row>
    <row r="91" customFormat="false" ht="15" hidden="false" customHeight="false" outlineLevel="1" collapsed="false">
      <c r="A91" s="3" t="s">
        <v>1249</v>
      </c>
      <c r="B91" s="11" t="s">
        <v>65</v>
      </c>
      <c r="C91" s="32" t="n">
        <f aca="false">IF(輸入與假設!$C$353&gt;=9,1E+099,輸入與假設!$C$353*輸入與假設!$C$351*輸入與假設!$C$354*運營_產能與收入!C7)</f>
        <v>107.165375</v>
      </c>
      <c r="D91" s="32" t="n">
        <f aca="false">IF(輸入與假設!$C$353&gt;=9,1E+099,輸入與假設!$C$353*輸入與假設!$C$351*輸入與假設!$C$354*運營_產能與收入!D7)</f>
        <v>214.33075</v>
      </c>
      <c r="E91" s="32" t="n">
        <f aca="false">IF(輸入與假設!$C$353&gt;=9,1E+099,輸入與假設!$C$353*輸入與假設!$C$351*輸入與假設!$C$354*運營_產能與收入!E7)</f>
        <v>214.33075</v>
      </c>
      <c r="F91" s="32" t="n">
        <f aca="false">IF(輸入與假設!$C$353&gt;=9,1E+099,輸入與假設!$C$353*輸入與假設!$C$351*輸入與假設!$C$354*運營_產能與收入!F7)</f>
        <v>214.33075</v>
      </c>
      <c r="G91" s="32" t="n">
        <f aca="false">IF(輸入與假設!$C$353&gt;=9,1E+099,輸入與假設!$C$353*輸入與假設!$C$351*輸入與假設!$C$354*運營_產能與收入!G7)</f>
        <v>214.33075</v>
      </c>
      <c r="I91" s="6" t="s">
        <v>1250</v>
      </c>
    </row>
    <row r="92" customFormat="false" ht="15" hidden="false" customHeight="false" outlineLevel="1" collapsed="false">
      <c r="A92" s="2" t="s">
        <v>1251</v>
      </c>
      <c r="B92" s="11" t="s">
        <v>65</v>
      </c>
      <c r="C92" s="44" t="n">
        <f aca="false">MIN(C90,C91)</f>
        <v>0</v>
      </c>
      <c r="D92" s="44" t="n">
        <f aca="false">MIN(D90,D91)</f>
        <v>0</v>
      </c>
      <c r="E92" s="44" t="n">
        <f aca="false">MIN(E90,E91)</f>
        <v>0</v>
      </c>
      <c r="F92" s="44" t="n">
        <f aca="false">MIN(F90,F91)</f>
        <v>0</v>
      </c>
      <c r="G92" s="44" t="n">
        <f aca="false">MIN(G90,G91)</f>
        <v>0</v>
      </c>
    </row>
    <row r="93" customFormat="false" ht="15" hidden="false" customHeight="false" outlineLevel="1" collapsed="false">
      <c r="A93" s="2" t="s">
        <v>1252</v>
      </c>
      <c r="B93" s="11" t="s">
        <v>65</v>
      </c>
      <c r="C93" s="44" t="n">
        <f aca="false">(C90-C92)/(1-C72)</f>
        <v>0</v>
      </c>
      <c r="D93" s="44" t="n">
        <f aca="false">(D90-D92)/(1-D72)</f>
        <v>0</v>
      </c>
      <c r="E93" s="44" t="n">
        <f aca="false">(E90-E92)/(1-E72)</f>
        <v>0</v>
      </c>
      <c r="F93" s="44" t="n">
        <f aca="false">(F90-F92)/(1-F72)</f>
        <v>0</v>
      </c>
      <c r="G93" s="44" t="n">
        <f aca="false">(G90-G92)/(1-G72)</f>
        <v>0</v>
      </c>
    </row>
    <row r="94" customFormat="false" ht="15" hidden="false" customHeight="false" outlineLevel="1" collapsed="false">
      <c r="A94" s="3" t="s">
        <v>1253</v>
      </c>
      <c r="B94" s="11" t="s">
        <v>65</v>
      </c>
      <c r="C94" s="32" t="n">
        <f aca="false">C68*(C67+C86)+C72*(C69+C93)+C71*(C70+C89)</f>
        <v>0</v>
      </c>
      <c r="D94" s="32" t="n">
        <f aca="false">D68*(D67+D86)+D72*(D69+D93)+D71*(D70+D89)</f>
        <v>0</v>
      </c>
      <c r="E94" s="32" t="n">
        <f aca="false">E68*(E67+E86)+E72*(E69+E93)+E71*(E70+E89)</f>
        <v>0</v>
      </c>
      <c r="F94" s="32" t="n">
        <f aca="false">F68*(F67+F86)+F72*(F69+F93)+F71*(F70+F89)</f>
        <v>0</v>
      </c>
      <c r="G94" s="32" t="n">
        <f aca="false">G68*(G67+G86)+G72*(G69+G93)+G71*(G70+G89)</f>
        <v>4.08827642211133</v>
      </c>
      <c r="I94" s="6" t="s">
        <v>1254</v>
      </c>
    </row>
    <row r="95" customFormat="false" ht="15" hidden="false" customHeight="false" outlineLevel="1" collapsed="false">
      <c r="A95" s="3" t="s">
        <v>1255</v>
      </c>
      <c r="B95" s="11" t="s">
        <v>39</v>
      </c>
      <c r="C95" s="56" t="n">
        <f aca="false">輸入與假設!$C$351*(1-輸入與假設!$C$352)</f>
        <v>315.45</v>
      </c>
      <c r="D95" s="56" t="n">
        <f aca="false">輸入與假設!$C$351*(1-輸入與假設!$C$352)</f>
        <v>315.45</v>
      </c>
      <c r="E95" s="56" t="n">
        <f aca="false">輸入與假設!$C$351*(1-輸入與假設!$C$352)</f>
        <v>315.45</v>
      </c>
      <c r="F95" s="56" t="n">
        <f aca="false">輸入與假設!$C$351*(1-輸入與假設!$C$352)</f>
        <v>315.45</v>
      </c>
      <c r="G95" s="56" t="n">
        <f aca="false">輸入與假設!$C$351*(1-輸入與假設!$C$352)</f>
        <v>315.45</v>
      </c>
    </row>
    <row r="96" customFormat="false" ht="15" hidden="false" customHeight="false" outlineLevel="1" collapsed="false">
      <c r="A96" s="3" t="s">
        <v>1256</v>
      </c>
      <c r="B96" s="11" t="s">
        <v>709</v>
      </c>
      <c r="C96" s="31" t="n">
        <f aca="false">C92/C95</f>
        <v>0</v>
      </c>
      <c r="D96" s="31" t="n">
        <f aca="false">D92/D95</f>
        <v>0</v>
      </c>
      <c r="E96" s="31" t="n">
        <f aca="false">E92/E95</f>
        <v>0</v>
      </c>
      <c r="F96" s="31" t="n">
        <f aca="false">F92/F95</f>
        <v>0</v>
      </c>
      <c r="G96" s="31" t="n">
        <f aca="false">G92/G95</f>
        <v>0</v>
      </c>
    </row>
    <row r="97" customFormat="false" ht="15" hidden="false" customHeight="false" outlineLevel="1" collapsed="false">
      <c r="A97" s="2" t="s">
        <v>1257</v>
      </c>
      <c r="B97" s="11" t="s">
        <v>709</v>
      </c>
      <c r="C97" s="57" t="n">
        <f aca="false">C96-C78</f>
        <v>-0.0242553495007133</v>
      </c>
      <c r="D97" s="57" t="n">
        <f aca="false">C97+D96-D78</f>
        <v>-0.0727660485021398</v>
      </c>
      <c r="E97" s="57" t="n">
        <f aca="false">D97+E96-E78</f>
        <v>-0.121276747503566</v>
      </c>
      <c r="F97" s="57" t="n">
        <f aca="false">E97+F96-F78</f>
        <v>-0.169787446504993</v>
      </c>
      <c r="G97" s="57" t="n">
        <f aca="false">F97+G96-G78</f>
        <v>-0.169787446504993</v>
      </c>
    </row>
    <row r="98" customFormat="false" ht="15" hidden="false" customHeight="false" outlineLevel="1" collapsed="false">
      <c r="A98" s="3" t="s">
        <v>1258</v>
      </c>
      <c r="B98" s="11" t="s">
        <v>65</v>
      </c>
      <c r="C98" s="32" t="n">
        <f aca="false">C67+C86</f>
        <v>0</v>
      </c>
      <c r="D98" s="32" t="n">
        <f aca="false">D67+D86</f>
        <v>0</v>
      </c>
      <c r="E98" s="32" t="n">
        <f aca="false">E67+E86</f>
        <v>0</v>
      </c>
      <c r="F98" s="32" t="n">
        <f aca="false">F67+F86</f>
        <v>0</v>
      </c>
      <c r="G98" s="32" t="n">
        <f aca="false">G67+G86</f>
        <v>81.7655284422266</v>
      </c>
    </row>
    <row r="99" customFormat="false" ht="15" hidden="false" customHeight="false" outlineLevel="1" collapsed="false">
      <c r="A99" s="3" t="s">
        <v>1259</v>
      </c>
      <c r="B99" s="11" t="s">
        <v>65</v>
      </c>
      <c r="C99" s="32" t="n">
        <f aca="false">C84-MIN(C84,C86)</f>
        <v>0</v>
      </c>
      <c r="D99" s="32" t="n">
        <f aca="false">D84-MIN(D84,D86)</f>
        <v>0</v>
      </c>
      <c r="E99" s="32" t="n">
        <f aca="false">E84-MIN(E84,E86)</f>
        <v>0</v>
      </c>
      <c r="F99" s="32" t="n">
        <f aca="false">F84-MIN(F84,F86)</f>
        <v>0</v>
      </c>
      <c r="G99" s="32" t="n">
        <f aca="false">G84-MIN(G84,G86)</f>
        <v>0</v>
      </c>
    </row>
    <row r="100" customFormat="false" ht="15" hidden="false" customHeight="false" outlineLevel="1" collapsed="false">
      <c r="A100" s="3" t="s">
        <v>1260</v>
      </c>
      <c r="B100" s="11" t="s">
        <v>65</v>
      </c>
      <c r="C100" s="32" t="n">
        <f aca="false">C69+C93</f>
        <v>0</v>
      </c>
      <c r="D100" s="32" t="n">
        <f aca="false">D69+D93</f>
        <v>0</v>
      </c>
      <c r="E100" s="32" t="n">
        <f aca="false">E69+E93</f>
        <v>0</v>
      </c>
      <c r="F100" s="32" t="n">
        <f aca="false">F69+F93</f>
        <v>0</v>
      </c>
      <c r="G100" s="32" t="n">
        <f aca="false">G69+G93</f>
        <v>0</v>
      </c>
    </row>
    <row r="101" customFormat="false" ht="15" hidden="false" customHeight="false" outlineLevel="1" collapsed="false">
      <c r="A101" s="3" t="s">
        <v>1261</v>
      </c>
      <c r="B101" s="11" t="s">
        <v>65</v>
      </c>
      <c r="C101" s="32" t="n">
        <f aca="false">C70+C89</f>
        <v>0</v>
      </c>
      <c r="D101" s="32" t="n">
        <f aca="false">D70+D89</f>
        <v>0</v>
      </c>
      <c r="E101" s="32" t="n">
        <f aca="false">E70+E89</f>
        <v>0</v>
      </c>
      <c r="F101" s="32" t="n">
        <f aca="false">F70+F89</f>
        <v>0</v>
      </c>
      <c r="G101" s="32" t="n">
        <f aca="false">G70+G89</f>
        <v>0</v>
      </c>
    </row>
    <row r="102" customFormat="false" ht="15" hidden="false" customHeight="false" outlineLevel="1" collapsed="false">
      <c r="A102" s="2" t="s">
        <v>1262</v>
      </c>
      <c r="B102" s="11" t="s">
        <v>65</v>
      </c>
      <c r="C102" s="44" t="n">
        <f aca="false">C82+C98+C101+C100</f>
        <v>99.085</v>
      </c>
      <c r="D102" s="44" t="n">
        <f aca="false">D82+D98+D101+D100</f>
        <v>98.085</v>
      </c>
      <c r="E102" s="44" t="n">
        <f aca="false">E82+E98+E101+E100</f>
        <v>95.409</v>
      </c>
      <c r="F102" s="44" t="n">
        <f aca="false">F82+F98+F101+F100</f>
        <v>93.645</v>
      </c>
      <c r="G102" s="44" t="n">
        <f aca="false">G82+G98+G101+G100</f>
        <v>168.224528442227</v>
      </c>
    </row>
    <row r="103" customFormat="false" ht="15" hidden="false" customHeight="false" outlineLevel="1" collapsed="false">
      <c r="A103" s="2" t="s">
        <v>1263</v>
      </c>
      <c r="B103" s="11" t="s">
        <v>65</v>
      </c>
      <c r="C103" s="44" t="n">
        <f aca="false">C18+C43+C45+C46+C53-C66</f>
        <v>136.68401956481</v>
      </c>
      <c r="D103" s="44" t="n">
        <f aca="false">C103+D43+D45-D66</f>
        <v>111.824502409292</v>
      </c>
      <c r="E103" s="44" t="n">
        <f aca="false">D103+E43+E45-E66</f>
        <v>107.054342352071</v>
      </c>
      <c r="F103" s="44" t="n">
        <f aca="false">E103+F43+F45-F66</f>
        <v>115.491216162676</v>
      </c>
      <c r="G103" s="44" t="n">
        <f aca="false">F103+G43+G45-G66</f>
        <v>31.8332479798847</v>
      </c>
      <c r="I103" s="6" t="s">
        <v>1264</v>
      </c>
    </row>
    <row r="105" customFormat="false" ht="15" hidden="false" customHeight="false" outlineLevel="0" collapsed="true">
      <c r="A105" s="53" t="s">
        <v>1265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1266</v>
      </c>
      <c r="C106" s="58" t="n">
        <f aca="false">輸入與假設!$C$474</f>
        <v>120.53</v>
      </c>
    </row>
    <row r="107" customFormat="false" ht="15" hidden="true" customHeight="false" outlineLevel="1" collapsed="false">
      <c r="A107" s="3" t="s">
        <v>1267</v>
      </c>
      <c r="C107" s="58" t="n">
        <f aca="false">SUM(C54:G54)</f>
        <v>-228.960528442227</v>
      </c>
    </row>
    <row r="108" customFormat="false" ht="15" hidden="true" customHeight="false" outlineLevel="1" collapsed="false">
      <c r="A108" s="3" t="s">
        <v>1268</v>
      </c>
      <c r="C108" s="58" t="n">
        <f aca="false">SUM(C45:G45)</f>
        <v>49.562</v>
      </c>
    </row>
    <row r="109" customFormat="false" ht="15" hidden="true" customHeight="false" outlineLevel="1" collapsed="false">
      <c r="A109" s="3" t="s">
        <v>1269</v>
      </c>
      <c r="C109" s="58" t="n">
        <f aca="false">SUM(C46:G46)</f>
        <v>56.226</v>
      </c>
    </row>
    <row r="110" customFormat="false" ht="15" hidden="true" customHeight="false" outlineLevel="1" collapsed="false">
      <c r="A110" s="4" t="s">
        <v>1270</v>
      </c>
      <c r="C110" s="58" t="n">
        <f aca="false">-SUM(C28:G28)</f>
        <v>-1.011</v>
      </c>
    </row>
    <row r="111" customFormat="false" ht="15" hidden="true" customHeight="false" outlineLevel="1" collapsed="false">
      <c r="A111" s="3" t="s">
        <v>1271</v>
      </c>
      <c r="C111" s="58" t="n">
        <f aca="false">SUM(C53:G53)</f>
        <v>-8.23300000000003</v>
      </c>
    </row>
    <row r="112" customFormat="false" ht="15" hidden="true" customHeight="false" outlineLevel="1" collapsed="false">
      <c r="A112" s="3" t="s">
        <v>1272</v>
      </c>
      <c r="C112" s="58" t="n">
        <f aca="false">SUM(C47:G47)+SUM(C48:G48)+SUM(C49:G49)+SUM(C50:G50)</f>
        <v>81.7655284422266</v>
      </c>
    </row>
    <row r="113" customFormat="false" ht="15" hidden="true" customHeight="false" outlineLevel="1" collapsed="false">
      <c r="A113" s="3" t="s">
        <v>1273</v>
      </c>
      <c r="C113" s="58" t="n">
        <f aca="false">-SUM(C27:G27)</f>
        <v>-19.879</v>
      </c>
    </row>
    <row r="114" customFormat="false" ht="15" hidden="true" customHeight="false" outlineLevel="1" collapsed="false">
      <c r="A114" s="2" t="s">
        <v>1274</v>
      </c>
      <c r="C114" s="59" t="n">
        <f aca="false">SUM(C106:C113)</f>
        <v>50</v>
      </c>
    </row>
    <row r="115" customFormat="false" ht="15" hidden="true" customHeight="false" outlineLevel="1" collapsed="false">
      <c r="A115" s="3" t="s">
        <v>1275</v>
      </c>
      <c r="C115" s="58" t="n">
        <f aca="false">G56</f>
        <v>50</v>
      </c>
    </row>
    <row r="116" customFormat="false" ht="15" hidden="true" customHeight="false" outlineLevel="1" collapsed="false">
      <c r="A116" s="2" t="s">
        <v>1276</v>
      </c>
      <c r="C116" s="58" t="n">
        <f aca="false">C114-C115</f>
        <v>0</v>
      </c>
      <c r="I116" s="6" t="s">
        <v>1277</v>
      </c>
    </row>
    <row r="118" customFormat="false" ht="15" hidden="false" customHeight="false" outlineLevel="0" collapsed="true">
      <c r="A118" s="7" t="s">
        <v>1278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1279</v>
      </c>
      <c r="C119" s="10" t="n">
        <f aca="false">運營_產能與收入!C31</f>
        <v>492.268310257</v>
      </c>
      <c r="I119" s="6" t="s">
        <v>1280</v>
      </c>
    </row>
    <row r="120" customFormat="false" ht="15" hidden="true" customHeight="false" outlineLevel="1" collapsed="false">
      <c r="A120" s="4" t="s">
        <v>1281</v>
      </c>
      <c r="C120" s="10" t="n">
        <f aca="false">C6</f>
        <v>200</v>
      </c>
      <c r="I120" s="6" t="s">
        <v>1282</v>
      </c>
    </row>
    <row r="121" customFormat="false" ht="15" hidden="true" customHeight="false" outlineLevel="1" collapsed="false">
      <c r="A121" s="4" t="s">
        <v>1283</v>
      </c>
      <c r="C121" s="10" t="n">
        <f aca="false">輸入與假設!$C$483+輸入與假設!C$371+C20</f>
        <v>3.82368256759658</v>
      </c>
      <c r="I121" s="6" t="s">
        <v>1284</v>
      </c>
    </row>
    <row r="122" customFormat="false" ht="15" hidden="true" customHeight="false" outlineLevel="1" collapsed="false">
      <c r="A122" s="4" t="s">
        <v>1285</v>
      </c>
      <c r="C122" s="10" t="n">
        <f aca="false">輸入與假設!$C$484+C16</f>
        <v>2.92231375636364</v>
      </c>
      <c r="I122" s="11" t="s">
        <v>1286</v>
      </c>
    </row>
    <row r="123" customFormat="false" ht="15" hidden="true" customHeight="false" outlineLevel="1" collapsed="false">
      <c r="A123" s="4" t="s">
        <v>1287</v>
      </c>
      <c r="C123" s="10" t="n">
        <f aca="false">C27</f>
        <v>7.253</v>
      </c>
      <c r="I123" s="11" t="s">
        <v>1288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1289</v>
      </c>
    </row>
    <row r="2" customFormat="false" ht="15" hidden="false" customHeight="false" outlineLevel="0" collapsed="false">
      <c r="A2" s="6" t="s">
        <v>1290</v>
      </c>
    </row>
    <row r="4" customFormat="false" ht="15" hidden="false" customHeight="false" outlineLevel="0" collapsed="false">
      <c r="A4" s="7" t="s">
        <v>1291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1292</v>
      </c>
      <c r="B5" s="14" t="s">
        <v>60</v>
      </c>
      <c r="C5" s="14" t="s">
        <v>1293</v>
      </c>
      <c r="D5" s="14" t="s">
        <v>1294</v>
      </c>
      <c r="E5" s="14" t="s">
        <v>1295</v>
      </c>
      <c r="F5" s="14" t="s">
        <v>1296</v>
      </c>
      <c r="G5" s="14" t="s">
        <v>1297</v>
      </c>
      <c r="H5" s="14" t="s">
        <v>1298</v>
      </c>
      <c r="I5" s="14" t="s">
        <v>1299</v>
      </c>
      <c r="J5" s="14" t="s">
        <v>1300</v>
      </c>
      <c r="K5" s="14" t="s">
        <v>1301</v>
      </c>
      <c r="L5" s="14" t="s">
        <v>1302</v>
      </c>
      <c r="M5" s="14" t="s">
        <v>1303</v>
      </c>
      <c r="N5" s="14" t="s">
        <v>1304</v>
      </c>
      <c r="O5" s="14" t="s">
        <v>1300</v>
      </c>
      <c r="P5" s="14" t="s">
        <v>1301</v>
      </c>
      <c r="Q5" s="14" t="s">
        <v>1305</v>
      </c>
    </row>
    <row r="6" customFormat="false" ht="15" hidden="false" customHeight="false" outlineLevel="1" collapsed="false">
      <c r="A6" s="3" t="s">
        <v>1306</v>
      </c>
      <c r="B6" s="11" t="s">
        <v>65</v>
      </c>
      <c r="C6" s="60" t="n">
        <f aca="false">INDEX($C$22:$H$22,輸入與假設!$C$559)</f>
        <v>127.457436752333</v>
      </c>
      <c r="D6" s="60" t="str">
        <f aca="false">INDEX($C$33:$H$33,輸入與假設!$C$559)</f>
        <v>不適用</v>
      </c>
      <c r="E6" s="61" t="str">
        <f aca="false">INDEX($C$43:$H$43,輸入與假設!$C$559)</f>
        <v>不適用</v>
      </c>
      <c r="F6" s="62" t="s">
        <v>1307</v>
      </c>
      <c r="G6" s="62" t="s">
        <v>1307</v>
      </c>
      <c r="H6" s="61" t="str">
        <f aca="false">INDEX($C$44:$H$44,輸入與假設!$C$559)</f>
        <v>不適用</v>
      </c>
      <c r="I6" s="60" t="str">
        <f aca="false">IF(ISNUMBER(INDEX($C$37:$H$37,輸入與假設!$C$559)),INDEX($C$37:$H$37,輸入與假設!$C$559),"待公布")</f>
        <v>待公布</v>
      </c>
      <c r="J6" s="61" t="str">
        <f aca="false">INDEX($C$45:$H$45,輸入與假設!$C$559)</f>
        <v/>
      </c>
      <c r="K6" s="61" t="str">
        <f aca="false">INDEX($C$46:$H$46,輸入與假設!$C$559)</f>
        <v/>
      </c>
      <c r="L6" s="61" t="str">
        <f aca="false">INDEX($C$47:$H$47,輸入與假設!$C$559)</f>
        <v/>
      </c>
      <c r="M6" s="61"/>
      <c r="N6" s="61"/>
      <c r="O6" s="61"/>
      <c r="P6" s="61"/>
      <c r="Q6" s="61"/>
    </row>
    <row r="7" customFormat="false" ht="15" hidden="false" customHeight="false" outlineLevel="1" collapsed="false">
      <c r="A7" s="3" t="s">
        <v>1308</v>
      </c>
      <c r="B7" s="11" t="s">
        <v>65</v>
      </c>
      <c r="C7" s="60" t="n">
        <f aca="false">INDEX($C$28:$H$28,輸入與假設!$C$559)</f>
        <v>49.0727629128079</v>
      </c>
      <c r="D7" s="60" t="str">
        <f aca="false">INDEX($C$34:$H$34,輸入與假設!$C$559)</f>
        <v>不適用</v>
      </c>
      <c r="E7" s="60" t="str">
        <f aca="false">INDEX($C$48:$H$48,輸入與假設!$C$559)</f>
        <v>不適用</v>
      </c>
      <c r="F7" s="62" t="s">
        <v>1307</v>
      </c>
      <c r="G7" s="62" t="s">
        <v>1307</v>
      </c>
      <c r="H7" s="60" t="str">
        <f aca="false">INDEX($C$49:$H$49,輸入與假設!$C$559)</f>
        <v>不適用</v>
      </c>
      <c r="I7" s="60" t="str">
        <f aca="false">IF(ISNUMBER(INDEX($C$38:$H$38,輸入與假設!$C$559)),INDEX($C$38:$H$38,輸入與假設!$C$559),"待公布")</f>
        <v>待公布</v>
      </c>
      <c r="J7" s="60" t="str">
        <f aca="false">INDEX($C$50:$H$50,輸入與假設!$C$559)</f>
        <v/>
      </c>
      <c r="K7" s="60" t="str">
        <f aca="false">INDEX($C$51:$H$51,輸入與假設!$C$559)</f>
        <v/>
      </c>
      <c r="L7" s="60" t="str">
        <f aca="false">INDEX($C$52:$H$52,輸入與假設!$C$559)</f>
        <v/>
      </c>
      <c r="M7" s="61" t="str">
        <f aca="false">INDEX($C$53:$H$53,輸入與假設!$C$559)</f>
        <v>不適用</v>
      </c>
      <c r="N7" s="61" t="str">
        <f aca="false">INDEX($C$54:$H$54,輸入與假設!$C$559)</f>
        <v>不適用</v>
      </c>
      <c r="O7" s="61" t="str">
        <f aca="false">INDEX($C$55:$H$55,輸入與假設!$C$559)</f>
        <v/>
      </c>
      <c r="P7" s="61" t="str">
        <f aca="false">INDEX($C$56:$H$56,輸入與假設!$C$559)</f>
        <v/>
      </c>
      <c r="Q7" s="61" t="str">
        <f aca="false">INDEX($C$57:$H$57,輸入與假設!$C$559)</f>
        <v/>
      </c>
    </row>
    <row r="8" customFormat="false" ht="15" hidden="false" customHeight="false" outlineLevel="1" collapsed="false">
      <c r="A8" s="3" t="s">
        <v>1309</v>
      </c>
      <c r="B8" s="11" t="s">
        <v>42</v>
      </c>
      <c r="C8" s="61" t="n">
        <f aca="false">INDEX($C$27:$H$27,輸入與假設!$C$559)</f>
        <v>0.385012943639866</v>
      </c>
      <c r="D8" s="61" t="str">
        <f aca="false">INDEX($C$35:$H$35,輸入與假設!$C$559)</f>
        <v>不適用</v>
      </c>
      <c r="E8" s="61" t="str">
        <f aca="false">INDEX($C$58:$H$58,輸入與假設!$C$559)</f>
        <v>不適用</v>
      </c>
      <c r="F8" s="63" t="s">
        <v>1307</v>
      </c>
      <c r="G8" s="63" t="s">
        <v>1307</v>
      </c>
      <c r="H8" s="61" t="str">
        <f aca="false">INDEX($C$59:$H$59,輸入與假設!$C$559)</f>
        <v>不適用</v>
      </c>
      <c r="I8" s="61" t="str">
        <f aca="false">IF(ISNUMBER(INDEX($C$39:$H$39,輸入與假設!$C$559)),INDEX($C$39:$H$39,輸入與假設!$C$559),"待公布")</f>
        <v>待公布</v>
      </c>
      <c r="J8" s="61" t="str">
        <f aca="false">INDEX($C$60:$H$60,輸入與假設!$C$559)</f>
        <v/>
      </c>
      <c r="K8" s="61" t="str">
        <f aca="false">INDEX($C$61:$H$61,輸入與假設!$C$559)</f>
        <v/>
      </c>
      <c r="L8" s="61" t="str">
        <f aca="false">INDEX($C$62:$H$62,輸入與假設!$C$559)</f>
        <v/>
      </c>
      <c r="M8" s="61"/>
      <c r="N8" s="61"/>
      <c r="O8" s="61"/>
      <c r="P8" s="61"/>
      <c r="Q8" s="61"/>
    </row>
    <row r="9" customFormat="false" ht="15" hidden="false" customHeight="false" outlineLevel="1" collapsed="false">
      <c r="A9" s="3" t="s">
        <v>1310</v>
      </c>
      <c r="B9" s="11" t="s">
        <v>65</v>
      </c>
      <c r="C9" s="60" t="n">
        <f aca="false">INDEX($C$31:$H$31,輸入與假設!$C$559)</f>
        <v>37.0432199229984</v>
      </c>
      <c r="D9" s="62" t="s">
        <v>1307</v>
      </c>
      <c r="E9" s="60" t="str">
        <f aca="false">INDEX($C$63:$H$63,輸入與假設!$C$559)</f>
        <v>不適用</v>
      </c>
      <c r="F9" s="62" t="s">
        <v>1307</v>
      </c>
      <c r="G9" s="62" t="s">
        <v>1307</v>
      </c>
      <c r="H9" s="60" t="str">
        <f aca="false">INDEX($C$64:$H$64,輸入與假設!$C$559)</f>
        <v>不適用</v>
      </c>
      <c r="I9" s="60" t="str">
        <f aca="false">IF(ISNUMBER(INDEX($C$40:$H$40,輸入與假設!$C$559)),INDEX($C$40:$H$40,輸入與假設!$C$559),"待公布")</f>
        <v>待公布</v>
      </c>
      <c r="J9" s="60" t="str">
        <f aca="false">INDEX($C$65:$H$65,輸入與假設!$C$559)</f>
        <v/>
      </c>
      <c r="K9" s="60" t="str">
        <f aca="false">INDEX($C$66:$H$66,輸入與假設!$C$559)</f>
        <v/>
      </c>
      <c r="L9" s="60" t="str">
        <f aca="false">INDEX($C$67:$H$67,輸入與假設!$C$559)</f>
        <v/>
      </c>
      <c r="M9" s="61" t="str">
        <f aca="false">INDEX($C$68:$H$68,輸入與假設!$C$559)</f>
        <v>不適用</v>
      </c>
      <c r="N9" s="61" t="str">
        <f aca="false">INDEX($C$69:$H$69,輸入與假設!$C$559)</f>
        <v>不適用</v>
      </c>
      <c r="O9" s="61" t="str">
        <f aca="false">INDEX($C$70:$H$70,輸入與假設!$C$559)</f>
        <v/>
      </c>
      <c r="P9" s="61" t="str">
        <f aca="false">INDEX($C$71:$H$71,輸入與假設!$C$559)</f>
        <v/>
      </c>
      <c r="Q9" s="61" t="str">
        <f aca="false">INDEX($C$72:$H$72,輸入與假設!$C$559)</f>
        <v/>
      </c>
    </row>
    <row r="10" customFormat="false" ht="15" hidden="false" customHeight="false" outlineLevel="1" collapsed="false">
      <c r="A10" s="3" t="s">
        <v>1311</v>
      </c>
      <c r="B10" s="11" t="s">
        <v>65</v>
      </c>
      <c r="C10" s="60" t="n">
        <f aca="false">INDEX($C$32:$H$32,輸入與假設!$C$559)</f>
        <v>59.701</v>
      </c>
      <c r="D10" s="62" t="s">
        <v>1307</v>
      </c>
      <c r="E10" s="61" t="str">
        <f aca="false">INDEX($C$73:$H$73,輸入與假設!$C$559)</f>
        <v>不適用</v>
      </c>
      <c r="F10" s="62" t="s">
        <v>1307</v>
      </c>
      <c r="G10" s="62" t="s">
        <v>1307</v>
      </c>
      <c r="H10" s="61" t="str">
        <f aca="false">INDEX($C$74:$H$74,輸入與假設!$C$559)</f>
        <v>不適用</v>
      </c>
      <c r="I10" s="60" t="str">
        <f aca="false">IF(ISNUMBER(INDEX($C$41:$H$41,輸入與假設!$C$559)),INDEX($C$41:$H$41,輸入與假設!$C$559),"待公布")</f>
        <v>待公布</v>
      </c>
      <c r="J10" s="61" t="str">
        <f aca="false">INDEX($C$75:$H$75,輸入與假設!$C$559)</f>
        <v/>
      </c>
      <c r="K10" s="61" t="str">
        <f aca="false">INDEX($C$76:$H$76,輸入與假設!$C$559)</f>
        <v/>
      </c>
      <c r="L10" s="61" t="str">
        <f aca="false">INDEX($C$77:$H$77,輸入與假設!$C$559)</f>
        <v/>
      </c>
      <c r="M10" s="61"/>
      <c r="N10" s="61"/>
      <c r="O10" s="61"/>
      <c r="P10" s="61"/>
      <c r="Q10" s="61"/>
    </row>
    <row r="11" customFormat="false" ht="15" hidden="false" customHeight="false" outlineLevel="1" collapsed="false">
      <c r="A11" s="3" t="s">
        <v>1312</v>
      </c>
      <c r="B11" s="11" t="s">
        <v>157</v>
      </c>
      <c r="C11" s="64" t="n">
        <f aca="false">INDEX($C$19:$H$19,輸入與假設!$C$559)</f>
        <v>2212.975</v>
      </c>
      <c r="D11" s="65" t="s">
        <v>1307</v>
      </c>
      <c r="E11" s="64" t="str">
        <f aca="false">INDEX($C$78:$H$78,輸入與假設!$C$559)</f>
        <v>不適用</v>
      </c>
      <c r="F11" s="65" t="s">
        <v>1307</v>
      </c>
      <c r="G11" s="65" t="s">
        <v>1307</v>
      </c>
      <c r="H11" s="64" t="str">
        <f aca="false">INDEX($C$79:$H$79,輸入與假設!$C$559)</f>
        <v>不適用</v>
      </c>
      <c r="I11" s="64" t="str">
        <f aca="false">IF(ISNUMBER(INDEX($C$42:$H$42,輸入與假設!$C$559)),INDEX($C$42:$H$42,輸入與假設!$C$559),"待公布")</f>
        <v>待公布</v>
      </c>
      <c r="J11" s="64" t="str">
        <f aca="false">INDEX($C$80:$H$80,輸入與假設!$C$559)</f>
        <v/>
      </c>
      <c r="K11" s="64" t="str">
        <f aca="false">INDEX($C$81:$H$81,輸入與假設!$C$559)</f>
        <v/>
      </c>
      <c r="L11" s="64" t="str">
        <f aca="false">INDEX($C$82:$H$82,輸入與假設!$C$559)</f>
        <v/>
      </c>
      <c r="M11" s="61"/>
      <c r="N11" s="61"/>
      <c r="O11" s="61"/>
      <c r="P11" s="61"/>
      <c r="Q11" s="61"/>
    </row>
    <row r="12" customFormat="false" ht="15" hidden="false" customHeight="false" outlineLevel="1" collapsed="false">
      <c r="A12" s="2" t="s">
        <v>1313</v>
      </c>
      <c r="C12" s="2" t="str">
        <f aca="false">INDEX($C$16:$H$16,輸入與假設!$C$559)</f>
        <v>Q3 2026</v>
      </c>
    </row>
    <row r="13" customFormat="false" ht="17.15" hidden="false" customHeight="false" outlineLevel="1" collapsed="false">
      <c r="A13" s="2" t="s">
        <v>1314</v>
      </c>
      <c r="C13" s="0" t="str">
        <f aca="false">IF(INDEX($C$119:$H$119,輸入與假設!$C$559)="","無（差距皆在 "&amp;IF(ROUND(ABS(輸入與假設!$C$553)*100,4)=INT(ROUND(ABS(輸入與假設!$C$553)*100,4)),TEXT(ROUND(ABS(輸入與假設!$C$553)*100,4),"0"),TEXT(ROUND(ABS(輸入與假設!$C$553)*100,4),"0.0"))&amp;"%"&amp;" 以內）",INDEX($C$119:$H$119,輸入與假設!$C$559))</f>
        <v>無（差距皆在 5% 以內）</v>
      </c>
    </row>
    <row r="15" customFormat="false" ht="15" hidden="false" customHeight="false" outlineLevel="0" collapsed="true">
      <c r="A15" s="7" t="s">
        <v>1315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1080</v>
      </c>
      <c r="D16" s="15" t="s">
        <v>1081</v>
      </c>
      <c r="E16" s="15" t="s">
        <v>1082</v>
      </c>
      <c r="F16" s="15" t="s">
        <v>1083</v>
      </c>
      <c r="G16" s="15" t="s">
        <v>1084</v>
      </c>
      <c r="H16" s="15" t="s">
        <v>1085</v>
      </c>
    </row>
    <row r="17" customFormat="false" ht="15" hidden="true" customHeight="false" outlineLevel="1" collapsed="false">
      <c r="A17" s="3" t="s">
        <v>1316</v>
      </c>
      <c r="C17" s="26" t="n">
        <f aca="false">輸入與假設!C$558</f>
        <v>1</v>
      </c>
      <c r="D17" s="26" t="n">
        <f aca="false">輸入與假設!D$558</f>
        <v>1</v>
      </c>
      <c r="E17" s="26" t="n">
        <f aca="false">輸入與假設!E$558</f>
        <v>2</v>
      </c>
      <c r="F17" s="26" t="n">
        <f aca="false">輸入與假設!F$558</f>
        <v>2</v>
      </c>
      <c r="G17" s="26" t="n">
        <f aca="false">輸入與假設!G$558</f>
        <v>2</v>
      </c>
      <c r="H17" s="26" t="n">
        <f aca="false">輸入與假設!H$558</f>
        <v>2</v>
      </c>
      <c r="J17" s="11" t="s">
        <v>1317</v>
      </c>
    </row>
    <row r="18" customFormat="false" ht="15" hidden="true" customHeight="false" outlineLevel="1" collapsed="false">
      <c r="A18" s="3" t="s">
        <v>1318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1319</v>
      </c>
    </row>
    <row r="19" customFormat="false" ht="15" hidden="true" customHeight="false" outlineLevel="1" collapsed="false">
      <c r="A19" s="3" t="s">
        <v>1320</v>
      </c>
      <c r="B19" s="11" t="s">
        <v>157</v>
      </c>
      <c r="C19" s="22" t="n">
        <f aca="false">輸入與假設!$C$561+(輸入與假設!C$36-輸入與假設!$C$561)*1/2</f>
        <v>2212.975</v>
      </c>
      <c r="D19" s="22" t="n">
        <f aca="false">輸入與假設!$C$561+(輸入與假設!C$36-輸入與假設!$C$561)*2/2</f>
        <v>2524.95</v>
      </c>
      <c r="E19" s="22" t="n">
        <f aca="false">輸入與假設!C$36+(輸入與假設!D$36-輸入與假設!C$36)*1/4</f>
        <v>2836.925</v>
      </c>
      <c r="F19" s="22" t="n">
        <f aca="false">輸入與假設!C$36+(輸入與假設!D$36-輸入與假設!C$36)*2/4</f>
        <v>3148.9</v>
      </c>
      <c r="G19" s="22" t="n">
        <f aca="false">輸入與假設!C$36+(輸入與假設!D$36-輸入與假設!C$36)*3/4</f>
        <v>3460.875</v>
      </c>
      <c r="H19" s="22" t="n">
        <f aca="false">輸入與假設!C$36+(輸入與假設!D$36-輸入與假設!C$36)*4/4</f>
        <v>3772.85</v>
      </c>
      <c r="J19" s="6" t="s">
        <v>1321</v>
      </c>
    </row>
    <row r="20" customFormat="false" ht="15" hidden="true" customHeight="false" outlineLevel="1" collapsed="false">
      <c r="A20" s="3" t="s">
        <v>1322</v>
      </c>
      <c r="B20" s="11" t="s">
        <v>157</v>
      </c>
      <c r="C20" s="22" t="n">
        <f aca="false">輸入與假設!$C$29+(運營_產能與收入!C$11-輸入與假設!$C$29)*1/4</f>
        <v>2056.9875</v>
      </c>
      <c r="D20" s="22" t="n">
        <f aca="false">輸入與假設!$C$29+(運營_產能與收入!C$11-輸入與假設!$C$29)*3/4</f>
        <v>2368.9625</v>
      </c>
      <c r="E20" s="22" t="n">
        <f aca="false">運營_產能與收入!C$11+(運營_產能與收入!D$11-運營_產能與收入!C$11)*1/8</f>
        <v>2680.9375</v>
      </c>
      <c r="F20" s="22" t="n">
        <f aca="false">運營_產能與收入!C$11+(運營_產能與收入!D$11-運營_產能與收入!C$11)*3/8</f>
        <v>2992.9125</v>
      </c>
      <c r="G20" s="22" t="n">
        <f aca="false">運營_產能與收入!C$11+(運營_產能與收入!D$11-運營_產能與收入!C$11)*5/8</f>
        <v>3304.8875</v>
      </c>
      <c r="H20" s="22" t="n">
        <f aca="false">運營_產能與收入!C$11+(運營_產能與收入!D$11-運營_產能與收入!C$11)*7/8</f>
        <v>3616.8625</v>
      </c>
      <c r="J20" s="6" t="s">
        <v>1323</v>
      </c>
    </row>
    <row r="21" customFormat="false" ht="15" hidden="true" customHeight="false" outlineLevel="1" collapsed="false">
      <c r="A21" s="3" t="s">
        <v>1324</v>
      </c>
      <c r="B21" s="11" t="s">
        <v>157</v>
      </c>
      <c r="C21" s="22" t="n">
        <f aca="false">C19-輸入與假設!$C$561</f>
        <v>311.975</v>
      </c>
      <c r="D21" s="22" t="n">
        <f aca="false">D19-C19</f>
        <v>311.975</v>
      </c>
      <c r="E21" s="22" t="n">
        <f aca="false">E19-輸入與假設!C$36</f>
        <v>311.975</v>
      </c>
      <c r="F21" s="22" t="n">
        <f aca="false">F19-E19</f>
        <v>311.975</v>
      </c>
      <c r="G21" s="22" t="n">
        <f aca="false">G19-F19</f>
        <v>311.975</v>
      </c>
      <c r="H21" s="22" t="n">
        <f aca="false">H19-G19</f>
        <v>311.975</v>
      </c>
      <c r="J21" s="11" t="s">
        <v>1325</v>
      </c>
    </row>
    <row r="22" customFormat="false" ht="15" hidden="true" customHeight="false" outlineLevel="1" collapsed="false">
      <c r="A22" s="3" t="s">
        <v>1326</v>
      </c>
      <c r="B22" s="11" t="s">
        <v>65</v>
      </c>
      <c r="C22" s="32" t="n">
        <f aca="false">輸入與假設!$C$560+1*(損益!C9-2*輸入與假設!$C$560)/3</f>
        <v>127.457436752333</v>
      </c>
      <c r="D22" s="32" t="n">
        <f aca="false">輸入與假設!$C$560+2*(損益!C9-2*輸入與假設!$C$560)/3</f>
        <v>135.118873504667</v>
      </c>
      <c r="E22" s="32" t="n">
        <f aca="false">損益!D9*E20/(E20+F20+G20+H20)</f>
        <v>127.516423188812</v>
      </c>
      <c r="F22" s="32" t="n">
        <f aca="false">損益!D9*F20/(E20+F20+G20+H20)</f>
        <v>142.355238388469</v>
      </c>
      <c r="G22" s="32" t="n">
        <f aca="false">損益!D9*G20/(E20+F20+G20+H20)</f>
        <v>157.194053588126</v>
      </c>
      <c r="H22" s="32" t="n">
        <f aca="false">損益!D9*H20/(E20+F20+G20+H20)</f>
        <v>172.032868787782</v>
      </c>
      <c r="J22" s="6" t="s">
        <v>1327</v>
      </c>
    </row>
    <row r="23" customFormat="false" ht="15" hidden="true" customHeight="false" outlineLevel="1" collapsed="false">
      <c r="A23" s="4" t="s">
        <v>1328</v>
      </c>
      <c r="C23" s="60" t="n">
        <f aca="false">C22+D22</f>
        <v>262.576310257</v>
      </c>
      <c r="D23" s="60" t="n">
        <f aca="false">E22+F22+G22+H22</f>
        <v>599.098583953189</v>
      </c>
      <c r="J23" s="6" t="s">
        <v>1329</v>
      </c>
    </row>
    <row r="24" customFormat="false" ht="15" hidden="true" customHeight="false" outlineLevel="1" collapsed="false">
      <c r="A24" s="4" t="s">
        <v>1330</v>
      </c>
      <c r="C24" s="60" t="n">
        <f aca="false">C22*C18+D22*D18</f>
        <v>397.695183761667</v>
      </c>
      <c r="D24" s="60" t="n">
        <f aca="false">E22*E18+F22*F18+G22*G18+H22*H18</f>
        <v>2770.13770378764</v>
      </c>
      <c r="J24" s="6" t="s">
        <v>1329</v>
      </c>
    </row>
    <row r="25" customFormat="false" ht="15" hidden="true" customHeight="false" outlineLevel="1" collapsed="false">
      <c r="A25" s="4" t="s">
        <v>1331</v>
      </c>
      <c r="C25" s="60" t="n">
        <f aca="false">損益!C22</f>
        <v>100.493029907</v>
      </c>
      <c r="D25" s="60" t="n">
        <f aca="false">損益!D22</f>
        <v>220.984011742824</v>
      </c>
      <c r="J25" s="6" t="s">
        <v>1329</v>
      </c>
    </row>
    <row r="26" customFormat="false" ht="15" hidden="true" customHeight="false" outlineLevel="1" collapsed="false">
      <c r="A26" s="4" t="s">
        <v>1332</v>
      </c>
      <c r="C26" s="66" t="n">
        <f aca="false">(C25*D24-C24*D25)/(C23*D24-C24*D23)</f>
        <v>0.389470116938617</v>
      </c>
      <c r="D26" s="66" t="n">
        <f aca="false">(C23*D25-D23*C25)/(C23*D24-C24*D23)</f>
        <v>-0.00445717329875066</v>
      </c>
      <c r="J26" s="6" t="s">
        <v>1333</v>
      </c>
    </row>
    <row r="27" customFormat="false" ht="15" hidden="true" customHeight="false" outlineLevel="1" collapsed="false">
      <c r="A27" s="4" t="s">
        <v>1334</v>
      </c>
      <c r="B27" s="11" t="s">
        <v>42</v>
      </c>
      <c r="C27" s="40" t="n">
        <f aca="false">$C$26+$D$26*C18</f>
        <v>0.385012943639866</v>
      </c>
      <c r="D27" s="40" t="n">
        <f aca="false">$C$26+$D$26*D18</f>
        <v>0.380555770341116</v>
      </c>
      <c r="E27" s="40" t="n">
        <f aca="false">$C$26+$D$26*E18</f>
        <v>0.376098597042365</v>
      </c>
      <c r="F27" s="40" t="n">
        <f aca="false">$C$26+$D$26*F18</f>
        <v>0.371641423743614</v>
      </c>
      <c r="G27" s="40" t="n">
        <f aca="false">$C$26+$D$26*G18</f>
        <v>0.367184250444864</v>
      </c>
      <c r="H27" s="40" t="n">
        <f aca="false">$C$26+$D$26*H18</f>
        <v>0.362727077146113</v>
      </c>
      <c r="J27" s="6" t="s">
        <v>1335</v>
      </c>
    </row>
    <row r="28" customFormat="false" ht="15" hidden="true" customHeight="false" outlineLevel="1" collapsed="false">
      <c r="A28" s="3" t="s">
        <v>1336</v>
      </c>
      <c r="B28" s="11" t="s">
        <v>65</v>
      </c>
      <c r="C28" s="32" t="n">
        <f aca="false">C22*C27</f>
        <v>49.0727629128079</v>
      </c>
      <c r="D28" s="32" t="n">
        <f aca="false">D22*D27</f>
        <v>51.4202669941922</v>
      </c>
      <c r="E28" s="32" t="n">
        <f aca="false">E22*E27</f>
        <v>47.9587478611728</v>
      </c>
      <c r="F28" s="32" t="n">
        <f aca="false">F22*F27</f>
        <v>52.9051034720522</v>
      </c>
      <c r="G28" s="32" t="n">
        <f aca="false">G22*G27</f>
        <v>57.7191807411457</v>
      </c>
      <c r="H28" s="32" t="n">
        <f aca="false">H22*H27</f>
        <v>62.4009796684531</v>
      </c>
    </row>
    <row r="29" customFormat="false" ht="15" hidden="true" customHeight="false" outlineLevel="1" collapsed="false">
      <c r="A29" s="3" t="s">
        <v>1337</v>
      </c>
      <c r="B29" s="11" t="s">
        <v>65</v>
      </c>
      <c r="C29" s="32" t="n">
        <f aca="false">輸入與假設!C$332/2</f>
        <v>12.0295429898095</v>
      </c>
      <c r="D29" s="32" t="n">
        <f aca="false">輸入與假設!C$332/2</f>
        <v>12.0295429898095</v>
      </c>
      <c r="E29" s="32" t="n">
        <f aca="false">輸入與假設!D$332/4</f>
        <v>17.8821115804301</v>
      </c>
      <c r="F29" s="32" t="n">
        <f aca="false">輸入與假設!D$332/4</f>
        <v>17.8821115804301</v>
      </c>
      <c r="G29" s="32" t="n">
        <f aca="false">輸入與假設!D$332/4</f>
        <v>17.8821115804301</v>
      </c>
      <c r="H29" s="32" t="n">
        <f aca="false">輸入與假設!D$332/4</f>
        <v>17.8821115804301</v>
      </c>
      <c r="J29" s="6" t="s">
        <v>1338</v>
      </c>
    </row>
    <row r="30" customFormat="false" ht="15" hidden="true" customHeight="false" outlineLevel="1" collapsed="false">
      <c r="A30" s="3" t="s">
        <v>1339</v>
      </c>
      <c r="B30" s="11" t="s">
        <v>65</v>
      </c>
      <c r="C30" s="32" t="n">
        <f aca="false">輸入與假設!C$250*C22/MAX(0.000000001,C23)</f>
        <v>0</v>
      </c>
      <c r="D30" s="32" t="n">
        <f aca="false">輸入與假設!C$250*D22/MAX(0.000000001,C23)</f>
        <v>0</v>
      </c>
      <c r="E30" s="32" t="n">
        <f aca="false">輸入與假設!D$250*E22/MAX(0.000000001,D23)</f>
        <v>0</v>
      </c>
      <c r="F30" s="32" t="n">
        <f aca="false">輸入與假設!D$250*F22/MAX(0.000000001,D23)</f>
        <v>0</v>
      </c>
      <c r="G30" s="32" t="n">
        <f aca="false">輸入與假設!D$250*G22/MAX(0.000000001,D23)</f>
        <v>0</v>
      </c>
      <c r="H30" s="32" t="n">
        <f aca="false">輸入與假設!D$250*H22/MAX(0.000000001,D23)</f>
        <v>0</v>
      </c>
      <c r="J30" s="6" t="s">
        <v>1340</v>
      </c>
    </row>
    <row r="31" customFormat="false" ht="15" hidden="true" customHeight="false" outlineLevel="1" collapsed="false">
      <c r="A31" s="3" t="s">
        <v>1341</v>
      </c>
      <c r="B31" s="11" t="s">
        <v>65</v>
      </c>
      <c r="C31" s="32" t="n">
        <f aca="false">C28-C29-C30</f>
        <v>37.0432199229984</v>
      </c>
      <c r="D31" s="32" t="n">
        <f aca="false">D28-D29-D30</f>
        <v>39.3907240043827</v>
      </c>
      <c r="E31" s="32" t="n">
        <f aca="false">E28-E29-E30</f>
        <v>30.0766362807427</v>
      </c>
      <c r="F31" s="32" t="n">
        <f aca="false">F28-F29-F30</f>
        <v>35.0229918916221</v>
      </c>
      <c r="G31" s="32" t="n">
        <f aca="false">G28-G29-G30</f>
        <v>39.8370691607155</v>
      </c>
      <c r="H31" s="32" t="n">
        <f aca="false">H28-H29-H30</f>
        <v>44.518868088023</v>
      </c>
      <c r="J31" s="6" t="s">
        <v>1342</v>
      </c>
    </row>
    <row r="32" customFormat="false" ht="15" hidden="true" customHeight="false" outlineLevel="1" collapsed="false">
      <c r="A32" s="4" t="s">
        <v>1343</v>
      </c>
      <c r="B32" s="11" t="s">
        <v>65</v>
      </c>
      <c r="C32" s="32" t="n">
        <f aca="false">IF((C21+D21)&gt;0,輸入與假設!C$331*C21/(C21+D21),輸入與假設!C$331/2)</f>
        <v>59.701</v>
      </c>
      <c r="D32" s="32" t="n">
        <f aca="false">IF((C21+D21)&gt;0,輸入與假設!C$331*D21/(C21+D21),輸入與假設!C$331/2)</f>
        <v>59.701</v>
      </c>
      <c r="E32" s="32" t="n">
        <f aca="false">IF((E21+F21+G21+H21)&gt;0,輸入與假設!D$331*E21/(E21+F21+G21+H21),輸入與假設!D$331/4)</f>
        <v>59.1995359795831</v>
      </c>
      <c r="F32" s="32" t="n">
        <f aca="false">IF((E21+F21+G21+H21)&gt;0,輸入與假設!D$331*F21/(E21+F21+G21+H21),輸入與假設!D$331/4)</f>
        <v>59.1995359795831</v>
      </c>
      <c r="G32" s="32" t="n">
        <f aca="false">IF((E21+F21+G21+H21)&gt;0,輸入與假設!D$331*G21/(E21+F21+G21+H21),輸入與假設!D$331/4)</f>
        <v>59.1995359795832</v>
      </c>
      <c r="H32" s="32" t="n">
        <f aca="false">IF((E21+F21+G21+H21)&gt;0,輸入與假設!D$331*H21/(E21+F21+G21+H21),輸入與假設!D$331/4)</f>
        <v>59.1995359795831</v>
      </c>
      <c r="J32" s="6" t="s">
        <v>1344</v>
      </c>
    </row>
    <row r="33" customFormat="false" ht="15" hidden="true" customHeight="false" outlineLevel="1" collapsed="false">
      <c r="A33" s="3" t="s">
        <v>1345</v>
      </c>
      <c r="B33" s="11" t="s">
        <v>65</v>
      </c>
      <c r="C33" s="67" t="s">
        <v>1307</v>
      </c>
      <c r="D33" s="67" t="s">
        <v>1307</v>
      </c>
      <c r="E33" s="67" t="s">
        <v>1307</v>
      </c>
      <c r="F33" s="67" t="s">
        <v>1307</v>
      </c>
      <c r="G33" s="67" t="s">
        <v>1307</v>
      </c>
      <c r="H33" s="67" t="s">
        <v>1307</v>
      </c>
      <c r="J33" s="11" t="s">
        <v>1346</v>
      </c>
    </row>
    <row r="34" customFormat="false" ht="15" hidden="true" customHeight="false" outlineLevel="1" collapsed="false">
      <c r="A34" s="3" t="s">
        <v>1347</v>
      </c>
      <c r="B34" s="11" t="s">
        <v>65</v>
      </c>
      <c r="C34" s="67" t="s">
        <v>1307</v>
      </c>
      <c r="D34" s="67" t="s">
        <v>1307</v>
      </c>
      <c r="E34" s="67" t="s">
        <v>1307</v>
      </c>
      <c r="F34" s="67" t="s">
        <v>1307</v>
      </c>
      <c r="G34" s="67" t="s">
        <v>1307</v>
      </c>
      <c r="H34" s="67" t="s">
        <v>1307</v>
      </c>
      <c r="J34" s="11" t="s">
        <v>1346</v>
      </c>
    </row>
    <row r="35" customFormat="false" ht="15" hidden="true" customHeight="false" outlineLevel="1" collapsed="false">
      <c r="A35" s="3" t="s">
        <v>1348</v>
      </c>
      <c r="B35" s="11" t="s">
        <v>42</v>
      </c>
      <c r="C35" s="68" t="s">
        <v>1307</v>
      </c>
      <c r="D35" s="68" t="s">
        <v>1307</v>
      </c>
      <c r="E35" s="68" t="s">
        <v>1307</v>
      </c>
      <c r="F35" s="68" t="s">
        <v>1307</v>
      </c>
      <c r="G35" s="68" t="s">
        <v>1307</v>
      </c>
      <c r="H35" s="68" t="s">
        <v>1307</v>
      </c>
      <c r="J35" s="6" t="s">
        <v>1349</v>
      </c>
    </row>
    <row r="36" customFormat="false" ht="15" hidden="true" customHeight="false" outlineLevel="1" collapsed="false">
      <c r="A36" s="3" t="s">
        <v>1350</v>
      </c>
      <c r="B36" s="11" t="s">
        <v>65</v>
      </c>
      <c r="C36" s="67" t="s">
        <v>1307</v>
      </c>
      <c r="D36" s="67" t="s">
        <v>1307</v>
      </c>
      <c r="E36" s="67" t="s">
        <v>1307</v>
      </c>
      <c r="F36" s="67" t="s">
        <v>1307</v>
      </c>
      <c r="G36" s="67" t="s">
        <v>1307</v>
      </c>
      <c r="H36" s="67" t="s">
        <v>1307</v>
      </c>
      <c r="J36" s="6" t="s">
        <v>1351</v>
      </c>
    </row>
    <row r="37" customFormat="false" ht="15" hidden="true" customHeight="false" outlineLevel="1" collapsed="false">
      <c r="A37" s="3" t="s">
        <v>1352</v>
      </c>
      <c r="B37" s="11" t="s">
        <v>65</v>
      </c>
      <c r="C37" s="41" t="str">
        <f aca="false">IF(ISNUMBER(輸入與假設!C$562),輸入與假設!C$562,"")</f>
        <v/>
      </c>
      <c r="D37" s="41" t="str">
        <f aca="false">IF(ISNUMBER(輸入與假設!D$562),輸入與假設!D$562,"")</f>
        <v/>
      </c>
      <c r="E37" s="41" t="str">
        <f aca="false">IF(ISNUMBER(輸入與假設!E$562),輸入與假設!E$562,"")</f>
        <v/>
      </c>
      <c r="F37" s="41" t="str">
        <f aca="false">IF(ISNUMBER(輸入與假設!F$562),輸入與假設!F$562,"")</f>
        <v/>
      </c>
      <c r="G37" s="41" t="str">
        <f aca="false">IF(ISNUMBER(輸入與假設!G$562),輸入與假設!G$562,"")</f>
        <v/>
      </c>
      <c r="H37" s="41" t="str">
        <f aca="false">IF(ISNUMBER(輸入與假設!H$562),輸入與假設!H$562,"")</f>
        <v/>
      </c>
    </row>
    <row r="38" customFormat="false" ht="15" hidden="true" customHeight="false" outlineLevel="1" collapsed="false">
      <c r="A38" s="3" t="s">
        <v>1353</v>
      </c>
      <c r="B38" s="11" t="s">
        <v>65</v>
      </c>
      <c r="C38" s="41" t="str">
        <f aca="false">IF(ISNUMBER(輸入與假設!C$563),輸入與假設!C$563,"")</f>
        <v/>
      </c>
      <c r="D38" s="41" t="str">
        <f aca="false">IF(ISNUMBER(輸入與假設!D$563),輸入與假設!D$563,"")</f>
        <v/>
      </c>
      <c r="E38" s="41" t="str">
        <f aca="false">IF(ISNUMBER(輸入與假設!E$563),輸入與假設!E$563,"")</f>
        <v/>
      </c>
      <c r="F38" s="41" t="str">
        <f aca="false">IF(ISNUMBER(輸入與假設!F$563),輸入與假設!F$563,"")</f>
        <v/>
      </c>
      <c r="G38" s="41" t="str">
        <f aca="false">IF(ISNUMBER(輸入與假設!G$563),輸入與假設!G$563,"")</f>
        <v/>
      </c>
      <c r="H38" s="41" t="str">
        <f aca="false">IF(ISNUMBER(輸入與假設!H$563),輸入與假設!H$563,"")</f>
        <v/>
      </c>
    </row>
    <row r="39" customFormat="false" ht="15" hidden="true" customHeight="false" outlineLevel="1" collapsed="false">
      <c r="A39" s="3" t="s">
        <v>1354</v>
      </c>
      <c r="B39" s="11" t="s">
        <v>42</v>
      </c>
      <c r="C39" s="68" t="str">
        <f aca="false">IF(AND(ISNUMBER(輸入與假設!C$563),ISNUMBER(輸入與假設!C$562)),輸入與假設!C$563/輸入與假設!C$562,"")</f>
        <v/>
      </c>
      <c r="D39" s="68" t="str">
        <f aca="false">IF(AND(ISNUMBER(輸入與假設!D$563),ISNUMBER(輸入與假設!D$562)),輸入與假設!D$563/輸入與假設!D$562,"")</f>
        <v/>
      </c>
      <c r="E39" s="68" t="str">
        <f aca="false">IF(AND(ISNUMBER(輸入與假設!E$563),ISNUMBER(輸入與假設!E$562)),輸入與假設!E$563/輸入與假設!E$562,"")</f>
        <v/>
      </c>
      <c r="F39" s="68" t="str">
        <f aca="false">IF(AND(ISNUMBER(輸入與假設!F$563),ISNUMBER(輸入與假設!F$562)),輸入與假設!F$563/輸入與假設!F$562,"")</f>
        <v/>
      </c>
      <c r="G39" s="68" t="str">
        <f aca="false">IF(AND(ISNUMBER(輸入與假設!G$563),ISNUMBER(輸入與假設!G$562)),輸入與假設!G$563/輸入與假設!G$562,"")</f>
        <v/>
      </c>
      <c r="H39" s="68" t="str">
        <f aca="false">IF(AND(ISNUMBER(輸入與假設!H$563),ISNUMBER(輸入與假設!H$562)),輸入與假設!H$563/輸入與假設!H$562,"")</f>
        <v/>
      </c>
      <c r="J39" s="6" t="s">
        <v>1355</v>
      </c>
    </row>
    <row r="40" customFormat="false" ht="15" hidden="true" customHeight="false" outlineLevel="1" collapsed="false">
      <c r="A40" s="3" t="s">
        <v>1356</v>
      </c>
      <c r="B40" s="11" t="s">
        <v>65</v>
      </c>
      <c r="C40" s="41" t="str">
        <f aca="false">IF(ISNUMBER(輸入與假設!C$564),輸入與假設!C$564,"")</f>
        <v/>
      </c>
      <c r="D40" s="41" t="str">
        <f aca="false">IF(ISNUMBER(輸入與假設!D$564),輸入與假設!D$564,"")</f>
        <v/>
      </c>
      <c r="E40" s="41" t="str">
        <f aca="false">IF(ISNUMBER(輸入與假設!E$564),輸入與假設!E$564,"")</f>
        <v/>
      </c>
      <c r="F40" s="41" t="str">
        <f aca="false">IF(ISNUMBER(輸入與假設!F$564),輸入與假設!F$564,"")</f>
        <v/>
      </c>
      <c r="G40" s="41" t="str">
        <f aca="false">IF(ISNUMBER(輸入與假設!G$564),輸入與假設!G$564,"")</f>
        <v/>
      </c>
      <c r="H40" s="41" t="str">
        <f aca="false">IF(ISNUMBER(輸入與假設!H$564),輸入與假設!H$564,"")</f>
        <v/>
      </c>
    </row>
    <row r="41" customFormat="false" ht="15" hidden="true" customHeight="false" outlineLevel="1" collapsed="false">
      <c r="A41" s="3" t="s">
        <v>1357</v>
      </c>
      <c r="B41" s="11" t="s">
        <v>65</v>
      </c>
      <c r="C41" s="41" t="str">
        <f aca="false">IF(ISNUMBER(輸入與假設!C$565),輸入與假設!C$565,"")</f>
        <v/>
      </c>
      <c r="D41" s="41" t="str">
        <f aca="false">IF(ISNUMBER(輸入與假設!D$565),輸入與假設!D$565,"")</f>
        <v/>
      </c>
      <c r="E41" s="41" t="str">
        <f aca="false">IF(ISNUMBER(輸入與假設!E$565),輸入與假設!E$565,"")</f>
        <v/>
      </c>
      <c r="F41" s="41" t="str">
        <f aca="false">IF(ISNUMBER(輸入與假設!F$565),輸入與假設!F$565,"")</f>
        <v/>
      </c>
      <c r="G41" s="41" t="str">
        <f aca="false">IF(ISNUMBER(輸入與假設!G$565),輸入與假設!G$565,"")</f>
        <v/>
      </c>
      <c r="H41" s="41" t="str">
        <f aca="false">IF(ISNUMBER(輸入與假設!H$565),輸入與假設!H$565,"")</f>
        <v/>
      </c>
    </row>
    <row r="42" customFormat="false" ht="15" hidden="true" customHeight="false" outlineLevel="1" collapsed="false">
      <c r="A42" s="3" t="s">
        <v>1358</v>
      </c>
      <c r="B42" s="11" t="s">
        <v>157</v>
      </c>
      <c r="C42" s="41" t="str">
        <f aca="false">IF(ISNUMBER(輸入與假設!C$566),輸入與假設!C$566,"")</f>
        <v/>
      </c>
      <c r="D42" s="41" t="str">
        <f aca="false">IF(ISNUMBER(輸入與假設!D$566),輸入與假設!D$566,"")</f>
        <v/>
      </c>
      <c r="E42" s="41" t="str">
        <f aca="false">IF(ISNUMBER(輸入與假設!E$566),輸入與假設!E$566,"")</f>
        <v/>
      </c>
      <c r="F42" s="41" t="str">
        <f aca="false">IF(ISNUMBER(輸入與假設!F$566),輸入與假設!F$566,"")</f>
        <v/>
      </c>
      <c r="G42" s="41" t="str">
        <f aca="false">IF(ISNUMBER(輸入與假設!G$566),輸入與假設!G$566,"")</f>
        <v/>
      </c>
      <c r="H42" s="41" t="str">
        <f aca="false">IF(ISNUMBER(輸入與假設!H$566),輸入與假設!H$566,"")</f>
        <v/>
      </c>
    </row>
    <row r="43" customFormat="false" ht="15" hidden="true" customHeight="false" outlineLevel="1" collapsed="false">
      <c r="A43" s="3" t="s">
        <v>1359</v>
      </c>
      <c r="B43" s="11" t="s">
        <v>42</v>
      </c>
      <c r="C43" s="68" t="str">
        <f aca="false">IF(AND(ISNUMBER(C22),ISNUMBER(C33),C33&lt;&gt;0),C22/(C33)-1,"不適用")</f>
        <v>不適用</v>
      </c>
      <c r="D43" s="68" t="str">
        <f aca="false">IF(AND(ISNUMBER(D22),ISNUMBER(D33),D33&lt;&gt;0),D22/(D33)-1,"不適用")</f>
        <v>不適用</v>
      </c>
      <c r="E43" s="68" t="str">
        <f aca="false">IF(AND(ISNUMBER(E22),ISNUMBER(E33),E33&lt;&gt;0),E22/(E33)-1,"不適用")</f>
        <v>不適用</v>
      </c>
      <c r="F43" s="68" t="str">
        <f aca="false">IF(AND(ISNUMBER(F22),ISNUMBER(F33),F33&lt;&gt;0),F22/(F33)-1,"不適用")</f>
        <v>不適用</v>
      </c>
      <c r="G43" s="68" t="str">
        <f aca="false">IF(AND(ISNUMBER(G22),ISNUMBER(G33),G33&lt;&gt;0),G22/(G33)-1,"不適用")</f>
        <v>不適用</v>
      </c>
      <c r="H43" s="68" t="str">
        <f aca="false">IF(AND(ISNUMBER(H22),ISNUMBER(H33),H33&lt;&gt;0),H22/(H33)-1,"不適用")</f>
        <v>不適用</v>
      </c>
    </row>
    <row r="44" customFormat="false" ht="15" hidden="true" customHeight="false" outlineLevel="1" collapsed="false">
      <c r="A44" s="3" t="s">
        <v>1360</v>
      </c>
      <c r="B44" s="11" t="s">
        <v>42</v>
      </c>
      <c r="C44" s="68" t="s">
        <v>1307</v>
      </c>
      <c r="D44" s="68" t="s">
        <v>1307</v>
      </c>
      <c r="E44" s="68" t="s">
        <v>1307</v>
      </c>
      <c r="F44" s="68" t="s">
        <v>1307</v>
      </c>
      <c r="G44" s="68" t="s">
        <v>1307</v>
      </c>
      <c r="H44" s="68" t="s">
        <v>1307</v>
      </c>
    </row>
    <row r="45" customFormat="false" ht="15" hidden="true" customHeight="false" outlineLevel="1" collapsed="false">
      <c r="A45" s="3" t="s">
        <v>1361</v>
      </c>
      <c r="B45" s="11" t="s">
        <v>42</v>
      </c>
      <c r="C45" s="68" t="str">
        <f aca="false">IF(ISNUMBER(C37),IF(AND(ISNUMBER(C22),C22&lt;&gt;0),C37/(C22)-1,"不適用"),"")</f>
        <v/>
      </c>
      <c r="D45" s="68" t="str">
        <f aca="false">IF(ISNUMBER(D37),IF(AND(ISNUMBER(D22),D22&lt;&gt;0),D37/(D22)-1,"不適用"),"")</f>
        <v/>
      </c>
      <c r="E45" s="68" t="str">
        <f aca="false">IF(ISNUMBER(E37),IF(AND(ISNUMBER(E22),E22&lt;&gt;0),E37/(E22)-1,"不適用"),"")</f>
        <v/>
      </c>
      <c r="F45" s="68" t="str">
        <f aca="false">IF(ISNUMBER(F37),IF(AND(ISNUMBER(F22),F22&lt;&gt;0),F37/(F22)-1,"不適用"),"")</f>
        <v/>
      </c>
      <c r="G45" s="68" t="str">
        <f aca="false">IF(ISNUMBER(G37),IF(AND(ISNUMBER(G22),G22&lt;&gt;0),G37/(G22)-1,"不適用"),"")</f>
        <v/>
      </c>
      <c r="H45" s="68" t="str">
        <f aca="false">IF(ISNUMBER(H37),IF(AND(ISNUMBER(H22),H22&lt;&gt;0),H37/(H22)-1,"不適用"),"")</f>
        <v/>
      </c>
    </row>
    <row r="46" customFormat="false" ht="15" hidden="true" customHeight="false" outlineLevel="1" collapsed="false">
      <c r="A46" s="3" t="s">
        <v>1362</v>
      </c>
      <c r="B46" s="11" t="s">
        <v>42</v>
      </c>
      <c r="C46" s="68" t="str">
        <f aca="false">IF(ISNUMBER(C37),IF(AND(ISNUMBER(C33),C33&lt;&gt;0),C37/(C33)-1,"不適用"),"")</f>
        <v/>
      </c>
      <c r="D46" s="68" t="str">
        <f aca="false">IF(ISNUMBER(D37),IF(AND(ISNUMBER(D33),D33&lt;&gt;0),D37/(D33)-1,"不適用"),"")</f>
        <v/>
      </c>
      <c r="E46" s="68" t="str">
        <f aca="false">IF(ISNUMBER(E37),IF(AND(ISNUMBER(E33),E33&lt;&gt;0),E37/(E33)-1,"不適用"),"")</f>
        <v/>
      </c>
      <c r="F46" s="68" t="str">
        <f aca="false">IF(ISNUMBER(F37),IF(AND(ISNUMBER(F33),F33&lt;&gt;0),F37/(F33)-1,"不適用"),"")</f>
        <v/>
      </c>
      <c r="G46" s="68" t="str">
        <f aca="false">IF(ISNUMBER(G37),IF(AND(ISNUMBER(G33),G33&lt;&gt;0),G37/(G33)-1,"不適用"),"")</f>
        <v/>
      </c>
      <c r="H46" s="68" t="str">
        <f aca="false">IF(ISNUMBER(H37),IF(AND(ISNUMBER(H33),H33&lt;&gt;0),H37/(H33)-1,"不適用"),"")</f>
        <v/>
      </c>
    </row>
    <row r="47" customFormat="false" ht="15" hidden="true" customHeight="false" outlineLevel="1" collapsed="false">
      <c r="A47" s="3" t="s">
        <v>1363</v>
      </c>
      <c r="B47" s="11" t="s">
        <v>42</v>
      </c>
      <c r="C47" s="68" t="str">
        <f aca="false">IF(ISNUMBER(C37),"不適用","")</f>
        <v/>
      </c>
      <c r="D47" s="68" t="str">
        <f aca="false">IF(ISNUMBER(D37),"不適用","")</f>
        <v/>
      </c>
      <c r="E47" s="68" t="str">
        <f aca="false">IF(ISNUMBER(E37),"不適用","")</f>
        <v/>
      </c>
      <c r="F47" s="68" t="str">
        <f aca="false">IF(ISNUMBER(F37),"不適用","")</f>
        <v/>
      </c>
      <c r="G47" s="68" t="str">
        <f aca="false">IF(ISNUMBER(G37),"不適用","")</f>
        <v/>
      </c>
      <c r="H47" s="68" t="str">
        <f aca="false">IF(ISNUMBER(H37),"不適用","")</f>
        <v/>
      </c>
    </row>
    <row r="48" customFormat="false" ht="15" hidden="true" customHeight="false" outlineLevel="1" collapsed="false">
      <c r="A48" s="3" t="s">
        <v>1364</v>
      </c>
      <c r="B48" s="11" t="s">
        <v>65</v>
      </c>
      <c r="C48" s="67" t="str">
        <f aca="false">IF(AND(ISNUMBER(C28),ISNUMBER(C34)),C28-(C34),"不適用")</f>
        <v>不適用</v>
      </c>
      <c r="D48" s="67" t="str">
        <f aca="false">IF(AND(ISNUMBER(D28),ISNUMBER(D34)),D28-(D34),"不適用")</f>
        <v>不適用</v>
      </c>
      <c r="E48" s="67" t="str">
        <f aca="false">IF(AND(ISNUMBER(E28),ISNUMBER(E34)),E28-(E34),"不適用")</f>
        <v>不適用</v>
      </c>
      <c r="F48" s="67" t="str">
        <f aca="false">IF(AND(ISNUMBER(F28),ISNUMBER(F34)),F28-(F34),"不適用")</f>
        <v>不適用</v>
      </c>
      <c r="G48" s="67" t="str">
        <f aca="false">IF(AND(ISNUMBER(G28),ISNUMBER(G34)),G28-(G34),"不適用")</f>
        <v>不適用</v>
      </c>
      <c r="H48" s="67" t="str">
        <f aca="false">IF(AND(ISNUMBER(H28),ISNUMBER(H34)),H28-(H34),"不適用")</f>
        <v>不適用</v>
      </c>
    </row>
    <row r="49" customFormat="false" ht="15" hidden="true" customHeight="false" outlineLevel="1" collapsed="false">
      <c r="A49" s="3" t="s">
        <v>1365</v>
      </c>
      <c r="B49" s="11" t="s">
        <v>65</v>
      </c>
      <c r="C49" s="67" t="s">
        <v>1307</v>
      </c>
      <c r="D49" s="67" t="s">
        <v>1307</v>
      </c>
      <c r="E49" s="67" t="s">
        <v>1307</v>
      </c>
      <c r="F49" s="67" t="s">
        <v>1307</v>
      </c>
      <c r="G49" s="67" t="s">
        <v>1307</v>
      </c>
      <c r="H49" s="67" t="s">
        <v>1307</v>
      </c>
    </row>
    <row r="50" customFormat="false" ht="15" hidden="true" customHeight="false" outlineLevel="1" collapsed="false">
      <c r="A50" s="3" t="s">
        <v>1366</v>
      </c>
      <c r="B50" s="11" t="s">
        <v>65</v>
      </c>
      <c r="C50" s="67" t="str">
        <f aca="false">IF(ISNUMBER(C38),IF(AND(ISNUMBER(C28)),C38-(C28),"不適用"),"")</f>
        <v/>
      </c>
      <c r="D50" s="67" t="str">
        <f aca="false">IF(ISNUMBER(D38),IF(AND(ISNUMBER(D28)),D38-(D28),"不適用"),"")</f>
        <v/>
      </c>
      <c r="E50" s="67" t="str">
        <f aca="false">IF(ISNUMBER(E38),IF(AND(ISNUMBER(E28)),E38-(E28),"不適用"),"")</f>
        <v/>
      </c>
      <c r="F50" s="67" t="str">
        <f aca="false">IF(ISNUMBER(F38),IF(AND(ISNUMBER(F28)),F38-(F28),"不適用"),"")</f>
        <v/>
      </c>
      <c r="G50" s="67" t="str">
        <f aca="false">IF(ISNUMBER(G38),IF(AND(ISNUMBER(G28)),G38-(G28),"不適用"),"")</f>
        <v/>
      </c>
      <c r="H50" s="67" t="str">
        <f aca="false">IF(ISNUMBER(H38),IF(AND(ISNUMBER(H28)),H38-(H28),"不適用"),"")</f>
        <v/>
      </c>
    </row>
    <row r="51" customFormat="false" ht="15" hidden="true" customHeight="false" outlineLevel="1" collapsed="false">
      <c r="A51" s="3" t="s">
        <v>1367</v>
      </c>
      <c r="B51" s="11" t="s">
        <v>65</v>
      </c>
      <c r="C51" s="67" t="str">
        <f aca="false">IF(ISNUMBER(C38),IF(AND(ISNUMBER(C34)),C38-(C34),"不適用"),"")</f>
        <v/>
      </c>
      <c r="D51" s="67" t="str">
        <f aca="false">IF(ISNUMBER(D38),IF(AND(ISNUMBER(D34)),D38-(D34),"不適用"),"")</f>
        <v/>
      </c>
      <c r="E51" s="67" t="str">
        <f aca="false">IF(ISNUMBER(E38),IF(AND(ISNUMBER(E34)),E38-(E34),"不適用"),"")</f>
        <v/>
      </c>
      <c r="F51" s="67" t="str">
        <f aca="false">IF(ISNUMBER(F38),IF(AND(ISNUMBER(F34)),F38-(F34),"不適用"),"")</f>
        <v/>
      </c>
      <c r="G51" s="67" t="str">
        <f aca="false">IF(ISNUMBER(G38),IF(AND(ISNUMBER(G34)),G38-(G34),"不適用"),"")</f>
        <v/>
      </c>
      <c r="H51" s="67" t="str">
        <f aca="false">IF(ISNUMBER(H38),IF(AND(ISNUMBER(H34)),H38-(H34),"不適用"),"")</f>
        <v/>
      </c>
    </row>
    <row r="52" customFormat="false" ht="15" hidden="true" customHeight="false" outlineLevel="1" collapsed="false">
      <c r="A52" s="3" t="s">
        <v>1368</v>
      </c>
      <c r="B52" s="11" t="s">
        <v>65</v>
      </c>
      <c r="C52" s="67" t="str">
        <f aca="false">IF(ISNUMBER(C38),"不適用","")</f>
        <v/>
      </c>
      <c r="D52" s="67" t="str">
        <f aca="false">IF(ISNUMBER(D38),"不適用","")</f>
        <v/>
      </c>
      <c r="E52" s="67" t="str">
        <f aca="false">IF(ISNUMBER(E38),"不適用","")</f>
        <v/>
      </c>
      <c r="F52" s="67" t="str">
        <f aca="false">IF(ISNUMBER(F38),"不適用","")</f>
        <v/>
      </c>
      <c r="G52" s="67" t="str">
        <f aca="false">IF(ISNUMBER(G38),"不適用","")</f>
        <v/>
      </c>
      <c r="H52" s="67" t="str">
        <f aca="false">IF(ISNUMBER(H38),"不適用","")</f>
        <v/>
      </c>
    </row>
    <row r="53" customFormat="false" ht="15" hidden="true" customHeight="false" outlineLevel="1" collapsed="false">
      <c r="A53" s="3" t="s">
        <v>1369</v>
      </c>
      <c r="B53" s="11" t="s">
        <v>77</v>
      </c>
      <c r="C53" s="68" t="str">
        <f aca="false">IF(AND(ISNUMBER(C28),ISNUMBER(C22),C22&lt;&gt;0,ISNUMBER(C34),ISNUMBER(C33),C33&lt;&gt;0),C28/C22-C34/C33,"不適用")</f>
        <v>不適用</v>
      </c>
      <c r="D53" s="68" t="str">
        <f aca="false">IF(AND(ISNUMBER(D28),ISNUMBER(D22),D22&lt;&gt;0,ISNUMBER(D34),ISNUMBER(D33),D33&lt;&gt;0),D28/D22-D34/D33,"不適用")</f>
        <v>不適用</v>
      </c>
      <c r="E53" s="68" t="str">
        <f aca="false">IF(AND(ISNUMBER(E28),ISNUMBER(E22),E22&lt;&gt;0,ISNUMBER(E34),ISNUMBER(E33),E33&lt;&gt;0),E28/E22-E34/E33,"不適用")</f>
        <v>不適用</v>
      </c>
      <c r="F53" s="68" t="str">
        <f aca="false">IF(AND(ISNUMBER(F28),ISNUMBER(F22),F22&lt;&gt;0,ISNUMBER(F34),ISNUMBER(F33),F33&lt;&gt;0),F28/F22-F34/F33,"不適用")</f>
        <v>不適用</v>
      </c>
      <c r="G53" s="68" t="str">
        <f aca="false">IF(AND(ISNUMBER(G28),ISNUMBER(G22),G22&lt;&gt;0,ISNUMBER(G34),ISNUMBER(G33),G33&lt;&gt;0),G28/G22-G34/G33,"不適用")</f>
        <v>不適用</v>
      </c>
      <c r="H53" s="68" t="str">
        <f aca="false">IF(AND(ISNUMBER(H28),ISNUMBER(H22),H22&lt;&gt;0,ISNUMBER(H34),ISNUMBER(H33),H33&lt;&gt;0),H28/H22-H34/H33,"不適用")</f>
        <v>不適用</v>
      </c>
    </row>
    <row r="54" customFormat="false" ht="15" hidden="true" customHeight="false" outlineLevel="1" collapsed="false">
      <c r="A54" s="3" t="s">
        <v>1370</v>
      </c>
      <c r="B54" s="11" t="s">
        <v>77</v>
      </c>
      <c r="C54" s="68" t="s">
        <v>1307</v>
      </c>
      <c r="D54" s="68" t="s">
        <v>1307</v>
      </c>
      <c r="E54" s="68" t="s">
        <v>1307</v>
      </c>
      <c r="F54" s="68" t="s">
        <v>1307</v>
      </c>
      <c r="G54" s="68" t="s">
        <v>1307</v>
      </c>
      <c r="H54" s="68" t="s">
        <v>1307</v>
      </c>
    </row>
    <row r="55" customFormat="false" ht="15" hidden="true" customHeight="false" outlineLevel="1" collapsed="false">
      <c r="A55" s="3" t="s">
        <v>1371</v>
      </c>
      <c r="B55" s="11" t="s">
        <v>77</v>
      </c>
      <c r="C55" s="68" t="str">
        <f aca="false">IF(ISNUMBER(C38),IF(AND(ISNUMBER(C38),ISNUMBER(C37),C37&lt;&gt;0,ISNUMBER(C28),ISNUMBER(C22),C22&lt;&gt;0),C38/C37-C28/C22,"不適用"),"")</f>
        <v/>
      </c>
      <c r="D55" s="68" t="str">
        <f aca="false">IF(ISNUMBER(D38),IF(AND(ISNUMBER(D38),ISNUMBER(D37),D37&lt;&gt;0,ISNUMBER(D28),ISNUMBER(D22),D22&lt;&gt;0),D38/D37-D28/D22,"不適用"),"")</f>
        <v/>
      </c>
      <c r="E55" s="68" t="str">
        <f aca="false">IF(ISNUMBER(E38),IF(AND(ISNUMBER(E38),ISNUMBER(E37),E37&lt;&gt;0,ISNUMBER(E28),ISNUMBER(E22),E22&lt;&gt;0),E38/E37-E28/E22,"不適用"),"")</f>
        <v/>
      </c>
      <c r="F55" s="68" t="str">
        <f aca="false">IF(ISNUMBER(F38),IF(AND(ISNUMBER(F38),ISNUMBER(F37),F37&lt;&gt;0,ISNUMBER(F28),ISNUMBER(F22),F22&lt;&gt;0),F38/F37-F28/F22,"不適用"),"")</f>
        <v/>
      </c>
      <c r="G55" s="68" t="str">
        <f aca="false">IF(ISNUMBER(G38),IF(AND(ISNUMBER(G38),ISNUMBER(G37),G37&lt;&gt;0,ISNUMBER(G28),ISNUMBER(G22),G22&lt;&gt;0),G38/G37-G28/G22,"不適用"),"")</f>
        <v/>
      </c>
      <c r="H55" s="68" t="str">
        <f aca="false">IF(ISNUMBER(H38),IF(AND(ISNUMBER(H38),ISNUMBER(H37),H37&lt;&gt;0,ISNUMBER(H28),ISNUMBER(H22),H22&lt;&gt;0),H38/H37-H28/H22,"不適用"),"")</f>
        <v/>
      </c>
    </row>
    <row r="56" customFormat="false" ht="15" hidden="true" customHeight="false" outlineLevel="1" collapsed="false">
      <c r="A56" s="3" t="s">
        <v>1372</v>
      </c>
      <c r="B56" s="11" t="s">
        <v>77</v>
      </c>
      <c r="C56" s="68" t="str">
        <f aca="false">IF(ISNUMBER(C38),IF(AND(ISNUMBER(C38),ISNUMBER(C37),C37&lt;&gt;0,ISNUMBER(C34),ISNUMBER(C33),C33&lt;&gt;0),C38/C37-C34/C33,"不適用"),"")</f>
        <v/>
      </c>
      <c r="D56" s="68" t="str">
        <f aca="false">IF(ISNUMBER(D38),IF(AND(ISNUMBER(D38),ISNUMBER(D37),D37&lt;&gt;0,ISNUMBER(D34),ISNUMBER(D33),D33&lt;&gt;0),D38/D37-D34/D33,"不適用"),"")</f>
        <v/>
      </c>
      <c r="E56" s="68" t="str">
        <f aca="false">IF(ISNUMBER(E38),IF(AND(ISNUMBER(E38),ISNUMBER(E37),E37&lt;&gt;0,ISNUMBER(E34),ISNUMBER(E33),E33&lt;&gt;0),E38/E37-E34/E33,"不適用"),"")</f>
        <v/>
      </c>
      <c r="F56" s="68" t="str">
        <f aca="false">IF(ISNUMBER(F38),IF(AND(ISNUMBER(F38),ISNUMBER(F37),F37&lt;&gt;0,ISNUMBER(F34),ISNUMBER(F33),F33&lt;&gt;0),F38/F37-F34/F33,"不適用"),"")</f>
        <v/>
      </c>
      <c r="G56" s="68" t="str">
        <f aca="false">IF(ISNUMBER(G38),IF(AND(ISNUMBER(G38),ISNUMBER(G37),G37&lt;&gt;0,ISNUMBER(G34),ISNUMBER(G33),G33&lt;&gt;0),G38/G37-G34/G33,"不適用"),"")</f>
        <v/>
      </c>
      <c r="H56" s="68" t="str">
        <f aca="false">IF(ISNUMBER(H38),IF(AND(ISNUMBER(H38),ISNUMBER(H37),H37&lt;&gt;0,ISNUMBER(H34),ISNUMBER(H33),H33&lt;&gt;0),H38/H37-H34/H33,"不適用"),"")</f>
        <v/>
      </c>
    </row>
    <row r="57" customFormat="false" ht="15" hidden="true" customHeight="false" outlineLevel="1" collapsed="false">
      <c r="A57" s="3" t="s">
        <v>1373</v>
      </c>
      <c r="B57" s="11" t="s">
        <v>77</v>
      </c>
      <c r="C57" s="68" t="str">
        <f aca="false">IF(ISNUMBER(C38),"不適用","")</f>
        <v/>
      </c>
      <c r="D57" s="68" t="str">
        <f aca="false">IF(ISNUMBER(D38),"不適用","")</f>
        <v/>
      </c>
      <c r="E57" s="68" t="str">
        <f aca="false">IF(ISNUMBER(E38),"不適用","")</f>
        <v/>
      </c>
      <c r="F57" s="68" t="str">
        <f aca="false">IF(ISNUMBER(F38),"不適用","")</f>
        <v/>
      </c>
      <c r="G57" s="68" t="str">
        <f aca="false">IF(ISNUMBER(G38),"不適用","")</f>
        <v/>
      </c>
      <c r="H57" s="68" t="str">
        <f aca="false">IF(ISNUMBER(H38),"不適用","")</f>
        <v/>
      </c>
    </row>
    <row r="58" customFormat="false" ht="15" hidden="true" customHeight="false" outlineLevel="1" collapsed="false">
      <c r="A58" s="3" t="s">
        <v>1374</v>
      </c>
      <c r="B58" s="11" t="s">
        <v>77</v>
      </c>
      <c r="C58" s="68" t="str">
        <f aca="false">IF(AND(ISNUMBER(C27),ISNUMBER(C35)),C27-(C35),"不適用")</f>
        <v>不適用</v>
      </c>
      <c r="D58" s="68" t="str">
        <f aca="false">IF(AND(ISNUMBER(D27),ISNUMBER(D35)),D27-(D35),"不適用")</f>
        <v>不適用</v>
      </c>
      <c r="E58" s="68" t="str">
        <f aca="false">IF(AND(ISNUMBER(E27),ISNUMBER(E35)),E27-(E35),"不適用")</f>
        <v>不適用</v>
      </c>
      <c r="F58" s="68" t="str">
        <f aca="false">IF(AND(ISNUMBER(F27),ISNUMBER(F35)),F27-(F35),"不適用")</f>
        <v>不適用</v>
      </c>
      <c r="G58" s="68" t="str">
        <f aca="false">IF(AND(ISNUMBER(G27),ISNUMBER(G35)),G27-(G35),"不適用")</f>
        <v>不適用</v>
      </c>
      <c r="H58" s="68" t="str">
        <f aca="false">IF(AND(ISNUMBER(H27),ISNUMBER(H35)),H27-(H35),"不適用")</f>
        <v>不適用</v>
      </c>
    </row>
    <row r="59" customFormat="false" ht="15" hidden="true" customHeight="false" outlineLevel="1" collapsed="false">
      <c r="A59" s="3" t="s">
        <v>1375</v>
      </c>
      <c r="B59" s="11" t="s">
        <v>77</v>
      </c>
      <c r="C59" s="68" t="s">
        <v>1307</v>
      </c>
      <c r="D59" s="68" t="s">
        <v>1307</v>
      </c>
      <c r="E59" s="68" t="s">
        <v>1307</v>
      </c>
      <c r="F59" s="68" t="s">
        <v>1307</v>
      </c>
      <c r="G59" s="68" t="s">
        <v>1307</v>
      </c>
      <c r="H59" s="68" t="s">
        <v>1307</v>
      </c>
    </row>
    <row r="60" customFormat="false" ht="15" hidden="true" customHeight="false" outlineLevel="1" collapsed="false">
      <c r="A60" s="3" t="s">
        <v>1376</v>
      </c>
      <c r="B60" s="11" t="s">
        <v>77</v>
      </c>
      <c r="C60" s="68" t="str">
        <f aca="false">IF(ISNUMBER(C39),IF(AND(ISNUMBER(C27)),C39-(C27),"不適用"),"")</f>
        <v/>
      </c>
      <c r="D60" s="68" t="str">
        <f aca="false">IF(ISNUMBER(D39),IF(AND(ISNUMBER(D27)),D39-(D27),"不適用"),"")</f>
        <v/>
      </c>
      <c r="E60" s="68" t="str">
        <f aca="false">IF(ISNUMBER(E39),IF(AND(ISNUMBER(E27)),E39-(E27),"不適用"),"")</f>
        <v/>
      </c>
      <c r="F60" s="68" t="str">
        <f aca="false">IF(ISNUMBER(F39),IF(AND(ISNUMBER(F27)),F39-(F27),"不適用"),"")</f>
        <v/>
      </c>
      <c r="G60" s="68" t="str">
        <f aca="false">IF(ISNUMBER(G39),IF(AND(ISNUMBER(G27)),G39-(G27),"不適用"),"")</f>
        <v/>
      </c>
      <c r="H60" s="68" t="str">
        <f aca="false">IF(ISNUMBER(H39),IF(AND(ISNUMBER(H27)),H39-(H27),"不適用"),"")</f>
        <v/>
      </c>
    </row>
    <row r="61" customFormat="false" ht="15" hidden="true" customHeight="false" outlineLevel="1" collapsed="false">
      <c r="A61" s="3" t="s">
        <v>1377</v>
      </c>
      <c r="B61" s="11" t="s">
        <v>77</v>
      </c>
      <c r="C61" s="68" t="str">
        <f aca="false">IF(ISNUMBER(C39),IF(AND(ISNUMBER(C35)),C39-(C35),"不適用"),"")</f>
        <v/>
      </c>
      <c r="D61" s="68" t="str">
        <f aca="false">IF(ISNUMBER(D39),IF(AND(ISNUMBER(D35)),D39-(D35),"不適用"),"")</f>
        <v/>
      </c>
      <c r="E61" s="68" t="str">
        <f aca="false">IF(ISNUMBER(E39),IF(AND(ISNUMBER(E35)),E39-(E35),"不適用"),"")</f>
        <v/>
      </c>
      <c r="F61" s="68" t="str">
        <f aca="false">IF(ISNUMBER(F39),IF(AND(ISNUMBER(F35)),F39-(F35),"不適用"),"")</f>
        <v/>
      </c>
      <c r="G61" s="68" t="str">
        <f aca="false">IF(ISNUMBER(G39),IF(AND(ISNUMBER(G35)),G39-(G35),"不適用"),"")</f>
        <v/>
      </c>
      <c r="H61" s="68" t="str">
        <f aca="false">IF(ISNUMBER(H39),IF(AND(ISNUMBER(H35)),H39-(H35),"不適用"),"")</f>
        <v/>
      </c>
    </row>
    <row r="62" customFormat="false" ht="15" hidden="true" customHeight="false" outlineLevel="1" collapsed="false">
      <c r="A62" s="3" t="s">
        <v>1378</v>
      </c>
      <c r="B62" s="11" t="s">
        <v>77</v>
      </c>
      <c r="C62" s="68" t="str">
        <f aca="false">IF(ISNUMBER(C39),"不適用","")</f>
        <v/>
      </c>
      <c r="D62" s="68" t="str">
        <f aca="false">IF(ISNUMBER(D39),"不適用","")</f>
        <v/>
      </c>
      <c r="E62" s="68" t="str">
        <f aca="false">IF(ISNUMBER(E39),"不適用","")</f>
        <v/>
      </c>
      <c r="F62" s="68" t="str">
        <f aca="false">IF(ISNUMBER(F39),"不適用","")</f>
        <v/>
      </c>
      <c r="G62" s="68" t="str">
        <f aca="false">IF(ISNUMBER(G39),"不適用","")</f>
        <v/>
      </c>
      <c r="H62" s="68" t="str">
        <f aca="false">IF(ISNUMBER(H39),"不適用","")</f>
        <v/>
      </c>
    </row>
    <row r="63" customFormat="false" ht="15" hidden="true" customHeight="false" outlineLevel="1" collapsed="false">
      <c r="A63" s="3" t="s">
        <v>1379</v>
      </c>
      <c r="B63" s="11" t="s">
        <v>65</v>
      </c>
      <c r="C63" s="67" t="s">
        <v>1307</v>
      </c>
      <c r="D63" s="67" t="s">
        <v>1307</v>
      </c>
      <c r="E63" s="67" t="s">
        <v>1307</v>
      </c>
      <c r="F63" s="67" t="s">
        <v>1307</v>
      </c>
      <c r="G63" s="67" t="s">
        <v>1307</v>
      </c>
      <c r="H63" s="67" t="s">
        <v>1307</v>
      </c>
    </row>
    <row r="64" customFormat="false" ht="15" hidden="true" customHeight="false" outlineLevel="1" collapsed="false">
      <c r="A64" s="3" t="s">
        <v>1380</v>
      </c>
      <c r="B64" s="11" t="s">
        <v>65</v>
      </c>
      <c r="C64" s="67" t="s">
        <v>1307</v>
      </c>
      <c r="D64" s="67" t="s">
        <v>1307</v>
      </c>
      <c r="E64" s="67" t="s">
        <v>1307</v>
      </c>
      <c r="F64" s="67" t="s">
        <v>1307</v>
      </c>
      <c r="G64" s="67" t="s">
        <v>1307</v>
      </c>
      <c r="H64" s="67" t="s">
        <v>1307</v>
      </c>
    </row>
    <row r="65" customFormat="false" ht="15" hidden="true" customHeight="false" outlineLevel="1" collapsed="false">
      <c r="A65" s="3" t="s">
        <v>1381</v>
      </c>
      <c r="B65" s="11" t="s">
        <v>65</v>
      </c>
      <c r="C65" s="67" t="str">
        <f aca="false">IF(ISNUMBER(C40),IF(AND(ISNUMBER(C31)),C40-(C31),"不適用"),"")</f>
        <v/>
      </c>
      <c r="D65" s="67" t="str">
        <f aca="false">IF(ISNUMBER(D40),IF(AND(ISNUMBER(D31)),D40-(D31),"不適用"),"")</f>
        <v/>
      </c>
      <c r="E65" s="67" t="str">
        <f aca="false">IF(ISNUMBER(E40),IF(AND(ISNUMBER(E31)),E40-(E31),"不適用"),"")</f>
        <v/>
      </c>
      <c r="F65" s="67" t="str">
        <f aca="false">IF(ISNUMBER(F40),IF(AND(ISNUMBER(F31)),F40-(F31),"不適用"),"")</f>
        <v/>
      </c>
      <c r="G65" s="67" t="str">
        <f aca="false">IF(ISNUMBER(G40),IF(AND(ISNUMBER(G31)),G40-(G31),"不適用"),"")</f>
        <v/>
      </c>
      <c r="H65" s="67" t="str">
        <f aca="false">IF(ISNUMBER(H40),IF(AND(ISNUMBER(H31)),H40-(H31),"不適用"),"")</f>
        <v/>
      </c>
    </row>
    <row r="66" customFormat="false" ht="15" hidden="true" customHeight="false" outlineLevel="1" collapsed="false">
      <c r="A66" s="3" t="s">
        <v>1382</v>
      </c>
      <c r="B66" s="11" t="s">
        <v>65</v>
      </c>
      <c r="C66" s="67" t="str">
        <f aca="false">IF(ISNUMBER(C40),"不適用","")</f>
        <v/>
      </c>
      <c r="D66" s="67" t="str">
        <f aca="false">IF(ISNUMBER(D40),"不適用","")</f>
        <v/>
      </c>
      <c r="E66" s="67" t="str">
        <f aca="false">IF(ISNUMBER(E40),"不適用","")</f>
        <v/>
      </c>
      <c r="F66" s="67" t="str">
        <f aca="false">IF(ISNUMBER(F40),"不適用","")</f>
        <v/>
      </c>
      <c r="G66" s="67" t="str">
        <f aca="false">IF(ISNUMBER(G40),"不適用","")</f>
        <v/>
      </c>
      <c r="H66" s="67" t="str">
        <f aca="false">IF(ISNUMBER(H40),"不適用","")</f>
        <v/>
      </c>
    </row>
    <row r="67" customFormat="false" ht="15" hidden="true" customHeight="false" outlineLevel="1" collapsed="false">
      <c r="A67" s="3" t="s">
        <v>1383</v>
      </c>
      <c r="B67" s="11" t="s">
        <v>65</v>
      </c>
      <c r="C67" s="67" t="str">
        <f aca="false">IF(ISNUMBER(C40),"不適用","")</f>
        <v/>
      </c>
      <c r="D67" s="67" t="str">
        <f aca="false">IF(ISNUMBER(D40),"不適用","")</f>
        <v/>
      </c>
      <c r="E67" s="67" t="str">
        <f aca="false">IF(ISNUMBER(E40),"不適用","")</f>
        <v/>
      </c>
      <c r="F67" s="67" t="str">
        <f aca="false">IF(ISNUMBER(F40),"不適用","")</f>
        <v/>
      </c>
      <c r="G67" s="67" t="str">
        <f aca="false">IF(ISNUMBER(G40),"不適用","")</f>
        <v/>
      </c>
      <c r="H67" s="67" t="str">
        <f aca="false">IF(ISNUMBER(H40),"不適用","")</f>
        <v/>
      </c>
    </row>
    <row r="68" customFormat="false" ht="15" hidden="true" customHeight="false" outlineLevel="1" collapsed="false">
      <c r="A68" s="3" t="s">
        <v>1384</v>
      </c>
      <c r="B68" s="11" t="s">
        <v>77</v>
      </c>
      <c r="C68" s="68" t="s">
        <v>1307</v>
      </c>
      <c r="D68" s="68" t="s">
        <v>1307</v>
      </c>
      <c r="E68" s="68" t="s">
        <v>1307</v>
      </c>
      <c r="F68" s="68" t="s">
        <v>1307</v>
      </c>
      <c r="G68" s="68" t="s">
        <v>1307</v>
      </c>
      <c r="H68" s="68" t="s">
        <v>1307</v>
      </c>
    </row>
    <row r="69" customFormat="false" ht="15" hidden="true" customHeight="false" outlineLevel="1" collapsed="false">
      <c r="A69" s="3" t="s">
        <v>1385</v>
      </c>
      <c r="B69" s="11" t="s">
        <v>77</v>
      </c>
      <c r="C69" s="68" t="s">
        <v>1307</v>
      </c>
      <c r="D69" s="68" t="s">
        <v>1307</v>
      </c>
      <c r="E69" s="68" t="s">
        <v>1307</v>
      </c>
      <c r="F69" s="68" t="s">
        <v>1307</v>
      </c>
      <c r="G69" s="68" t="s">
        <v>1307</v>
      </c>
      <c r="H69" s="68" t="s">
        <v>1307</v>
      </c>
    </row>
    <row r="70" customFormat="false" ht="15" hidden="true" customHeight="false" outlineLevel="1" collapsed="false">
      <c r="A70" s="3" t="s">
        <v>1386</v>
      </c>
      <c r="B70" s="11" t="s">
        <v>77</v>
      </c>
      <c r="C70" s="68" t="str">
        <f aca="false">IF(ISNUMBER(C40),IF(AND(ISNUMBER(C40),ISNUMBER(C37),C37&lt;&gt;0,ISNUMBER(C31),ISNUMBER(C22),C22&lt;&gt;0),C40/C37-C31/C22,"不適用"),"")</f>
        <v/>
      </c>
      <c r="D70" s="68" t="str">
        <f aca="false">IF(ISNUMBER(D40),IF(AND(ISNUMBER(D40),ISNUMBER(D37),D37&lt;&gt;0,ISNUMBER(D31),ISNUMBER(D22),D22&lt;&gt;0),D40/D37-D31/D22,"不適用"),"")</f>
        <v/>
      </c>
      <c r="E70" s="68" t="str">
        <f aca="false">IF(ISNUMBER(E40),IF(AND(ISNUMBER(E40),ISNUMBER(E37),E37&lt;&gt;0,ISNUMBER(E31),ISNUMBER(E22),E22&lt;&gt;0),E40/E37-E31/E22,"不適用"),"")</f>
        <v/>
      </c>
      <c r="F70" s="68" t="str">
        <f aca="false">IF(ISNUMBER(F40),IF(AND(ISNUMBER(F40),ISNUMBER(F37),F37&lt;&gt;0,ISNUMBER(F31),ISNUMBER(F22),F22&lt;&gt;0),F40/F37-F31/F22,"不適用"),"")</f>
        <v/>
      </c>
      <c r="G70" s="68" t="str">
        <f aca="false">IF(ISNUMBER(G40),IF(AND(ISNUMBER(G40),ISNUMBER(G37),G37&lt;&gt;0,ISNUMBER(G31),ISNUMBER(G22),G22&lt;&gt;0),G40/G37-G31/G22,"不適用"),"")</f>
        <v/>
      </c>
      <c r="H70" s="68" t="str">
        <f aca="false">IF(ISNUMBER(H40),IF(AND(ISNUMBER(H40),ISNUMBER(H37),H37&lt;&gt;0,ISNUMBER(H31),ISNUMBER(H22),H22&lt;&gt;0),H40/H37-H31/H22,"不適用"),"")</f>
        <v/>
      </c>
    </row>
    <row r="71" customFormat="false" ht="15" hidden="true" customHeight="false" outlineLevel="1" collapsed="false">
      <c r="A71" s="3" t="s">
        <v>1387</v>
      </c>
      <c r="B71" s="11" t="s">
        <v>77</v>
      </c>
      <c r="C71" s="68" t="str">
        <f aca="false">IF(ISNUMBER(C40),"不適用","")</f>
        <v/>
      </c>
      <c r="D71" s="68" t="str">
        <f aca="false">IF(ISNUMBER(D40),"不適用","")</f>
        <v/>
      </c>
      <c r="E71" s="68" t="str">
        <f aca="false">IF(ISNUMBER(E40),"不適用","")</f>
        <v/>
      </c>
      <c r="F71" s="68" t="str">
        <f aca="false">IF(ISNUMBER(F40),"不適用","")</f>
        <v/>
      </c>
      <c r="G71" s="68" t="str">
        <f aca="false">IF(ISNUMBER(G40),"不適用","")</f>
        <v/>
      </c>
      <c r="H71" s="68" t="str">
        <f aca="false">IF(ISNUMBER(H40),"不適用","")</f>
        <v/>
      </c>
    </row>
    <row r="72" customFormat="false" ht="15" hidden="true" customHeight="false" outlineLevel="1" collapsed="false">
      <c r="A72" s="3" t="s">
        <v>1388</v>
      </c>
      <c r="B72" s="11" t="s">
        <v>77</v>
      </c>
      <c r="C72" s="68" t="str">
        <f aca="false">IF(ISNUMBER(C40),"不適用","")</f>
        <v/>
      </c>
      <c r="D72" s="68" t="str">
        <f aca="false">IF(ISNUMBER(D40),"不適用","")</f>
        <v/>
      </c>
      <c r="E72" s="68" t="str">
        <f aca="false">IF(ISNUMBER(E40),"不適用","")</f>
        <v/>
      </c>
      <c r="F72" s="68" t="str">
        <f aca="false">IF(ISNUMBER(F40),"不適用","")</f>
        <v/>
      </c>
      <c r="G72" s="68" t="str">
        <f aca="false">IF(ISNUMBER(G40),"不適用","")</f>
        <v/>
      </c>
      <c r="H72" s="68" t="str">
        <f aca="false">IF(ISNUMBER(H40),"不適用","")</f>
        <v/>
      </c>
    </row>
    <row r="73" customFormat="false" ht="15" hidden="true" customHeight="false" outlineLevel="1" collapsed="false">
      <c r="A73" s="3" t="s">
        <v>1389</v>
      </c>
      <c r="B73" s="11" t="s">
        <v>42</v>
      </c>
      <c r="C73" s="68" t="s">
        <v>1307</v>
      </c>
      <c r="D73" s="68" t="s">
        <v>1307</v>
      </c>
      <c r="E73" s="68" t="s">
        <v>1307</v>
      </c>
      <c r="F73" s="68" t="s">
        <v>1307</v>
      </c>
      <c r="G73" s="68" t="s">
        <v>1307</v>
      </c>
      <c r="H73" s="68" t="s">
        <v>1307</v>
      </c>
    </row>
    <row r="74" customFormat="false" ht="15" hidden="true" customHeight="false" outlineLevel="1" collapsed="false">
      <c r="A74" s="3" t="s">
        <v>1390</v>
      </c>
      <c r="B74" s="11" t="s">
        <v>42</v>
      </c>
      <c r="C74" s="68" t="s">
        <v>1307</v>
      </c>
      <c r="D74" s="68" t="s">
        <v>1307</v>
      </c>
      <c r="E74" s="68" t="s">
        <v>1307</v>
      </c>
      <c r="F74" s="68" t="s">
        <v>1307</v>
      </c>
      <c r="G74" s="68" t="s">
        <v>1307</v>
      </c>
      <c r="H74" s="68" t="s">
        <v>1307</v>
      </c>
    </row>
    <row r="75" customFormat="false" ht="15" hidden="true" customHeight="false" outlineLevel="1" collapsed="false">
      <c r="A75" s="3" t="s">
        <v>1391</v>
      </c>
      <c r="B75" s="11" t="s">
        <v>42</v>
      </c>
      <c r="C75" s="68" t="str">
        <f aca="false">IF(ISNUMBER(C41),IF(AND(ISNUMBER(C32),C32&lt;&gt;0),C41/(C32)-1,"不適用"),"")</f>
        <v/>
      </c>
      <c r="D75" s="68" t="str">
        <f aca="false">IF(ISNUMBER(D41),IF(AND(ISNUMBER(D32),D32&lt;&gt;0),D41/(D32)-1,"不適用"),"")</f>
        <v/>
      </c>
      <c r="E75" s="68" t="str">
        <f aca="false">IF(ISNUMBER(E41),IF(AND(ISNUMBER(E32),E32&lt;&gt;0),E41/(E32)-1,"不適用"),"")</f>
        <v/>
      </c>
      <c r="F75" s="68" t="str">
        <f aca="false">IF(ISNUMBER(F41),IF(AND(ISNUMBER(F32),F32&lt;&gt;0),F41/(F32)-1,"不適用"),"")</f>
        <v/>
      </c>
      <c r="G75" s="68" t="str">
        <f aca="false">IF(ISNUMBER(G41),IF(AND(ISNUMBER(G32),G32&lt;&gt;0),G41/(G32)-1,"不適用"),"")</f>
        <v/>
      </c>
      <c r="H75" s="68" t="str">
        <f aca="false">IF(ISNUMBER(H41),IF(AND(ISNUMBER(H32),H32&lt;&gt;0),H41/(H32)-1,"不適用"),"")</f>
        <v/>
      </c>
    </row>
    <row r="76" customFormat="false" ht="15" hidden="true" customHeight="false" outlineLevel="1" collapsed="false">
      <c r="A76" s="3" t="s">
        <v>1392</v>
      </c>
      <c r="B76" s="11" t="s">
        <v>42</v>
      </c>
      <c r="C76" s="68" t="str">
        <f aca="false">IF(ISNUMBER(C41),"不適用","")</f>
        <v/>
      </c>
      <c r="D76" s="68" t="str">
        <f aca="false">IF(ISNUMBER(D41),"不適用","")</f>
        <v/>
      </c>
      <c r="E76" s="68" t="str">
        <f aca="false">IF(ISNUMBER(E41),"不適用","")</f>
        <v/>
      </c>
      <c r="F76" s="68" t="str">
        <f aca="false">IF(ISNUMBER(F41),"不適用","")</f>
        <v/>
      </c>
      <c r="G76" s="68" t="str">
        <f aca="false">IF(ISNUMBER(G41),"不適用","")</f>
        <v/>
      </c>
      <c r="H76" s="68" t="str">
        <f aca="false">IF(ISNUMBER(H41),"不適用","")</f>
        <v/>
      </c>
    </row>
    <row r="77" customFormat="false" ht="15" hidden="true" customHeight="false" outlineLevel="1" collapsed="false">
      <c r="A77" s="3" t="s">
        <v>1393</v>
      </c>
      <c r="B77" s="11" t="s">
        <v>42</v>
      </c>
      <c r="C77" s="68" t="str">
        <f aca="false">IF(ISNUMBER(C41),"不適用","")</f>
        <v/>
      </c>
      <c r="D77" s="68" t="str">
        <f aca="false">IF(ISNUMBER(D41),"不適用","")</f>
        <v/>
      </c>
      <c r="E77" s="68" t="str">
        <f aca="false">IF(ISNUMBER(E41),"不適用","")</f>
        <v/>
      </c>
      <c r="F77" s="68" t="str">
        <f aca="false">IF(ISNUMBER(F41),"不適用","")</f>
        <v/>
      </c>
      <c r="G77" s="68" t="str">
        <f aca="false">IF(ISNUMBER(G41),"不適用","")</f>
        <v/>
      </c>
      <c r="H77" s="68" t="str">
        <f aca="false">IF(ISNUMBER(H41),"不適用","")</f>
        <v/>
      </c>
    </row>
    <row r="78" customFormat="false" ht="15" hidden="true" customHeight="false" outlineLevel="1" collapsed="false">
      <c r="A78" s="3" t="s">
        <v>1394</v>
      </c>
      <c r="B78" s="11" t="s">
        <v>157</v>
      </c>
      <c r="C78" s="69" t="s">
        <v>1307</v>
      </c>
      <c r="D78" s="69" t="s">
        <v>1307</v>
      </c>
      <c r="E78" s="69" t="s">
        <v>1307</v>
      </c>
      <c r="F78" s="69" t="s">
        <v>1307</v>
      </c>
      <c r="G78" s="69" t="s">
        <v>1307</v>
      </c>
      <c r="H78" s="69" t="s">
        <v>1307</v>
      </c>
    </row>
    <row r="79" customFormat="false" ht="15" hidden="true" customHeight="false" outlineLevel="1" collapsed="false">
      <c r="A79" s="3" t="s">
        <v>1395</v>
      </c>
      <c r="B79" s="11" t="s">
        <v>157</v>
      </c>
      <c r="C79" s="69" t="s">
        <v>1307</v>
      </c>
      <c r="D79" s="69" t="s">
        <v>1307</v>
      </c>
      <c r="E79" s="69" t="s">
        <v>1307</v>
      </c>
      <c r="F79" s="69" t="s">
        <v>1307</v>
      </c>
      <c r="G79" s="69" t="s">
        <v>1307</v>
      </c>
      <c r="H79" s="69" t="s">
        <v>1307</v>
      </c>
    </row>
    <row r="80" customFormat="false" ht="15" hidden="true" customHeight="false" outlineLevel="1" collapsed="false">
      <c r="A80" s="3" t="s">
        <v>1396</v>
      </c>
      <c r="B80" s="11" t="s">
        <v>157</v>
      </c>
      <c r="C80" s="69" t="str">
        <f aca="false">IF(ISNUMBER(C42),IF(AND(ISNUMBER(C19)),C42-(C19),"不適用"),"")</f>
        <v/>
      </c>
      <c r="D80" s="69" t="str">
        <f aca="false">IF(ISNUMBER(D42),IF(AND(ISNUMBER(D19)),D42-(D19),"不適用"),"")</f>
        <v/>
      </c>
      <c r="E80" s="69" t="str">
        <f aca="false">IF(ISNUMBER(E42),IF(AND(ISNUMBER(E19)),E42-(E19),"不適用"),"")</f>
        <v/>
      </c>
      <c r="F80" s="69" t="str">
        <f aca="false">IF(ISNUMBER(F42),IF(AND(ISNUMBER(F19)),F42-(F19),"不適用"),"")</f>
        <v/>
      </c>
      <c r="G80" s="69" t="str">
        <f aca="false">IF(ISNUMBER(G42),IF(AND(ISNUMBER(G19)),G42-(G19),"不適用"),"")</f>
        <v/>
      </c>
      <c r="H80" s="69" t="str">
        <f aca="false">IF(ISNUMBER(H42),IF(AND(ISNUMBER(H19)),H42-(H19),"不適用"),"")</f>
        <v/>
      </c>
    </row>
    <row r="81" customFormat="false" ht="15" hidden="true" customHeight="false" outlineLevel="1" collapsed="false">
      <c r="A81" s="3" t="s">
        <v>1397</v>
      </c>
      <c r="B81" s="11" t="s">
        <v>157</v>
      </c>
      <c r="C81" s="69" t="str">
        <f aca="false">IF(ISNUMBER(C42),"不適用","")</f>
        <v/>
      </c>
      <c r="D81" s="69" t="str">
        <f aca="false">IF(ISNUMBER(D42),"不適用","")</f>
        <v/>
      </c>
      <c r="E81" s="69" t="str">
        <f aca="false">IF(ISNUMBER(E42),"不適用","")</f>
        <v/>
      </c>
      <c r="F81" s="69" t="str">
        <f aca="false">IF(ISNUMBER(F42),"不適用","")</f>
        <v/>
      </c>
      <c r="G81" s="69" t="str">
        <f aca="false">IF(ISNUMBER(G42),"不適用","")</f>
        <v/>
      </c>
      <c r="H81" s="69" t="str">
        <f aca="false">IF(ISNUMBER(H42),"不適用","")</f>
        <v/>
      </c>
    </row>
    <row r="82" customFormat="false" ht="15" hidden="true" customHeight="false" outlineLevel="1" collapsed="false">
      <c r="A82" s="3" t="s">
        <v>1398</v>
      </c>
      <c r="B82" s="11" t="s">
        <v>157</v>
      </c>
      <c r="C82" s="69" t="str">
        <f aca="false">IF(ISNUMBER(C42),"不適用","")</f>
        <v/>
      </c>
      <c r="D82" s="69" t="str">
        <f aca="false">IF(ISNUMBER(D42),"不適用","")</f>
        <v/>
      </c>
      <c r="E82" s="69" t="str">
        <f aca="false">IF(ISNUMBER(E42),"不適用","")</f>
        <v/>
      </c>
      <c r="F82" s="69" t="str">
        <f aca="false">IF(ISNUMBER(F42),"不適用","")</f>
        <v/>
      </c>
      <c r="G82" s="69" t="str">
        <f aca="false">IF(ISNUMBER(G42),"不適用","")</f>
        <v/>
      </c>
      <c r="H82" s="69" t="str">
        <f aca="false">IF(ISNUMBER(H42),"不適用","")</f>
        <v/>
      </c>
    </row>
    <row r="83" customFormat="false" ht="15" hidden="true" customHeight="false" outlineLevel="1" collapsed="false">
      <c r="A83" s="3" t="s">
        <v>1399</v>
      </c>
      <c r="B83" s="11" t="s">
        <v>65</v>
      </c>
      <c r="C83" s="67" t="str">
        <f aca="false">IF(COUNT(C33,D33)=2,C33+D33,"不適用")</f>
        <v>不適用</v>
      </c>
      <c r="D83" s="67" t="str">
        <f aca="false">IF(COUNT(C33,D33)=2,C33+D33,"不適用")</f>
        <v>不適用</v>
      </c>
      <c r="E83" s="67" t="str">
        <f aca="false">IF(COUNT(E33,F33,G33,H33)=4,E33+F33+G33+H33,"不適用")</f>
        <v>不適用</v>
      </c>
      <c r="F83" s="67" t="str">
        <f aca="false">IF(COUNT(E33,F33,G33,H33)=4,E33+F33+G33+H33,"不適用")</f>
        <v>不適用</v>
      </c>
      <c r="G83" s="67" t="str">
        <f aca="false">IF(COUNT(E33,F33,G33,H33)=4,E33+F33+G33+H33,"不適用")</f>
        <v>不適用</v>
      </c>
      <c r="H83" s="67" t="str">
        <f aca="false">IF(COUNT(E33,F33,G33,H33)=4,E33+F33+G33+H33,"不適用")</f>
        <v>不適用</v>
      </c>
      <c r="J83" s="6" t="s">
        <v>1400</v>
      </c>
    </row>
    <row r="84" customFormat="false" ht="15" hidden="true" customHeight="false" outlineLevel="1" collapsed="false">
      <c r="A84" s="3" t="s">
        <v>1401</v>
      </c>
      <c r="B84" s="11" t="s">
        <v>65</v>
      </c>
      <c r="C84" s="67" t="str">
        <f aca="false">IF(AND(ISNUMBER(C83),C83&lt;&gt;0,ISNUMBER(C33),ISNUMBER(C22)),(損益!C9-C83)*(C33)/C83,"不適用")</f>
        <v>不適用</v>
      </c>
      <c r="D84" s="67" t="str">
        <f aca="false">IF(AND(ISNUMBER(D83),D83&lt;&gt;0,ISNUMBER(D33),ISNUMBER(D22)),(損益!C9-D83)*(D33)/D83,"不適用")</f>
        <v>不適用</v>
      </c>
      <c r="E84" s="67" t="str">
        <f aca="false">IF(AND(ISNUMBER(E83),E83&lt;&gt;0,ISNUMBER(E33),ISNUMBER(E22)),(損益!D9-E83)*(E33)/E83,"不適用")</f>
        <v>不適用</v>
      </c>
      <c r="F84" s="67" t="str">
        <f aca="false">IF(AND(ISNUMBER(F83),F83&lt;&gt;0,ISNUMBER(F33),ISNUMBER(F22)),(損益!D9-F83)*(F33)/F83,"不適用")</f>
        <v>不適用</v>
      </c>
      <c r="G84" s="67" t="str">
        <f aca="false">IF(AND(ISNUMBER(G83),G83&lt;&gt;0,ISNUMBER(G33),ISNUMBER(G22)),(損益!D9-G83)*(G33)/G83,"不適用")</f>
        <v>不適用</v>
      </c>
      <c r="H84" s="67" t="str">
        <f aca="false">IF(AND(ISNUMBER(H83),H83&lt;&gt;0,ISNUMBER(H33),ISNUMBER(H22)),(損益!D9-H83)*(H33)/H83,"不適用")</f>
        <v>不適用</v>
      </c>
      <c r="J84" s="11" t="s">
        <v>1402</v>
      </c>
    </row>
    <row r="85" customFormat="false" ht="15" hidden="true" customHeight="false" outlineLevel="1" collapsed="false">
      <c r="A85" s="3" t="s">
        <v>1403</v>
      </c>
      <c r="B85" s="11" t="s">
        <v>65</v>
      </c>
      <c r="C85" s="67" t="str">
        <f aca="false">IF(AND(ISNUMBER(C83),C83&lt;&gt;0,ISNUMBER(C33),ISNUMBER(C22)),(C22/損益!C9-(C33)/C83)*損益!C9,"不適用")</f>
        <v>不適用</v>
      </c>
      <c r="D85" s="67" t="str">
        <f aca="false">IF(AND(ISNUMBER(D83),D83&lt;&gt;0,ISNUMBER(D33),ISNUMBER(D22)),(D22/損益!C9-(D33)/D83)*損益!C9,"不適用")</f>
        <v>不適用</v>
      </c>
      <c r="E85" s="67" t="str">
        <f aca="false">IF(AND(ISNUMBER(E83),E83&lt;&gt;0,ISNUMBER(E33),ISNUMBER(E22)),(E22/損益!D9-(E33)/E83)*損益!D9,"不適用")</f>
        <v>不適用</v>
      </c>
      <c r="F85" s="67" t="str">
        <f aca="false">IF(AND(ISNUMBER(F83),F83&lt;&gt;0,ISNUMBER(F33),ISNUMBER(F22)),(F22/損益!D9-(F33)/F83)*損益!D9,"不適用")</f>
        <v>不適用</v>
      </c>
      <c r="G85" s="67" t="str">
        <f aca="false">IF(AND(ISNUMBER(G83),G83&lt;&gt;0,ISNUMBER(G33),ISNUMBER(G22)),(G22/損益!D9-(G33)/G83)*損益!D9,"不適用")</f>
        <v>不適用</v>
      </c>
      <c r="H85" s="67" t="str">
        <f aca="false">IF(AND(ISNUMBER(H83),H83&lt;&gt;0,ISNUMBER(H33),ISNUMBER(H22)),(H22/損益!D9-(H33)/H83)*損益!D9,"不適用")</f>
        <v>不適用</v>
      </c>
      <c r="J85" s="11" t="s">
        <v>1404</v>
      </c>
    </row>
    <row r="86" customFormat="false" ht="15" hidden="true" customHeight="false" outlineLevel="1" collapsed="false">
      <c r="A86" s="3" t="s">
        <v>1405</v>
      </c>
      <c r="C86" s="49" t="str">
        <f aca="false">IF(ISNUMBER(C43),IF(ABS(C43)&gt;輸入與假設!$C$553,IF(ISNUMBER(C84),IF(ABS(C85)&gt;ABS(C84),"營收 vs 共識 "&amp;IF(C43&lt;0,"−","+")&amp;TEXT(ABS(C43)*100,"#,##0.0")&amp;"%"&amp;"：拆法（分配 "&amp;IF(C85&lt;0,"−","+")&amp;IF(ABS(C85)&lt;0,"−","")&amp;"$"&amp;TEXT(ABS(ABS(C85)),"#,##0.000")&amp;"bn"&amp;"（Q3 2026 占 2H26 "&amp;TEXT((C22/損益!C9)*100,"#,##0.0")&amp;"%"&amp;"，共識合計 "&amp;TEXT(((C33)/C83)*100,"#,##0.0")&amp;"%"&amp;"）；水準 "&amp;IF(C84&lt;0,"−","+")&amp;IF(ABS(C84)&lt;0,"−","")&amp;"$"&amp;TEXT(ABS(ABS(C84)),"#,##0.000")&amp;"bn"&amp;"）","營收 vs 共識 "&amp;IF(C43&lt;0,"−","+")&amp;TEXT(ABS(C43)*100,"#,##0.0")&amp;"%"&amp;"：觀點（水準 "&amp;IF(C84&lt;0,"−","+")&amp;IF(ABS(C84)&lt;0,"−","")&amp;"$"&amp;TEXT(ABS(ABS(C84)),"#,##0.000")&amp;"bn"&amp;"（2H26 模型 "&amp;IF(損益!C9&lt;0,"−","")&amp;"$"&amp;TEXT(ABS(損益!C9),"#,##0.000")&amp;"bn"&amp;"，共識合計 "&amp;IF(C83&lt;0,"−","")&amp;"$"&amp;TEXT(ABS(C83),"#,##0.000")&amp;"bn"&amp;"）；分配 "&amp;IF(C85&lt;0,"−","+")&amp;IF(ABS(C85)&lt;0,"−","")&amp;"$"&amp;TEXT(ABS(ABS(C85)),"#,##0.000")&amp;"bn"&amp;"；"&amp;"營收＝對外 AI 雲端（在役 MW × 每 MW 年收入，Tokenomics × k）＋各分部依近四季年增率收斂；年度總額線性分到各季，未建模第四季季節性"&amp;"）"),"營收 vs 共識 "&amp;IF(C43&lt;0,"−","+")&amp;TEXT(ABS(C43)*100,"#,##0.0")&amp;"%"&amp;"：觀點（"&amp;"營收＝對外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D86" s="49" t="str">
        <f aca="false">IF(ISNUMBER(D43),IF(ABS(D43)&gt;輸入與假設!$C$553,IF(ISNUMBER(D84),IF(ABS(D85)&gt;ABS(D84),"營收 vs 共識 "&amp;IF(D43&lt;0,"−","+")&amp;TEXT(ABS(D43)*100,"#,##0.0")&amp;"%"&amp;"：拆法（分配 "&amp;IF(D85&lt;0,"−","+")&amp;IF(ABS(D85)&lt;0,"−","")&amp;"$"&amp;TEXT(ABS(ABS(D85)),"#,##0.000")&amp;"bn"&amp;"（Q4 2026 占 2H26 "&amp;TEXT((D22/損益!C9)*100,"#,##0.0")&amp;"%"&amp;"，共識合計 "&amp;TEXT(((D33)/D83)*100,"#,##0.0")&amp;"%"&amp;"）；水準 "&amp;IF(D84&lt;0,"−","+")&amp;IF(ABS(D84)&lt;0,"−","")&amp;"$"&amp;TEXT(ABS(ABS(D84)),"#,##0.000")&amp;"bn"&amp;"）","營收 vs 共識 "&amp;IF(D43&lt;0,"−","+")&amp;TEXT(ABS(D43)*100,"#,##0.0")&amp;"%"&amp;"：觀點（水準 "&amp;IF(D84&lt;0,"−","+")&amp;IF(ABS(D84)&lt;0,"−","")&amp;"$"&amp;TEXT(ABS(ABS(D84)),"#,##0.000")&amp;"bn"&amp;"（2H26 模型 "&amp;IF(損益!C9&lt;0,"−","")&amp;"$"&amp;TEXT(ABS(損益!C9),"#,##0.000")&amp;"bn"&amp;"，共識合計 "&amp;IF(D83&lt;0,"−","")&amp;"$"&amp;TEXT(ABS(D83),"#,##0.000")&amp;"bn"&amp;"）；分配 "&amp;IF(D85&lt;0,"−","+")&amp;IF(ABS(D85)&lt;0,"−","")&amp;"$"&amp;TEXT(ABS(ABS(D85)),"#,##0.000")&amp;"bn"&amp;"；"&amp;"營收＝對外 AI 雲端（在役 MW × 每 MW 年收入，Tokenomics × k）＋各分部依近四季年增率收斂；年度總額線性分到各季，未建模第四季季節性"&amp;"）"),"營收 vs 共識 "&amp;IF(D43&lt;0,"−","+")&amp;TEXT(ABS(D43)*100,"#,##0.0")&amp;"%"&amp;"：觀點（"&amp;"營收＝對外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E86" s="49" t="str">
        <f aca="false">IF(ISNUMBER(E43),IF(ABS(E43)&gt;輸入與假設!$C$553,IF(ISNUMBER(E84),IF(ABS(E85)&gt;ABS(E84),"營收 vs 共識 "&amp;IF(E43&lt;0,"−","+")&amp;TEXT(ABS(E43)*100,"#,##0.0")&amp;"%"&amp;"：拆法（分配 "&amp;IF(E85&lt;0,"−","+")&amp;IF(ABS(E85)&lt;0,"−","")&amp;"$"&amp;TEXT(ABS(ABS(E85)),"#,##0.000")&amp;"bn"&amp;"（Q1 2027 占 2027 "&amp;TEXT((E22/損益!D9)*100,"#,##0.0")&amp;"%"&amp;"，共識合計 "&amp;TEXT(((E33)/E83)*100,"#,##0.0")&amp;"%"&amp;"）；水準 "&amp;IF(E84&lt;0,"−","+")&amp;IF(ABS(E84)&lt;0,"−","")&amp;"$"&amp;TEXT(ABS(ABS(E84)),"#,##0.000")&amp;"bn"&amp;"）","營收 vs 共識 "&amp;IF(E43&lt;0,"−","+")&amp;TEXT(ABS(E43)*100,"#,##0.0")&amp;"%"&amp;"：觀點（水準 "&amp;IF(E84&lt;0,"−","+")&amp;IF(ABS(E84)&lt;0,"−","")&amp;"$"&amp;TEXT(ABS(ABS(E84)),"#,##0.000")&amp;"bn"&amp;"（2027 模型 "&amp;IF(損益!D9&lt;0,"−","")&amp;"$"&amp;TEXT(ABS(損益!D9),"#,##0.000")&amp;"bn"&amp;"，共識合計 "&amp;IF(E83&lt;0,"−","")&amp;"$"&amp;TEXT(ABS(E83),"#,##0.000")&amp;"bn"&amp;"）；分配 "&amp;IF(E85&lt;0,"−","+")&amp;IF(ABS(E85)&lt;0,"−","")&amp;"$"&amp;TEXT(ABS(ABS(E85)),"#,##0.000")&amp;"bn"&amp;"；"&amp;"營收＝對外 AI 雲端（在役 MW × 每 MW 年收入，Tokenomics × k）＋各分部依近四季年增率收斂；年度總額線性分到各季，未建模第四季季節性"&amp;"）"),"營收 vs 共識 "&amp;IF(E43&lt;0,"−","+")&amp;TEXT(ABS(E43)*100,"#,##0.0")&amp;"%"&amp;"：觀點（"&amp;"營收＝對外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F86" s="49" t="str">
        <f aca="false">IF(ISNUMBER(F43),IF(ABS(F43)&gt;輸入與假設!$C$553,IF(ISNUMBER(F84),IF(ABS(F85)&gt;ABS(F84),"營收 vs 共識 "&amp;IF(F43&lt;0,"−","+")&amp;TEXT(ABS(F43)*100,"#,##0.0")&amp;"%"&amp;"：拆法（分配 "&amp;IF(F85&lt;0,"−","+")&amp;IF(ABS(F85)&lt;0,"−","")&amp;"$"&amp;TEXT(ABS(ABS(F85)),"#,##0.000")&amp;"bn"&amp;"（Q2 2027 占 2027 "&amp;TEXT((F22/損益!D9)*100,"#,##0.0")&amp;"%"&amp;"，共識合計 "&amp;TEXT(((F33)/F83)*100,"#,##0.0")&amp;"%"&amp;"）；水準 "&amp;IF(F84&lt;0,"−","+")&amp;IF(ABS(F84)&lt;0,"−","")&amp;"$"&amp;TEXT(ABS(ABS(F84)),"#,##0.000")&amp;"bn"&amp;"）","營收 vs 共識 "&amp;IF(F43&lt;0,"−","+")&amp;TEXT(ABS(F43)*100,"#,##0.0")&amp;"%"&amp;"：觀點（水準 "&amp;IF(F84&lt;0,"−","+")&amp;IF(ABS(F84)&lt;0,"−","")&amp;"$"&amp;TEXT(ABS(ABS(F84)),"#,##0.000")&amp;"bn"&amp;"（2027 模型 "&amp;IF(損益!D9&lt;0,"−","")&amp;"$"&amp;TEXT(ABS(損益!D9),"#,##0.000")&amp;"bn"&amp;"，共識合計 "&amp;IF(F83&lt;0,"−","")&amp;"$"&amp;TEXT(ABS(F83),"#,##0.000")&amp;"bn"&amp;"）；分配 "&amp;IF(F85&lt;0,"−","+")&amp;IF(ABS(F85)&lt;0,"−","")&amp;"$"&amp;TEXT(ABS(ABS(F85)),"#,##0.000")&amp;"bn"&amp;"；"&amp;"營收＝對外 AI 雲端（在役 MW × 每 MW 年收入，Tokenomics × k）＋各分部依近四季年增率收斂；年度總額線性分到各季，未建模第四季季節性"&amp;"）"),"營收 vs 共識 "&amp;IF(F43&lt;0,"−","+")&amp;TEXT(ABS(F43)*100,"#,##0.0")&amp;"%"&amp;"：觀點（"&amp;"營收＝對外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G86" s="49" t="str">
        <f aca="false">IF(ISNUMBER(G43),IF(ABS(G43)&gt;輸入與假設!$C$553,IF(ISNUMBER(G84),IF(ABS(G85)&gt;ABS(G84),"營收 vs 共識 "&amp;IF(G43&lt;0,"−","+")&amp;TEXT(ABS(G43)*100,"#,##0.0")&amp;"%"&amp;"：拆法（分配 "&amp;IF(G85&lt;0,"−","+")&amp;IF(ABS(G85)&lt;0,"−","")&amp;"$"&amp;TEXT(ABS(ABS(G85)),"#,##0.000")&amp;"bn"&amp;"（Q3 2027 占 2027 "&amp;TEXT((G22/損益!D9)*100,"#,##0.0")&amp;"%"&amp;"，共識合計 "&amp;TEXT(((G33)/G83)*100,"#,##0.0")&amp;"%"&amp;"）；水準 "&amp;IF(G84&lt;0,"−","+")&amp;IF(ABS(G84)&lt;0,"−","")&amp;"$"&amp;TEXT(ABS(ABS(G84)),"#,##0.000")&amp;"bn"&amp;"）","營收 vs 共識 "&amp;IF(G43&lt;0,"−","+")&amp;TEXT(ABS(G43)*100,"#,##0.0")&amp;"%"&amp;"：觀點（水準 "&amp;IF(G84&lt;0,"−","+")&amp;IF(ABS(G84)&lt;0,"−","")&amp;"$"&amp;TEXT(ABS(ABS(G84)),"#,##0.000")&amp;"bn"&amp;"（2027 模型 "&amp;IF(損益!D9&lt;0,"−","")&amp;"$"&amp;TEXT(ABS(損益!D9),"#,##0.000")&amp;"bn"&amp;"，共識合計 "&amp;IF(G83&lt;0,"−","")&amp;"$"&amp;TEXT(ABS(G83),"#,##0.000")&amp;"bn"&amp;"）；分配 "&amp;IF(G85&lt;0,"−","+")&amp;IF(ABS(G85)&lt;0,"−","")&amp;"$"&amp;TEXT(ABS(ABS(G85)),"#,##0.000")&amp;"bn"&amp;"；"&amp;"營收＝對外 AI 雲端（在役 MW × 每 MW 年收入，Tokenomics × k）＋各分部依近四季年增率收斂；年度總額線性分到各季，未建模第四季季節性"&amp;"）"),"營收 vs 共識 "&amp;IF(G43&lt;0,"−","+")&amp;TEXT(ABS(G43)*100,"#,##0.0")&amp;"%"&amp;"：觀點（"&amp;"營收＝對外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H86" s="49" t="str">
        <f aca="false">IF(ISNUMBER(H43),IF(ABS(H43)&gt;輸入與假設!$C$553,IF(ISNUMBER(H84),IF(ABS(H85)&gt;ABS(H84),"營收 vs 共識 "&amp;IF(H43&lt;0,"−","+")&amp;TEXT(ABS(H43)*100,"#,##0.0")&amp;"%"&amp;"：拆法（分配 "&amp;IF(H85&lt;0,"−","+")&amp;IF(ABS(H85)&lt;0,"−","")&amp;"$"&amp;TEXT(ABS(ABS(H85)),"#,##0.000")&amp;"bn"&amp;"（Q4 2027 占 2027 "&amp;TEXT((H22/損益!D9)*100,"#,##0.0")&amp;"%"&amp;"，共識合計 "&amp;TEXT(((H33)/H83)*100,"#,##0.0")&amp;"%"&amp;"）；水準 "&amp;IF(H84&lt;0,"−","+")&amp;IF(ABS(H84)&lt;0,"−","")&amp;"$"&amp;TEXT(ABS(ABS(H84)),"#,##0.000")&amp;"bn"&amp;"）","營收 vs 共識 "&amp;IF(H43&lt;0,"−","+")&amp;TEXT(ABS(H43)*100,"#,##0.0")&amp;"%"&amp;"：觀點（水準 "&amp;IF(H84&lt;0,"−","+")&amp;IF(ABS(H84)&lt;0,"−","")&amp;"$"&amp;TEXT(ABS(ABS(H84)),"#,##0.000")&amp;"bn"&amp;"（2027 模型 "&amp;IF(損益!D9&lt;0,"−","")&amp;"$"&amp;TEXT(ABS(損益!D9),"#,##0.000")&amp;"bn"&amp;"，共識合計 "&amp;IF(H83&lt;0,"−","")&amp;"$"&amp;TEXT(ABS(H83),"#,##0.000")&amp;"bn"&amp;"）；分配 "&amp;IF(H85&lt;0,"−","+")&amp;IF(ABS(H85)&lt;0,"−","")&amp;"$"&amp;TEXT(ABS(ABS(H85)),"#,##0.000")&amp;"bn"&amp;"；"&amp;"營收＝對外 AI 雲端（在役 MW × 每 MW 年收入，Tokenomics × k）＋各分部依近四季年增率收斂；年度總額線性分到各季，未建模第四季季節性"&amp;"）"),"營收 vs 共識 "&amp;IF(H43&lt;0,"−","+")&amp;TEXT(ABS(H43)*100,"#,##0.0")&amp;"%"&amp;"：觀點（"&amp;"營收＝對外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</row>
    <row r="87" customFormat="false" ht="15" hidden="true" customHeight="false" outlineLevel="1" collapsed="false">
      <c r="A87" s="3" t="s">
        <v>1406</v>
      </c>
      <c r="C87" s="49" t="str">
        <f aca="false">IF(ISNUMBER(C43),IF(ABS(C43)&gt;輸入與假設!$C$553,IF(ISNUMBER(C84),IF(ABS(C85)&gt;ABS(C84),"拆法","觀點"),"觀點"),""),"")</f>
        <v/>
      </c>
      <c r="D87" s="49" t="str">
        <f aca="false">IF(ISNUMBER(D43),IF(ABS(D43)&gt;輸入與假設!$C$553,IF(ISNUMBER(D84),IF(ABS(D85)&gt;ABS(D84),"拆法","觀點"),"觀點"),""),"")</f>
        <v/>
      </c>
      <c r="E87" s="49" t="str">
        <f aca="false">IF(ISNUMBER(E43),IF(ABS(E43)&gt;輸入與假設!$C$553,IF(ISNUMBER(E84),IF(ABS(E85)&gt;ABS(E84),"拆法","觀點"),"觀點"),""),"")</f>
        <v/>
      </c>
      <c r="F87" s="49" t="str">
        <f aca="false">IF(ISNUMBER(F43),IF(ABS(F43)&gt;輸入與假設!$C$553,IF(ISNUMBER(F84),IF(ABS(F85)&gt;ABS(F84),"拆法","觀點"),"觀點"),""),"")</f>
        <v/>
      </c>
      <c r="G87" s="49" t="str">
        <f aca="false">IF(ISNUMBER(G43),IF(ABS(G43)&gt;輸入與假設!$C$553,IF(ISNUMBER(G84),IF(ABS(G85)&gt;ABS(G84),"拆法","觀點"),"觀點"),""),"")</f>
        <v/>
      </c>
      <c r="H87" s="49" t="str">
        <f aca="false">IF(ISNUMBER(H43),IF(ABS(H43)&gt;輸入與假設!$C$553,IF(ISNUMBER(H84),IF(ABS(H85)&gt;ABS(H84),"拆法","觀點"),"觀點"),""),"")</f>
        <v/>
      </c>
    </row>
    <row r="88" customFormat="false" ht="15" hidden="true" customHeight="false" outlineLevel="1" collapsed="false">
      <c r="A88" s="3" t="s">
        <v>1407</v>
      </c>
      <c r="C88" s="49"/>
      <c r="D88" s="49"/>
      <c r="E88" s="49"/>
      <c r="F88" s="49"/>
      <c r="G88" s="49"/>
      <c r="H88" s="49"/>
    </row>
    <row r="89" customFormat="false" ht="15" hidden="true" customHeight="false" outlineLevel="1" collapsed="false">
      <c r="A89" s="3" t="s">
        <v>1408</v>
      </c>
      <c r="C89" s="49"/>
      <c r="D89" s="49"/>
      <c r="E89" s="49"/>
      <c r="F89" s="49"/>
      <c r="G89" s="49"/>
      <c r="H89" s="49"/>
    </row>
    <row r="90" customFormat="false" ht="15" hidden="true" customHeight="false" outlineLevel="1" collapsed="false">
      <c r="A90" s="3" t="s">
        <v>1409</v>
      </c>
      <c r="C90" s="49" t="str">
        <f aca="false">IF(ISNUMBER(C45),IF(ABS(C45)&gt;輸入與假設!$C$553,"營收 實際 vs 模型 "&amp;IF(C45&lt;0,"−","+")&amp;TEXT(ABS(C45)*100,"#,##0.0")&amp;"%"&amp;"：觀點（"&amp;"營收＝對外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D90" s="49" t="str">
        <f aca="false">IF(ISNUMBER(D45),IF(ABS(D45)&gt;輸入與假設!$C$553,"營收 實際 vs 模型 "&amp;IF(D45&lt;0,"−","+")&amp;TEXT(ABS(D45)*100,"#,##0.0")&amp;"%"&amp;"：觀點（"&amp;"營收＝對外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0" s="49" t="str">
        <f aca="false">IF(ISNUMBER(E45),IF(ABS(E45)&gt;輸入與假設!$C$553,"營收 實際 vs 模型 "&amp;IF(E45&lt;0,"−","+")&amp;TEXT(ABS(E45)*100,"#,##0.0")&amp;"%"&amp;"：觀點（"&amp;"營收＝對外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0" s="49" t="str">
        <f aca="false">IF(ISNUMBER(F45),IF(ABS(F45)&gt;輸入與假設!$C$553,"營收 實際 vs 模型 "&amp;IF(F45&lt;0,"−","+")&amp;TEXT(ABS(F45)*100,"#,##0.0")&amp;"%"&amp;"：觀點（"&amp;"營收＝對外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0" s="49" t="str">
        <f aca="false">IF(ISNUMBER(G45),IF(ABS(G45)&gt;輸入與假設!$C$553,"營收 實際 vs 模型 "&amp;IF(G45&lt;0,"−","+")&amp;TEXT(ABS(G45)*100,"#,##0.0")&amp;"%"&amp;"：觀點（"&amp;"營收＝對外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0" s="49" t="str">
        <f aca="false">IF(ISNUMBER(H45),IF(ABS(H45)&gt;輸入與假設!$C$553,"營收 實際 vs 模型 "&amp;IF(H45&lt;0,"−","+")&amp;TEXT(ABS(H45)*100,"#,##0.0")&amp;"%"&amp;"：觀點（"&amp;"營收＝對外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1" customFormat="false" ht="15" hidden="true" customHeight="false" outlineLevel="1" collapsed="false">
      <c r="A91" s="3" t="s">
        <v>1410</v>
      </c>
      <c r="C91" s="49" t="str">
        <f aca="false">IF(ISNUMBER(C45),IF(ABS(C45)&gt;輸入與假設!$C$553,"觀點",""),"")</f>
        <v/>
      </c>
      <c r="D91" s="49" t="str">
        <f aca="false">IF(ISNUMBER(D45),IF(ABS(D45)&gt;輸入與假設!$C$553,"觀點",""),"")</f>
        <v/>
      </c>
      <c r="E91" s="49" t="str">
        <f aca="false">IF(ISNUMBER(E45),IF(ABS(E45)&gt;輸入與假設!$C$553,"觀點",""),"")</f>
        <v/>
      </c>
      <c r="F91" s="49" t="str">
        <f aca="false">IF(ISNUMBER(F45),IF(ABS(F45)&gt;輸入與假設!$C$553,"觀點",""),"")</f>
        <v/>
      </c>
      <c r="G91" s="49" t="str">
        <f aca="false">IF(ISNUMBER(G45),IF(ABS(G45)&gt;輸入與假設!$C$553,"觀點",""),"")</f>
        <v/>
      </c>
      <c r="H91" s="49" t="str">
        <f aca="false">IF(ISNUMBER(H45),IF(ABS(H45)&gt;輸入與假設!$C$553,"觀點",""),"")</f>
        <v/>
      </c>
    </row>
    <row r="92" customFormat="false" ht="15" hidden="true" customHeight="false" outlineLevel="1" collapsed="false">
      <c r="A92" s="3" t="s">
        <v>1411</v>
      </c>
      <c r="B92" s="11" t="s">
        <v>65</v>
      </c>
      <c r="C92" s="67" t="str">
        <f aca="false">IF(COUNT(C34,D34)=2,C34+D34,"不適用")</f>
        <v>不適用</v>
      </c>
      <c r="D92" s="67" t="str">
        <f aca="false">IF(COUNT(C34,D34)=2,C34+D34,"不適用")</f>
        <v>不適用</v>
      </c>
      <c r="E92" s="67" t="str">
        <f aca="false">IF(COUNT(E34,F34,G34,H34)=4,E34+F34+G34+H34,"不適用")</f>
        <v>不適用</v>
      </c>
      <c r="F92" s="67" t="str">
        <f aca="false">IF(COUNT(E34,F34,G34,H34)=4,E34+F34+G34+H34,"不適用")</f>
        <v>不適用</v>
      </c>
      <c r="G92" s="67" t="str">
        <f aca="false">IF(COUNT(E34,F34,G34,H34)=4,E34+F34+G34+H34,"不適用")</f>
        <v>不適用</v>
      </c>
      <c r="H92" s="67" t="str">
        <f aca="false">IF(COUNT(E34,F34,G34,H34)=4,E34+F34+G34+H34,"不適用")</f>
        <v>不適用</v>
      </c>
      <c r="J92" s="6" t="s">
        <v>1400</v>
      </c>
    </row>
    <row r="93" customFormat="false" ht="15" hidden="true" customHeight="false" outlineLevel="1" collapsed="false">
      <c r="A93" s="3" t="s">
        <v>1412</v>
      </c>
      <c r="B93" s="11" t="s">
        <v>65</v>
      </c>
      <c r="C93" s="67" t="str">
        <f aca="false">IF(AND(ISNUMBER(C92),C92&lt;&gt;0,ISNUMBER(C34),ISNUMBER(C28)),(損益!C22-C92)*(C34)/C92,"不適用")</f>
        <v>不適用</v>
      </c>
      <c r="D93" s="67" t="str">
        <f aca="false">IF(AND(ISNUMBER(D92),D92&lt;&gt;0,ISNUMBER(D34),ISNUMBER(D28)),(損益!C22-D92)*(D34)/D92,"不適用")</f>
        <v>不適用</v>
      </c>
      <c r="E93" s="67" t="str">
        <f aca="false">IF(AND(ISNUMBER(E92),E92&lt;&gt;0,ISNUMBER(E34),ISNUMBER(E28)),(損益!D22-E92)*(E34)/E92,"不適用")</f>
        <v>不適用</v>
      </c>
      <c r="F93" s="67" t="str">
        <f aca="false">IF(AND(ISNUMBER(F92),F92&lt;&gt;0,ISNUMBER(F34),ISNUMBER(F28)),(損益!D22-F92)*(F34)/F92,"不適用")</f>
        <v>不適用</v>
      </c>
      <c r="G93" s="67" t="str">
        <f aca="false">IF(AND(ISNUMBER(G92),G92&lt;&gt;0,ISNUMBER(G34),ISNUMBER(G28)),(損益!D22-G92)*(G34)/G92,"不適用")</f>
        <v>不適用</v>
      </c>
      <c r="H93" s="67" t="str">
        <f aca="false">IF(AND(ISNUMBER(H92),H92&lt;&gt;0,ISNUMBER(H34),ISNUMBER(H28)),(損益!D22-H92)*(H34)/H92,"不適用")</f>
        <v>不適用</v>
      </c>
      <c r="J93" s="11" t="s">
        <v>1402</v>
      </c>
    </row>
    <row r="94" customFormat="false" ht="15" hidden="true" customHeight="false" outlineLevel="1" collapsed="false">
      <c r="A94" s="3" t="s">
        <v>1413</v>
      </c>
      <c r="B94" s="11" t="s">
        <v>65</v>
      </c>
      <c r="C94" s="67" t="str">
        <f aca="false">IF(AND(ISNUMBER(C92),C92&lt;&gt;0,ISNUMBER(C34),ISNUMBER(C28)),(C28/損益!C22-(C34)/C92)*損益!C22,"不適用")</f>
        <v>不適用</v>
      </c>
      <c r="D94" s="67" t="str">
        <f aca="false">IF(AND(ISNUMBER(D92),D92&lt;&gt;0,ISNUMBER(D34),ISNUMBER(D28)),(D28/損益!C22-(D34)/D92)*損益!C22,"不適用")</f>
        <v>不適用</v>
      </c>
      <c r="E94" s="67" t="str">
        <f aca="false">IF(AND(ISNUMBER(E92),E92&lt;&gt;0,ISNUMBER(E34),ISNUMBER(E28)),(E28/損益!D22-(E34)/E92)*損益!D22,"不適用")</f>
        <v>不適用</v>
      </c>
      <c r="F94" s="67" t="str">
        <f aca="false">IF(AND(ISNUMBER(F92),F92&lt;&gt;0,ISNUMBER(F34),ISNUMBER(F28)),(F28/損益!D22-(F34)/F92)*損益!D22,"不適用")</f>
        <v>不適用</v>
      </c>
      <c r="G94" s="67" t="str">
        <f aca="false">IF(AND(ISNUMBER(G92),G92&lt;&gt;0,ISNUMBER(G34),ISNUMBER(G28)),(G28/損益!D22-(G34)/G92)*損益!D22,"不適用")</f>
        <v>不適用</v>
      </c>
      <c r="H94" s="67" t="str">
        <f aca="false">IF(AND(ISNUMBER(H92),H92&lt;&gt;0,ISNUMBER(H34),ISNUMBER(H28)),(H28/損益!D22-(H34)/H92)*損益!D22,"不適用")</f>
        <v>不適用</v>
      </c>
      <c r="J94" s="11" t="s">
        <v>1404</v>
      </c>
    </row>
    <row r="95" customFormat="false" ht="15" hidden="true" customHeight="false" outlineLevel="1" collapsed="false">
      <c r="A95" s="3" t="s">
        <v>1414</v>
      </c>
      <c r="C95" s="49" t="str">
        <f aca="false">IF(ISNUMBER(C48),IF(IF(ISNUMBER(C53),ABS(C53)&gt;輸入與假設!$C$554,OR(AND(C34&lt;&gt;0,ABS(C48)&gt;輸入與假設!$C$553*ABS(C34)),AND(C34=0,C48&lt;&gt;0))),IF(ISNUMBER(C93),IF(ABS(C94)&gt;ABS(C93),"調整後 EBITDA vs 共識 "&amp;IF(C48&lt;0,"−","+")&amp;IF(ABS(C48)&lt;0,"−","")&amp;"$"&amp;TEXT(ABS(ABS(C48)),"#,##0.00")&amp;"bn"&amp;IF(ISNUMBER(C53),"／"&amp;IF(C53&lt;0,"−","+")&amp;TEXT(ABS(C53)*100,"#,##0.0")&amp;"pt","")&amp;"：拆法（分配 "&amp;IF(C94&lt;0,"−","+")&amp;IF(ABS(C94)&lt;0,"−","")&amp;"$"&amp;TEXT(ABS(ABS(C94)),"#,##0.000")&amp;"bn"&amp;"（Q3 2026 占 2H26 "&amp;TEXT((C28/損益!C22)*100,"#,##0.0")&amp;"%"&amp;"，共識合計 "&amp;TEXT(((C34)/C92)*100,"#,##0.0")&amp;"%"&amp;"）；水準 "&amp;IF(C93&lt;0,"−","+")&amp;IF(ABS(C93)&lt;0,"−","")&amp;"$"&amp;TEXT(ABS(ABS(C93)),"#,##0.000")&amp;"bn"&amp;"）","調整後 EBITDA vs 共識 "&amp;IF(C48&lt;0,"−","+")&amp;IF(ABS(C48)&lt;0,"−","")&amp;"$"&amp;TEXT(ABS(ABS(C48)),"#,##0.00")&amp;"bn"&amp;IF(ISNUMBER(C53),"／"&amp;IF(C53&lt;0,"−","+")&amp;TEXT(ABS(C53)*100,"#,##0.0")&amp;"pt","")&amp;"：觀點（水準 "&amp;IF(C93&lt;0,"−","+")&amp;IF(ABS(C93)&lt;0,"−","")&amp;"$"&amp;TEXT(ABS(ABS(C93)),"#,##0.000")&amp;"bn"&amp;"（2H26 模型 "&amp;IF(損益!C22&lt;0,"−","")&amp;"$"&amp;TEXT(ABS(損益!C22),"#,##0.000")&amp;"bn"&amp;"，共識合計 "&amp;IF(C92&lt;0,"−","")&amp;"$"&amp;TEXT(ABS(C92),"#,##0.000")&amp;"bn"&amp;"）；分配 "&amp;IF(C94&lt;0,"−","+")&amp;IF(ABS(C94)&lt;0,"−","")&amp;"$"&amp;TEXT(ABS(ABS(C94)),"#,##0.000")&amp;"bn"&amp;"；"&amp;"模型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"&amp;IF(C48&lt;0,"−","+")&amp;IF(ABS(C48)&lt;0,"−","")&amp;"$"&amp;TEXT(ABS(ABS(C48)),"#,##0.00")&amp;"bn"&amp;IF(ISNUMBER(C53),"／"&amp;IF(C53&lt;0,"−","+")&amp;TEXT(ABS(C53)*100,"#,##0.0")&amp;"pt","")&amp;"：觀點（"&amp;"模型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/>
      </c>
      <c r="D95" s="49" t="str">
        <f aca="false">IF(ISNUMBER(D48),IF(IF(ISNUMBER(D53),ABS(D53)&gt;輸入與假設!$C$554,OR(AND(D34&lt;&gt;0,ABS(D48)&gt;輸入與假設!$C$553*ABS(D34)),AND(D34=0,D48&lt;&gt;0))),IF(ISNUMBER(D93),IF(ABS(D94)&gt;ABS(D93),"調整後 EBITDA vs 共識 "&amp;IF(D48&lt;0,"−","+")&amp;IF(ABS(D48)&lt;0,"−","")&amp;"$"&amp;TEXT(ABS(ABS(D48)),"#,##0.00")&amp;"bn"&amp;IF(ISNUMBER(D53),"／"&amp;IF(D53&lt;0,"−","+")&amp;TEXT(ABS(D53)*100,"#,##0.0")&amp;"pt","")&amp;"：拆法（分配 "&amp;IF(D94&lt;0,"−","+")&amp;IF(ABS(D94)&lt;0,"−","")&amp;"$"&amp;TEXT(ABS(ABS(D94)),"#,##0.000")&amp;"bn"&amp;"（Q4 2026 占 2H26 "&amp;TEXT((D28/損益!C22)*100,"#,##0.0")&amp;"%"&amp;"，共識合計 "&amp;TEXT(((D34)/D92)*100,"#,##0.0")&amp;"%"&amp;"）；水準 "&amp;IF(D93&lt;0,"−","+")&amp;IF(ABS(D93)&lt;0,"−","")&amp;"$"&amp;TEXT(ABS(ABS(D93)),"#,##0.000")&amp;"bn"&amp;"）","調整後 EBITDA vs 共識 "&amp;IF(D48&lt;0,"−","+")&amp;IF(ABS(D48)&lt;0,"−","")&amp;"$"&amp;TEXT(ABS(ABS(D48)),"#,##0.00")&amp;"bn"&amp;IF(ISNUMBER(D53),"／"&amp;IF(D53&lt;0,"−","+")&amp;TEXT(ABS(D53)*100,"#,##0.0")&amp;"pt","")&amp;"：觀點（水準 "&amp;IF(D93&lt;0,"−","+")&amp;IF(ABS(D93)&lt;0,"−","")&amp;"$"&amp;TEXT(ABS(ABS(D93)),"#,##0.000")&amp;"bn"&amp;"（2H26 模型 "&amp;IF(損益!C22&lt;0,"−","")&amp;"$"&amp;TEXT(ABS(損益!C22),"#,##0.000")&amp;"bn"&amp;"，共識合計 "&amp;IF(D92&lt;0,"−","")&amp;"$"&amp;TEXT(ABS(D92),"#,##0.000")&amp;"bn"&amp;"）；分配 "&amp;IF(D94&lt;0,"−","+")&amp;IF(ABS(D94)&lt;0,"−","")&amp;"$"&amp;TEXT(ABS(ABS(D94)),"#,##0.000")&amp;"bn"&amp;"；"&amp;"模型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"&amp;IF(D48&lt;0,"−","+")&amp;IF(ABS(D48)&lt;0,"−","")&amp;"$"&amp;TEXT(ABS(ABS(D48)),"#,##0.00")&amp;"bn"&amp;IF(ISNUMBER(D53),"／"&amp;IF(D53&lt;0,"−","+")&amp;TEXT(ABS(D53)*100,"#,##0.0")&amp;"pt","")&amp;"：觀點（"&amp;"模型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5" s="49" t="str">
        <f aca="false">IF(ISNUMBER(E48),IF(IF(ISNUMBER(E53),ABS(E53)&gt;輸入與假設!$C$554,OR(AND(E34&lt;&gt;0,ABS(E48)&gt;輸入與假設!$C$553*ABS(E34)),AND(E34=0,E48&lt;&gt;0))),IF(ISNUMBER(E93),IF(ABS(E94)&gt;ABS(E93),"調整後 EBITDA vs 共識 "&amp;IF(E48&lt;0,"−","+")&amp;IF(ABS(E48)&lt;0,"−","")&amp;"$"&amp;TEXT(ABS(ABS(E48)),"#,##0.00")&amp;"bn"&amp;IF(ISNUMBER(E53),"／"&amp;IF(E53&lt;0,"−","+")&amp;TEXT(ABS(E53)*100,"#,##0.0")&amp;"pt","")&amp;"：拆法（分配 "&amp;IF(E94&lt;0,"−","+")&amp;IF(ABS(E94)&lt;0,"−","")&amp;"$"&amp;TEXT(ABS(ABS(E94)),"#,##0.000")&amp;"bn"&amp;"（Q1 2027 占 2027 "&amp;TEXT((E28/損益!D22)*100,"#,##0.0")&amp;"%"&amp;"，共識合計 "&amp;TEXT(((E34)/E92)*100,"#,##0.0")&amp;"%"&amp;"）；水準 "&amp;IF(E93&lt;0,"−","+")&amp;IF(ABS(E93)&lt;0,"−","")&amp;"$"&amp;TEXT(ABS(ABS(E93)),"#,##0.000")&amp;"bn"&amp;"）","調整後 EBITDA vs 共識 "&amp;IF(E48&lt;0,"−","+")&amp;IF(ABS(E48)&lt;0,"−","")&amp;"$"&amp;TEXT(ABS(ABS(E48)),"#,##0.00")&amp;"bn"&amp;IF(ISNUMBER(E53),"／"&amp;IF(E53&lt;0,"−","+")&amp;TEXT(ABS(E53)*100,"#,##0.0")&amp;"pt","")&amp;"：觀點（水準 "&amp;IF(E93&lt;0,"−","+")&amp;IF(ABS(E93)&lt;0,"−","")&amp;"$"&amp;TEXT(ABS(ABS(E93)),"#,##0.000")&amp;"bn"&amp;"（2027 模型 "&amp;IF(損益!D22&lt;0,"−","")&amp;"$"&amp;TEXT(ABS(損益!D22),"#,##0.000")&amp;"bn"&amp;"，共識合計 "&amp;IF(E92&lt;0,"−","")&amp;"$"&amp;TEXT(ABS(E92),"#,##0.000")&amp;"bn"&amp;"）；分配 "&amp;IF(E94&lt;0,"−","+")&amp;IF(ABS(E94)&lt;0,"−","")&amp;"$"&amp;TEXT(ABS(ABS(E94)),"#,##0.000")&amp;"bn"&amp;"；"&amp;"模型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"&amp;IF(E48&lt;0,"−","+")&amp;IF(ABS(E48)&lt;0,"−","")&amp;"$"&amp;TEXT(ABS(ABS(E48)),"#,##0.00")&amp;"bn"&amp;IF(ISNUMBER(E53),"／"&amp;IF(E53&lt;0,"−","+")&amp;TEXT(ABS(E53)*100,"#,##0.0")&amp;"pt","")&amp;"：觀點（"&amp;"模型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5" s="49" t="str">
        <f aca="false">IF(ISNUMBER(F48),IF(IF(ISNUMBER(F53),ABS(F53)&gt;輸入與假設!$C$554,OR(AND(F34&lt;&gt;0,ABS(F48)&gt;輸入與假設!$C$553*ABS(F34)),AND(F34=0,F48&lt;&gt;0))),IF(ISNUMBER(F93),IF(ABS(F94)&gt;ABS(F93),"調整後 EBITDA vs 共識 "&amp;IF(F48&lt;0,"−","+")&amp;IF(ABS(F48)&lt;0,"−","")&amp;"$"&amp;TEXT(ABS(ABS(F48)),"#,##0.00")&amp;"bn"&amp;IF(ISNUMBER(F53),"／"&amp;IF(F53&lt;0,"−","+")&amp;TEXT(ABS(F53)*100,"#,##0.0")&amp;"pt","")&amp;"：拆法（分配 "&amp;IF(F94&lt;0,"−","+")&amp;IF(ABS(F94)&lt;0,"−","")&amp;"$"&amp;TEXT(ABS(ABS(F94)),"#,##0.000")&amp;"bn"&amp;"（Q2 2027 占 2027 "&amp;TEXT((F28/損益!D22)*100,"#,##0.0")&amp;"%"&amp;"，共識合計 "&amp;TEXT(((F34)/F92)*100,"#,##0.0")&amp;"%"&amp;"）；水準 "&amp;IF(F93&lt;0,"−","+")&amp;IF(ABS(F93)&lt;0,"−","")&amp;"$"&amp;TEXT(ABS(ABS(F93)),"#,##0.000")&amp;"bn"&amp;"）","調整後 EBITDA vs 共識 "&amp;IF(F48&lt;0,"−","+")&amp;IF(ABS(F48)&lt;0,"−","")&amp;"$"&amp;TEXT(ABS(ABS(F48)),"#,##0.00")&amp;"bn"&amp;IF(ISNUMBER(F53),"／"&amp;IF(F53&lt;0,"−","+")&amp;TEXT(ABS(F53)*100,"#,##0.0")&amp;"pt","")&amp;"：觀點（水準 "&amp;IF(F93&lt;0,"−","+")&amp;IF(ABS(F93)&lt;0,"−","")&amp;"$"&amp;TEXT(ABS(ABS(F93)),"#,##0.000")&amp;"bn"&amp;"（2027 模型 "&amp;IF(損益!D22&lt;0,"−","")&amp;"$"&amp;TEXT(ABS(損益!D22),"#,##0.000")&amp;"bn"&amp;"，共識合計 "&amp;IF(F92&lt;0,"−","")&amp;"$"&amp;TEXT(ABS(F92),"#,##0.000")&amp;"bn"&amp;"）；分配 "&amp;IF(F94&lt;0,"−","+")&amp;IF(ABS(F94)&lt;0,"−","")&amp;"$"&amp;TEXT(ABS(ABS(F94)),"#,##0.000")&amp;"bn"&amp;"；"&amp;"模型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"&amp;IF(F48&lt;0,"−","+")&amp;IF(ABS(F48)&lt;0,"−","")&amp;"$"&amp;TEXT(ABS(ABS(F48)),"#,##0.00")&amp;"bn"&amp;IF(ISNUMBER(F53),"／"&amp;IF(F53&lt;0,"−","+")&amp;TEXT(ABS(F53)*100,"#,##0.0")&amp;"pt","")&amp;"：觀點（"&amp;"模型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5" s="49" t="str">
        <f aca="false">IF(ISNUMBER(G48),IF(IF(ISNUMBER(G53),ABS(G53)&gt;輸入與假設!$C$554,OR(AND(G34&lt;&gt;0,ABS(G48)&gt;輸入與假設!$C$553*ABS(G34)),AND(G34=0,G48&lt;&gt;0))),IF(ISNUMBER(G93),IF(ABS(G94)&gt;ABS(G93),"調整後 EBITDA vs 共識 "&amp;IF(G48&lt;0,"−","+")&amp;IF(ABS(G48)&lt;0,"−","")&amp;"$"&amp;TEXT(ABS(ABS(G48)),"#,##0.00")&amp;"bn"&amp;IF(ISNUMBER(G53),"／"&amp;IF(G53&lt;0,"−","+")&amp;TEXT(ABS(G53)*100,"#,##0.0")&amp;"pt","")&amp;"：拆法（分配 "&amp;IF(G94&lt;0,"−","+")&amp;IF(ABS(G94)&lt;0,"−","")&amp;"$"&amp;TEXT(ABS(ABS(G94)),"#,##0.000")&amp;"bn"&amp;"（Q3 2027 占 2027 "&amp;TEXT((G28/損益!D22)*100,"#,##0.0")&amp;"%"&amp;"，共識合計 "&amp;TEXT(((G34)/G92)*100,"#,##0.0")&amp;"%"&amp;"）；水準 "&amp;IF(G93&lt;0,"−","+")&amp;IF(ABS(G93)&lt;0,"−","")&amp;"$"&amp;TEXT(ABS(ABS(G93)),"#,##0.000")&amp;"bn"&amp;"）","調整後 EBITDA vs 共識 "&amp;IF(G48&lt;0,"−","+")&amp;IF(ABS(G48)&lt;0,"−","")&amp;"$"&amp;TEXT(ABS(ABS(G48)),"#,##0.00")&amp;"bn"&amp;IF(ISNUMBER(G53),"／"&amp;IF(G53&lt;0,"−","+")&amp;TEXT(ABS(G53)*100,"#,##0.0")&amp;"pt","")&amp;"：觀點（水準 "&amp;IF(G93&lt;0,"−","+")&amp;IF(ABS(G93)&lt;0,"−","")&amp;"$"&amp;TEXT(ABS(ABS(G93)),"#,##0.000")&amp;"bn"&amp;"（2027 模型 "&amp;IF(損益!D22&lt;0,"−","")&amp;"$"&amp;TEXT(ABS(損益!D22),"#,##0.000")&amp;"bn"&amp;"，共識合計 "&amp;IF(G92&lt;0,"−","")&amp;"$"&amp;TEXT(ABS(G92),"#,##0.000")&amp;"bn"&amp;"）；分配 "&amp;IF(G94&lt;0,"−","+")&amp;IF(ABS(G94)&lt;0,"−","")&amp;"$"&amp;TEXT(ABS(ABS(G94)),"#,##0.000")&amp;"bn"&amp;"；"&amp;"模型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"&amp;IF(G48&lt;0,"−","+")&amp;IF(ABS(G48)&lt;0,"−","")&amp;"$"&amp;TEXT(ABS(ABS(G48)),"#,##0.00")&amp;"bn"&amp;IF(ISNUMBER(G53),"／"&amp;IF(G53&lt;0,"−","+")&amp;TEXT(ABS(G53)*100,"#,##0.0")&amp;"pt","")&amp;"：觀點（"&amp;"模型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5" s="49" t="str">
        <f aca="false">IF(ISNUMBER(H48),IF(IF(ISNUMBER(H53),ABS(H53)&gt;輸入與假設!$C$554,OR(AND(H34&lt;&gt;0,ABS(H48)&gt;輸入與假設!$C$553*ABS(H34)),AND(H34=0,H48&lt;&gt;0))),IF(ISNUMBER(H93),IF(ABS(H94)&gt;ABS(H93),"調整後 EBITDA vs 共識 "&amp;IF(H48&lt;0,"−","+")&amp;IF(ABS(H48)&lt;0,"−","")&amp;"$"&amp;TEXT(ABS(ABS(H48)),"#,##0.00")&amp;"bn"&amp;IF(ISNUMBER(H53),"／"&amp;IF(H53&lt;0,"−","+")&amp;TEXT(ABS(H53)*100,"#,##0.0")&amp;"pt","")&amp;"：拆法（分配 "&amp;IF(H94&lt;0,"−","+")&amp;IF(ABS(H94)&lt;0,"−","")&amp;"$"&amp;TEXT(ABS(ABS(H94)),"#,##0.000")&amp;"bn"&amp;"（Q4 2027 占 2027 "&amp;TEXT((H28/損益!D22)*100,"#,##0.0")&amp;"%"&amp;"，共識合計 "&amp;TEXT(((H34)/H92)*100,"#,##0.0")&amp;"%"&amp;"）；水準 "&amp;IF(H93&lt;0,"−","+")&amp;IF(ABS(H93)&lt;0,"−","")&amp;"$"&amp;TEXT(ABS(ABS(H93)),"#,##0.000")&amp;"bn"&amp;"）","調整後 EBITDA vs 共識 "&amp;IF(H48&lt;0,"−","+")&amp;IF(ABS(H48)&lt;0,"−","")&amp;"$"&amp;TEXT(ABS(ABS(H48)),"#,##0.00")&amp;"bn"&amp;IF(ISNUMBER(H53),"／"&amp;IF(H53&lt;0,"−","+")&amp;TEXT(ABS(H53)*100,"#,##0.0")&amp;"pt","")&amp;"：觀點（水準 "&amp;IF(H93&lt;0,"−","+")&amp;IF(ABS(H93)&lt;0,"−","")&amp;"$"&amp;TEXT(ABS(ABS(H93)),"#,##0.000")&amp;"bn"&amp;"（2027 模型 "&amp;IF(損益!D22&lt;0,"−","")&amp;"$"&amp;TEXT(ABS(損益!D22),"#,##0.000")&amp;"bn"&amp;"，共識合計 "&amp;IF(H92&lt;0,"−","")&amp;"$"&amp;TEXT(ABS(H92),"#,##0.000")&amp;"bn"&amp;"）；分配 "&amp;IF(H94&lt;0,"−","+")&amp;IF(ABS(H94)&lt;0,"−","")&amp;"$"&amp;TEXT(ABS(ABS(H94)),"#,##0.000")&amp;"bn"&amp;"；"&amp;"模型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"&amp;IF(H48&lt;0,"−","+")&amp;IF(ABS(H48)&lt;0,"−","")&amp;"$"&amp;TEXT(ABS(ABS(H48)),"#,##0.00")&amp;"bn"&amp;IF(ISNUMBER(H53),"／"&amp;IF(H53&lt;0,"−","+")&amp;TEXT(ABS(H53)*100,"#,##0.0")&amp;"pt","")&amp;"：觀點（"&amp;"模型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96" customFormat="false" ht="15" hidden="true" customHeight="false" outlineLevel="1" collapsed="false">
      <c r="A96" s="3" t="s">
        <v>1415</v>
      </c>
      <c r="C96" s="49" t="str">
        <f aca="false">IF(ISNUMBER(C48),IF(IF(ISNUMBER(C53),ABS(C53)&gt;輸入與假設!$C$554,OR(AND(C34&lt;&gt;0,ABS(C48)&gt;輸入與假設!$C$553*ABS(C34)),AND(C34=0,C48&lt;&gt;0))),IF(ISNUMBER(C93),IF(ABS(C94)&gt;ABS(C93),"拆法","觀點"),"觀點"),""),"")</f>
        <v/>
      </c>
      <c r="D96" s="49" t="str">
        <f aca="false">IF(ISNUMBER(D48),IF(IF(ISNUMBER(D53),ABS(D53)&gt;輸入與假設!$C$554,OR(AND(D34&lt;&gt;0,ABS(D48)&gt;輸入與假設!$C$553*ABS(D34)),AND(D34=0,D48&lt;&gt;0))),IF(ISNUMBER(D93),IF(ABS(D94)&gt;ABS(D93),"拆法","觀點"),"觀點"),""),"")</f>
        <v/>
      </c>
      <c r="E96" s="49" t="str">
        <f aca="false">IF(ISNUMBER(E48),IF(IF(ISNUMBER(E53),ABS(E53)&gt;輸入與假設!$C$554,OR(AND(E34&lt;&gt;0,ABS(E48)&gt;輸入與假設!$C$553*ABS(E34)),AND(E34=0,E48&lt;&gt;0))),IF(ISNUMBER(E93),IF(ABS(E94)&gt;ABS(E93),"拆法","觀點"),"觀點"),""),"")</f>
        <v/>
      </c>
      <c r="F96" s="49" t="str">
        <f aca="false">IF(ISNUMBER(F48),IF(IF(ISNUMBER(F53),ABS(F53)&gt;輸入與假設!$C$554,OR(AND(F34&lt;&gt;0,ABS(F48)&gt;輸入與假設!$C$553*ABS(F34)),AND(F34=0,F48&lt;&gt;0))),IF(ISNUMBER(F93),IF(ABS(F94)&gt;ABS(F93),"拆法","觀點"),"觀點"),""),"")</f>
        <v/>
      </c>
      <c r="G96" s="49" t="str">
        <f aca="false">IF(ISNUMBER(G48),IF(IF(ISNUMBER(G53),ABS(G53)&gt;輸入與假設!$C$554,OR(AND(G34&lt;&gt;0,ABS(G48)&gt;輸入與假設!$C$553*ABS(G34)),AND(G34=0,G48&lt;&gt;0))),IF(ISNUMBER(G93),IF(ABS(G94)&gt;ABS(G93),"拆法","觀點"),"觀點"),""),"")</f>
        <v/>
      </c>
      <c r="H96" s="49" t="str">
        <f aca="false">IF(ISNUMBER(H48),IF(IF(ISNUMBER(H53),ABS(H53)&gt;輸入與假設!$C$554,OR(AND(H34&lt;&gt;0,ABS(H48)&gt;輸入與假設!$C$553*ABS(H34)),AND(H34=0,H48&lt;&gt;0))),IF(ISNUMBER(H93),IF(ABS(H94)&gt;ABS(H93),"拆法","觀點"),"觀點"),""),"")</f>
        <v/>
      </c>
    </row>
    <row r="97" customFormat="false" ht="15" hidden="true" customHeight="false" outlineLevel="1" collapsed="false">
      <c r="A97" s="3" t="s">
        <v>1416</v>
      </c>
      <c r="C97" s="49"/>
      <c r="D97" s="49"/>
      <c r="E97" s="49"/>
      <c r="F97" s="49"/>
      <c r="G97" s="49"/>
      <c r="H97" s="49"/>
    </row>
    <row r="98" customFormat="false" ht="15" hidden="true" customHeight="false" outlineLevel="1" collapsed="false">
      <c r="A98" s="3" t="s">
        <v>1417</v>
      </c>
      <c r="C98" s="49"/>
      <c r="D98" s="49"/>
      <c r="E98" s="49"/>
      <c r="F98" s="49"/>
      <c r="G98" s="49"/>
      <c r="H98" s="49"/>
    </row>
    <row r="99" customFormat="false" ht="15" hidden="true" customHeight="false" outlineLevel="1" collapsed="false">
      <c r="A99" s="3" t="s">
        <v>1418</v>
      </c>
      <c r="C99" s="49" t="str">
        <f aca="false">IF(ISNUMBER(C50),IF(IF(ISNUMBER(C55),ABS(C55)&gt;輸入與假設!$C$554,OR(AND(C28&lt;&gt;0,ABS(C50)&gt;輸入與假設!$C$553*ABS(C28)),AND(C28=0,C50&lt;&gt;0))),"調整後 EBITDA 實際 vs 模型 "&amp;IF(C50&lt;0,"−","+")&amp;IF(ABS(C50)&lt;0,"−","")&amp;"$"&amp;TEXT(ABS(ABS(C50)),"#,##0.00")&amp;"bn"&amp;IF(ISNUMBER(C55),"／"&amp;IF(C55&lt;0,"−","+")&amp;TEXT(ABS(C55)*100,"#,##0.0")&amp;"pt","")&amp;"：觀點（"&amp;"模型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99" s="49" t="str">
        <f aca="false">IF(ISNUMBER(D50),IF(IF(ISNUMBER(D55),ABS(D55)&gt;輸入與假設!$C$554,OR(AND(D28&lt;&gt;0,ABS(D50)&gt;輸入與假設!$C$553*ABS(D28)),AND(D28=0,D50&lt;&gt;0))),"調整後 EBITDA 實際 vs 模型 "&amp;IF(D50&lt;0,"−","+")&amp;IF(ABS(D50)&lt;0,"−","")&amp;"$"&amp;TEXT(ABS(ABS(D50)),"#,##0.00")&amp;"bn"&amp;IF(ISNUMBER(D55),"／"&amp;IF(D55&lt;0,"−","+")&amp;TEXT(ABS(D55)*100,"#,##0.0")&amp;"pt","")&amp;"：觀點（"&amp;"模型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99" s="49" t="str">
        <f aca="false">IF(ISNUMBER(E50),IF(IF(ISNUMBER(E55),ABS(E55)&gt;輸入與假設!$C$554,OR(AND(E28&lt;&gt;0,ABS(E50)&gt;輸入與假設!$C$553*ABS(E28)),AND(E28=0,E50&lt;&gt;0))),"調整後 EBITDA 實際 vs 模型 "&amp;IF(E50&lt;0,"−","+")&amp;IF(ABS(E50)&lt;0,"−","")&amp;"$"&amp;TEXT(ABS(ABS(E50)),"#,##0.00")&amp;"bn"&amp;IF(ISNUMBER(E55),"／"&amp;IF(E55&lt;0,"−","+")&amp;TEXT(ABS(E55)*100,"#,##0.0")&amp;"pt","")&amp;"：觀點（"&amp;"模型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99" s="49" t="str">
        <f aca="false">IF(ISNUMBER(F50),IF(IF(ISNUMBER(F55),ABS(F55)&gt;輸入與假設!$C$554,OR(AND(F28&lt;&gt;0,ABS(F50)&gt;輸入與假設!$C$553*ABS(F28)),AND(F28=0,F50&lt;&gt;0))),"調整後 EBITDA 實際 vs 模型 "&amp;IF(F50&lt;0,"−","+")&amp;IF(ABS(F50)&lt;0,"−","")&amp;"$"&amp;TEXT(ABS(ABS(F50)),"#,##0.00")&amp;"bn"&amp;IF(ISNUMBER(F55),"／"&amp;IF(F55&lt;0,"−","+")&amp;TEXT(ABS(F55)*100,"#,##0.0")&amp;"pt","")&amp;"：觀點（"&amp;"模型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99" s="49" t="str">
        <f aca="false">IF(ISNUMBER(G50),IF(IF(ISNUMBER(G55),ABS(G55)&gt;輸入與假設!$C$554,OR(AND(G28&lt;&gt;0,ABS(G50)&gt;輸入與假設!$C$553*ABS(G28)),AND(G28=0,G50&lt;&gt;0))),"調整後 EBITDA 實際 vs 模型 "&amp;IF(G50&lt;0,"−","+")&amp;IF(ABS(G50)&lt;0,"−","")&amp;"$"&amp;TEXT(ABS(ABS(G50)),"#,##0.00")&amp;"bn"&amp;IF(ISNUMBER(G55),"／"&amp;IF(G55&lt;0,"−","+")&amp;TEXT(ABS(G55)*100,"#,##0.0")&amp;"pt","")&amp;"：觀點（"&amp;"模型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99" s="49" t="str">
        <f aca="false">IF(ISNUMBER(H50),IF(IF(ISNUMBER(H55),ABS(H55)&gt;輸入與假設!$C$554,OR(AND(H28&lt;&gt;0,ABS(H50)&gt;輸入與假設!$C$553*ABS(H28)),AND(H28=0,H50&lt;&gt;0))),"調整後 EBITDA 實際 vs 模型 "&amp;IF(H50&lt;0,"−","+")&amp;IF(ABS(H50)&lt;0,"−","")&amp;"$"&amp;TEXT(ABS(ABS(H50)),"#,##0.00")&amp;"bn"&amp;IF(ISNUMBER(H55),"／"&amp;IF(H55&lt;0,"−","+")&amp;TEXT(ABS(H55)*100,"#,##0.0")&amp;"pt","")&amp;"：觀點（"&amp;"模型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0" customFormat="false" ht="15" hidden="true" customHeight="false" outlineLevel="1" collapsed="false">
      <c r="A100" s="3" t="s">
        <v>1419</v>
      </c>
      <c r="C100" s="49" t="str">
        <f aca="false">IF(ISNUMBER(C50),IF(IF(ISNUMBER(C55),ABS(C55)&gt;輸入與假設!$C$554,OR(AND(C28&lt;&gt;0,ABS(C50)&gt;輸入與假設!$C$553*ABS(C28)),AND(C28=0,C50&lt;&gt;0))),"觀點",""),"")</f>
        <v/>
      </c>
      <c r="D100" s="49" t="str">
        <f aca="false">IF(ISNUMBER(D50),IF(IF(ISNUMBER(D55),ABS(D55)&gt;輸入與假設!$C$554,OR(AND(D28&lt;&gt;0,ABS(D50)&gt;輸入與假設!$C$553*ABS(D28)),AND(D28=0,D50&lt;&gt;0))),"觀點",""),"")</f>
        <v/>
      </c>
      <c r="E100" s="49" t="str">
        <f aca="false">IF(ISNUMBER(E50),IF(IF(ISNUMBER(E55),ABS(E55)&gt;輸入與假設!$C$554,OR(AND(E28&lt;&gt;0,ABS(E50)&gt;輸入與假設!$C$553*ABS(E28)),AND(E28=0,E50&lt;&gt;0))),"觀點",""),"")</f>
        <v/>
      </c>
      <c r="F100" s="49" t="str">
        <f aca="false">IF(ISNUMBER(F50),IF(IF(ISNUMBER(F55),ABS(F55)&gt;輸入與假設!$C$554,OR(AND(F28&lt;&gt;0,ABS(F50)&gt;輸入與假設!$C$553*ABS(F28)),AND(F28=0,F50&lt;&gt;0))),"觀點",""),"")</f>
        <v/>
      </c>
      <c r="G100" s="49" t="str">
        <f aca="false">IF(ISNUMBER(G50),IF(IF(ISNUMBER(G55),ABS(G55)&gt;輸入與假設!$C$554,OR(AND(G28&lt;&gt;0,ABS(G50)&gt;輸入與假設!$C$553*ABS(G28)),AND(G28=0,G50&lt;&gt;0))),"觀點",""),"")</f>
        <v/>
      </c>
      <c r="H100" s="49" t="str">
        <f aca="false">IF(ISNUMBER(H50),IF(IF(ISNUMBER(H55),ABS(H55)&gt;輸入與假設!$C$554,OR(AND(H28&lt;&gt;0,ABS(H50)&gt;輸入與假設!$C$553*ABS(H28)),AND(H28=0,H50&lt;&gt;0))),"觀點",""),"")</f>
        <v/>
      </c>
    </row>
    <row r="101" customFormat="false" ht="15" hidden="true" customHeight="false" outlineLevel="1" collapsed="false">
      <c r="A101" s="3" t="s">
        <v>1420</v>
      </c>
      <c r="C101" s="49"/>
      <c r="D101" s="49"/>
      <c r="E101" s="49"/>
      <c r="F101" s="49"/>
      <c r="G101" s="49"/>
      <c r="H101" s="49"/>
    </row>
    <row r="102" customFormat="false" ht="15" hidden="true" customHeight="false" outlineLevel="1" collapsed="false">
      <c r="A102" s="3" t="s">
        <v>1421</v>
      </c>
      <c r="C102" s="49"/>
      <c r="D102" s="49"/>
      <c r="E102" s="49"/>
      <c r="F102" s="49"/>
      <c r="G102" s="49"/>
      <c r="H102" s="49"/>
    </row>
    <row r="103" customFormat="false" ht="15" hidden="true" customHeight="false" outlineLevel="1" collapsed="false">
      <c r="A103" s="3" t="s">
        <v>1422</v>
      </c>
      <c r="C103" s="49"/>
      <c r="D103" s="49"/>
      <c r="E103" s="49"/>
      <c r="F103" s="49"/>
      <c r="G103" s="49"/>
      <c r="H103" s="49"/>
    </row>
    <row r="104" customFormat="false" ht="15" hidden="true" customHeight="false" outlineLevel="1" collapsed="false">
      <c r="A104" s="3" t="s">
        <v>1423</v>
      </c>
      <c r="C104" s="49"/>
      <c r="D104" s="49"/>
      <c r="E104" s="49"/>
      <c r="F104" s="49"/>
      <c r="G104" s="49"/>
      <c r="H104" s="49"/>
    </row>
    <row r="105" customFormat="false" ht="15" hidden="true" customHeight="false" outlineLevel="1" collapsed="false">
      <c r="A105" s="3" t="s">
        <v>1424</v>
      </c>
      <c r="C105" s="49" t="str">
        <f aca="false">IF(ISNUMBER(C65),IF(IF(ISNUMBER(C70),ABS(C70)&gt;輸入與假設!$C$554,OR(AND(C31&lt;&gt;0,ABS(C65)&gt;輸入與假設!$C$553*ABS(C31)),AND(C31=0,C65&lt;&gt;0))),"調整後營業利益 實際 vs 模型 "&amp;IF(C65&lt;0,"−","+")&amp;IF(ABS(C65)&lt;0,"−","")&amp;"$"&amp;TEXT(ABS(ABS(C65)),"#,##0.00")&amp;"bn"&amp;IF(ISNUMBER(C70),"／"&amp;IF(C70&lt;0,"−","+")&amp;TEXT(ABS(C70)*100,"#,##0.0")&amp;"pt","")&amp;"：觀點（"&amp;"模型折舊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5" s="49" t="str">
        <f aca="false">IF(ISNUMBER(D65),IF(IF(ISNUMBER(D70),ABS(D70)&gt;輸入與假設!$C$554,OR(AND(D31&lt;&gt;0,ABS(D65)&gt;輸入與假設!$C$553*ABS(D31)),AND(D31=0,D65&lt;&gt;0))),"調整後營業利益 實際 vs 模型 "&amp;IF(D65&lt;0,"−","+")&amp;IF(ABS(D65)&lt;0,"−","")&amp;"$"&amp;TEXT(ABS(ABS(D65)),"#,##0.00")&amp;"bn"&amp;IF(ISNUMBER(D70),"／"&amp;IF(D70&lt;0,"−","+")&amp;TEXT(ABS(D70)*100,"#,##0.0")&amp;"pt","")&amp;"：觀點（"&amp;"模型折舊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5" s="49" t="str">
        <f aca="false">IF(ISNUMBER(E65),IF(IF(ISNUMBER(E70),ABS(E70)&gt;輸入與假設!$C$554,OR(AND(E31&lt;&gt;0,ABS(E65)&gt;輸入與假設!$C$553*ABS(E31)),AND(E31=0,E65&lt;&gt;0))),"調整後營業利益 實際 vs 模型 "&amp;IF(E65&lt;0,"−","+")&amp;IF(ABS(E65)&lt;0,"−","")&amp;"$"&amp;TEXT(ABS(ABS(E65)),"#,##0.00")&amp;"bn"&amp;IF(ISNUMBER(E70),"／"&amp;IF(E70&lt;0,"−","+")&amp;TEXT(ABS(E70)*100,"#,##0.0")&amp;"pt","")&amp;"：觀點（"&amp;"模型折舊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5" s="49" t="str">
        <f aca="false">IF(ISNUMBER(F65),IF(IF(ISNUMBER(F70),ABS(F70)&gt;輸入與假設!$C$554,OR(AND(F31&lt;&gt;0,ABS(F65)&gt;輸入與假設!$C$553*ABS(F31)),AND(F31=0,F65&lt;&gt;0))),"調整後營業利益 實際 vs 模型 "&amp;IF(F65&lt;0,"−","+")&amp;IF(ABS(F65)&lt;0,"−","")&amp;"$"&amp;TEXT(ABS(ABS(F65)),"#,##0.00")&amp;"bn"&amp;IF(ISNUMBER(F70),"／"&amp;IF(F70&lt;0,"−","+")&amp;TEXT(ABS(F70)*100,"#,##0.0")&amp;"pt","")&amp;"：觀點（"&amp;"模型折舊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5" s="49" t="str">
        <f aca="false">IF(ISNUMBER(G65),IF(IF(ISNUMBER(G70),ABS(G70)&gt;輸入與假設!$C$554,OR(AND(G31&lt;&gt;0,ABS(G65)&gt;輸入與假設!$C$553*ABS(G31)),AND(G31=0,G65&lt;&gt;0))),"調整後營業利益 實際 vs 模型 "&amp;IF(G65&lt;0,"−","+")&amp;IF(ABS(G65)&lt;0,"−","")&amp;"$"&amp;TEXT(ABS(ABS(G65)),"#,##0.00")&amp;"bn"&amp;IF(ISNUMBER(G70),"／"&amp;IF(G70&lt;0,"−","+")&amp;TEXT(ABS(G70)*100,"#,##0.0")&amp;"pt","")&amp;"：觀點（"&amp;"模型折舊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5" s="49" t="str">
        <f aca="false">IF(ISNUMBER(H65),IF(IF(ISNUMBER(H70),ABS(H70)&gt;輸入與假設!$C$554,OR(AND(H31&lt;&gt;0,ABS(H65)&gt;輸入與假設!$C$553*ABS(H31)),AND(H31=0,H65&lt;&gt;0))),"調整後營業利益 實際 vs 模型 "&amp;IF(H65&lt;0,"−","+")&amp;IF(ABS(H65)&lt;0,"−","")&amp;"$"&amp;TEXT(ABS(ABS(H65)),"#,##0.00")&amp;"bn"&amp;IF(ISNUMBER(H70),"／"&amp;IF(H70&lt;0,"−","+")&amp;TEXT(ABS(H70)*100,"#,##0.0")&amp;"pt","")&amp;"：觀點（"&amp;"模型折舊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6" customFormat="false" ht="15" hidden="true" customHeight="false" outlineLevel="1" collapsed="false">
      <c r="A106" s="3" t="s">
        <v>1425</v>
      </c>
      <c r="C106" s="49" t="str">
        <f aca="false">IF(ISNUMBER(C65),IF(IF(ISNUMBER(C70),ABS(C70)&gt;輸入與假設!$C$554,OR(AND(C31&lt;&gt;0,ABS(C65)&gt;輸入與假設!$C$553*ABS(C31)),AND(C31=0,C65&lt;&gt;0))),"觀點",""),"")</f>
        <v/>
      </c>
      <c r="D106" s="49" t="str">
        <f aca="false">IF(ISNUMBER(D65),IF(IF(ISNUMBER(D70),ABS(D70)&gt;輸入與假設!$C$554,OR(AND(D31&lt;&gt;0,ABS(D65)&gt;輸入與假設!$C$553*ABS(D31)),AND(D31=0,D65&lt;&gt;0))),"觀點",""),"")</f>
        <v/>
      </c>
      <c r="E106" s="49" t="str">
        <f aca="false">IF(ISNUMBER(E65),IF(IF(ISNUMBER(E70),ABS(E70)&gt;輸入與假設!$C$554,OR(AND(E31&lt;&gt;0,ABS(E65)&gt;輸入與假設!$C$553*ABS(E31)),AND(E31=0,E65&lt;&gt;0))),"觀點",""),"")</f>
        <v/>
      </c>
      <c r="F106" s="49" t="str">
        <f aca="false">IF(ISNUMBER(F65),IF(IF(ISNUMBER(F70),ABS(F70)&gt;輸入與假設!$C$554,OR(AND(F31&lt;&gt;0,ABS(F65)&gt;輸入與假設!$C$553*ABS(F31)),AND(F31=0,F65&lt;&gt;0))),"觀點",""),"")</f>
        <v/>
      </c>
      <c r="G106" s="49" t="str">
        <f aca="false">IF(ISNUMBER(G65),IF(IF(ISNUMBER(G70),ABS(G70)&gt;輸入與假設!$C$554,OR(AND(G31&lt;&gt;0,ABS(G65)&gt;輸入與假設!$C$553*ABS(G31)),AND(G31=0,G65&lt;&gt;0))),"觀點",""),"")</f>
        <v/>
      </c>
      <c r="H106" s="49" t="str">
        <f aca="false">IF(ISNUMBER(H65),IF(IF(ISNUMBER(H70),ABS(H70)&gt;輸入與假設!$C$554,OR(AND(H31&lt;&gt;0,ABS(H65)&gt;輸入與假設!$C$553*ABS(H31)),AND(H31=0,H65&lt;&gt;0))),"觀點",""),"")</f>
        <v/>
      </c>
    </row>
    <row r="107" customFormat="false" ht="15" hidden="true" customHeight="false" outlineLevel="1" collapsed="false">
      <c r="A107" s="3" t="s">
        <v>1426</v>
      </c>
      <c r="C107" s="49"/>
      <c r="D107" s="49"/>
      <c r="E107" s="49"/>
      <c r="F107" s="49"/>
      <c r="G107" s="49"/>
      <c r="H107" s="49"/>
    </row>
    <row r="108" customFormat="false" ht="15" hidden="true" customHeight="false" outlineLevel="1" collapsed="false">
      <c r="A108" s="3" t="s">
        <v>1427</v>
      </c>
      <c r="C108" s="49"/>
      <c r="D108" s="49"/>
      <c r="E108" s="49"/>
      <c r="F108" s="49"/>
      <c r="G108" s="49"/>
      <c r="H108" s="49"/>
    </row>
    <row r="109" customFormat="false" ht="15" hidden="true" customHeight="false" outlineLevel="1" collapsed="false">
      <c r="A109" s="3" t="s">
        <v>1428</v>
      </c>
      <c r="C109" s="49"/>
      <c r="D109" s="49"/>
      <c r="E109" s="49"/>
      <c r="F109" s="49"/>
      <c r="G109" s="49"/>
      <c r="H109" s="49"/>
    </row>
    <row r="110" customFormat="false" ht="15" hidden="true" customHeight="false" outlineLevel="1" collapsed="false">
      <c r="A110" s="3" t="s">
        <v>1429</v>
      </c>
      <c r="C110" s="49"/>
      <c r="D110" s="49"/>
      <c r="E110" s="49"/>
      <c r="F110" s="49"/>
      <c r="G110" s="49"/>
      <c r="H110" s="49"/>
    </row>
    <row r="111" customFormat="false" ht="15" hidden="true" customHeight="false" outlineLevel="1" collapsed="false">
      <c r="A111" s="3" t="s">
        <v>1430</v>
      </c>
      <c r="C111" s="49" t="str">
        <f aca="false">IF(ISNUMBER(C75),IF(ABS(C75)&gt;輸入與假設!$C$553,"CapEx（毛額） 實際 vs 模型 "&amp;IF(C75&lt;0,"−","+")&amp;TEXT(ABS(C75)*100,"#,##0.0")&amp;"%"&amp;"：觀點（"&amp;"首期資本支出＝2026 指引中點 200 − 上半年實際；之後由 MW 推導（Tokenomics 每 MW 成本）"&amp;"）",""),"")</f>
        <v/>
      </c>
      <c r="D111" s="49" t="str">
        <f aca="false">IF(ISNUMBER(D75),IF(ABS(D75)&gt;輸入與假設!$C$553,"CapEx（毛額） 實際 vs 模型 "&amp;IF(D75&lt;0,"−","+")&amp;TEXT(ABS(D75)*100,"#,##0.0")&amp;"%"&amp;"：觀點（"&amp;"首期資本支出＝2026 指引中點 200 − 上半年實際；之後由 MW 推導（Tokenomics 每 MW 成本）"&amp;"）",""),"")</f>
        <v/>
      </c>
      <c r="E111" s="49" t="str">
        <f aca="false">IF(ISNUMBER(E75),IF(ABS(E75)&gt;輸入與假設!$C$553,"CapEx（毛額） 實際 vs 模型 "&amp;IF(E75&lt;0,"−","+")&amp;TEXT(ABS(E75)*100,"#,##0.0")&amp;"%"&amp;"：觀點（"&amp;"首期資本支出＝2026 指引中點 200 − 上半年實際；之後由 MW 推導（Tokenomics 每 MW 成本）"&amp;"）",""),"")</f>
        <v/>
      </c>
      <c r="F111" s="49" t="str">
        <f aca="false">IF(ISNUMBER(F75),IF(ABS(F75)&gt;輸入與假設!$C$553,"CapEx（毛額） 實際 vs 模型 "&amp;IF(F75&lt;0,"−","+")&amp;TEXT(ABS(F75)*100,"#,##0.0")&amp;"%"&amp;"：觀點（"&amp;"首期資本支出＝2026 指引中點 200 − 上半年實際；之後由 MW 推導（Tokenomics 每 MW 成本）"&amp;"）",""),"")</f>
        <v/>
      </c>
      <c r="G111" s="49" t="str">
        <f aca="false">IF(ISNUMBER(G75),IF(ABS(G75)&gt;輸入與假設!$C$553,"CapEx（毛額） 實際 vs 模型 "&amp;IF(G75&lt;0,"−","+")&amp;TEXT(ABS(G75)*100,"#,##0.0")&amp;"%"&amp;"：觀點（"&amp;"首期資本支出＝2026 指引中點 200 − 上半年實際；之後由 MW 推導（Tokenomics 每 MW 成本）"&amp;"）",""),"")</f>
        <v/>
      </c>
      <c r="H111" s="49" t="str">
        <f aca="false">IF(ISNUMBER(H75),IF(ABS(H75)&gt;輸入與假設!$C$553,"CapEx（毛額） 實際 vs 模型 "&amp;IF(H75&lt;0,"−","+")&amp;TEXT(ABS(H75)*100,"#,##0.0")&amp;"%"&amp;"：觀點（"&amp;"首期資本支出＝2026 指引中點 200 − 上半年實際；之後由 MW 推導（Tokenomics 每 MW 成本）"&amp;"）",""),"")</f>
        <v/>
      </c>
    </row>
    <row r="112" customFormat="false" ht="15" hidden="true" customHeight="false" outlineLevel="1" collapsed="false">
      <c r="A112" s="3" t="s">
        <v>1431</v>
      </c>
      <c r="C112" s="49" t="str">
        <f aca="false">IF(ISNUMBER(C75),IF(ABS(C75)&gt;輸入與假設!$C$553,"觀點",""),"")</f>
        <v/>
      </c>
      <c r="D112" s="49" t="str">
        <f aca="false">IF(ISNUMBER(D75),IF(ABS(D75)&gt;輸入與假設!$C$553,"觀點",""),"")</f>
        <v/>
      </c>
      <c r="E112" s="49" t="str">
        <f aca="false">IF(ISNUMBER(E75),IF(ABS(E75)&gt;輸入與假設!$C$553,"觀點",""),"")</f>
        <v/>
      </c>
      <c r="F112" s="49" t="str">
        <f aca="false">IF(ISNUMBER(F75),IF(ABS(F75)&gt;輸入與假設!$C$553,"觀點",""),"")</f>
        <v/>
      </c>
      <c r="G112" s="49" t="str">
        <f aca="false">IF(ISNUMBER(G75),IF(ABS(G75)&gt;輸入與假設!$C$553,"觀點",""),"")</f>
        <v/>
      </c>
      <c r="H112" s="49" t="str">
        <f aca="false">IF(ISNUMBER(H75),IF(ABS(H75)&gt;輸入與假設!$C$553,"觀點",""),"")</f>
        <v/>
      </c>
    </row>
    <row r="113" customFormat="false" ht="15" hidden="true" customHeight="false" outlineLevel="1" collapsed="false">
      <c r="A113" s="3" t="s">
        <v>1432</v>
      </c>
      <c r="C113" s="49"/>
      <c r="D113" s="49"/>
      <c r="E113" s="49"/>
      <c r="F113" s="49"/>
      <c r="G113" s="49"/>
      <c r="H113" s="49"/>
    </row>
    <row r="114" customFormat="false" ht="15" hidden="true" customHeight="false" outlineLevel="1" collapsed="false">
      <c r="A114" s="3" t="s">
        <v>1433</v>
      </c>
      <c r="C114" s="49"/>
      <c r="D114" s="49"/>
      <c r="E114" s="49"/>
      <c r="F114" s="49"/>
      <c r="G114" s="49"/>
      <c r="H114" s="49"/>
    </row>
    <row r="115" customFormat="false" ht="15" hidden="true" customHeight="false" outlineLevel="1" collapsed="false">
      <c r="A115" s="3" t="s">
        <v>1434</v>
      </c>
      <c r="C115" s="49"/>
      <c r="D115" s="49"/>
      <c r="E115" s="49"/>
      <c r="F115" s="49"/>
      <c r="G115" s="49"/>
      <c r="H115" s="49"/>
    </row>
    <row r="116" customFormat="false" ht="15" hidden="true" customHeight="false" outlineLevel="1" collapsed="false">
      <c r="A116" s="3" t="s">
        <v>1435</v>
      </c>
      <c r="C116" s="49"/>
      <c r="D116" s="49"/>
      <c r="E116" s="49"/>
      <c r="F116" s="49"/>
      <c r="G116" s="49"/>
      <c r="H116" s="49"/>
    </row>
    <row r="117" customFormat="false" ht="15" hidden="true" customHeight="false" outlineLevel="1" collapsed="false">
      <c r="A117" s="3" t="s">
        <v>1436</v>
      </c>
      <c r="C117" s="49"/>
      <c r="D117" s="49"/>
      <c r="E117" s="49"/>
      <c r="F117" s="49"/>
      <c r="G117" s="49"/>
      <c r="H117" s="49"/>
    </row>
    <row r="118" customFormat="false" ht="15" hidden="true" customHeight="false" outlineLevel="1" collapsed="false">
      <c r="A118" s="3" t="s">
        <v>1437</v>
      </c>
      <c r="C118" s="49"/>
      <c r="D118" s="49"/>
      <c r="E118" s="49"/>
      <c r="F118" s="49"/>
      <c r="G118" s="49"/>
      <c r="H118" s="49"/>
    </row>
    <row r="119" customFormat="false" ht="15" hidden="true" customHeight="false" outlineLevel="1" collapsed="false">
      <c r="A119" s="3" t="s">
        <v>1438</v>
      </c>
      <c r="C119" s="49" t="str">
        <f aca="false">MID(IF(C86&lt;&gt;"","；"&amp;C86,"")&amp;IF(C88&lt;&gt;"","；"&amp;C88,"")&amp;IF(C90&lt;&gt;"","；"&amp;C90,"")&amp;IF(C95&lt;&gt;"","；"&amp;C95,"")&amp;IF(C97&lt;&gt;"","；"&amp;C97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,2,9999)</f>
        <v/>
      </c>
      <c r="D119" s="49" t="str">
        <f aca="false">MID(IF(D86&lt;&gt;"","；"&amp;D86,"")&amp;IF(D88&lt;&gt;"","；"&amp;D88,"")&amp;IF(D90&lt;&gt;"","；"&amp;D90,"")&amp;IF(D95&lt;&gt;"","；"&amp;D95,"")&amp;IF(D97&lt;&gt;"","；"&amp;D97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,2,9999)</f>
        <v/>
      </c>
      <c r="E119" s="49" t="str">
        <f aca="false">MID(IF(E86&lt;&gt;"","；"&amp;E86,"")&amp;IF(E88&lt;&gt;"","；"&amp;E88,"")&amp;IF(E90&lt;&gt;"","；"&amp;E90,"")&amp;IF(E95&lt;&gt;"","；"&amp;E95,"")&amp;IF(E97&lt;&gt;"","；"&amp;E97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,2,9999)</f>
        <v/>
      </c>
      <c r="F119" s="49" t="str">
        <f aca="false">MID(IF(F86&lt;&gt;"","；"&amp;F86,"")&amp;IF(F88&lt;&gt;"","；"&amp;F88,"")&amp;IF(F90&lt;&gt;"","；"&amp;F90,"")&amp;IF(F95&lt;&gt;"","；"&amp;F95,"")&amp;IF(F97&lt;&gt;"","；"&amp;F97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,2,9999)</f>
        <v/>
      </c>
      <c r="G119" s="49" t="str">
        <f aca="false">MID(IF(G86&lt;&gt;"","；"&amp;G86,"")&amp;IF(G88&lt;&gt;"","；"&amp;G88,"")&amp;IF(G90&lt;&gt;"","；"&amp;G90,"")&amp;IF(G95&lt;&gt;"","；"&amp;G95,"")&amp;IF(G97&lt;&gt;"","；"&amp;G97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,2,9999)</f>
        <v/>
      </c>
      <c r="H119" s="49" t="str">
        <f aca="false">MID(IF(H86&lt;&gt;"","；"&amp;H86,"")&amp;IF(H88&lt;&gt;"","；"&amp;H88,"")&amp;IF(H90&lt;&gt;"","；"&amp;H90,"")&amp;IF(H95&lt;&gt;"","；"&amp;H95,"")&amp;IF(H97&lt;&gt;"","；"&amp;H97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,2,9999)</f>
        <v/>
      </c>
    </row>
    <row r="120" customFormat="false" ht="15" hidden="true" customHeight="false" outlineLevel="1" collapsed="false">
      <c r="A120" s="3" t="s">
        <v>1439</v>
      </c>
      <c r="C120" s="49" t="str">
        <f aca="false">IF((C87&amp;IF(AND(C89&lt;&gt;"",C89&lt;&gt;C87),IF((C87)&lt;&gt;"","、","")&amp;C89,"")&amp;IF(AND(C91&lt;&gt;"",C91&lt;&gt;C87,C91&lt;&gt;C89),IF((C87&amp;C89)&lt;&gt;"","、","")&amp;C91,""))&lt;&gt;"","〔"&amp;(C87&amp;IF(AND(C89&lt;&gt;"",C89&lt;&gt;C87),IF((C87)&lt;&gt;"","、","")&amp;C89,"")&amp;IF(AND(C91&lt;&gt;"",C91&lt;&gt;C87,C91&lt;&gt;C89),IF((C87&amp;C89)&lt;&gt;"","、","")&amp;C91,""))&amp;"〕","")</f>
        <v/>
      </c>
      <c r="D120" s="49" t="str">
        <f aca="false">IF((D87&amp;IF(AND(D89&lt;&gt;"",D89&lt;&gt;D87),IF((D87)&lt;&gt;"","、","")&amp;D89,"")&amp;IF(AND(D91&lt;&gt;"",D91&lt;&gt;D87,D91&lt;&gt;D89),IF((D87&amp;D89)&lt;&gt;"","、","")&amp;D91,""))&lt;&gt;"","〔"&amp;(D87&amp;IF(AND(D89&lt;&gt;"",D89&lt;&gt;D87),IF((D87)&lt;&gt;"","、","")&amp;D89,"")&amp;IF(AND(D91&lt;&gt;"",D91&lt;&gt;D87,D91&lt;&gt;D89),IF((D87&amp;D89)&lt;&gt;"","、","")&amp;D91,""))&amp;"〕","")</f>
        <v/>
      </c>
      <c r="E120" s="49" t="str">
        <f aca="false">IF((E87&amp;IF(AND(E89&lt;&gt;"",E89&lt;&gt;E87),IF((E87)&lt;&gt;"","、","")&amp;E89,"")&amp;IF(AND(E91&lt;&gt;"",E91&lt;&gt;E87,E91&lt;&gt;E89),IF((E87&amp;E89)&lt;&gt;"","、","")&amp;E91,""))&lt;&gt;"","〔"&amp;(E87&amp;IF(AND(E89&lt;&gt;"",E89&lt;&gt;E87),IF((E87)&lt;&gt;"","、","")&amp;E89,"")&amp;IF(AND(E91&lt;&gt;"",E91&lt;&gt;E87,E91&lt;&gt;E89),IF((E87&amp;E89)&lt;&gt;"","、","")&amp;E91,""))&amp;"〕","")</f>
        <v/>
      </c>
      <c r="F120" s="49" t="str">
        <f aca="false">IF((F87&amp;IF(AND(F89&lt;&gt;"",F89&lt;&gt;F87),IF((F87)&lt;&gt;"","、","")&amp;F89,"")&amp;IF(AND(F91&lt;&gt;"",F91&lt;&gt;F87,F91&lt;&gt;F89),IF((F87&amp;F89)&lt;&gt;"","、","")&amp;F91,""))&lt;&gt;"","〔"&amp;(F87&amp;IF(AND(F89&lt;&gt;"",F89&lt;&gt;F87),IF((F87)&lt;&gt;"","、","")&amp;F89,"")&amp;IF(AND(F91&lt;&gt;"",F91&lt;&gt;F87,F91&lt;&gt;F89),IF((F87&amp;F89)&lt;&gt;"","、","")&amp;F91,""))&amp;"〕","")</f>
        <v/>
      </c>
      <c r="G120" s="49" t="str">
        <f aca="false">IF((G87&amp;IF(AND(G89&lt;&gt;"",G89&lt;&gt;G87),IF((G87)&lt;&gt;"","、","")&amp;G89,"")&amp;IF(AND(G91&lt;&gt;"",G91&lt;&gt;G87,G91&lt;&gt;G89),IF((G87&amp;G89)&lt;&gt;"","、","")&amp;G91,""))&lt;&gt;"","〔"&amp;(G87&amp;IF(AND(G89&lt;&gt;"",G89&lt;&gt;G87),IF((G87)&lt;&gt;"","、","")&amp;G89,"")&amp;IF(AND(G91&lt;&gt;"",G91&lt;&gt;G87,G91&lt;&gt;G89),IF((G87&amp;G89)&lt;&gt;"","、","")&amp;G91,""))&amp;"〕","")</f>
        <v/>
      </c>
      <c r="H120" s="49" t="str">
        <f aca="false">IF((H87&amp;IF(AND(H89&lt;&gt;"",H89&lt;&gt;H87),IF((H87)&lt;&gt;"","、","")&amp;H89,"")&amp;IF(AND(H91&lt;&gt;"",H91&lt;&gt;H87,H91&lt;&gt;H89),IF((H87&amp;H89)&lt;&gt;"","、","")&amp;H91,""))&lt;&gt;"","〔"&amp;(H87&amp;IF(AND(H89&lt;&gt;"",H89&lt;&gt;H87),IF((H87)&lt;&gt;"","、","")&amp;H89,"")&amp;IF(AND(H91&lt;&gt;"",H91&lt;&gt;H87,H91&lt;&gt;H89),IF((H87&amp;H89)&lt;&gt;"","、","")&amp;H91,""))&amp;"〕","")</f>
        <v/>
      </c>
    </row>
    <row r="121" customFormat="false" ht="15" hidden="true" customHeight="false" outlineLevel="1" collapsed="false">
      <c r="A121" s="3" t="s">
        <v>1440</v>
      </c>
      <c r="C121" s="49" t="str">
        <f aca="false">IF((C96&amp;IF(AND(C98&lt;&gt;"",C98&lt;&gt;C96),IF((C96)&lt;&gt;"","、","")&amp;C98,"")&amp;IF(AND(C100&lt;&gt;"",C100&lt;&gt;C96,C100&lt;&gt;C98),IF((C96&amp;C98)&lt;&gt;"","、","")&amp;C100,""))&lt;&gt;"","〔"&amp;(C96&amp;IF(AND(C98&lt;&gt;"",C98&lt;&gt;C96),IF((C96)&lt;&gt;"","、","")&amp;C98,"")&amp;IF(AND(C100&lt;&gt;"",C100&lt;&gt;C96,C100&lt;&gt;C98),IF((C96&amp;C98)&lt;&gt;"","、","")&amp;C100,""))&amp;"〕","")</f>
        <v/>
      </c>
      <c r="D121" s="49" t="str">
        <f aca="false">IF((D96&amp;IF(AND(D98&lt;&gt;"",D98&lt;&gt;D96),IF((D96)&lt;&gt;"","、","")&amp;D98,"")&amp;IF(AND(D100&lt;&gt;"",D100&lt;&gt;D96,D100&lt;&gt;D98),IF((D96&amp;D98)&lt;&gt;"","、","")&amp;D100,""))&lt;&gt;"","〔"&amp;(D96&amp;IF(AND(D98&lt;&gt;"",D98&lt;&gt;D96),IF((D96)&lt;&gt;"","、","")&amp;D98,"")&amp;IF(AND(D100&lt;&gt;"",D100&lt;&gt;D96,D100&lt;&gt;D98),IF((D96&amp;D98)&lt;&gt;"","、","")&amp;D100,""))&amp;"〕","")</f>
        <v/>
      </c>
      <c r="E121" s="49" t="str">
        <f aca="false">IF((E96&amp;IF(AND(E98&lt;&gt;"",E98&lt;&gt;E96),IF((E96)&lt;&gt;"","、","")&amp;E98,"")&amp;IF(AND(E100&lt;&gt;"",E100&lt;&gt;E96,E100&lt;&gt;E98),IF((E96&amp;E98)&lt;&gt;"","、","")&amp;E100,""))&lt;&gt;"","〔"&amp;(E96&amp;IF(AND(E98&lt;&gt;"",E98&lt;&gt;E96),IF((E96)&lt;&gt;"","、","")&amp;E98,"")&amp;IF(AND(E100&lt;&gt;"",E100&lt;&gt;E96,E100&lt;&gt;E98),IF((E96&amp;E98)&lt;&gt;"","、","")&amp;E100,""))&amp;"〕","")</f>
        <v/>
      </c>
      <c r="F121" s="49" t="str">
        <f aca="false">IF((F96&amp;IF(AND(F98&lt;&gt;"",F98&lt;&gt;F96),IF((F96)&lt;&gt;"","、","")&amp;F98,"")&amp;IF(AND(F100&lt;&gt;"",F100&lt;&gt;F96,F100&lt;&gt;F98),IF((F96&amp;F98)&lt;&gt;"","、","")&amp;F100,""))&lt;&gt;"","〔"&amp;(F96&amp;IF(AND(F98&lt;&gt;"",F98&lt;&gt;F96),IF((F96)&lt;&gt;"","、","")&amp;F98,"")&amp;IF(AND(F100&lt;&gt;"",F100&lt;&gt;F96,F100&lt;&gt;F98),IF((F96&amp;F98)&lt;&gt;"","、","")&amp;F100,""))&amp;"〕","")</f>
        <v/>
      </c>
      <c r="G121" s="49" t="str">
        <f aca="false">IF((G96&amp;IF(AND(G98&lt;&gt;"",G98&lt;&gt;G96),IF((G96)&lt;&gt;"","、","")&amp;G98,"")&amp;IF(AND(G100&lt;&gt;"",G100&lt;&gt;G96,G100&lt;&gt;G98),IF((G96&amp;G98)&lt;&gt;"","、","")&amp;G100,""))&lt;&gt;"","〔"&amp;(G96&amp;IF(AND(G98&lt;&gt;"",G98&lt;&gt;G96),IF((G96)&lt;&gt;"","、","")&amp;G98,"")&amp;IF(AND(G100&lt;&gt;"",G100&lt;&gt;G96,G100&lt;&gt;G98),IF((G96&amp;G98)&lt;&gt;"","、","")&amp;G100,""))&amp;"〕","")</f>
        <v/>
      </c>
      <c r="H121" s="49" t="str">
        <f aca="false">IF((H96&amp;IF(AND(H98&lt;&gt;"",H98&lt;&gt;H96),IF((H96)&lt;&gt;"","、","")&amp;H98,"")&amp;IF(AND(H100&lt;&gt;"",H100&lt;&gt;H96,H100&lt;&gt;H98),IF((H96&amp;H98)&lt;&gt;"","、","")&amp;H100,""))&lt;&gt;"","〔"&amp;(H96&amp;IF(AND(H98&lt;&gt;"",H98&lt;&gt;H96),IF((H96)&lt;&gt;"","、","")&amp;H98,"")&amp;IF(AND(H100&lt;&gt;"",H100&lt;&gt;H96,H100&lt;&gt;H98),IF((H96&amp;H98)&lt;&gt;"","、","")&amp;H100,""))&amp;"〕","")</f>
        <v/>
      </c>
    </row>
    <row r="122" customFormat="false" ht="15" hidden="true" customHeight="false" outlineLevel="1" collapsed="false">
      <c r="A122" s="3" t="s">
        <v>1441</v>
      </c>
      <c r="C122" s="49" t="str">
        <f aca="false">IF((C102&amp;IF(AND(C104&lt;&gt;"",C104&lt;&gt;C102),IF((C102)&lt;&gt;"","、","")&amp;C104,"")&amp;IF(AND(C106&lt;&gt;"",C106&lt;&gt;C102,C106&lt;&gt;C104),IF((C102&amp;C104)&lt;&gt;"","、","")&amp;C106,""))&lt;&gt;"","〔"&amp;(C102&amp;IF(AND(C104&lt;&gt;"",C104&lt;&gt;C102),IF((C102)&lt;&gt;"","、","")&amp;C104,"")&amp;IF(AND(C106&lt;&gt;"",C106&lt;&gt;C102,C106&lt;&gt;C104),IF((C102&amp;C104)&lt;&gt;"","、","")&amp;C106,""))&amp;"〕","")</f>
        <v/>
      </c>
      <c r="D122" s="49" t="str">
        <f aca="false">IF((D102&amp;IF(AND(D104&lt;&gt;"",D104&lt;&gt;D102),IF((D102)&lt;&gt;"","、","")&amp;D104,"")&amp;IF(AND(D106&lt;&gt;"",D106&lt;&gt;D102,D106&lt;&gt;D104),IF((D102&amp;D104)&lt;&gt;"","、","")&amp;D106,""))&lt;&gt;"","〔"&amp;(D102&amp;IF(AND(D104&lt;&gt;"",D104&lt;&gt;D102),IF((D102)&lt;&gt;"","、","")&amp;D104,"")&amp;IF(AND(D106&lt;&gt;"",D106&lt;&gt;D102,D106&lt;&gt;D104),IF((D102&amp;D104)&lt;&gt;"","、","")&amp;D106,""))&amp;"〕","")</f>
        <v/>
      </c>
      <c r="E122" s="49" t="str">
        <f aca="false">IF((E102&amp;IF(AND(E104&lt;&gt;"",E104&lt;&gt;E102),IF((E102)&lt;&gt;"","、","")&amp;E104,"")&amp;IF(AND(E106&lt;&gt;"",E106&lt;&gt;E102,E106&lt;&gt;E104),IF((E102&amp;E104)&lt;&gt;"","、","")&amp;E106,""))&lt;&gt;"","〔"&amp;(E102&amp;IF(AND(E104&lt;&gt;"",E104&lt;&gt;E102),IF((E102)&lt;&gt;"","、","")&amp;E104,"")&amp;IF(AND(E106&lt;&gt;"",E106&lt;&gt;E102,E106&lt;&gt;E104),IF((E102&amp;E104)&lt;&gt;"","、","")&amp;E106,""))&amp;"〕","")</f>
        <v/>
      </c>
      <c r="F122" s="49" t="str">
        <f aca="false">IF((F102&amp;IF(AND(F104&lt;&gt;"",F104&lt;&gt;F102),IF((F102)&lt;&gt;"","、","")&amp;F104,"")&amp;IF(AND(F106&lt;&gt;"",F106&lt;&gt;F102,F106&lt;&gt;F104),IF((F102&amp;F104)&lt;&gt;"","、","")&amp;F106,""))&lt;&gt;"","〔"&amp;(F102&amp;IF(AND(F104&lt;&gt;"",F104&lt;&gt;F102),IF((F102)&lt;&gt;"","、","")&amp;F104,"")&amp;IF(AND(F106&lt;&gt;"",F106&lt;&gt;F102,F106&lt;&gt;F104),IF((F102&amp;F104)&lt;&gt;"","、","")&amp;F106,""))&amp;"〕","")</f>
        <v/>
      </c>
      <c r="G122" s="49" t="str">
        <f aca="false">IF((G102&amp;IF(AND(G104&lt;&gt;"",G104&lt;&gt;G102),IF((G102)&lt;&gt;"","、","")&amp;G104,"")&amp;IF(AND(G106&lt;&gt;"",G106&lt;&gt;G102,G106&lt;&gt;G104),IF((G102&amp;G104)&lt;&gt;"","、","")&amp;G106,""))&lt;&gt;"","〔"&amp;(G102&amp;IF(AND(G104&lt;&gt;"",G104&lt;&gt;G102),IF((G102)&lt;&gt;"","、","")&amp;G104,"")&amp;IF(AND(G106&lt;&gt;"",G106&lt;&gt;G102,G106&lt;&gt;G104),IF((G102&amp;G104)&lt;&gt;"","、","")&amp;G106,""))&amp;"〕","")</f>
        <v/>
      </c>
      <c r="H122" s="49" t="str">
        <f aca="false">IF((H102&amp;IF(AND(H104&lt;&gt;"",H104&lt;&gt;H102),IF((H102)&lt;&gt;"","、","")&amp;H104,"")&amp;IF(AND(H106&lt;&gt;"",H106&lt;&gt;H102,H106&lt;&gt;H104),IF((H102&amp;H104)&lt;&gt;"","、","")&amp;H106,""))&lt;&gt;"","〔"&amp;(H102&amp;IF(AND(H104&lt;&gt;"",H104&lt;&gt;H102),IF((H102)&lt;&gt;"","、","")&amp;H104,"")&amp;IF(AND(H106&lt;&gt;"",H106&lt;&gt;H102,H106&lt;&gt;H104),IF((H102&amp;H104)&lt;&gt;"","、","")&amp;H106,""))&amp;"〕","")</f>
        <v/>
      </c>
    </row>
    <row r="123" customFormat="false" ht="15" hidden="true" customHeight="false" outlineLevel="1" collapsed="false">
      <c r="A123" s="3" t="s">
        <v>1442</v>
      </c>
      <c r="C123" s="49" t="str">
        <f aca="false">IF((C108&amp;IF(AND(C110&lt;&gt;"",C110&lt;&gt;C108),IF((C108)&lt;&gt;"","、","")&amp;C110,"")&amp;IF(AND(C112&lt;&gt;"",C112&lt;&gt;C108,C112&lt;&gt;C110),IF((C108&amp;C110)&lt;&gt;"","、","")&amp;C112,""))&lt;&gt;"","〔"&amp;(C108&amp;IF(AND(C110&lt;&gt;"",C110&lt;&gt;C108),IF((C108)&lt;&gt;"","、","")&amp;C110,"")&amp;IF(AND(C112&lt;&gt;"",C112&lt;&gt;C108,C112&lt;&gt;C110),IF((C108&amp;C110)&lt;&gt;"","、","")&amp;C112,""))&amp;"〕","")</f>
        <v/>
      </c>
      <c r="D123" s="49" t="str">
        <f aca="false">IF((D108&amp;IF(AND(D110&lt;&gt;"",D110&lt;&gt;D108),IF((D108)&lt;&gt;"","、","")&amp;D110,"")&amp;IF(AND(D112&lt;&gt;"",D112&lt;&gt;D108,D112&lt;&gt;D110),IF((D108&amp;D110)&lt;&gt;"","、","")&amp;D112,""))&lt;&gt;"","〔"&amp;(D108&amp;IF(AND(D110&lt;&gt;"",D110&lt;&gt;D108),IF((D108)&lt;&gt;"","、","")&amp;D110,"")&amp;IF(AND(D112&lt;&gt;"",D112&lt;&gt;D108,D112&lt;&gt;D110),IF((D108&amp;D110)&lt;&gt;"","、","")&amp;D112,""))&amp;"〕","")</f>
        <v/>
      </c>
      <c r="E123" s="49" t="str">
        <f aca="false">IF((E108&amp;IF(AND(E110&lt;&gt;"",E110&lt;&gt;E108),IF((E108)&lt;&gt;"","、","")&amp;E110,"")&amp;IF(AND(E112&lt;&gt;"",E112&lt;&gt;E108,E112&lt;&gt;E110),IF((E108&amp;E110)&lt;&gt;"","、","")&amp;E112,""))&lt;&gt;"","〔"&amp;(E108&amp;IF(AND(E110&lt;&gt;"",E110&lt;&gt;E108),IF((E108)&lt;&gt;"","、","")&amp;E110,"")&amp;IF(AND(E112&lt;&gt;"",E112&lt;&gt;E108,E112&lt;&gt;E110),IF((E108&amp;E110)&lt;&gt;"","、","")&amp;E112,""))&amp;"〕","")</f>
        <v/>
      </c>
      <c r="F123" s="49" t="str">
        <f aca="false">IF((F108&amp;IF(AND(F110&lt;&gt;"",F110&lt;&gt;F108),IF((F108)&lt;&gt;"","、","")&amp;F110,"")&amp;IF(AND(F112&lt;&gt;"",F112&lt;&gt;F108,F112&lt;&gt;F110),IF((F108&amp;F110)&lt;&gt;"","、","")&amp;F112,""))&lt;&gt;"","〔"&amp;(F108&amp;IF(AND(F110&lt;&gt;"",F110&lt;&gt;F108),IF((F108)&lt;&gt;"","、","")&amp;F110,"")&amp;IF(AND(F112&lt;&gt;"",F112&lt;&gt;F108,F112&lt;&gt;F110),IF((F108&amp;F110)&lt;&gt;"","、","")&amp;F112,""))&amp;"〕","")</f>
        <v/>
      </c>
      <c r="G123" s="49" t="str">
        <f aca="false">IF((G108&amp;IF(AND(G110&lt;&gt;"",G110&lt;&gt;G108),IF((G108)&lt;&gt;"","、","")&amp;G110,"")&amp;IF(AND(G112&lt;&gt;"",G112&lt;&gt;G108,G112&lt;&gt;G110),IF((G108&amp;G110)&lt;&gt;"","、","")&amp;G112,""))&lt;&gt;"","〔"&amp;(G108&amp;IF(AND(G110&lt;&gt;"",G110&lt;&gt;G108),IF((G108)&lt;&gt;"","、","")&amp;G110,"")&amp;IF(AND(G112&lt;&gt;"",G112&lt;&gt;G108,G112&lt;&gt;G110),IF((G108&amp;G110)&lt;&gt;"","、","")&amp;G112,""))&amp;"〕","")</f>
        <v/>
      </c>
      <c r="H123" s="49" t="str">
        <f aca="false">IF((H108&amp;IF(AND(H110&lt;&gt;"",H110&lt;&gt;H108),IF((H108)&lt;&gt;"","、","")&amp;H110,"")&amp;IF(AND(H112&lt;&gt;"",H112&lt;&gt;H108,H112&lt;&gt;H110),IF((H108&amp;H110)&lt;&gt;"","、","")&amp;H112,""))&lt;&gt;"","〔"&amp;(H108&amp;IF(AND(H110&lt;&gt;"",H110&lt;&gt;H108),IF((H108)&lt;&gt;"","、","")&amp;H110,"")&amp;IF(AND(H112&lt;&gt;"",H112&lt;&gt;H108,H112&lt;&gt;H110),IF((H108&amp;H110)&lt;&gt;"","、","")&amp;H112,""))&amp;"〕","")</f>
        <v/>
      </c>
    </row>
    <row r="124" customFormat="false" ht="15" hidden="true" customHeight="false" outlineLevel="1" collapsed="false">
      <c r="A124" s="3" t="s">
        <v>1443</v>
      </c>
      <c r="C124" s="49" t="str">
        <f aca="false">IF((C114&amp;IF(AND(C116&lt;&gt;"",C116&lt;&gt;C114),IF((C114)&lt;&gt;"","、","")&amp;C116,"")&amp;IF(AND(C118&lt;&gt;"",C118&lt;&gt;C114,C118&lt;&gt;C116),IF((C114&amp;C116)&lt;&gt;"","、","")&amp;C118,""))&lt;&gt;"","〔"&amp;(C114&amp;IF(AND(C116&lt;&gt;"",C116&lt;&gt;C114),IF((C114)&lt;&gt;"","、","")&amp;C116,"")&amp;IF(AND(C118&lt;&gt;"",C118&lt;&gt;C114,C118&lt;&gt;C116),IF((C114&amp;C116)&lt;&gt;"","、","")&amp;C118,""))&amp;"〕","")</f>
        <v/>
      </c>
      <c r="D124" s="49" t="str">
        <f aca="false">IF((D114&amp;IF(AND(D116&lt;&gt;"",D116&lt;&gt;D114),IF((D114)&lt;&gt;"","、","")&amp;D116,"")&amp;IF(AND(D118&lt;&gt;"",D118&lt;&gt;D114,D118&lt;&gt;D116),IF((D114&amp;D116)&lt;&gt;"","、","")&amp;D118,""))&lt;&gt;"","〔"&amp;(D114&amp;IF(AND(D116&lt;&gt;"",D116&lt;&gt;D114),IF((D114)&lt;&gt;"","、","")&amp;D116,"")&amp;IF(AND(D118&lt;&gt;"",D118&lt;&gt;D114,D118&lt;&gt;D116),IF((D114&amp;D116)&lt;&gt;"","、","")&amp;D118,""))&amp;"〕","")</f>
        <v/>
      </c>
      <c r="E124" s="49" t="str">
        <f aca="false">IF((E114&amp;IF(AND(E116&lt;&gt;"",E116&lt;&gt;E114),IF((E114)&lt;&gt;"","、","")&amp;E116,"")&amp;IF(AND(E118&lt;&gt;"",E118&lt;&gt;E114,E118&lt;&gt;E116),IF((E114&amp;E116)&lt;&gt;"","、","")&amp;E118,""))&lt;&gt;"","〔"&amp;(E114&amp;IF(AND(E116&lt;&gt;"",E116&lt;&gt;E114),IF((E114)&lt;&gt;"","、","")&amp;E116,"")&amp;IF(AND(E118&lt;&gt;"",E118&lt;&gt;E114,E118&lt;&gt;E116),IF((E114&amp;E116)&lt;&gt;"","、","")&amp;E118,""))&amp;"〕","")</f>
        <v/>
      </c>
      <c r="F124" s="49" t="str">
        <f aca="false">IF((F114&amp;IF(AND(F116&lt;&gt;"",F116&lt;&gt;F114),IF((F114)&lt;&gt;"","、","")&amp;F116,"")&amp;IF(AND(F118&lt;&gt;"",F118&lt;&gt;F114,F118&lt;&gt;F116),IF((F114&amp;F116)&lt;&gt;"","、","")&amp;F118,""))&lt;&gt;"","〔"&amp;(F114&amp;IF(AND(F116&lt;&gt;"",F116&lt;&gt;F114),IF((F114)&lt;&gt;"","、","")&amp;F116,"")&amp;IF(AND(F118&lt;&gt;"",F118&lt;&gt;F114,F118&lt;&gt;F116),IF((F114&amp;F116)&lt;&gt;"","、","")&amp;F118,""))&amp;"〕","")</f>
        <v/>
      </c>
      <c r="G124" s="49" t="str">
        <f aca="false">IF((G114&amp;IF(AND(G116&lt;&gt;"",G116&lt;&gt;G114),IF((G114)&lt;&gt;"","、","")&amp;G116,"")&amp;IF(AND(G118&lt;&gt;"",G118&lt;&gt;G114,G118&lt;&gt;G116),IF((G114&amp;G116)&lt;&gt;"","、","")&amp;G118,""))&lt;&gt;"","〔"&amp;(G114&amp;IF(AND(G116&lt;&gt;"",G116&lt;&gt;G114),IF((G114)&lt;&gt;"","、","")&amp;G116,"")&amp;IF(AND(G118&lt;&gt;"",G118&lt;&gt;G114,G118&lt;&gt;G116),IF((G114&amp;G116)&lt;&gt;"","、","")&amp;G118,""))&amp;"〕","")</f>
        <v/>
      </c>
      <c r="H124" s="49" t="str">
        <f aca="false">IF((H114&amp;IF(AND(H116&lt;&gt;"",H116&lt;&gt;H114),IF((H114)&lt;&gt;"","、","")&amp;H116,"")&amp;IF(AND(H118&lt;&gt;"",H118&lt;&gt;H114,H118&lt;&gt;H116),IF((H114&amp;H116)&lt;&gt;"","、","")&amp;H118,""))&lt;&gt;"","〔"&amp;(H114&amp;IF(AND(H116&lt;&gt;"",H116&lt;&gt;H114),IF((H114)&lt;&gt;"","、","")&amp;H116,"")&amp;IF(AND(H118&lt;&gt;"",H118&lt;&gt;H114,H118&lt;&gt;H116),IF((H114&amp;H116)&lt;&gt;"","、","")&amp;H118,""))&amp;"〕","")</f>
        <v/>
      </c>
    </row>
    <row r="125" customFormat="false" ht="15" hidden="true" customHeight="false" outlineLevel="1" collapsed="false">
      <c r="A125" s="3" t="s">
        <v>1444</v>
      </c>
      <c r="C125" s="49" t="str">
        <f aca="false">"營收：模型 "&amp;IF(ISNUMBER(C22),IF(C22&lt;0,"−","")&amp;"$"&amp;TEXT(ABS(C22),"#,##0.00")&amp;"bn","不適用")&amp;IF(ISNUMBER(C33),"｜共識 "&amp;IF(C33&lt;0,"−","")&amp;"$"&amp;TEXT(ABS(C33),"#,##0.00")&amp;"bn"&amp;"（"&amp;IF(ISNUMBER(C43),IF(C43&lt;0,"−","+")&amp;TEXT(ABS(C43)*100,"#,##0.0")&amp;"%","不適用")&amp;"）","")&amp;IF(ISNUMBER(C37),"｜實際 "&amp;IF(C37&lt;0,"−","")&amp;"$"&amp;TEXT(ABS(C37),"#,##0.00")&amp;"bn"&amp;"（較模型 "&amp;IF(ISNUMBER(C45),IF(C45&lt;0,"−","+")&amp;TEXT(ABS(C45)*100,"#,##0.0")&amp;"%","不適用")&amp;IF(ISNUMBER(C33),"、較共識 "&amp;IF(ISNUMBER(C46),IF(C46&lt;0,"−","+")&amp;TEXT(ABS(C46)*100,"#,##0.0")&amp;"%","不適用"),"")&amp;"）","")&amp;C120</f>
        <v>營收：模型 $127.46bn</v>
      </c>
      <c r="D125" s="49" t="str">
        <f aca="false">"營收：模型 "&amp;IF(ISNUMBER(D22),IF(D22&lt;0,"−","")&amp;"$"&amp;TEXT(ABS(D22),"#,##0.00")&amp;"bn","不適用")&amp;IF(ISNUMBER(D33),"｜共識 "&amp;IF(D33&lt;0,"−","")&amp;"$"&amp;TEXT(ABS(D33),"#,##0.00")&amp;"bn"&amp;"（"&amp;IF(ISNUMBER(D43),IF(D43&lt;0,"−","+")&amp;TEXT(ABS(D43)*100,"#,##0.0")&amp;"%","不適用")&amp;"）","")&amp;IF(ISNUMBER(D37),"｜實際 "&amp;IF(D37&lt;0,"−","")&amp;"$"&amp;TEXT(ABS(D37),"#,##0.00")&amp;"bn"&amp;"（較模型 "&amp;IF(ISNUMBER(D45),IF(D45&lt;0,"−","+")&amp;TEXT(ABS(D45)*100,"#,##0.0")&amp;"%","不適用")&amp;IF(ISNUMBER(D33),"、較共識 "&amp;IF(ISNUMBER(D46),IF(D46&lt;0,"−","+")&amp;TEXT(ABS(D46)*100,"#,##0.0")&amp;"%","不適用"),"")&amp;"）","")&amp;D120</f>
        <v>營收：模型 $135.12bn</v>
      </c>
      <c r="E125" s="49" t="str">
        <f aca="false">"營收：模型 "&amp;IF(ISNUMBER(E22),IF(E22&lt;0,"−","")&amp;"$"&amp;TEXT(ABS(E22),"#,##0.00")&amp;"bn","不適用")&amp;IF(ISNUMBER(E33),"｜共識 "&amp;IF(E33&lt;0,"−","")&amp;"$"&amp;TEXT(ABS(E33),"#,##0.00")&amp;"bn"&amp;"（"&amp;IF(ISNUMBER(E43),IF(E43&lt;0,"−","+")&amp;TEXT(ABS(E43)*100,"#,##0.0")&amp;"%","不適用")&amp;"）","")&amp;IF(ISNUMBER(E37),"｜實際 "&amp;IF(E37&lt;0,"−","")&amp;"$"&amp;TEXT(ABS(E37),"#,##0.00")&amp;"bn"&amp;"（較模型 "&amp;IF(ISNUMBER(E45),IF(E45&lt;0,"−","+")&amp;TEXT(ABS(E45)*100,"#,##0.0")&amp;"%","不適用")&amp;IF(ISNUMBER(E33),"、較共識 "&amp;IF(ISNUMBER(E46),IF(E46&lt;0,"−","+")&amp;TEXT(ABS(E46)*100,"#,##0.0")&amp;"%","不適用"),"")&amp;"）","")&amp;E120</f>
        <v>營收：模型 $127.52bn</v>
      </c>
      <c r="F125" s="49" t="str">
        <f aca="false">"營收：模型 "&amp;IF(ISNUMBER(F22),IF(F22&lt;0,"−","")&amp;"$"&amp;TEXT(ABS(F22),"#,##0.00")&amp;"bn","不適用")&amp;IF(ISNUMBER(F33),"｜共識 "&amp;IF(F33&lt;0,"−","")&amp;"$"&amp;TEXT(ABS(F33),"#,##0.00")&amp;"bn"&amp;"（"&amp;IF(ISNUMBER(F43),IF(F43&lt;0,"−","+")&amp;TEXT(ABS(F43)*100,"#,##0.0")&amp;"%","不適用")&amp;"）","")&amp;IF(ISNUMBER(F37),"｜實際 "&amp;IF(F37&lt;0,"−","")&amp;"$"&amp;TEXT(ABS(F37),"#,##0.00")&amp;"bn"&amp;"（較模型 "&amp;IF(ISNUMBER(F45),IF(F45&lt;0,"−","+")&amp;TEXT(ABS(F45)*100,"#,##0.0")&amp;"%","不適用")&amp;IF(ISNUMBER(F33),"、較共識 "&amp;IF(ISNUMBER(F46),IF(F46&lt;0,"−","+")&amp;TEXT(ABS(F46)*100,"#,##0.0")&amp;"%","不適用"),"")&amp;"）","")&amp;F120</f>
        <v>營收：模型 $142.36bn</v>
      </c>
      <c r="G125" s="49" t="str">
        <f aca="false">"營收：模型 "&amp;IF(ISNUMBER(G22),IF(G22&lt;0,"−","")&amp;"$"&amp;TEXT(ABS(G22),"#,##0.00")&amp;"bn","不適用")&amp;IF(ISNUMBER(G33),"｜共識 "&amp;IF(G33&lt;0,"−","")&amp;"$"&amp;TEXT(ABS(G33),"#,##0.00")&amp;"bn"&amp;"（"&amp;IF(ISNUMBER(G43),IF(G43&lt;0,"−","+")&amp;TEXT(ABS(G43)*100,"#,##0.0")&amp;"%","不適用")&amp;"）","")&amp;IF(ISNUMBER(G37),"｜實際 "&amp;IF(G37&lt;0,"−","")&amp;"$"&amp;TEXT(ABS(G37),"#,##0.00")&amp;"bn"&amp;"（較模型 "&amp;IF(ISNUMBER(G45),IF(G45&lt;0,"−","+")&amp;TEXT(ABS(G45)*100,"#,##0.0")&amp;"%","不適用")&amp;IF(ISNUMBER(G33),"、較共識 "&amp;IF(ISNUMBER(G46),IF(G46&lt;0,"−","+")&amp;TEXT(ABS(G46)*100,"#,##0.0")&amp;"%","不適用"),"")&amp;"）","")&amp;G120</f>
        <v>營收：模型 $157.19bn</v>
      </c>
      <c r="H125" s="49" t="str">
        <f aca="false">"營收：模型 "&amp;IF(ISNUMBER(H22),IF(H22&lt;0,"−","")&amp;"$"&amp;TEXT(ABS(H22),"#,##0.00")&amp;"bn","不適用")&amp;IF(ISNUMBER(H33),"｜共識 "&amp;IF(H33&lt;0,"−","")&amp;"$"&amp;TEXT(ABS(H33),"#,##0.00")&amp;"bn"&amp;"（"&amp;IF(ISNUMBER(H43),IF(H43&lt;0,"−","+")&amp;TEXT(ABS(H43)*100,"#,##0.0")&amp;"%","不適用")&amp;"）","")&amp;IF(ISNUMBER(H37),"｜實際 "&amp;IF(H37&lt;0,"−","")&amp;"$"&amp;TEXT(ABS(H37),"#,##0.00")&amp;"bn"&amp;"（較模型 "&amp;IF(ISNUMBER(H45),IF(H45&lt;0,"−","+")&amp;TEXT(ABS(H45)*100,"#,##0.0")&amp;"%","不適用")&amp;IF(ISNUMBER(H33),"、較共識 "&amp;IF(ISNUMBER(H46),IF(H46&lt;0,"−","+")&amp;TEXT(ABS(H46)*100,"#,##0.0")&amp;"%","不適用"),"")&amp;"）","")&amp;H120</f>
        <v>營收：模型 $172.03bn</v>
      </c>
    </row>
    <row r="126" customFormat="false" ht="15" hidden="true" customHeight="false" outlineLevel="1" collapsed="false">
      <c r="A126" s="3" t="s">
        <v>1445</v>
      </c>
      <c r="C126" s="49" t="str">
        <f aca="false">"調整後 EBITDA：模型 "&amp;IF(ISNUMBER(C28),IF(C28&lt;0,"−","")&amp;"$"&amp;TEXT(ABS(C28),"#,##0.00")&amp;"bn","不適用")&amp;IF(ISNUMBER(C34),"｜共識 "&amp;IF(C34&lt;0,"−","")&amp;"$"&amp;TEXT(ABS(C34),"#,##0.00")&amp;"bn"&amp;"（"&amp;IF(ISNUMBER(C48),IF(C48&lt;0,"−","+")&amp;IF(ABS(C48)&lt;0,"−","")&amp;"$"&amp;TEXT(ABS(ABS(C48)),"#,##0.00")&amp;"bn"&amp;IF(ISNUMBER(C53),"／"&amp;IF(C53&lt;0,"−","+")&amp;TEXT(ABS(C53)*100,"#,##0.0")&amp;"pt",""),"不適用")&amp;"）","")&amp;IF(ISNUMBER(C38),"｜實際 "&amp;IF(C38&lt;0,"−","")&amp;"$"&amp;TEXT(ABS(C38),"#,##0.00")&amp;"bn"&amp;"（較模型 "&amp;IF(ISNUMBER(C50),IF(C50&lt;0,"−","+")&amp;IF(ABS(C50)&lt;0,"−","")&amp;"$"&amp;TEXT(ABS(ABS(C50)),"#,##0.00")&amp;"bn"&amp;IF(ISNUMBER(C55),"／"&amp;IF(C55&lt;0,"−","+")&amp;TEXT(ABS(C55)*100,"#,##0.0")&amp;"pt",""),"不適用")&amp;IF(ISNUMBER(C34),"、較共識 "&amp;IF(ISNUMBER(C51),IF(C51&lt;0,"−","+")&amp;IF(ABS(C51)&lt;0,"−","")&amp;"$"&amp;TEXT(ABS(ABS(C51)),"#,##0.00")&amp;"bn"&amp;IF(ISNUMBER(C56),"／"&amp;IF(C56&lt;0,"−","+")&amp;TEXT(ABS(C56)*100,"#,##0.0")&amp;"pt",""),"不適用"),"")&amp;"）","")&amp;C121</f>
        <v>調整後 EBITDA：模型 $49.07bn</v>
      </c>
      <c r="D126" s="49" t="str">
        <f aca="false">"調整後 EBITDA：模型 "&amp;IF(ISNUMBER(D28),IF(D28&lt;0,"−","")&amp;"$"&amp;TEXT(ABS(D28),"#,##0.00")&amp;"bn","不適用")&amp;IF(ISNUMBER(D34),"｜共識 "&amp;IF(D34&lt;0,"−","")&amp;"$"&amp;TEXT(ABS(D34),"#,##0.00")&amp;"bn"&amp;"（"&amp;IF(ISNUMBER(D48),IF(D48&lt;0,"−","+")&amp;IF(ABS(D48)&lt;0,"−","")&amp;"$"&amp;TEXT(ABS(ABS(D48)),"#,##0.00")&amp;"bn"&amp;IF(ISNUMBER(D53),"／"&amp;IF(D53&lt;0,"−","+")&amp;TEXT(ABS(D53)*100,"#,##0.0")&amp;"pt",""),"不適用")&amp;"）","")&amp;IF(ISNUMBER(D38),"｜實際 "&amp;IF(D38&lt;0,"−","")&amp;"$"&amp;TEXT(ABS(D38),"#,##0.00")&amp;"bn"&amp;"（較模型 "&amp;IF(ISNUMBER(D50),IF(D50&lt;0,"−","+")&amp;IF(ABS(D50)&lt;0,"−","")&amp;"$"&amp;TEXT(ABS(ABS(D50)),"#,##0.00")&amp;"bn"&amp;IF(ISNUMBER(D55),"／"&amp;IF(D55&lt;0,"−","+")&amp;TEXT(ABS(D55)*100,"#,##0.0")&amp;"pt",""),"不適用")&amp;IF(ISNUMBER(D34),"、較共識 "&amp;IF(ISNUMBER(D51),IF(D51&lt;0,"−","+")&amp;IF(ABS(D51)&lt;0,"−","")&amp;"$"&amp;TEXT(ABS(ABS(D51)),"#,##0.00")&amp;"bn"&amp;IF(ISNUMBER(D56),"／"&amp;IF(D56&lt;0,"−","+")&amp;TEXT(ABS(D56)*100,"#,##0.0")&amp;"pt",""),"不適用"),"")&amp;"）","")&amp;D121</f>
        <v>調整後 EBITDA：模型 $51.42bn</v>
      </c>
      <c r="E126" s="49" t="str">
        <f aca="false">"調整後 EBITDA：模型 "&amp;IF(ISNUMBER(E28),IF(E28&lt;0,"−","")&amp;"$"&amp;TEXT(ABS(E28),"#,##0.00")&amp;"bn","不適用")&amp;IF(ISNUMBER(E34),"｜共識 "&amp;IF(E34&lt;0,"−","")&amp;"$"&amp;TEXT(ABS(E34),"#,##0.00")&amp;"bn"&amp;"（"&amp;IF(ISNUMBER(E48),IF(E48&lt;0,"−","+")&amp;IF(ABS(E48)&lt;0,"−","")&amp;"$"&amp;TEXT(ABS(ABS(E48)),"#,##0.00")&amp;"bn"&amp;IF(ISNUMBER(E53),"／"&amp;IF(E53&lt;0,"−","+")&amp;TEXT(ABS(E53)*100,"#,##0.0")&amp;"pt",""),"不適用")&amp;"）","")&amp;IF(ISNUMBER(E38),"｜實際 "&amp;IF(E38&lt;0,"−","")&amp;"$"&amp;TEXT(ABS(E38),"#,##0.00")&amp;"bn"&amp;"（較模型 "&amp;IF(ISNUMBER(E50),IF(E50&lt;0,"−","+")&amp;IF(ABS(E50)&lt;0,"−","")&amp;"$"&amp;TEXT(ABS(ABS(E50)),"#,##0.00")&amp;"bn"&amp;IF(ISNUMBER(E55),"／"&amp;IF(E55&lt;0,"−","+")&amp;TEXT(ABS(E55)*100,"#,##0.0")&amp;"pt",""),"不適用")&amp;IF(ISNUMBER(E34),"、較共識 "&amp;IF(ISNUMBER(E51),IF(E51&lt;0,"−","+")&amp;IF(ABS(E51)&lt;0,"−","")&amp;"$"&amp;TEXT(ABS(ABS(E51)),"#,##0.00")&amp;"bn"&amp;IF(ISNUMBER(E56),"／"&amp;IF(E56&lt;0,"−","+")&amp;TEXT(ABS(E56)*100,"#,##0.0")&amp;"pt",""),"不適用"),"")&amp;"）","")&amp;E121</f>
        <v>調整後 EBITDA：模型 $47.96bn</v>
      </c>
      <c r="F126" s="49" t="str">
        <f aca="false">"調整後 EBITDA：模型 "&amp;IF(ISNUMBER(F28),IF(F28&lt;0,"−","")&amp;"$"&amp;TEXT(ABS(F28),"#,##0.00")&amp;"bn","不適用")&amp;IF(ISNUMBER(F34),"｜共識 "&amp;IF(F34&lt;0,"−","")&amp;"$"&amp;TEXT(ABS(F34),"#,##0.00")&amp;"bn"&amp;"（"&amp;IF(ISNUMBER(F48),IF(F48&lt;0,"−","+")&amp;IF(ABS(F48)&lt;0,"−","")&amp;"$"&amp;TEXT(ABS(ABS(F48)),"#,##0.00")&amp;"bn"&amp;IF(ISNUMBER(F53),"／"&amp;IF(F53&lt;0,"−","+")&amp;TEXT(ABS(F53)*100,"#,##0.0")&amp;"pt",""),"不適用")&amp;"）","")&amp;IF(ISNUMBER(F38),"｜實際 "&amp;IF(F38&lt;0,"−","")&amp;"$"&amp;TEXT(ABS(F38),"#,##0.00")&amp;"bn"&amp;"（較模型 "&amp;IF(ISNUMBER(F50),IF(F50&lt;0,"−","+")&amp;IF(ABS(F50)&lt;0,"−","")&amp;"$"&amp;TEXT(ABS(ABS(F50)),"#,##0.00")&amp;"bn"&amp;IF(ISNUMBER(F55),"／"&amp;IF(F55&lt;0,"−","+")&amp;TEXT(ABS(F55)*100,"#,##0.0")&amp;"pt",""),"不適用")&amp;IF(ISNUMBER(F34),"、較共識 "&amp;IF(ISNUMBER(F51),IF(F51&lt;0,"−","+")&amp;IF(ABS(F51)&lt;0,"−","")&amp;"$"&amp;TEXT(ABS(ABS(F51)),"#,##0.00")&amp;"bn"&amp;IF(ISNUMBER(F56),"／"&amp;IF(F56&lt;0,"−","+")&amp;TEXT(ABS(F56)*100,"#,##0.0")&amp;"pt",""),"不適用"),"")&amp;"）","")&amp;F121</f>
        <v>調整後 EBITDA：模型 $52.91bn</v>
      </c>
      <c r="G126" s="49" t="str">
        <f aca="false">"調整後 EBITDA：模型 "&amp;IF(ISNUMBER(G28),IF(G28&lt;0,"−","")&amp;"$"&amp;TEXT(ABS(G28),"#,##0.00")&amp;"bn","不適用")&amp;IF(ISNUMBER(G34),"｜共識 "&amp;IF(G34&lt;0,"−","")&amp;"$"&amp;TEXT(ABS(G34),"#,##0.00")&amp;"bn"&amp;"（"&amp;IF(ISNUMBER(G48),IF(G48&lt;0,"−","+")&amp;IF(ABS(G48)&lt;0,"−","")&amp;"$"&amp;TEXT(ABS(ABS(G48)),"#,##0.00")&amp;"bn"&amp;IF(ISNUMBER(G53),"／"&amp;IF(G53&lt;0,"−","+")&amp;TEXT(ABS(G53)*100,"#,##0.0")&amp;"pt",""),"不適用")&amp;"）","")&amp;IF(ISNUMBER(G38),"｜實際 "&amp;IF(G38&lt;0,"−","")&amp;"$"&amp;TEXT(ABS(G38),"#,##0.00")&amp;"bn"&amp;"（較模型 "&amp;IF(ISNUMBER(G50),IF(G50&lt;0,"−","+")&amp;IF(ABS(G50)&lt;0,"−","")&amp;"$"&amp;TEXT(ABS(ABS(G50)),"#,##0.00")&amp;"bn"&amp;IF(ISNUMBER(G55),"／"&amp;IF(G55&lt;0,"−","+")&amp;TEXT(ABS(G55)*100,"#,##0.0")&amp;"pt",""),"不適用")&amp;IF(ISNUMBER(G34),"、較共識 "&amp;IF(ISNUMBER(G51),IF(G51&lt;0,"−","+")&amp;IF(ABS(G51)&lt;0,"−","")&amp;"$"&amp;TEXT(ABS(ABS(G51)),"#,##0.00")&amp;"bn"&amp;IF(ISNUMBER(G56),"／"&amp;IF(G56&lt;0,"−","+")&amp;TEXT(ABS(G56)*100,"#,##0.0")&amp;"pt",""),"不適用"),"")&amp;"）","")&amp;G121</f>
        <v>調整後 EBITDA：模型 $57.72bn</v>
      </c>
      <c r="H126" s="49" t="str">
        <f aca="false">"調整後 EBITDA：模型 "&amp;IF(ISNUMBER(H28),IF(H28&lt;0,"−","")&amp;"$"&amp;TEXT(ABS(H28),"#,##0.00")&amp;"bn","不適用")&amp;IF(ISNUMBER(H34),"｜共識 "&amp;IF(H34&lt;0,"−","")&amp;"$"&amp;TEXT(ABS(H34),"#,##0.00")&amp;"bn"&amp;"（"&amp;IF(ISNUMBER(H48),IF(H48&lt;0,"−","+")&amp;IF(ABS(H48)&lt;0,"−","")&amp;"$"&amp;TEXT(ABS(ABS(H48)),"#,##0.00")&amp;"bn"&amp;IF(ISNUMBER(H53),"／"&amp;IF(H53&lt;0,"−","+")&amp;TEXT(ABS(H53)*100,"#,##0.0")&amp;"pt",""),"不適用")&amp;"）","")&amp;IF(ISNUMBER(H38),"｜實際 "&amp;IF(H38&lt;0,"−","")&amp;"$"&amp;TEXT(ABS(H38),"#,##0.00")&amp;"bn"&amp;"（較模型 "&amp;IF(ISNUMBER(H50),IF(H50&lt;0,"−","+")&amp;IF(ABS(H50)&lt;0,"−","")&amp;"$"&amp;TEXT(ABS(ABS(H50)),"#,##0.00")&amp;"bn"&amp;IF(ISNUMBER(H55),"／"&amp;IF(H55&lt;0,"−","+")&amp;TEXT(ABS(H55)*100,"#,##0.0")&amp;"pt",""),"不適用")&amp;IF(ISNUMBER(H34),"、較共識 "&amp;IF(ISNUMBER(H51),IF(H51&lt;0,"−","+")&amp;IF(ABS(H51)&lt;0,"−","")&amp;"$"&amp;TEXT(ABS(ABS(H51)),"#,##0.00")&amp;"bn"&amp;IF(ISNUMBER(H56),"／"&amp;IF(H56&lt;0,"−","+")&amp;TEXT(ABS(H56)*100,"#,##0.0")&amp;"pt",""),"不適用"),"")&amp;"）","")&amp;H121</f>
        <v>調整後 EBITDA：模型 $62.40bn</v>
      </c>
    </row>
    <row r="127" customFormat="false" ht="15" hidden="true" customHeight="false" outlineLevel="1" collapsed="false">
      <c r="A127" s="3" t="s">
        <v>1446</v>
      </c>
      <c r="C127" s="49" t="str">
        <f aca="false">"EBITDA 率：模型 "&amp;IF(ISNUMBER(C27),IF(C27&lt;0,"−","")&amp;TEXT(ABS(C27)*100,"#,##0.0")&amp;"%","不適用")&amp;IF(ISNUMBER(C35),"｜共識 "&amp;IF(C35&lt;0,"−","")&amp;TEXT(ABS(C35)*100,"#,##0.0")&amp;"%"&amp;"（"&amp;IF(ISNUMBER(C58),IF(C58&lt;0,"−","+")&amp;TEXT(ABS(C58)*100,"#,##0.0")&amp;"pt","不適用")&amp;"）","")&amp;IF(ISNUMBER(C39),"｜實際 "&amp;IF(C39&lt;0,"−","")&amp;TEXT(ABS(C39)*100,"#,##0.0")&amp;"%"&amp;"（較模型 "&amp;IF(ISNUMBER(C60),IF(C60&lt;0,"−","+")&amp;TEXT(ABS(C60)*100,"#,##0.0")&amp;"pt","不適用")&amp;IF(ISNUMBER(C35),"、較共識 "&amp;IF(ISNUMBER(C61),IF(C61&lt;0,"−","+")&amp;TEXT(ABS(C61)*100,"#,##0.0")&amp;"pt","不適用"),"")&amp;"）","")</f>
        <v>EBITDA 率：模型 38.5%</v>
      </c>
      <c r="D127" s="49" t="str">
        <f aca="false">"EBITDA 率：模型 "&amp;IF(ISNUMBER(D27),IF(D27&lt;0,"−","")&amp;TEXT(ABS(D27)*100,"#,##0.0")&amp;"%","不適用")&amp;IF(ISNUMBER(D35),"｜共識 "&amp;IF(D35&lt;0,"−","")&amp;TEXT(ABS(D35)*100,"#,##0.0")&amp;"%"&amp;"（"&amp;IF(ISNUMBER(D58),IF(D58&lt;0,"−","+")&amp;TEXT(ABS(D58)*100,"#,##0.0")&amp;"pt","不適用")&amp;"）","")&amp;IF(ISNUMBER(D39),"｜實際 "&amp;IF(D39&lt;0,"−","")&amp;TEXT(ABS(D39)*100,"#,##0.0")&amp;"%"&amp;"（較模型 "&amp;IF(ISNUMBER(D60),IF(D60&lt;0,"−","+")&amp;TEXT(ABS(D60)*100,"#,##0.0")&amp;"pt","不適用")&amp;IF(ISNUMBER(D35),"、較共識 "&amp;IF(ISNUMBER(D61),IF(D61&lt;0,"−","+")&amp;TEXT(ABS(D61)*100,"#,##0.0")&amp;"pt","不適用"),"")&amp;"）","")</f>
        <v>EBITDA 率：模型 38.1%</v>
      </c>
      <c r="E127" s="49" t="str">
        <f aca="false">"EBITDA 率：模型 "&amp;IF(ISNUMBER(E27),IF(E27&lt;0,"−","")&amp;TEXT(ABS(E27)*100,"#,##0.0")&amp;"%","不適用")&amp;IF(ISNUMBER(E35),"｜共識 "&amp;IF(E35&lt;0,"−","")&amp;TEXT(ABS(E35)*100,"#,##0.0")&amp;"%"&amp;"（"&amp;IF(ISNUMBER(E58),IF(E58&lt;0,"−","+")&amp;TEXT(ABS(E58)*100,"#,##0.0")&amp;"pt","不適用")&amp;"）","")&amp;IF(ISNUMBER(E39),"｜實際 "&amp;IF(E39&lt;0,"−","")&amp;TEXT(ABS(E39)*100,"#,##0.0")&amp;"%"&amp;"（較模型 "&amp;IF(ISNUMBER(E60),IF(E60&lt;0,"−","+")&amp;TEXT(ABS(E60)*100,"#,##0.0")&amp;"pt","不適用")&amp;IF(ISNUMBER(E35),"、較共識 "&amp;IF(ISNUMBER(E61),IF(E61&lt;0,"−","+")&amp;TEXT(ABS(E61)*100,"#,##0.0")&amp;"pt","不適用"),"")&amp;"）","")</f>
        <v>EBITDA 率：模型 37.6%</v>
      </c>
      <c r="F127" s="49" t="str">
        <f aca="false">"EBITDA 率：模型 "&amp;IF(ISNUMBER(F27),IF(F27&lt;0,"−","")&amp;TEXT(ABS(F27)*100,"#,##0.0")&amp;"%","不適用")&amp;IF(ISNUMBER(F35),"｜共識 "&amp;IF(F35&lt;0,"−","")&amp;TEXT(ABS(F35)*100,"#,##0.0")&amp;"%"&amp;"（"&amp;IF(ISNUMBER(F58),IF(F58&lt;0,"−","+")&amp;TEXT(ABS(F58)*100,"#,##0.0")&amp;"pt","不適用")&amp;"）","")&amp;IF(ISNUMBER(F39),"｜實際 "&amp;IF(F39&lt;0,"−","")&amp;TEXT(ABS(F39)*100,"#,##0.0")&amp;"%"&amp;"（較模型 "&amp;IF(ISNUMBER(F60),IF(F60&lt;0,"−","+")&amp;TEXT(ABS(F60)*100,"#,##0.0")&amp;"pt","不適用")&amp;IF(ISNUMBER(F35),"、較共識 "&amp;IF(ISNUMBER(F61),IF(F61&lt;0,"−","+")&amp;TEXT(ABS(F61)*100,"#,##0.0")&amp;"pt","不適用"),"")&amp;"）","")</f>
        <v>EBITDA 率：模型 37.2%</v>
      </c>
      <c r="G127" s="49" t="str">
        <f aca="false">"EBITDA 率：模型 "&amp;IF(ISNUMBER(G27),IF(G27&lt;0,"−","")&amp;TEXT(ABS(G27)*100,"#,##0.0")&amp;"%","不適用")&amp;IF(ISNUMBER(G35),"｜共識 "&amp;IF(G35&lt;0,"−","")&amp;TEXT(ABS(G35)*100,"#,##0.0")&amp;"%"&amp;"（"&amp;IF(ISNUMBER(G58),IF(G58&lt;0,"−","+")&amp;TEXT(ABS(G58)*100,"#,##0.0")&amp;"pt","不適用")&amp;"）","")&amp;IF(ISNUMBER(G39),"｜實際 "&amp;IF(G39&lt;0,"−","")&amp;TEXT(ABS(G39)*100,"#,##0.0")&amp;"%"&amp;"（較模型 "&amp;IF(ISNUMBER(G60),IF(G60&lt;0,"−","+")&amp;TEXT(ABS(G60)*100,"#,##0.0")&amp;"pt","不適用")&amp;IF(ISNUMBER(G35),"、較共識 "&amp;IF(ISNUMBER(G61),IF(G61&lt;0,"−","+")&amp;TEXT(ABS(G61)*100,"#,##0.0")&amp;"pt","不適用"),"")&amp;"）","")</f>
        <v>EBITDA 率：模型 36.7%</v>
      </c>
      <c r="H127" s="49" t="str">
        <f aca="false">"EBITDA 率：模型 "&amp;IF(ISNUMBER(H27),IF(H27&lt;0,"−","")&amp;TEXT(ABS(H27)*100,"#,##0.0")&amp;"%","不適用")&amp;IF(ISNUMBER(H35),"｜共識 "&amp;IF(H35&lt;0,"−","")&amp;TEXT(ABS(H35)*100,"#,##0.0")&amp;"%"&amp;"（"&amp;IF(ISNUMBER(H58),IF(H58&lt;0,"−","+")&amp;TEXT(ABS(H58)*100,"#,##0.0")&amp;"pt","不適用")&amp;"）","")&amp;IF(ISNUMBER(H39),"｜實際 "&amp;IF(H39&lt;0,"−","")&amp;TEXT(ABS(H39)*100,"#,##0.0")&amp;"%"&amp;"（較模型 "&amp;IF(ISNUMBER(H60),IF(H60&lt;0,"−","+")&amp;TEXT(ABS(H60)*100,"#,##0.0")&amp;"pt","不適用")&amp;IF(ISNUMBER(H35),"、較共識 "&amp;IF(ISNUMBER(H61),IF(H61&lt;0,"−","+")&amp;TEXT(ABS(H61)*100,"#,##0.0")&amp;"pt","不適用"),"")&amp;"）","")</f>
        <v>EBITDA 率：模型 36.3%</v>
      </c>
    </row>
    <row r="128" customFormat="false" ht="15" hidden="true" customHeight="false" outlineLevel="1" collapsed="false">
      <c r="A128" s="3" t="s">
        <v>1447</v>
      </c>
      <c r="C128" s="49" t="str">
        <f aca="false">"調整後營業利益：模型 "&amp;IF(ISNUMBER(C31),IF(C31&lt;0,"−","")&amp;"$"&amp;TEXT(ABS(C31),"#,##0.00")&amp;"bn","不適用")&amp;IF(ISNUMBER(C40),"｜實際 "&amp;IF(C40&lt;0,"−","")&amp;"$"&amp;TEXT(ABS(C40),"#,##0.00")&amp;"bn"&amp;"（較模型 "&amp;IF(ISNUMBER(C65),IF(C65&lt;0,"−","+")&amp;IF(ABS(C65)&lt;0,"−","")&amp;"$"&amp;TEXT(ABS(ABS(C65)),"#,##0.00")&amp;"bn"&amp;IF(ISNUMBER(C70),"／"&amp;IF(C70&lt;0,"−","+")&amp;TEXT(ABS(C70)*100,"#,##0.0")&amp;"pt",""),"不適用")&amp;"）","")&amp;C122</f>
        <v>調整後營業利益：模型 $37.04bn</v>
      </c>
      <c r="D128" s="49" t="str">
        <f aca="false">"調整後營業利益：模型 "&amp;IF(ISNUMBER(D31),IF(D31&lt;0,"−","")&amp;"$"&amp;TEXT(ABS(D31),"#,##0.00")&amp;"bn","不適用")&amp;IF(ISNUMBER(D40),"｜實際 "&amp;IF(D40&lt;0,"−","")&amp;"$"&amp;TEXT(ABS(D40),"#,##0.00")&amp;"bn"&amp;"（較模型 "&amp;IF(ISNUMBER(D65),IF(D65&lt;0,"−","+")&amp;IF(ABS(D65)&lt;0,"−","")&amp;"$"&amp;TEXT(ABS(ABS(D65)),"#,##0.00")&amp;"bn"&amp;IF(ISNUMBER(D70),"／"&amp;IF(D70&lt;0,"−","+")&amp;TEXT(ABS(D70)*100,"#,##0.0")&amp;"pt",""),"不適用")&amp;"）","")&amp;D122</f>
        <v>調整後營業利益：模型 $39.39bn</v>
      </c>
      <c r="E128" s="49" t="str">
        <f aca="false">"調整後營業利益：模型 "&amp;IF(ISNUMBER(E31),IF(E31&lt;0,"−","")&amp;"$"&amp;TEXT(ABS(E31),"#,##0.00")&amp;"bn","不適用")&amp;IF(ISNUMBER(E40),"｜實際 "&amp;IF(E40&lt;0,"−","")&amp;"$"&amp;TEXT(ABS(E40),"#,##0.00")&amp;"bn"&amp;"（較模型 "&amp;IF(ISNUMBER(E65),IF(E65&lt;0,"−","+")&amp;IF(ABS(E65)&lt;0,"−","")&amp;"$"&amp;TEXT(ABS(ABS(E65)),"#,##0.00")&amp;"bn"&amp;IF(ISNUMBER(E70),"／"&amp;IF(E70&lt;0,"−","+")&amp;TEXT(ABS(E70)*100,"#,##0.0")&amp;"pt",""),"不適用")&amp;"）","")&amp;E122</f>
        <v>調整後營業利益：模型 $30.08bn</v>
      </c>
      <c r="F128" s="49" t="str">
        <f aca="false">"調整後營業利益：模型 "&amp;IF(ISNUMBER(F31),IF(F31&lt;0,"−","")&amp;"$"&amp;TEXT(ABS(F31),"#,##0.00")&amp;"bn","不適用")&amp;IF(ISNUMBER(F40),"｜實際 "&amp;IF(F40&lt;0,"−","")&amp;"$"&amp;TEXT(ABS(F40),"#,##0.00")&amp;"bn"&amp;"（較模型 "&amp;IF(ISNUMBER(F65),IF(F65&lt;0,"−","+")&amp;IF(ABS(F65)&lt;0,"−","")&amp;"$"&amp;TEXT(ABS(ABS(F65)),"#,##0.00")&amp;"bn"&amp;IF(ISNUMBER(F70),"／"&amp;IF(F70&lt;0,"−","+")&amp;TEXT(ABS(F70)*100,"#,##0.0")&amp;"pt",""),"不適用")&amp;"）","")&amp;F122</f>
        <v>調整後營業利益：模型 $35.02bn</v>
      </c>
      <c r="G128" s="49" t="str">
        <f aca="false">"調整後營業利益：模型 "&amp;IF(ISNUMBER(G31),IF(G31&lt;0,"−","")&amp;"$"&amp;TEXT(ABS(G31),"#,##0.00")&amp;"bn","不適用")&amp;IF(ISNUMBER(G40),"｜實際 "&amp;IF(G40&lt;0,"−","")&amp;"$"&amp;TEXT(ABS(G40),"#,##0.00")&amp;"bn"&amp;"（較模型 "&amp;IF(ISNUMBER(G65),IF(G65&lt;0,"−","+")&amp;IF(ABS(G65)&lt;0,"−","")&amp;"$"&amp;TEXT(ABS(ABS(G65)),"#,##0.00")&amp;"bn"&amp;IF(ISNUMBER(G70),"／"&amp;IF(G70&lt;0,"−","+")&amp;TEXT(ABS(G70)*100,"#,##0.0")&amp;"pt",""),"不適用")&amp;"）","")&amp;G122</f>
        <v>調整後營業利益：模型 $39.84bn</v>
      </c>
      <c r="H128" s="49" t="str">
        <f aca="false">"調整後營業利益：模型 "&amp;IF(ISNUMBER(H31),IF(H31&lt;0,"−","")&amp;"$"&amp;TEXT(ABS(H31),"#,##0.00")&amp;"bn","不適用")&amp;IF(ISNUMBER(H40),"｜實際 "&amp;IF(H40&lt;0,"−","")&amp;"$"&amp;TEXT(ABS(H40),"#,##0.00")&amp;"bn"&amp;"（較模型 "&amp;IF(ISNUMBER(H65),IF(H65&lt;0,"−","+")&amp;IF(ABS(H65)&lt;0,"−","")&amp;"$"&amp;TEXT(ABS(ABS(H65)),"#,##0.00")&amp;"bn"&amp;IF(ISNUMBER(H70),"／"&amp;IF(H70&lt;0,"−","+")&amp;TEXT(ABS(H70)*100,"#,##0.0")&amp;"pt",""),"不適用")&amp;"）","")&amp;H122</f>
        <v>調整後營業利益：模型 $44.52bn</v>
      </c>
    </row>
    <row r="129" customFormat="false" ht="15" hidden="true" customHeight="false" outlineLevel="1" collapsed="false">
      <c r="A129" s="3" t="s">
        <v>1448</v>
      </c>
      <c r="C129" s="49" t="str">
        <f aca="false">"CapEx（毛額）：模型 "&amp;IF(ISNUMBER(C32),IF(C32&lt;0,"−","")&amp;"$"&amp;TEXT(ABS(C32),"#,##0.00")&amp;"bn","不適用")&amp;IF(ISNUMBER(C41),"｜實際 "&amp;IF(C41&lt;0,"−","")&amp;"$"&amp;TEXT(ABS(C41),"#,##0.00")&amp;"bn"&amp;"（較模型 "&amp;IF(ISNUMBER(C75),IF(C75&lt;0,"−","+")&amp;TEXT(ABS(C75)*100,"#,##0.0")&amp;"%","不適用")&amp;"）","")&amp;C123</f>
        <v>CapEx（毛額）：模型 $59.70bn</v>
      </c>
      <c r="D129" s="49" t="str">
        <f aca="false">"CapEx（毛額）：模型 "&amp;IF(ISNUMBER(D32),IF(D32&lt;0,"−","")&amp;"$"&amp;TEXT(ABS(D32),"#,##0.00")&amp;"bn","不適用")&amp;IF(ISNUMBER(D41),"｜實際 "&amp;IF(D41&lt;0,"−","")&amp;"$"&amp;TEXT(ABS(D41),"#,##0.00")&amp;"bn"&amp;"（較模型 "&amp;IF(ISNUMBER(D75),IF(D75&lt;0,"−","+")&amp;TEXT(ABS(D75)*100,"#,##0.0")&amp;"%","不適用")&amp;"）","")&amp;D123</f>
        <v>CapEx（毛額）：模型 $59.70bn</v>
      </c>
      <c r="E129" s="49" t="str">
        <f aca="false">"CapEx（毛額）：模型 "&amp;IF(ISNUMBER(E32),IF(E32&lt;0,"−","")&amp;"$"&amp;TEXT(ABS(E32),"#,##0.00")&amp;"bn","不適用")&amp;IF(ISNUMBER(E41),"｜實際 "&amp;IF(E41&lt;0,"−","")&amp;"$"&amp;TEXT(ABS(E41),"#,##0.00")&amp;"bn"&amp;"（較模型 "&amp;IF(ISNUMBER(E75),IF(E75&lt;0,"−","+")&amp;TEXT(ABS(E75)*100,"#,##0.0")&amp;"%","不適用")&amp;"）","")&amp;E123</f>
        <v>CapEx（毛額）：模型 $59.20bn</v>
      </c>
      <c r="F129" s="49" t="str">
        <f aca="false">"CapEx（毛額）：模型 "&amp;IF(ISNUMBER(F32),IF(F32&lt;0,"−","")&amp;"$"&amp;TEXT(ABS(F32),"#,##0.00")&amp;"bn","不適用")&amp;IF(ISNUMBER(F41),"｜實際 "&amp;IF(F41&lt;0,"−","")&amp;"$"&amp;TEXT(ABS(F41),"#,##0.00")&amp;"bn"&amp;"（較模型 "&amp;IF(ISNUMBER(F75),IF(F75&lt;0,"−","+")&amp;TEXT(ABS(F75)*100,"#,##0.0")&amp;"%","不適用")&amp;"）","")&amp;F123</f>
        <v>CapEx（毛額）：模型 $59.20bn</v>
      </c>
      <c r="G129" s="49" t="str">
        <f aca="false">"CapEx（毛額）：模型 "&amp;IF(ISNUMBER(G32),IF(G32&lt;0,"−","")&amp;"$"&amp;TEXT(ABS(G32),"#,##0.00")&amp;"bn","不適用")&amp;IF(ISNUMBER(G41),"｜實際 "&amp;IF(G41&lt;0,"−","")&amp;"$"&amp;TEXT(ABS(G41),"#,##0.00")&amp;"bn"&amp;"（較模型 "&amp;IF(ISNUMBER(G75),IF(G75&lt;0,"−","+")&amp;TEXT(ABS(G75)*100,"#,##0.0")&amp;"%","不適用")&amp;"）","")&amp;G123</f>
        <v>CapEx（毛額）：模型 $59.20bn</v>
      </c>
      <c r="H129" s="49" t="str">
        <f aca="false">"CapEx（毛額）：模型 "&amp;IF(ISNUMBER(H32),IF(H32&lt;0,"−","")&amp;"$"&amp;TEXT(ABS(H32),"#,##0.00")&amp;"bn","不適用")&amp;IF(ISNUMBER(H41),"｜實際 "&amp;IF(H41&lt;0,"−","")&amp;"$"&amp;TEXT(ABS(H41),"#,##0.00")&amp;"bn"&amp;"（較模型 "&amp;IF(ISNUMBER(H75),IF(H75&lt;0,"−","+")&amp;TEXT(ABS(H75)*100,"#,##0.0")&amp;"%","不適用")&amp;"）","")&amp;H123</f>
        <v>CapEx（毛額）：模型 $59.20bn</v>
      </c>
    </row>
    <row r="130" customFormat="false" ht="15" hidden="true" customHeight="false" outlineLevel="1" collapsed="false">
      <c r="A130" s="3" t="s">
        <v>1449</v>
      </c>
      <c r="C130" s="49" t="str">
        <f aca="false">"季末已連網 MW-IT：模型 "&amp;IF(ISNUMBER(C19),IF(C19&lt;0,"−","")&amp;TEXT(ABS(C19),"#,##0")&amp;" MW","不適用")&amp;IF(ISNUMBER(C42),"｜實際 "&amp;IF(C42&lt;0,"−","")&amp;TEXT(ABS(C42),"#,##0")&amp;" MW"&amp;"（較模型 "&amp;IF(ISNUMBER(C80),IF(C80&lt;0,"−","+")&amp;IF(ABS(C80)&lt;0,"−","")&amp;TEXT(ABS(ABS(C80)),"#,##0")&amp;" MW","不適用")&amp;"）","")&amp;C124</f>
        <v>季末已連網 MW-IT：模型 2,213 MW</v>
      </c>
      <c r="D130" s="49" t="str">
        <f aca="false">"季末已連網 MW-IT：模型 "&amp;IF(ISNUMBER(D19),IF(D19&lt;0,"−","")&amp;TEXT(ABS(D19),"#,##0")&amp;" MW","不適用")&amp;IF(ISNUMBER(D42),"｜實際 "&amp;IF(D42&lt;0,"−","")&amp;TEXT(ABS(D42),"#,##0")&amp;" MW"&amp;"（較模型 "&amp;IF(ISNUMBER(D80),IF(D80&lt;0,"−","+")&amp;IF(ABS(D80)&lt;0,"−","")&amp;TEXT(ABS(ABS(D80)),"#,##0")&amp;" MW","不適用")&amp;"）","")&amp;D124</f>
        <v>季末已連網 MW-IT：模型 2,525 MW</v>
      </c>
      <c r="E130" s="49" t="str">
        <f aca="false">"季末已連網 MW-IT：模型 "&amp;IF(ISNUMBER(E19),IF(E19&lt;0,"−","")&amp;TEXT(ABS(E19),"#,##0")&amp;" MW","不適用")&amp;IF(ISNUMBER(E42),"｜實際 "&amp;IF(E42&lt;0,"−","")&amp;TEXT(ABS(E42),"#,##0")&amp;" MW"&amp;"（較模型 "&amp;IF(ISNUMBER(E80),IF(E80&lt;0,"−","+")&amp;IF(ABS(E80)&lt;0,"−","")&amp;TEXT(ABS(ABS(E80)),"#,##0")&amp;" MW","不適用")&amp;"）","")&amp;E124</f>
        <v>季末已連網 MW-IT：模型 2,837 MW</v>
      </c>
      <c r="F130" s="49" t="str">
        <f aca="false">"季末已連網 MW-IT：模型 "&amp;IF(ISNUMBER(F19),IF(F19&lt;0,"−","")&amp;TEXT(ABS(F19),"#,##0")&amp;" MW","不適用")&amp;IF(ISNUMBER(F42),"｜實際 "&amp;IF(F42&lt;0,"−","")&amp;TEXT(ABS(F42),"#,##0")&amp;" MW"&amp;"（較模型 "&amp;IF(ISNUMBER(F80),IF(F80&lt;0,"−","+")&amp;IF(ABS(F80)&lt;0,"−","")&amp;TEXT(ABS(ABS(F80)),"#,##0")&amp;" MW","不適用")&amp;"）","")&amp;F124</f>
        <v>季末已連網 MW-IT：模型 3,149 MW</v>
      </c>
      <c r="G130" s="49" t="str">
        <f aca="false">"季末已連網 MW-IT：模型 "&amp;IF(ISNUMBER(G19),IF(G19&lt;0,"−","")&amp;TEXT(ABS(G19),"#,##0")&amp;" MW","不適用")&amp;IF(ISNUMBER(G42),"｜實際 "&amp;IF(G42&lt;0,"−","")&amp;TEXT(ABS(G42),"#,##0")&amp;" MW"&amp;"（較模型 "&amp;IF(ISNUMBER(G80),IF(G80&lt;0,"−","+")&amp;IF(ABS(G80)&lt;0,"−","")&amp;TEXT(ABS(ABS(G80)),"#,##0")&amp;" MW","不適用")&amp;"）","")&amp;G124</f>
        <v>季末已連網 MW-IT：模型 3,461 MW</v>
      </c>
      <c r="H130" s="49" t="str">
        <f aca="false">"季末已連網 MW-IT：模型 "&amp;IF(ISNUMBER(H19),IF(H19&lt;0,"−","")&amp;TEXT(ABS(H19),"#,##0")&amp;" MW","不適用")&amp;IF(ISNUMBER(H42),"｜實際 "&amp;IF(H42&lt;0,"−","")&amp;TEXT(ABS(H42),"#,##0")&amp;" MW"&amp;"（較模型 "&amp;IF(ISNUMBER(H80),IF(H80&lt;0,"−","+")&amp;IF(ABS(H80)&lt;0,"−","")&amp;TEXT(ABS(ABS(H80)),"#,##0")&amp;" MW","不適用")&amp;"）","")&amp;H124</f>
        <v>季末已連網 MW-IT：模型 3,773 MW</v>
      </c>
    </row>
    <row r="131" customFormat="false" ht="15" hidden="true" customHeight="false" outlineLevel="1" collapsed="false"/>
    <row r="132" customFormat="false" ht="15" hidden="true" customHeight="false" outlineLevel="1" collapsed="false">
      <c r="A132" s="2" t="s">
        <v>1450</v>
      </c>
    </row>
    <row r="133" customFormat="false" ht="15" hidden="true" customHeight="false" outlineLevel="1" collapsed="false">
      <c r="A133" s="3" t="s">
        <v>1451</v>
      </c>
      <c r="C133" s="70" t="n">
        <f aca="false">C22+D22-損益!C9</f>
        <v>0</v>
      </c>
      <c r="D133" s="70" t="n">
        <f aca="false">E22+F22+G22+H22-損益!D9</f>
        <v>0</v>
      </c>
    </row>
    <row r="134" customFormat="false" ht="15" hidden="true" customHeight="false" outlineLevel="1" collapsed="false">
      <c r="A134" s="3" t="s">
        <v>1452</v>
      </c>
      <c r="C134" s="70" t="n">
        <f aca="false">C28+D28-損益!C22</f>
        <v>0</v>
      </c>
      <c r="D134" s="70" t="n">
        <f aca="false">E28+F28+G28+H28-損益!D22</f>
        <v>0</v>
      </c>
    </row>
    <row r="135" customFormat="false" ht="15" hidden="true" customHeight="false" outlineLevel="1" collapsed="false">
      <c r="A135" s="3" t="s">
        <v>1453</v>
      </c>
      <c r="C135" s="70" t="n">
        <f aca="false">C31+D31-損益!C12</f>
        <v>0</v>
      </c>
      <c r="D135" s="70" t="n">
        <f aca="false">E31+F31+G31+H31-損益!D12</f>
        <v>0</v>
      </c>
    </row>
    <row r="136" customFormat="false" ht="15" hidden="true" customHeight="false" outlineLevel="1" collapsed="false">
      <c r="A136" s="3" t="s">
        <v>1454</v>
      </c>
      <c r="C136" s="70" t="n">
        <f aca="false">C32+D32-輸入與假設!C$331</f>
        <v>0</v>
      </c>
      <c r="D136" s="70" t="n">
        <f aca="false">E32+F32+G32+H32-輸入與假設!D$331</f>
        <v>0</v>
      </c>
    </row>
    <row r="137" customFormat="false" ht="15" hidden="true" customHeight="false" outlineLevel="1" collapsed="false">
      <c r="A137" s="3" t="s">
        <v>1455</v>
      </c>
      <c r="C137" s="70" t="n">
        <f aca="false">C29+D29-輸入與假設!C$332</f>
        <v>0</v>
      </c>
      <c r="D137" s="70" t="n">
        <f aca="false">E29+F29+G29+H29-輸入與假設!D$332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1456</v>
      </c>
    </row>
    <row r="2" customFormat="false" ht="15" hidden="false" customHeight="false" outlineLevel="0" collapsed="false">
      <c r="A2" s="6" t="s">
        <v>1457</v>
      </c>
    </row>
    <row r="3" customFormat="false" ht="15" hidden="false" customHeight="false" outlineLevel="0" collapsed="false">
      <c r="A3" s="11" t="s">
        <v>1458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1108</v>
      </c>
    </row>
    <row r="6" customFormat="false" ht="15" hidden="false" customHeight="false" outlineLevel="0" collapsed="false">
      <c r="A6" s="3" t="s">
        <v>905</v>
      </c>
      <c r="B6" s="6"/>
      <c r="C6" s="67" t="str">
        <f aca="false">"2026-07-01~12-31"</f>
        <v>2026-07-01~12-31</v>
      </c>
      <c r="D6" s="67" t="str">
        <f aca="false">"2027 全年"</f>
        <v>2027 全年</v>
      </c>
      <c r="E6" s="67" t="str">
        <f aca="false">"2028 全年"</f>
        <v>2028 全年</v>
      </c>
      <c r="F6" s="67" t="str">
        <f aca="false">"2029 全年"</f>
        <v>2029 全年</v>
      </c>
      <c r="G6" s="67" t="str">
        <f aca="false">"2030 全年"</f>
        <v>2030 全年</v>
      </c>
      <c r="I6" s="11" t="s">
        <v>1459</v>
      </c>
    </row>
    <row r="7" customFormat="false" ht="15" hidden="false" customHeight="false" outlineLevel="0" collapsed="false">
      <c r="A7" s="3" t="s">
        <v>207</v>
      </c>
      <c r="B7" s="6"/>
      <c r="C7" s="41" t="n">
        <f aca="false">輸入與假設!C$34</f>
        <v>0.5</v>
      </c>
      <c r="D7" s="41" t="n">
        <f aca="false">輸入與假設!D$34</f>
        <v>1</v>
      </c>
      <c r="E7" s="41" t="n">
        <f aca="false">輸入與假設!E$34</f>
        <v>1</v>
      </c>
      <c r="F7" s="41" t="n">
        <f aca="false">輸入與假設!F$34</f>
        <v>1</v>
      </c>
      <c r="G7" s="41" t="n">
        <f aca="false">輸入與假設!G$34</f>
        <v>1</v>
      </c>
      <c r="I7" s="6" t="s">
        <v>1460</v>
      </c>
    </row>
    <row r="8" customFormat="false" ht="15" hidden="false" customHeight="false" outlineLevel="0" collapsed="false">
      <c r="A8" s="53" t="s">
        <v>1461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1462</v>
      </c>
      <c r="B9" s="11" t="s">
        <v>157</v>
      </c>
      <c r="C9" s="69" t="n">
        <f aca="false">MAX(0,輸入與假設!C$36)</f>
        <v>2524.95</v>
      </c>
      <c r="D9" s="69" t="n">
        <f aca="false">MAX(輸入與假設!D$36,C9)</f>
        <v>3772.85</v>
      </c>
      <c r="E9" s="69" t="n">
        <f aca="false">MAX(輸入與假設!E$36,D9)</f>
        <v>5020.75</v>
      </c>
      <c r="F9" s="69" t="n">
        <f aca="false">MAX(輸入與假設!F$36,E9)</f>
        <v>6268.65</v>
      </c>
      <c r="G9" s="69" t="n">
        <f aca="false">MAX(輸入與假設!G$36,F9)</f>
        <v>7516.55</v>
      </c>
      <c r="I9" s="6" t="s">
        <v>1463</v>
      </c>
    </row>
    <row r="10" customFormat="false" ht="15" hidden="false" customHeight="false" outlineLevel="1" collapsed="false">
      <c r="A10" s="4" t="s">
        <v>1464</v>
      </c>
      <c r="B10" s="11" t="s">
        <v>157</v>
      </c>
      <c r="C10" s="69" t="n">
        <f aca="false">MIN(MAX(0,輸入與假設!C$37),C9)</f>
        <v>2524.95</v>
      </c>
      <c r="D10" s="69" t="n">
        <f aca="false">MIN(MAX(0,輸入與假設!D$37),D9)</f>
        <v>3772.85</v>
      </c>
      <c r="E10" s="69" t="n">
        <f aca="false">MIN(MAX(0,輸入與假設!E$37),E9)</f>
        <v>5020.75</v>
      </c>
      <c r="F10" s="69" t="n">
        <f aca="false">MIN(MAX(0,輸入與假設!F$37),F9)</f>
        <v>6268.65</v>
      </c>
      <c r="G10" s="69" t="n">
        <f aca="false">MIN(MAX(0,輸入與假設!G$37),G9)</f>
        <v>7516.55</v>
      </c>
      <c r="I10" s="6" t="s">
        <v>1465</v>
      </c>
    </row>
    <row r="11" customFormat="false" ht="15" hidden="false" customHeight="false" outlineLevel="1" collapsed="false">
      <c r="A11" s="4" t="s">
        <v>1466</v>
      </c>
      <c r="B11" s="11" t="s">
        <v>157</v>
      </c>
      <c r="C11" s="69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2524.95</v>
      </c>
      <c r="D11" s="69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3772.85</v>
      </c>
      <c r="E11" s="69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5020.75</v>
      </c>
      <c r="F11" s="69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6268.65</v>
      </c>
      <c r="G11" s="69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7516.55</v>
      </c>
      <c r="I11" s="6" t="s">
        <v>1467</v>
      </c>
    </row>
    <row r="12" customFormat="false" ht="15" hidden="false" customHeight="false" outlineLevel="1" collapsed="false">
      <c r="A12" s="3" t="s">
        <v>1468</v>
      </c>
      <c r="B12" s="11" t="s">
        <v>157</v>
      </c>
      <c r="C12" s="69" t="n">
        <f aca="false">輸入與假設!$C$29</f>
        <v>1901</v>
      </c>
      <c r="D12" s="69" t="n">
        <f aca="false">C11</f>
        <v>2524.95</v>
      </c>
      <c r="E12" s="69" t="n">
        <f aca="false">D11</f>
        <v>3772.85</v>
      </c>
      <c r="F12" s="69" t="n">
        <f aca="false">E11</f>
        <v>5020.75</v>
      </c>
      <c r="G12" s="69" t="n">
        <f aca="false">F11</f>
        <v>6268.65</v>
      </c>
      <c r="I12" s="6" t="s">
        <v>1469</v>
      </c>
    </row>
    <row r="13" customFormat="false" ht="15" hidden="false" customHeight="false" outlineLevel="1" collapsed="false">
      <c r="A13" s="3" t="s">
        <v>1470</v>
      </c>
      <c r="B13" s="11" t="s">
        <v>157</v>
      </c>
      <c r="C13" s="69" t="n">
        <f aca="false">IF(輸入與假設!$C$30=1,(C12+C11)/2,C11)</f>
        <v>2212.975</v>
      </c>
      <c r="D13" s="69" t="n">
        <f aca="false">IF(輸入與假設!$C$30=1,(D12+D11)/2,D11)</f>
        <v>3148.9</v>
      </c>
      <c r="E13" s="69" t="n">
        <f aca="false">IF(輸入與假設!$C$30=1,(E12+E11)/2,E11)</f>
        <v>4396.8</v>
      </c>
      <c r="F13" s="69" t="n">
        <f aca="false">IF(輸入與假設!$C$30=1,(F12+F11)/2,F11)</f>
        <v>5644.7</v>
      </c>
      <c r="G13" s="69" t="n">
        <f aca="false">IF(輸入與假設!$C$30=1,(G12+G11)/2,G11)</f>
        <v>6892.6</v>
      </c>
      <c r="I13" s="6" t="s">
        <v>1471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4" t="n">
        <f aca="false">輸入與假設!C$38</f>
        <v>1</v>
      </c>
      <c r="D14" s="54" t="n">
        <f aca="false">輸入與假設!D$38</f>
        <v>1</v>
      </c>
      <c r="E14" s="54" t="n">
        <f aca="false">輸入與假設!E$38</f>
        <v>1</v>
      </c>
      <c r="F14" s="54" t="n">
        <f aca="false">輸入與假設!F$38</f>
        <v>1</v>
      </c>
      <c r="G14" s="54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36" t="n">
        <f aca="false">輸入與假設!C$39</f>
        <v>0.0119694243395313</v>
      </c>
      <c r="D15" s="36" t="n">
        <f aca="false">輸入與假設!D$39</f>
        <v>0.0126008639849807</v>
      </c>
      <c r="E15" s="36" t="n">
        <f aca="false">輸入與假設!E$39</f>
        <v>0.0131182733261634</v>
      </c>
      <c r="F15" s="36" t="n">
        <f aca="false">輸入與假設!F$39</f>
        <v>0.0134296813379174</v>
      </c>
      <c r="G15" s="36" t="n">
        <f aca="false">輸入與假設!G$39</f>
        <v>0.0136376892371549</v>
      </c>
    </row>
    <row r="16" customFormat="false" ht="15" hidden="false" customHeight="false" outlineLevel="1" collapsed="false">
      <c r="A16" s="3" t="s">
        <v>1472</v>
      </c>
      <c r="B16" s="11" t="s">
        <v>65</v>
      </c>
      <c r="C16" s="44" t="n">
        <f aca="false">C13*輸入與假設!C$39*輸入與假設!$C$32*輸入與假設!C$38*C7</f>
        <v>13.2440184138872</v>
      </c>
      <c r="D16" s="44" t="n">
        <f aca="false">D13*輸入與假設!D$39*輸入與假設!$C$32*輸入與假設!D$38*D7</f>
        <v>39.6788606023057</v>
      </c>
      <c r="E16" s="44" t="n">
        <f aca="false">E13*輸入與假設!E$39*輸入與假設!$C$32*輸入與假設!E$38*E7</f>
        <v>57.6784241604754</v>
      </c>
      <c r="F16" s="44" t="n">
        <f aca="false">F13*輸入與假設!F$39*輸入與假設!$C$32*輸入與假設!F$38*F7</f>
        <v>75.8065222481422</v>
      </c>
      <c r="G16" s="44" t="n">
        <f aca="false">G13*輸入與假設!G$39*輸入與假設!$C$32*輸入與假設!G$38*G7</f>
        <v>93.9991368360136</v>
      </c>
      <c r="I16" s="6" t="s">
        <v>1473</v>
      </c>
    </row>
    <row r="17" customFormat="false" ht="15" hidden="false" customHeight="false" outlineLevel="0" collapsed="false">
      <c r="A17" s="53" t="s">
        <v>1474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1475</v>
      </c>
      <c r="B18" s="11" t="s">
        <v>65</v>
      </c>
      <c r="C18" s="67" t="n">
        <f aca="false">(輸入與假設!$C$24+輸入與假設!$C$25)*(輸入與假設!C$35/輸入與假設!$C$27)*輸入與假設!$C$26</f>
        <v>0</v>
      </c>
      <c r="D18" s="67" t="n">
        <f aca="false">(輸入與假設!$C$24+輸入與假設!$C$25)*(輸入與假設!D$35/輸入與假設!$C$27)*輸入與假設!$C$26</f>
        <v>0</v>
      </c>
      <c r="E18" s="67" t="n">
        <f aca="false">(輸入與假設!$C$24+輸入與假設!$C$25)*(輸入與假設!E$35/輸入與假設!$C$27)*輸入與假設!$C$26</f>
        <v>0</v>
      </c>
      <c r="F18" s="67" t="n">
        <f aca="false">(輸入與假設!$C$24+輸入與假設!$C$25)*(輸入與假設!F$35/輸入與假設!$C$27)*輸入與假設!$C$26</f>
        <v>0</v>
      </c>
      <c r="G18" s="67" t="n">
        <f aca="false">(輸入與假設!$C$24+輸入與假設!$C$25)*(輸入與假設!G$35/輸入與假設!$C$27)*輸入與假設!$C$26</f>
        <v>0</v>
      </c>
      <c r="I18" s="6" t="s">
        <v>1476</v>
      </c>
    </row>
    <row r="19" customFormat="false" ht="15" hidden="false" customHeight="false" outlineLevel="0" collapsed="false">
      <c r="A19" s="53" t="s">
        <v>1477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1478</v>
      </c>
      <c r="B20" s="11" t="s">
        <v>65</v>
      </c>
      <c r="C20" s="44" t="n">
        <f aca="false">MAX(0,C18-C16)</f>
        <v>0</v>
      </c>
      <c r="D20" s="44" t="n">
        <f aca="false">MAX(0,D18-D16)</f>
        <v>0</v>
      </c>
      <c r="E20" s="44" t="n">
        <f aca="false">MAX(0,E18-E16)</f>
        <v>0</v>
      </c>
      <c r="F20" s="44" t="n">
        <f aca="false">MAX(0,F18-F16)</f>
        <v>0</v>
      </c>
      <c r="G20" s="44" t="n">
        <f aca="false">MAX(0,G18-G16)</f>
        <v>0</v>
      </c>
      <c r="I20" s="6" t="s">
        <v>1479</v>
      </c>
    </row>
    <row r="21" customFormat="false" ht="15" hidden="false" customHeight="false" outlineLevel="1" collapsed="false">
      <c r="A21" s="3" t="s">
        <v>1480</v>
      </c>
      <c r="B21" s="11" t="s">
        <v>65</v>
      </c>
      <c r="C21" s="67" t="n">
        <f aca="false">C18-C20</f>
        <v>0</v>
      </c>
      <c r="D21" s="67" t="n">
        <f aca="false">D18-D20</f>
        <v>0</v>
      </c>
      <c r="E21" s="67" t="n">
        <f aca="false">E18-E20</f>
        <v>0</v>
      </c>
      <c r="F21" s="67" t="n">
        <f aca="false">F18-F20</f>
        <v>0</v>
      </c>
      <c r="G21" s="67" t="n">
        <f aca="false">G18-G20</f>
        <v>0</v>
      </c>
      <c r="I21" s="6" t="s">
        <v>1481</v>
      </c>
    </row>
    <row r="22" customFormat="false" ht="15" hidden="false" customHeight="false" outlineLevel="1" collapsed="false">
      <c r="A22" s="3" t="s">
        <v>1482</v>
      </c>
      <c r="B22" s="11" t="s">
        <v>65</v>
      </c>
      <c r="C22" s="67" t="n">
        <f aca="false">MAX(0,C16-C18)</f>
        <v>13.2440184138872</v>
      </c>
      <c r="D22" s="67" t="n">
        <f aca="false">MAX(0,D16-D18)</f>
        <v>39.6788606023057</v>
      </c>
      <c r="E22" s="67" t="n">
        <f aca="false">MAX(0,E16-E18)</f>
        <v>57.6784241604754</v>
      </c>
      <c r="F22" s="67" t="n">
        <f aca="false">MAX(0,F16-F18)</f>
        <v>75.8065222481422</v>
      </c>
      <c r="G22" s="67" t="n">
        <f aca="false">MAX(0,G16-G18)</f>
        <v>93.9991368360136</v>
      </c>
      <c r="I22" s="6" t="s">
        <v>1483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4" t="n">
        <f aca="false">IF(輸入與假設!$C$31="mw",1,輸入與假設!C$40)</f>
        <v>1</v>
      </c>
      <c r="D23" s="54" t="n">
        <f aca="false">IF(輸入與假設!$C$31="mw",1,輸入與假設!D$40)</f>
        <v>1</v>
      </c>
      <c r="E23" s="54" t="n">
        <f aca="false">IF(輸入與假設!$C$31="mw",1,輸入與假設!E$40)</f>
        <v>1</v>
      </c>
      <c r="F23" s="54" t="n">
        <f aca="false">IF(輸入與假設!$C$31="mw",1,輸入與假設!F$40)</f>
        <v>1</v>
      </c>
      <c r="G23" s="54" t="n">
        <f aca="false">IF(輸入與假設!$C$31="mw",1,輸入與假設!G$40)</f>
        <v>1</v>
      </c>
      <c r="I23" s="11" t="s">
        <v>1484</v>
      </c>
    </row>
    <row r="24" customFormat="false" ht="15" hidden="false" customHeight="false" outlineLevel="1" collapsed="false">
      <c r="A24" s="3" t="s">
        <v>1485</v>
      </c>
      <c r="B24" s="11" t="s">
        <v>65</v>
      </c>
      <c r="C24" s="67" t="n">
        <f aca="false">C22*C23</f>
        <v>13.2440184138872</v>
      </c>
      <c r="D24" s="67" t="n">
        <f aca="false">D22*D23</f>
        <v>39.6788606023057</v>
      </c>
      <c r="E24" s="67" t="n">
        <f aca="false">E22*E23</f>
        <v>57.6784241604754</v>
      </c>
      <c r="F24" s="67" t="n">
        <f aca="false">F22*F23</f>
        <v>75.8065222481422</v>
      </c>
      <c r="G24" s="67" t="n">
        <f aca="false">G22*G23</f>
        <v>93.9991368360136</v>
      </c>
      <c r="I24" s="6" t="s">
        <v>1486</v>
      </c>
    </row>
    <row r="25" customFormat="false" ht="15" hidden="false" customHeight="false" outlineLevel="1" collapsed="false">
      <c r="A25" s="3" t="s">
        <v>1487</v>
      </c>
      <c r="B25" s="11" t="s">
        <v>65</v>
      </c>
      <c r="C25" s="67" t="n">
        <f aca="false">MAX(0,C16-C21-C24)</f>
        <v>0</v>
      </c>
      <c r="D25" s="67" t="n">
        <f aca="false">MAX(0,D16-D21-D24)</f>
        <v>0</v>
      </c>
      <c r="E25" s="67" t="n">
        <f aca="false">MAX(0,E16-E21-E24)</f>
        <v>0</v>
      </c>
      <c r="F25" s="67" t="n">
        <f aca="false">MAX(0,F16-F21-F24)</f>
        <v>0</v>
      </c>
      <c r="G25" s="67" t="n">
        <f aca="false">MAX(0,G16-G21-G24)</f>
        <v>0</v>
      </c>
      <c r="I25" s="6" t="s">
        <v>1488</v>
      </c>
    </row>
    <row r="26" customFormat="false" ht="15" hidden="false" customHeight="false" outlineLevel="1" collapsed="false">
      <c r="A26" s="3" t="s">
        <v>1489</v>
      </c>
      <c r="B26" s="11" t="s">
        <v>65</v>
      </c>
      <c r="C26" s="44" t="n">
        <f aca="false">C21+C24</f>
        <v>13.2440184138872</v>
      </c>
      <c r="D26" s="44" t="n">
        <f aca="false">D21+D24</f>
        <v>39.6788606023057</v>
      </c>
      <c r="E26" s="44" t="n">
        <f aca="false">E21+E24</f>
        <v>57.6784241604754</v>
      </c>
      <c r="F26" s="44" t="n">
        <f aca="false">F21+F24</f>
        <v>75.8065222481422</v>
      </c>
      <c r="G26" s="44" t="n">
        <f aca="false">G21+G24</f>
        <v>93.9991368360136</v>
      </c>
      <c r="I26" s="6" t="s">
        <v>1490</v>
      </c>
    </row>
    <row r="27" customFormat="false" ht="15" hidden="false" customHeight="false" outlineLevel="1" collapsed="false">
      <c r="A27" s="3" t="s">
        <v>1491</v>
      </c>
      <c r="B27" s="11" t="s">
        <v>65</v>
      </c>
      <c r="C27" s="67" t="n">
        <f aca="false">C26-C13*輸入與假設!C$39*輸入與假設!$C$32*輸入與假設!C$38*C7</f>
        <v>0</v>
      </c>
      <c r="D27" s="67" t="n">
        <f aca="false">D26-D13*輸入與假設!D$39*輸入與假設!$C$32*輸入與假設!D$38*D7</f>
        <v>0</v>
      </c>
      <c r="E27" s="67" t="n">
        <f aca="false">E26-E13*輸入與假設!E$39*輸入與假設!$C$32*輸入與假設!E$38*E7</f>
        <v>0</v>
      </c>
      <c r="F27" s="67" t="n">
        <f aca="false">F26-F13*輸入與假設!F$39*輸入與假設!$C$32*輸入與假設!F$38*F7</f>
        <v>0</v>
      </c>
      <c r="G27" s="67" t="n">
        <f aca="false">G26-G13*輸入與假設!G$39*輸入與假設!$C$32*輸入與假設!G$38*G7</f>
        <v>0</v>
      </c>
      <c r="I27" s="11" t="s">
        <v>1492</v>
      </c>
    </row>
    <row r="28" customFormat="false" ht="15" hidden="false" customHeight="false" outlineLevel="1" collapsed="false">
      <c r="A28" s="3" t="s">
        <v>1493</v>
      </c>
      <c r="B28" s="11" t="s">
        <v>42</v>
      </c>
      <c r="C28" s="68" t="n">
        <v>1</v>
      </c>
      <c r="D28" s="68" t="n">
        <v>1</v>
      </c>
      <c r="E28" s="68" t="n">
        <v>1</v>
      </c>
      <c r="F28" s="68" t="n">
        <v>0.5</v>
      </c>
      <c r="G28" s="68" t="n">
        <v>0</v>
      </c>
      <c r="I28" s="11" t="s">
        <v>1494</v>
      </c>
    </row>
    <row r="29" customFormat="false" ht="15" hidden="false" customHeight="false" outlineLevel="1" collapsed="false">
      <c r="A29" s="3" t="s">
        <v>1495</v>
      </c>
      <c r="B29" s="11" t="s">
        <v>65</v>
      </c>
      <c r="C29" s="67" t="n">
        <f aca="false">C26*C28</f>
        <v>13.2440184138872</v>
      </c>
      <c r="D29" s="67" t="n">
        <f aca="false">D26*D28</f>
        <v>39.6788606023057</v>
      </c>
      <c r="E29" s="67" t="n">
        <f aca="false">E26*E28</f>
        <v>57.6784241604754</v>
      </c>
      <c r="F29" s="67" t="n">
        <f aca="false">F26*F28</f>
        <v>37.9032611240711</v>
      </c>
      <c r="G29" s="67" t="n">
        <f aca="false">G26*G28</f>
        <v>0</v>
      </c>
      <c r="I29" s="6" t="s">
        <v>1496</v>
      </c>
    </row>
    <row r="30" customFormat="false" ht="15" hidden="false" customHeight="false" outlineLevel="1" collapsed="false">
      <c r="A30" s="4" t="s">
        <v>1497</v>
      </c>
      <c r="B30" s="11" t="s">
        <v>65</v>
      </c>
      <c r="C30" s="41" t="n">
        <f aca="false">輸入與假設!$C$485</f>
        <v>229.692</v>
      </c>
      <c r="D30" s="41" t="n">
        <f aca="false">0</f>
        <v>0</v>
      </c>
      <c r="E30" s="41" t="n">
        <f aca="false">0</f>
        <v>0</v>
      </c>
      <c r="F30" s="41" t="n">
        <f aca="false">0</f>
        <v>0</v>
      </c>
      <c r="G30" s="41" t="n">
        <f aca="false">0</f>
        <v>0</v>
      </c>
      <c r="I30" s="11" t="s">
        <v>1498</v>
      </c>
    </row>
    <row r="31" customFormat="false" ht="15" hidden="false" customHeight="false" outlineLevel="1" collapsed="false">
      <c r="A31" s="4" t="s">
        <v>1499</v>
      </c>
      <c r="B31" s="11" t="s">
        <v>65</v>
      </c>
      <c r="C31" s="71" t="n">
        <f aca="false">C30+C26+輸入與假設!C$43+輸入與假設!C$248</f>
        <v>492.268310257</v>
      </c>
      <c r="D31" s="44" t="n">
        <f aca="false">D30+D26+輸入與假設!D$43+輸入與假設!D$248</f>
        <v>599.098583953189</v>
      </c>
      <c r="E31" s="44" t="n">
        <f aca="false">E30+E26+輸入與假設!E$43+輸入與假設!E$248</f>
        <v>695.289341815504</v>
      </c>
      <c r="F31" s="44" t="n">
        <f aca="false">F30+F26+輸入與假設!F$43+輸入與假設!F$248</f>
        <v>783.964372026275</v>
      </c>
      <c r="G31" s="44" t="n">
        <f aca="false">G30+G26+輸入與假設!G$43+輸入與假設!G$248</f>
        <v>857.230384337456</v>
      </c>
      <c r="I31" s="11" t="s">
        <v>1500</v>
      </c>
    </row>
    <row r="32" customFormat="false" ht="15" hidden="false" customHeight="false" outlineLevel="0" collapsed="false">
      <c r="A32" s="53" t="s">
        <v>1501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4" t="n">
        <f aca="false">輸入與假設!C$41</f>
        <v>0</v>
      </c>
      <c r="D33" s="54" t="n">
        <f aca="false">輸入與假設!D$41</f>
        <v>0</v>
      </c>
      <c r="E33" s="54" t="n">
        <f aca="false">輸入與假設!E$41</f>
        <v>0</v>
      </c>
      <c r="F33" s="54" t="n">
        <f aca="false">輸入與假設!F$41</f>
        <v>0</v>
      </c>
      <c r="G33" s="54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4" t="n">
        <f aca="false">輸入與假設!C$42</f>
        <v>0.5</v>
      </c>
      <c r="D34" s="54" t="n">
        <f aca="false">輸入與假設!D$42</f>
        <v>0.5</v>
      </c>
      <c r="E34" s="54" t="n">
        <f aca="false">輸入與假設!E$42</f>
        <v>0.5</v>
      </c>
      <c r="F34" s="54" t="n">
        <f aca="false">輸入與假設!F$42</f>
        <v>0.5</v>
      </c>
      <c r="G34" s="54" t="n">
        <f aca="false">輸入與假設!G$42</f>
        <v>0.5</v>
      </c>
    </row>
    <row r="35" customFormat="false" ht="15" hidden="false" customHeight="false" outlineLevel="1" collapsed="false">
      <c r="A35" s="3" t="s">
        <v>1502</v>
      </c>
      <c r="B35" s="11" t="s">
        <v>65</v>
      </c>
      <c r="C35" s="67" t="n">
        <f aca="false">C21*輸入與假設!C$41*(1-輸入與假設!C$42)</f>
        <v>0</v>
      </c>
      <c r="D35" s="67" t="n">
        <f aca="false">D21*輸入與假設!D$41*(1-輸入與假設!D$42)</f>
        <v>0</v>
      </c>
      <c r="E35" s="67" t="n">
        <f aca="false">E21*輸入與假設!E$41*(1-輸入與假設!E$42)</f>
        <v>0</v>
      </c>
      <c r="F35" s="67" t="n">
        <f aca="false">F21*輸入與假設!F$41*(1-輸入與假設!F$42)</f>
        <v>0</v>
      </c>
      <c r="G35" s="67" t="n">
        <f aca="false">G21*輸入與假設!G$41*(1-輸入與假設!G$42)</f>
        <v>0</v>
      </c>
      <c r="I35" s="6" t="s">
        <v>1503</v>
      </c>
    </row>
    <row r="36" customFormat="false" ht="15" hidden="false" customHeight="false" outlineLevel="1" collapsed="false">
      <c r="A36" s="3" t="s">
        <v>1504</v>
      </c>
      <c r="B36" s="11" t="s">
        <v>65</v>
      </c>
      <c r="C36" s="67" t="n">
        <f aca="false">C21-C35</f>
        <v>0</v>
      </c>
      <c r="D36" s="67" t="n">
        <f aca="false">D21-D35</f>
        <v>0</v>
      </c>
      <c r="E36" s="67" t="n">
        <f aca="false">E21-E35</f>
        <v>0</v>
      </c>
      <c r="F36" s="67" t="n">
        <f aca="false">F21-F35</f>
        <v>0</v>
      </c>
      <c r="G36" s="67" t="n">
        <f aca="false">G21-G35</f>
        <v>0</v>
      </c>
    </row>
    <row r="37" customFormat="false" ht="15" hidden="false" customHeight="false" outlineLevel="1" collapsed="false">
      <c r="A37" s="4" t="s">
        <v>1505</v>
      </c>
      <c r="B37" s="11" t="s">
        <v>42</v>
      </c>
      <c r="C37" s="54" t="n">
        <f aca="false">輸入與假設!C$258</f>
        <v>0.840722228604692</v>
      </c>
      <c r="D37" s="54" t="n">
        <f aca="false">輸入與假設!D$258</f>
        <v>0.845249371659162</v>
      </c>
      <c r="E37" s="54" t="n">
        <f aca="false">輸入與假設!E$258</f>
        <v>0.84863409538504</v>
      </c>
      <c r="F37" s="54" t="n">
        <f aca="false">輸入與假設!F$258</f>
        <v>0.850545503204223</v>
      </c>
      <c r="G37" s="54" t="n">
        <f aca="false">輸入與假設!G$258</f>
        <v>0.851773618922997</v>
      </c>
      <c r="I37" s="6" t="s">
        <v>1506</v>
      </c>
    </row>
    <row r="38" customFormat="false" ht="15" hidden="false" customHeight="false" outlineLevel="1" collapsed="false">
      <c r="A38" s="3" t="s">
        <v>1507</v>
      </c>
      <c r="B38" s="11" t="s">
        <v>65</v>
      </c>
      <c r="C38" s="67" t="n">
        <f aca="false">C26+輸入與假設!C$43</f>
        <v>13.2440184138872</v>
      </c>
      <c r="D38" s="67" t="n">
        <f aca="false">D26+輸入與假設!D$43</f>
        <v>39.6788606023057</v>
      </c>
      <c r="E38" s="67" t="n">
        <f aca="false">E26+輸入與假設!E$43</f>
        <v>57.6784241604754</v>
      </c>
      <c r="F38" s="67" t="n">
        <f aca="false">F26+輸入與假設!F$43</f>
        <v>75.8065222481422</v>
      </c>
      <c r="G38" s="67" t="n">
        <f aca="false">G26+輸入與假設!G$43</f>
        <v>93.9991368360136</v>
      </c>
    </row>
    <row r="39" customFormat="false" ht="15" hidden="false" customHeight="false" outlineLevel="1" collapsed="false">
      <c r="A39" s="4" t="s">
        <v>1508</v>
      </c>
      <c r="B39" s="11" t="s">
        <v>42</v>
      </c>
      <c r="C39" s="72" t="n">
        <f aca="false">輸入與假設!C$258</f>
        <v>0.840722228604692</v>
      </c>
      <c r="D39" s="72" t="n">
        <f aca="false">輸入與假設!D$258</f>
        <v>0.845249371659162</v>
      </c>
      <c r="E39" s="72" t="n">
        <f aca="false">輸入與假設!E$258</f>
        <v>0.84863409538504</v>
      </c>
      <c r="F39" s="72" t="n">
        <f aca="false">輸入與假設!F$258</f>
        <v>0.850545503204223</v>
      </c>
      <c r="G39" s="72" t="n">
        <f aca="false">輸入與假設!G$258</f>
        <v>0.851773618922997</v>
      </c>
      <c r="I39" s="6" t="s">
        <v>1509</v>
      </c>
    </row>
    <row r="40" customFormat="false" ht="15" hidden="false" customHeight="false" outlineLevel="1" collapsed="false">
      <c r="A40" s="4" t="s">
        <v>1510</v>
      </c>
      <c r="B40" s="11" t="s">
        <v>65</v>
      </c>
      <c r="C40" s="44" t="n">
        <f aca="false">C36*C39</f>
        <v>0</v>
      </c>
      <c r="D40" s="44" t="n">
        <f aca="false">D36*D39</f>
        <v>0</v>
      </c>
      <c r="E40" s="44" t="n">
        <f aca="false">E36*E39</f>
        <v>0</v>
      </c>
      <c r="F40" s="44" t="n">
        <f aca="false">F36*F39</f>
        <v>0</v>
      </c>
      <c r="G40" s="44" t="n">
        <f aca="false">G36*G39</f>
        <v>0</v>
      </c>
      <c r="I40" s="11" t="s">
        <v>1511</v>
      </c>
    </row>
    <row r="41" customFormat="false" ht="15" hidden="false" customHeight="false" outlineLevel="1" collapsed="false">
      <c r="A41" s="3" t="s">
        <v>1512</v>
      </c>
      <c r="B41" s="11" t="s">
        <v>65</v>
      </c>
      <c r="C41" s="67" t="n">
        <f aca="false">C24*(1-輸入與假設!C$41*(1-輸入與假設!C$42))*C39</f>
        <v>11.1345406766048</v>
      </c>
      <c r="D41" s="67" t="n">
        <f aca="false">D24*(1-輸入與假設!D$41*(1-輸入與假設!D$42))*D39</f>
        <v>33.5385319922504</v>
      </c>
      <c r="E41" s="67" t="n">
        <f aca="false">E24*(1-輸入與假設!E$41*(1-輸入與假設!E$42))*E39</f>
        <v>48.9478773106597</v>
      </c>
      <c r="F41" s="67" t="n">
        <f aca="false">F24*(1-輸入與假設!F$41*(1-輸入與假設!F$42))*F39</f>
        <v>64.4768966117082</v>
      </c>
      <c r="G41" s="67" t="n">
        <f aca="false">G24*(1-輸入與假設!G$41*(1-輸入與假設!G$42))*G39</f>
        <v>80.0659849584493</v>
      </c>
      <c r="I41" s="6" t="s">
        <v>1513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1514</v>
      </c>
    </row>
    <row r="44" customFormat="false" ht="15" hidden="false" customHeight="false" outlineLevel="1" collapsed="false">
      <c r="A44" s="6" t="s">
        <v>1515</v>
      </c>
    </row>
    <row r="46" customFormat="false" ht="15" hidden="false" customHeight="false" outlineLevel="0" collapsed="false">
      <c r="A46" s="53" t="s">
        <v>1516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1517</v>
      </c>
      <c r="B47" s="6" t="s">
        <v>893</v>
      </c>
      <c r="C47" s="25" t="n">
        <v>0</v>
      </c>
      <c r="I47" s="11" t="s">
        <v>1518</v>
      </c>
    </row>
    <row r="48" customFormat="false" ht="15" hidden="false" customHeight="false" outlineLevel="1" collapsed="false">
      <c r="A48" s="3" t="s">
        <v>1519</v>
      </c>
      <c r="B48" s="6" t="s">
        <v>893</v>
      </c>
      <c r="C48" s="25" t="n">
        <v>0</v>
      </c>
      <c r="I48" s="11" t="s">
        <v>1518</v>
      </c>
    </row>
    <row r="49" customFormat="false" ht="15" hidden="false" customHeight="false" outlineLevel="1" collapsed="false">
      <c r="A49" s="3" t="s">
        <v>1520</v>
      </c>
      <c r="B49" s="6" t="s">
        <v>893</v>
      </c>
      <c r="C49" s="25" t="n">
        <v>0</v>
      </c>
      <c r="I49" s="11" t="s">
        <v>1518</v>
      </c>
    </row>
    <row r="50" customFormat="false" ht="15" hidden="false" customHeight="false" outlineLevel="1" collapsed="false">
      <c r="A50" s="3" t="s">
        <v>1521</v>
      </c>
      <c r="B50" s="6" t="s">
        <v>893</v>
      </c>
      <c r="C50" s="43" t="n">
        <f aca="false">CHOOSE(輸入與假設!$C$5,運營_產能與收入!$C$47,運營_產能與收入!$C$48,運營_產能與收入!$C$49)</f>
        <v>0</v>
      </c>
      <c r="I50" s="6" t="s">
        <v>1522</v>
      </c>
    </row>
    <row r="51" customFormat="false" ht="15" hidden="false" customHeight="false" outlineLevel="1" collapsed="false">
      <c r="A51" s="3" t="s">
        <v>1523</v>
      </c>
      <c r="B51" s="6" t="s">
        <v>184</v>
      </c>
      <c r="C51" s="67" t="n">
        <f aca="false">SUM($C$7:C7)</f>
        <v>0.5</v>
      </c>
      <c r="D51" s="67" t="n">
        <f aca="false">SUM($C$7:D7)</f>
        <v>1.5</v>
      </c>
      <c r="E51" s="67" t="n">
        <f aca="false">SUM($C$7:E7)</f>
        <v>2.5</v>
      </c>
      <c r="F51" s="67" t="n">
        <f aca="false">SUM($C$7:F7)</f>
        <v>3.5</v>
      </c>
      <c r="G51" s="67" t="n">
        <f aca="false">SUM($C$7:G7)</f>
        <v>4.5</v>
      </c>
      <c r="I51" s="6" t="s">
        <v>1524</v>
      </c>
    </row>
    <row r="52" customFormat="false" ht="15" hidden="false" customHeight="false" outlineLevel="1" collapsed="false">
      <c r="A52" s="3" t="s">
        <v>1525</v>
      </c>
      <c r="B52" s="11" t="s">
        <v>65</v>
      </c>
      <c r="C52" s="67" t="n">
        <f aca="false">SUM(輸入與假設!$C$307:C$307)</f>
        <v>119.402</v>
      </c>
      <c r="D52" s="67" t="n">
        <f aca="false">SUM(輸入與假設!$C$307:D$307)</f>
        <v>356.200143918332</v>
      </c>
      <c r="E52" s="67" t="n">
        <f aca="false">SUM(輸入與假設!$C$307:E$307)</f>
        <v>612.585434139531</v>
      </c>
      <c r="F52" s="67" t="n">
        <f aca="false">SUM(輸入與假設!$C$307:F$307)</f>
        <v>876.307229124272</v>
      </c>
      <c r="G52" s="67" t="n">
        <f aca="false">SUM(輸入與假設!$C$307:G$307)</f>
        <v>1145.00287583604</v>
      </c>
      <c r="I52" s="11" t="s">
        <v>1526</v>
      </c>
    </row>
    <row r="53" customFormat="false" ht="15" hidden="false" customHeight="false" outlineLevel="1" collapsed="false">
      <c r="A53" s="3" t="s">
        <v>1527</v>
      </c>
      <c r="B53" s="11" t="s">
        <v>65</v>
      </c>
      <c r="C53" s="67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119.402</v>
      </c>
      <c r="D53" s="67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356.200143918332</v>
      </c>
      <c r="E53" s="67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612.585434139531</v>
      </c>
      <c r="F53" s="67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876.307229124272</v>
      </c>
      <c r="G53" s="67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1145.00287583604</v>
      </c>
      <c r="I53" s="6" t="s">
        <v>1528</v>
      </c>
    </row>
    <row r="54" customFormat="false" ht="15" hidden="false" customHeight="false" outlineLevel="1" collapsed="false">
      <c r="A54" s="3" t="s">
        <v>1529</v>
      </c>
      <c r="B54" s="11" t="s">
        <v>65</v>
      </c>
      <c r="C54" s="67" t="n">
        <f aca="false">C53</f>
        <v>119.402</v>
      </c>
      <c r="D54" s="67" t="n">
        <f aca="false">D53-C53</f>
        <v>236.798143918332</v>
      </c>
      <c r="E54" s="67" t="n">
        <f aca="false">E53-D53</f>
        <v>256.385290221199</v>
      </c>
      <c r="F54" s="67" t="n">
        <f aca="false">F53-E53</f>
        <v>263.721794984741</v>
      </c>
      <c r="G54" s="67" t="n">
        <f aca="false">G53-F53</f>
        <v>268.695646711771</v>
      </c>
      <c r="I54" s="6" t="s">
        <v>1530</v>
      </c>
    </row>
    <row r="55" customFormat="false" ht="15" hidden="false" customHeight="false" outlineLevel="1" collapsed="false">
      <c r="A55" s="3" t="s">
        <v>1531</v>
      </c>
      <c r="B55" s="11" t="s">
        <v>65</v>
      </c>
      <c r="C55" s="44" t="n">
        <f aca="false">C52-C53</f>
        <v>0</v>
      </c>
      <c r="D55" s="44" t="n">
        <f aca="false">D52-D53</f>
        <v>0</v>
      </c>
      <c r="E55" s="44" t="n">
        <f aca="false">E52-E53</f>
        <v>0</v>
      </c>
      <c r="F55" s="44" t="n">
        <f aca="false">F52-F53</f>
        <v>0</v>
      </c>
      <c r="G55" s="44" t="n">
        <f aca="false">G52-G53</f>
        <v>0</v>
      </c>
      <c r="I55" s="6" t="s">
        <v>1532</v>
      </c>
    </row>
    <row r="56" customFormat="false" ht="15" hidden="false" customHeight="false" outlineLevel="1" collapsed="false">
      <c r="A56" s="3" t="s">
        <v>1533</v>
      </c>
      <c r="B56" s="11" t="s">
        <v>42</v>
      </c>
      <c r="C56" s="23" t="n">
        <v>0</v>
      </c>
      <c r="I56" s="6" t="s">
        <v>1534</v>
      </c>
    </row>
    <row r="57" customFormat="false" ht="15" hidden="false" customHeight="false" outlineLevel="1" collapsed="false">
      <c r="A57" s="3" t="s">
        <v>1535</v>
      </c>
      <c r="B57" s="11" t="s">
        <v>42</v>
      </c>
      <c r="C57" s="23" t="n">
        <v>0</v>
      </c>
      <c r="I57" s="6" t="s">
        <v>1536</v>
      </c>
    </row>
    <row r="58" customFormat="false" ht="15" hidden="false" customHeight="false" outlineLevel="1" collapsed="false">
      <c r="A58" s="3" t="s">
        <v>1537</v>
      </c>
      <c r="B58" s="11" t="s">
        <v>65</v>
      </c>
      <c r="C58" s="67" t="n">
        <f aca="false">輸入與假設!$C$19/輸入與假設!$C$21/輸入與假設!$C$22/4*((MIN(MAX(0,輸入與假設!C$289-(輸入與假設!$C$20+運營_產能與收入!$C$50/3)),輸入與假設!$C$21)*(MIN(MAX(0,輸入與假設!C$289-(輸入與假設!$C$20+運營_產能與收入!$C$50/3)),輸入與假設!$C$21)+1)/2+輸入與假設!$C$21*MAX(0,MAX(0,輸入與假設!C$289-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0.193636363636364</v>
      </c>
      <c r="D58" s="67" t="n">
        <f aca="false">輸入與假設!$C$19/輸入與假設!$C$21/輸入與假設!$C$22/4*((MIN(MAX(0,輸入與假設!D$289-(輸入與假設!$C$20+運營_產能與收入!$C$50/3)),輸入與假設!$C$21)*(MIN(MAX(0,輸入與假設!D$289-(輸入與假設!$C$20+運營_產能與收入!$C$50/3)),輸入與假設!$C$21)+1)/2+輸入與假設!$C$21*MAX(0,MAX(0,輸入與假設!D$289-(輸入與假設!$C$20+運營_產能與收入!$C$50/3))-輸入與假設!$C$21))-(MIN(MAX(0,輸入與假設!C$289-(輸入與假設!$C$20+運營_產能與收入!$C$50/3)),輸入與假設!$C$21)*(MIN(MAX(0,輸入與假設!C$289-(輸入與假設!$C$20+運營_產能與收入!$C$50/3)),輸入與假設!$C$21)+1)/2+輸入與假設!$C$21*MAX(0,MAX(0,輸入與假設!C$289-(輸入與假設!$C$20+運營_產能與收入!$C$50/3))-輸入與假設!$C$21)))</f>
        <v>1.16181818181818</v>
      </c>
      <c r="E58" s="67" t="n">
        <f aca="false">輸入與假設!$C$19/輸入與假設!$C$21/輸入與假設!$C$22/4*((MIN(MAX(0,輸入與假設!E$289-(輸入與假設!$C$20+運營_產能與收入!$C$50/3)),輸入與假設!$C$21)*(MIN(MAX(0,輸入與假設!E$289-(輸入與假設!$C$20+運營_產能與收入!$C$50/3)),輸入與假設!$C$21)+1)/2+輸入與假設!$C$21*MAX(0,MAX(0,輸入與假設!E$289-(輸入與假設!$C$20+運營_產能與收入!$C$50/3))-輸入與假設!$C$21))-(MIN(MAX(0,輸入與假設!D$289-(輸入與假設!$C$20+運營_產能與收入!$C$50/3)),輸入與假設!$C$21)*(MIN(MAX(0,輸入與假設!D$289-(輸入與假設!$C$20+運營_產能與收入!$C$50/3)),輸入與假設!$C$21)+1)/2+輸入與假設!$C$21*MAX(0,MAX(0,輸入與假設!D$289-(輸入與假設!$C$20+運營_產能與收入!$C$50/3))-輸入與假設!$C$21)))</f>
        <v>2.19454545454545</v>
      </c>
      <c r="F58" s="67" t="n">
        <f aca="false">輸入與假設!$C$19/輸入與假設!$C$21/輸入與假設!$C$22/4*((MIN(MAX(0,輸入與假設!F$289-(輸入與假設!$C$20+運營_產能與收入!$C$50/3)),輸入與假設!$C$21)*(MIN(MAX(0,輸入與假設!F$289-(輸入與假設!$C$20+運營_產能與收入!$C$50/3)),輸入與假設!$C$21)+1)/2+輸入與假設!$C$21*MAX(0,MAX(0,輸入與假設!F$289-(輸入與假設!$C$20+運營_產能與收入!$C$50/3))-輸入與假設!$C$21))-(MIN(MAX(0,輸入與假設!E$289-(輸入與假設!$C$20+運營_產能與收入!$C$50/3)),輸入與假設!$C$21)*(MIN(MAX(0,輸入與假設!E$289-(輸入與假設!$C$20+運營_產能與收入!$C$50/3)),輸入與假設!$C$21)+1)/2+輸入與假設!$C$21*MAX(0,MAX(0,輸入與假設!E$289-(輸入與假設!$C$20+運營_產能與收入!$C$50/3))-輸入與假設!$C$21)))</f>
        <v>3.22727272727273</v>
      </c>
      <c r="G58" s="67" t="n">
        <f aca="false">輸入與假設!$C$19/輸入與假設!$C$21/輸入與假設!$C$22/4*((MIN(MAX(0,輸入與假設!G$289-(輸入與假設!$C$20+運營_產能與收入!$C$50/3)),輸入與假設!$C$21)*(MIN(MAX(0,輸入與假設!G$289-(輸入與假設!$C$20+運營_產能與收入!$C$50/3)),輸入與假設!$C$21)+1)/2+輸入與假設!$C$21*MAX(0,MAX(0,輸入與假設!G$289-(輸入與假設!$C$20+運營_產能與收入!$C$50/3))-輸入與假設!$C$21))-(MIN(MAX(0,輸入與假設!F$289-(輸入與假設!$C$20+運營_產能與收入!$C$50/3)),輸入與假設!$C$21)*(MIN(MAX(0,輸入與假設!F$289-(輸入與假設!$C$20+運營_產能與收入!$C$50/3)),輸入與假設!$C$21)+1)/2+輸入與假設!$C$21*MAX(0,MAX(0,輸入與假設!F$289-(輸入與假設!$C$20+運營_產能與收入!$C$50/3))-輸入與假設!$C$21)))</f>
        <v>4.26</v>
      </c>
      <c r="I58" s="6" t="s">
        <v>1538</v>
      </c>
    </row>
    <row r="59" customFormat="false" ht="15" hidden="false" customHeight="false" outlineLevel="1" collapsed="false">
      <c r="A59" s="3" t="s">
        <v>1539</v>
      </c>
      <c r="B59" s="11" t="s">
        <v>65</v>
      </c>
      <c r="C59" s="44" t="n">
        <f aca="false">IF(OR(運營_產能與收入!$C$50&lt;=0,運營_產能與收入!$C$56&lt;=0),輸入與假設!C$290,(1-運營_產能與收入!$C$56)*輸入與假設!C$290+運營_產能與收入!$C$56*C58)</f>
        <v>0.193636363636364</v>
      </c>
      <c r="D59" s="44" t="n">
        <f aca="false">IF(OR(運營_產能與收入!$C$50&lt;=0,運營_產能與收入!$C$56&lt;=0),輸入與假設!D$290,(1-運營_產能與收入!$C$56)*輸入與假設!D$290+運營_產能與收入!$C$56*D58)</f>
        <v>1.16181818181818</v>
      </c>
      <c r="E59" s="44" t="n">
        <f aca="false">IF(OR(運營_產能與收入!$C$50&lt;=0,運營_產能與收入!$C$56&lt;=0),輸入與假設!E$290,(1-運營_產能與收入!$C$56)*輸入與假設!E$290+運營_產能與收入!$C$56*E58)</f>
        <v>2.19454545454545</v>
      </c>
      <c r="F59" s="44" t="n">
        <f aca="false">IF(OR(運營_產能與收入!$C$50&lt;=0,運營_產能與收入!$C$56&lt;=0),輸入與假設!F$290,(1-運營_產能與收入!$C$56)*輸入與假設!F$290+運營_產能與收入!$C$56*F58)</f>
        <v>3.22727272727273</v>
      </c>
      <c r="G59" s="44" t="n">
        <f aca="false">IF(OR(運營_產能與收入!$C$50&lt;=0,運營_產能與收入!$C$56&lt;=0),輸入與假設!G$290,(1-運營_產能與收入!$C$56)*輸入與假設!G$290+運營_產能與收入!$C$56*G58)</f>
        <v>4.26</v>
      </c>
      <c r="I59" s="6" t="s">
        <v>1540</v>
      </c>
    </row>
    <row r="60" customFormat="false" ht="15" hidden="false" customHeight="false" outlineLevel="1" collapsed="false">
      <c r="A60" s="3" t="s">
        <v>1541</v>
      </c>
      <c r="B60" s="11" t="s">
        <v>65</v>
      </c>
      <c r="C60" s="67" t="n">
        <f aca="false">IF(輸入與假設!$C$30=1,(輸入與假設!$C$29+C10)/2,C10)*輸入與假設!C$39*輸入與假設!$C$32*輸入與假設!C$38*C7</f>
        <v>13.2440184138872</v>
      </c>
      <c r="D60" s="67" t="n">
        <f aca="false">IF(輸入與假設!$C$30=1,(C10+D10)/2,D10)*輸入與假設!D$39*輸入與假設!$C$32*輸入與假設!D$38*D7</f>
        <v>39.6788606023057</v>
      </c>
      <c r="E60" s="67" t="n">
        <f aca="false">IF(輸入與假設!$C$30=1,(D10+E10)/2,E10)*輸入與假設!E$39*輸入與假設!$C$32*輸入與假設!E$38*E7</f>
        <v>57.6784241604754</v>
      </c>
      <c r="F60" s="67" t="n">
        <f aca="false">IF(輸入與假設!$C$30=1,(E10+F10)/2,F10)*輸入與假設!F$39*輸入與假設!$C$32*輸入與假設!F$38*F7</f>
        <v>75.8065222481422</v>
      </c>
      <c r="G60" s="67" t="n">
        <f aca="false">IF(輸入與假設!$C$30=1,(F10+G10)/2,G10)*輸入與假設!G$39*輸入與假設!$C$32*輸入與假設!G$38*G7</f>
        <v>93.9991368360136</v>
      </c>
      <c r="I60" s="6" t="s">
        <v>1542</v>
      </c>
    </row>
    <row r="61" customFormat="false" ht="15" hidden="false" customHeight="false" outlineLevel="1" collapsed="false">
      <c r="A61" s="3" t="s">
        <v>1543</v>
      </c>
      <c r="B61" s="11" t="s">
        <v>65</v>
      </c>
      <c r="C61" s="67" t="n">
        <f aca="false">IF(運營_產能與收入!$C$50&lt;=0,0,MAX(0,C60-C16))</f>
        <v>0</v>
      </c>
      <c r="D61" s="67" t="n">
        <f aca="false">IF(運營_產能與收入!$C$50&lt;=0,0,MAX(0,D60-D16))</f>
        <v>0</v>
      </c>
      <c r="E61" s="67" t="n">
        <f aca="false">IF(運營_產能與收入!$C$50&lt;=0,0,MAX(0,E60-E16))</f>
        <v>0</v>
      </c>
      <c r="F61" s="67" t="n">
        <f aca="false">IF(運營_產能與收入!$C$50&lt;=0,0,MAX(0,F60-F16))</f>
        <v>0</v>
      </c>
      <c r="G61" s="67" t="n">
        <f aca="false">IF(運營_產能與收入!$C$50&lt;=0,0,MAX(0,G60-G16))</f>
        <v>0</v>
      </c>
      <c r="I61" s="6" t="s">
        <v>1544</v>
      </c>
    </row>
    <row r="62" customFormat="false" ht="15" hidden="false" customHeight="false" outlineLevel="1" collapsed="false">
      <c r="A62" s="3" t="s">
        <v>1545</v>
      </c>
      <c r="B62" s="11" t="s">
        <v>65</v>
      </c>
      <c r="C62" s="67" t="n">
        <f aca="false">運營_產能與收入!$C$57*C61</f>
        <v>0</v>
      </c>
      <c r="D62" s="67" t="n">
        <f aca="false">運營_產能與收入!$C$57*D61</f>
        <v>0</v>
      </c>
      <c r="E62" s="67" t="n">
        <f aca="false">運營_產能與收入!$C$57*E61</f>
        <v>0</v>
      </c>
      <c r="F62" s="67" t="n">
        <f aca="false">運營_產能與收入!$C$57*F61</f>
        <v>0</v>
      </c>
      <c r="G62" s="67" t="n">
        <f aca="false">運營_產能與收入!$C$57*G61</f>
        <v>0</v>
      </c>
      <c r="I62" s="6" t="s">
        <v>1546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1547</v>
      </c>
    </row>
    <row r="2" customFormat="false" ht="15" hidden="false" customHeight="false" outlineLevel="0" collapsed="false">
      <c r="A2" s="6" t="s">
        <v>1548</v>
      </c>
    </row>
    <row r="4" customFormat="false" ht="17.15" hidden="false" customHeight="false" outlineLevel="0" collapsed="false">
      <c r="A4" s="14" t="s">
        <v>1549</v>
      </c>
      <c r="B4" s="14" t="s">
        <v>1550</v>
      </c>
      <c r="C4" s="14" t="s">
        <v>1551</v>
      </c>
      <c r="D4" s="14" t="s">
        <v>1552</v>
      </c>
      <c r="E4" s="14" t="s">
        <v>1553</v>
      </c>
      <c r="F4" s="14" t="s">
        <v>1554</v>
      </c>
      <c r="G4" s="14" t="s">
        <v>1555</v>
      </c>
      <c r="H4" s="14" t="s">
        <v>1556</v>
      </c>
      <c r="I4" s="14" t="s">
        <v>1557</v>
      </c>
      <c r="J4" s="14" t="s">
        <v>1558</v>
      </c>
      <c r="K4" s="14" t="s">
        <v>1086</v>
      </c>
    </row>
    <row r="5" customFormat="false" ht="15" hidden="false" customHeight="false" outlineLevel="0" collapsed="false">
      <c r="A5" s="4" t="s">
        <v>1559</v>
      </c>
      <c r="B5" s="11" t="s">
        <v>1560</v>
      </c>
      <c r="C5" s="21" t="n">
        <v>183</v>
      </c>
      <c r="D5" s="21" t="n">
        <v>183</v>
      </c>
      <c r="E5" s="73" t="s">
        <v>1561</v>
      </c>
      <c r="F5" s="73" t="s">
        <v>1561</v>
      </c>
      <c r="I5" s="11" t="s">
        <v>61</v>
      </c>
      <c r="J5" s="11" t="s">
        <v>1562</v>
      </c>
      <c r="K5" s="11" t="s">
        <v>1563</v>
      </c>
    </row>
    <row r="6" customFormat="false" ht="15" hidden="false" customHeight="false" outlineLevel="0" collapsed="false">
      <c r="A6" s="2" t="s">
        <v>1564</v>
      </c>
      <c r="C6" s="74" t="n">
        <f aca="false">SUM(C5:C5)</f>
        <v>183</v>
      </c>
      <c r="D6" s="74" t="n">
        <f aca="false">SUM(D5:D5)</f>
        <v>183</v>
      </c>
      <c r="E6" s="59" t="n">
        <f aca="false">SUM(E5:E5)</f>
        <v>0</v>
      </c>
      <c r="G6" s="59" t="n">
        <f aca="false">SUM(G5:G5)</f>
        <v>0</v>
      </c>
      <c r="H6" s="75" t="n">
        <f aca="false">IF(I6&gt;0,G6/I6*1000,0)</f>
        <v>0</v>
      </c>
      <c r="I6" s="51" t="n">
        <f aca="false">SUMPRODUCT(ISNUMBER(G5:G5)*C5:C5)</f>
        <v>0</v>
      </c>
      <c r="K6" s="6" t="s">
        <v>1565</v>
      </c>
    </row>
    <row r="8" customFormat="false" ht="15" hidden="false" customHeight="false" outlineLevel="0" collapsed="false">
      <c r="A8" s="53" t="s">
        <v>1566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customFormat="false" ht="15" hidden="false" customHeight="false" outlineLevel="1" collapsed="false">
      <c r="A9" s="3" t="s">
        <v>1567</v>
      </c>
      <c r="E9" s="24" t="n">
        <v>24.253</v>
      </c>
      <c r="K9" s="11" t="s">
        <v>1568</v>
      </c>
    </row>
    <row r="10" customFormat="false" ht="15" hidden="false" customHeight="false" outlineLevel="1" collapsed="false">
      <c r="A10" s="3" t="s">
        <v>1569</v>
      </c>
      <c r="E10" s="24" t="n">
        <v>85.2</v>
      </c>
      <c r="K10" s="11" t="s">
        <v>1570</v>
      </c>
    </row>
    <row r="11" customFormat="false" ht="15" hidden="false" customHeight="false" outlineLevel="1" collapsed="false">
      <c r="A11" s="3" t="s">
        <v>1571</v>
      </c>
      <c r="E11" s="24" t="n">
        <v>0</v>
      </c>
      <c r="K11" s="11" t="s">
        <v>1572</v>
      </c>
    </row>
    <row r="12" customFormat="false" ht="15" hidden="false" customHeight="false" outlineLevel="1" collapsed="false">
      <c r="A12" s="2" t="s">
        <v>1573</v>
      </c>
      <c r="E12" s="59" t="n">
        <f aca="false">SUM(E9:E11)</f>
        <v>109.453</v>
      </c>
      <c r="K12" s="6" t="s">
        <v>1574</v>
      </c>
    </row>
    <row r="13" customFormat="false" ht="15" hidden="false" customHeight="false" outlineLevel="1" collapsed="false">
      <c r="A13" s="3" t="s">
        <v>1575</v>
      </c>
      <c r="E13" s="58" t="n">
        <f aca="false">-E6</f>
        <v>-0</v>
      </c>
    </row>
    <row r="14" customFormat="false" ht="15" hidden="false" customHeight="false" outlineLevel="1" collapsed="false">
      <c r="A14" s="2" t="s">
        <v>1576</v>
      </c>
      <c r="E14" s="59" t="n">
        <f aca="false">E12+E13</f>
        <v>109.453</v>
      </c>
      <c r="K14" s="6" t="s">
        <v>1577</v>
      </c>
    </row>
    <row r="15" customFormat="false" ht="15" hidden="false" customHeight="false" outlineLevel="1" collapsed="false">
      <c r="A15" s="3" t="s">
        <v>1578</v>
      </c>
      <c r="E15" s="29" t="n">
        <f aca="false">IF(E12&lt;&gt;0,E14/E12,0)</f>
        <v>1</v>
      </c>
    </row>
    <row r="17" customFormat="false" ht="15" hidden="false" customHeight="false" outlineLevel="0" collapsed="false">
      <c r="A17" s="53" t="s">
        <v>1579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1" collapsed="false">
      <c r="A18" s="14" t="s">
        <v>59</v>
      </c>
      <c r="B18" s="14" t="s">
        <v>60</v>
      </c>
      <c r="C18" s="15" t="s">
        <v>61</v>
      </c>
      <c r="D18" s="15" t="s">
        <v>62</v>
      </c>
      <c r="E18" s="15" t="s">
        <v>63</v>
      </c>
      <c r="F18" s="15" t="s">
        <v>153</v>
      </c>
      <c r="G18" s="15" t="s">
        <v>154</v>
      </c>
    </row>
    <row r="19" customFormat="false" ht="15" hidden="false" customHeight="false" outlineLevel="1" collapsed="false">
      <c r="A19" s="3" t="s">
        <v>1580</v>
      </c>
      <c r="B19" s="11" t="s">
        <v>65</v>
      </c>
      <c r="C19" s="67" t="n">
        <f aca="false">各期收支!C16</f>
        <v>0.230313756363636</v>
      </c>
      <c r="D19" s="67" t="n">
        <f aca="false">各期收支!D16</f>
        <v>0.532882538181818</v>
      </c>
      <c r="E19" s="67" t="n">
        <f aca="false">各期收支!E16</f>
        <v>0.652555905454545</v>
      </c>
      <c r="F19" s="67" t="n">
        <f aca="false">各期收支!F16</f>
        <v>0.761229272727273</v>
      </c>
      <c r="G19" s="67" t="n">
        <f aca="false">各期收支!G16</f>
        <v>0.81990264</v>
      </c>
    </row>
    <row r="20" customFormat="false" ht="15" hidden="false" customHeight="false" outlineLevel="1" collapsed="false">
      <c r="A20" s="3" t="s">
        <v>1581</v>
      </c>
      <c r="B20" s="11" t="s">
        <v>157</v>
      </c>
      <c r="C20" s="69" t="n">
        <f aca="false">(輸入與假設!C$297+輸入與假設!C$36)/2</f>
        <v>1993.475</v>
      </c>
      <c r="D20" s="69" t="n">
        <f aca="false">(輸入與假設!D$297+輸入與假設!D$36)/2</f>
        <v>3148.9</v>
      </c>
      <c r="E20" s="69" t="n">
        <f aca="false">(輸入與假設!E$297+輸入與假設!E$36)/2</f>
        <v>4396.8</v>
      </c>
      <c r="F20" s="69" t="n">
        <f aca="false">(輸入與假設!F$297+輸入與假設!F$36)/2</f>
        <v>5644.7</v>
      </c>
      <c r="G20" s="69" t="n">
        <f aca="false">(輸入與假設!G$297+輸入與假設!G$36)/2</f>
        <v>6892.6</v>
      </c>
    </row>
    <row r="21" customFormat="false" ht="15" hidden="false" customHeight="false" outlineLevel="1" collapsed="false">
      <c r="A21" s="3" t="s">
        <v>207</v>
      </c>
      <c r="B21" s="6" t="s">
        <v>184</v>
      </c>
      <c r="C21" s="67" t="n">
        <f aca="false">輸入與假設!C$34</f>
        <v>0.5</v>
      </c>
      <c r="D21" s="67" t="n">
        <f aca="false">輸入與假設!D$34</f>
        <v>1</v>
      </c>
      <c r="E21" s="67" t="n">
        <f aca="false">輸入與假設!E$34</f>
        <v>1</v>
      </c>
      <c r="F21" s="67" t="n">
        <f aca="false">輸入與假設!F$34</f>
        <v>1</v>
      </c>
      <c r="G21" s="67" t="n">
        <f aca="false">輸入與假設!G$34</f>
        <v>1</v>
      </c>
    </row>
    <row r="22" customFormat="false" ht="15" hidden="false" customHeight="false" outlineLevel="1" collapsed="false">
      <c r="A22" s="2" t="s">
        <v>1582</v>
      </c>
      <c r="B22" s="11" t="s">
        <v>282</v>
      </c>
      <c r="C22" s="44" t="n">
        <f aca="false">C19/C21/C20*1000</f>
        <v>0.231067614455798</v>
      </c>
      <c r="D22" s="44" t="n">
        <f aca="false">D19/D21/D20*1000</f>
        <v>0.16922815528655</v>
      </c>
      <c r="E22" s="44" t="n">
        <f aca="false">E19/E21/E20*1000</f>
        <v>0.148416099311896</v>
      </c>
      <c r="F22" s="44" t="n">
        <f aca="false">F19/F21/F20*1000</f>
        <v>0.13485734808356</v>
      </c>
      <c r="G22" s="44" t="n">
        <f aca="false">G19/G21/G20*1000</f>
        <v>0.118954043466907</v>
      </c>
      <c r="K22" s="11" t="s">
        <v>1583</v>
      </c>
    </row>
    <row r="23" customFormat="false" ht="15" hidden="false" customHeight="false" outlineLevel="1" collapsed="false">
      <c r="A23" s="3" t="s">
        <v>1584</v>
      </c>
      <c r="C23" s="23" t="n">
        <v>1</v>
      </c>
      <c r="K23" s="6" t="s">
        <v>1585</v>
      </c>
    </row>
    <row r="24" customFormat="false" ht="15" hidden="false" customHeight="false" outlineLevel="1" collapsed="false">
      <c r="A24" s="3" t="s">
        <v>1586</v>
      </c>
      <c r="B24" s="11" t="s">
        <v>65</v>
      </c>
      <c r="C24" s="67" t="n">
        <f aca="false">C20*運營_站點!$H$6/1000*$C$23*C21</f>
        <v>0</v>
      </c>
      <c r="D24" s="67" t="n">
        <f aca="false">D20*運營_站點!$H$6/1000*$C$23*D21</f>
        <v>0</v>
      </c>
      <c r="E24" s="67" t="n">
        <f aca="false">E20*運營_站點!$H$6/1000*$C$23*E21</f>
        <v>0</v>
      </c>
      <c r="F24" s="67" t="n">
        <f aca="false">F20*運營_站點!$H$6/1000*$C$23*F21</f>
        <v>0</v>
      </c>
      <c r="G24" s="67" t="n">
        <f aca="false">G20*運營_站點!$H$6/1000*$C$23*G21</f>
        <v>0</v>
      </c>
      <c r="K24" s="6" t="s">
        <v>1587</v>
      </c>
    </row>
    <row r="25" customFormat="false" ht="15" hidden="false" customHeight="false" outlineLevel="1" collapsed="false">
      <c r="A25" s="2" t="s">
        <v>1588</v>
      </c>
      <c r="B25" s="11" t="s">
        <v>65</v>
      </c>
      <c r="C25" s="44" t="n">
        <f aca="false">C24-C19</f>
        <v>-0.230313756363636</v>
      </c>
      <c r="D25" s="44" t="n">
        <f aca="false">D24-D19</f>
        <v>-0.532882538181818</v>
      </c>
      <c r="E25" s="44" t="n">
        <f aca="false">E24-E19</f>
        <v>-0.652555905454545</v>
      </c>
      <c r="F25" s="44" t="n">
        <f aca="false">F24-F19</f>
        <v>-0.761229272727273</v>
      </c>
      <c r="G25" s="44" t="n">
        <f aca="false">G24-G19</f>
        <v>-0.81990264</v>
      </c>
      <c r="K25" s="6" t="s">
        <v>1589</v>
      </c>
    </row>
    <row r="26" customFormat="false" ht="15" hidden="false" customHeight="false" outlineLevel="1" collapsed="false">
      <c r="A26" s="2" t="s">
        <v>1590</v>
      </c>
      <c r="C26" s="75" t="n">
        <f aca="false">SUM(C25:G25)</f>
        <v>-2.99688411272727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1591</v>
      </c>
    </row>
    <row r="2" customFormat="false" ht="15" hidden="false" customHeight="false" outlineLevel="0" collapsed="false">
      <c r="A2" s="6" t="s">
        <v>1592</v>
      </c>
    </row>
    <row r="4" customFormat="false" ht="17.15" hidden="false" customHeight="false" outlineLevel="0" collapsed="false">
      <c r="A4" s="14" t="s">
        <v>1593</v>
      </c>
      <c r="B4" s="14" t="s">
        <v>1594</v>
      </c>
      <c r="C4" s="14" t="s">
        <v>1595</v>
      </c>
      <c r="D4" s="14" t="s">
        <v>1596</v>
      </c>
      <c r="E4" s="15" t="s">
        <v>1597</v>
      </c>
      <c r="F4" s="14" t="s">
        <v>1598</v>
      </c>
      <c r="I4" s="14" t="s">
        <v>999</v>
      </c>
    </row>
    <row r="5" customFormat="false" ht="15" hidden="false" customHeight="false" outlineLevel="0" collapsed="false">
      <c r="A5" s="4" t="s">
        <v>1599</v>
      </c>
      <c r="B5" s="6" t="s">
        <v>1600</v>
      </c>
      <c r="C5" s="11" t="s">
        <v>1601</v>
      </c>
      <c r="D5" s="23" t="n">
        <v>0.0223</v>
      </c>
      <c r="E5" s="24" t="n">
        <v>2</v>
      </c>
      <c r="F5" s="67" t="n">
        <f aca="false">D5*E5</f>
        <v>0.0446</v>
      </c>
      <c r="I5" s="11" t="s">
        <v>1602</v>
      </c>
    </row>
    <row r="6" customFormat="false" ht="15" hidden="false" customHeight="false" outlineLevel="0" collapsed="false">
      <c r="A6" s="4" t="s">
        <v>1603</v>
      </c>
      <c r="B6" s="6" t="s">
        <v>1600</v>
      </c>
      <c r="C6" s="11" t="s">
        <v>1604</v>
      </c>
      <c r="D6" s="23" t="n">
        <v>0.0163</v>
      </c>
      <c r="E6" s="24" t="n">
        <v>9</v>
      </c>
      <c r="F6" s="67" t="n">
        <f aca="false">D6*E6</f>
        <v>0.1467</v>
      </c>
      <c r="I6" s="11" t="s">
        <v>1605</v>
      </c>
    </row>
    <row r="7" customFormat="false" ht="15" hidden="false" customHeight="false" outlineLevel="0" collapsed="false">
      <c r="A7" s="4" t="s">
        <v>1606</v>
      </c>
      <c r="B7" s="6" t="s">
        <v>1600</v>
      </c>
      <c r="C7" s="11" t="s">
        <v>1607</v>
      </c>
      <c r="D7" s="23" t="n">
        <v>0.04895</v>
      </c>
      <c r="E7" s="24" t="n">
        <v>22.5</v>
      </c>
      <c r="F7" s="67" t="n">
        <f aca="false">D7*E7</f>
        <v>1.101375</v>
      </c>
      <c r="I7" s="11" t="s">
        <v>1608</v>
      </c>
    </row>
    <row r="8" customFormat="false" ht="15" hidden="false" customHeight="false" outlineLevel="0" collapsed="false">
      <c r="A8" s="4" t="s">
        <v>1609</v>
      </c>
      <c r="B8" s="6" t="s">
        <v>1600</v>
      </c>
      <c r="C8" s="11" t="s">
        <v>1610</v>
      </c>
      <c r="D8" s="23" t="n">
        <v>0.0354</v>
      </c>
      <c r="E8" s="24" t="n">
        <v>15.074</v>
      </c>
      <c r="F8" s="67" t="n">
        <f aca="false">D8*E8</f>
        <v>0.5336196</v>
      </c>
      <c r="I8" s="11" t="s">
        <v>1611</v>
      </c>
    </row>
    <row r="9" customFormat="false" ht="15" hidden="false" customHeight="false" outlineLevel="0" collapsed="false">
      <c r="A9" s="4" t="s">
        <v>1612</v>
      </c>
      <c r="B9" s="6" t="s">
        <v>1600</v>
      </c>
      <c r="C9" s="11" t="s">
        <v>1613</v>
      </c>
      <c r="D9" s="23" t="n">
        <v>0.048</v>
      </c>
      <c r="E9" s="24" t="n">
        <v>20</v>
      </c>
      <c r="F9" s="67" t="n">
        <f aca="false">D9*E9</f>
        <v>0.96</v>
      </c>
      <c r="I9" s="11" t="s">
        <v>1614</v>
      </c>
    </row>
    <row r="10" customFormat="false" ht="15" hidden="false" customHeight="false" outlineLevel="0" collapsed="false">
      <c r="A10" s="4" t="s">
        <v>1615</v>
      </c>
      <c r="B10" s="6" t="s">
        <v>1600</v>
      </c>
      <c r="C10" s="11" t="s">
        <v>1616</v>
      </c>
      <c r="D10" s="23" t="n">
        <v>0.0531</v>
      </c>
      <c r="E10" s="24" t="n">
        <v>7.263</v>
      </c>
      <c r="F10" s="67" t="n">
        <f aca="false">D10*E10</f>
        <v>0.3856653</v>
      </c>
      <c r="I10" s="11" t="s">
        <v>1617</v>
      </c>
    </row>
    <row r="11" customFormat="false" ht="15" hidden="false" customHeight="false" outlineLevel="0" collapsed="false">
      <c r="A11" s="4" t="s">
        <v>1618</v>
      </c>
      <c r="B11" s="6" t="s">
        <v>1600</v>
      </c>
      <c r="C11" s="11" t="s">
        <v>1619</v>
      </c>
      <c r="D11" s="23" t="n">
        <v>0.0106</v>
      </c>
      <c r="E11" s="24" t="n">
        <v>3.772</v>
      </c>
      <c r="F11" s="67" t="n">
        <f aca="false">D11*E11</f>
        <v>0.0399832</v>
      </c>
      <c r="I11" s="11" t="s">
        <v>1620</v>
      </c>
    </row>
    <row r="12" customFormat="false" ht="15" hidden="false" customHeight="false" outlineLevel="0" collapsed="false">
      <c r="A12" s="4" t="s">
        <v>1621</v>
      </c>
      <c r="B12" s="6" t="s">
        <v>1600</v>
      </c>
      <c r="C12" s="11" t="s">
        <v>1622</v>
      </c>
      <c r="D12" s="23" t="n">
        <v>0.039</v>
      </c>
      <c r="E12" s="24" t="n">
        <v>10.239</v>
      </c>
      <c r="F12" s="67" t="n">
        <f aca="false">D12*E12</f>
        <v>0.399321</v>
      </c>
      <c r="I12" s="11" t="s">
        <v>1623</v>
      </c>
    </row>
    <row r="13" customFormat="false" ht="15" hidden="false" customHeight="false" outlineLevel="0" collapsed="false">
      <c r="A13" s="4" t="s">
        <v>1624</v>
      </c>
      <c r="B13" s="6" t="s">
        <v>1600</v>
      </c>
      <c r="C13" s="11" t="s">
        <v>1625</v>
      </c>
      <c r="D13" s="23" t="n">
        <v>0.0435</v>
      </c>
      <c r="E13" s="24" t="n">
        <v>5.985</v>
      </c>
      <c r="F13" s="67" t="n">
        <f aca="false">D13*E13</f>
        <v>0.2603475</v>
      </c>
      <c r="I13" s="11" t="s">
        <v>1626</v>
      </c>
    </row>
    <row r="14" customFormat="false" ht="15" hidden="false" customHeight="false" outlineLevel="0" collapsed="false">
      <c r="A14" s="4" t="s">
        <v>1627</v>
      </c>
      <c r="B14" s="6" t="s">
        <v>1600</v>
      </c>
      <c r="C14" s="11" t="s">
        <v>1628</v>
      </c>
      <c r="D14" s="23" t="n">
        <v>0.0265</v>
      </c>
      <c r="E14" s="24" t="n">
        <v>3.566</v>
      </c>
      <c r="F14" s="67" t="n">
        <f aca="false">D14*E14</f>
        <v>0.094499</v>
      </c>
      <c r="I14" s="11" t="s">
        <v>1629</v>
      </c>
    </row>
    <row r="15" customFormat="false" ht="15" hidden="false" customHeight="false" outlineLevel="0" collapsed="false">
      <c r="A15" s="3" t="s">
        <v>1630</v>
      </c>
      <c r="B15" s="6" t="s">
        <v>1600</v>
      </c>
      <c r="C15" s="11" t="s">
        <v>1631</v>
      </c>
      <c r="D15" s="23" t="n">
        <v>0.059</v>
      </c>
      <c r="E15" s="24" t="n">
        <v>1.686</v>
      </c>
      <c r="F15" s="67" t="n">
        <f aca="false">D15*E15</f>
        <v>0.099474</v>
      </c>
      <c r="I15" s="11" t="s">
        <v>1632</v>
      </c>
    </row>
    <row r="16" customFormat="false" ht="15" hidden="false" customHeight="false" outlineLevel="0" collapsed="false">
      <c r="A16" s="2" t="s">
        <v>1633</v>
      </c>
      <c r="E16" s="59" t="n">
        <f aca="false">SUM(E5:E15)</f>
        <v>101.085</v>
      </c>
      <c r="F16" s="59" t="n">
        <f aca="false">SUM(F5:F15)</f>
        <v>4.0655846</v>
      </c>
      <c r="I16" s="6" t="s">
        <v>1634</v>
      </c>
    </row>
    <row r="17" customFormat="false" ht="15" hidden="false" customHeight="false" outlineLevel="0" collapsed="false">
      <c r="A17" s="2" t="s">
        <v>1635</v>
      </c>
      <c r="D17" s="76" t="n">
        <f aca="false">F16/E16</f>
        <v>0.0402194648068457</v>
      </c>
      <c r="I17" s="6" t="s">
        <v>1636</v>
      </c>
    </row>
    <row r="19" customFormat="false" ht="15" hidden="false" customHeight="false" outlineLevel="0" collapsed="false">
      <c r="A19" s="3" t="s">
        <v>1637</v>
      </c>
      <c r="D19" s="77" t="n">
        <v>0</v>
      </c>
      <c r="E19" s="24" t="n">
        <v>0</v>
      </c>
      <c r="F19" s="10" t="n">
        <f aca="false">D19*E19</f>
        <v>0</v>
      </c>
      <c r="I19" s="11" t="s">
        <v>1638</v>
      </c>
    </row>
    <row r="21" customFormat="false" ht="15" hidden="false" customHeight="false" outlineLevel="0" collapsed="false">
      <c r="A21" s="53" t="s">
        <v>1639</v>
      </c>
      <c r="B21" s="8"/>
      <c r="C21" s="8"/>
      <c r="D21" s="8"/>
      <c r="E21" s="8"/>
      <c r="F21" s="8"/>
      <c r="G21" s="8"/>
      <c r="H21" s="8"/>
    </row>
    <row r="22" customFormat="false" ht="17.15" hidden="false" customHeight="false" outlineLevel="1" collapsed="false">
      <c r="A22" s="14" t="s">
        <v>1640</v>
      </c>
      <c r="B22" s="14" t="s">
        <v>1595</v>
      </c>
      <c r="C22" s="14" t="s">
        <v>1641</v>
      </c>
      <c r="D22" s="14" t="s">
        <v>1642</v>
      </c>
      <c r="E22" s="14" t="s">
        <v>1643</v>
      </c>
      <c r="F22" s="14" t="s">
        <v>1644</v>
      </c>
      <c r="G22" s="14" t="s">
        <v>1645</v>
      </c>
      <c r="H22" s="14" t="s">
        <v>1646</v>
      </c>
      <c r="I22" s="14" t="s">
        <v>999</v>
      </c>
    </row>
    <row r="23" customFormat="false" ht="15" hidden="false" customHeight="false" outlineLevel="1" collapsed="false">
      <c r="A23" s="4" t="s">
        <v>1647</v>
      </c>
      <c r="B23" s="11" t="s">
        <v>1648</v>
      </c>
      <c r="C23" s="77" t="n">
        <v>0.0625</v>
      </c>
      <c r="D23" s="35" t="n">
        <v>19.25</v>
      </c>
      <c r="E23" s="78" t="n">
        <v>1</v>
      </c>
      <c r="F23" s="46" t="n">
        <v>352.56</v>
      </c>
      <c r="G23" s="69" t="n">
        <v>3</v>
      </c>
      <c r="H23" s="21" t="n">
        <v>1</v>
      </c>
      <c r="I23" s="6" t="s">
        <v>1649</v>
      </c>
    </row>
    <row r="24" customFormat="false" ht="15" hidden="false" customHeight="false" outlineLevel="1" collapsed="false">
      <c r="I24" s="6" t="s">
        <v>1650</v>
      </c>
    </row>
    <row r="25" customFormat="false" ht="15" hidden="false" customHeight="false" outlineLevel="1" collapsed="false"/>
    <row r="26" customFormat="false" ht="15" hidden="false" customHeight="false" outlineLevel="1" collapsed="false">
      <c r="A26" s="14" t="s">
        <v>1651</v>
      </c>
      <c r="C26" s="14" t="s">
        <v>1652</v>
      </c>
      <c r="D26" s="14" t="s">
        <v>1653</v>
      </c>
      <c r="E26" s="14" t="s">
        <v>1654</v>
      </c>
      <c r="F26" s="14" t="s">
        <v>1655</v>
      </c>
      <c r="G26" s="14" t="s">
        <v>1656</v>
      </c>
      <c r="H26" s="14" t="s">
        <v>1657</v>
      </c>
      <c r="I26" s="14" t="s">
        <v>1086</v>
      </c>
    </row>
    <row r="27" customFormat="false" ht="15" hidden="false" customHeight="false" outlineLevel="1" collapsed="false">
      <c r="A27" s="3" t="str">
        <f aca="false">A23</f>
        <v>6.25% 強制轉換特別股（A、B 系列，2026-06）</v>
      </c>
      <c r="C27" s="30" t="n">
        <f aca="false">D23*E23</f>
        <v>19.25</v>
      </c>
      <c r="D27" s="30" t="n">
        <f aca="false">D23/F23</f>
        <v>0.0546006353528477</v>
      </c>
      <c r="E27" s="56" t="n">
        <f aca="false">F23*E23</f>
        <v>352.56</v>
      </c>
      <c r="F27" s="69" t="n">
        <f aca="false">IF(OR(H23=1,E27&lt;輸入與假設!$C$351),1,0)</f>
        <v>1</v>
      </c>
      <c r="G27" s="69" t="n">
        <f aca="false">IF(OR(H23=1,E27&lt;輸入與假設!$C$374),1,0)</f>
        <v>1</v>
      </c>
      <c r="H27" s="69" t="n">
        <f aca="false">IF(OR(H23=1,E27&lt;評價_DCF與目標價!$C$87),1,0)</f>
        <v>1</v>
      </c>
    </row>
    <row r="28" customFormat="false" ht="15" hidden="false" customHeight="false" outlineLevel="1" collapsed="false">
      <c r="A28" s="2" t="s">
        <v>1658</v>
      </c>
      <c r="C28" s="79" t="n">
        <f aca="false">SUM(C27:C27)</f>
        <v>19.25</v>
      </c>
      <c r="D28" s="79" t="n">
        <f aca="false">SUM(D27:D27)</f>
        <v>0.0546006353528477</v>
      </c>
      <c r="I28" s="6" t="s">
        <v>1659</v>
      </c>
    </row>
    <row r="30" customFormat="false" ht="15" hidden="false" customHeight="false" outlineLevel="0" collapsed="false">
      <c r="A30" s="53" t="s">
        <v>1660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14" t="s">
        <v>59</v>
      </c>
      <c r="B31" s="14" t="s">
        <v>60</v>
      </c>
      <c r="C31" s="28" t="s">
        <v>61</v>
      </c>
      <c r="D31" s="28" t="s">
        <v>62</v>
      </c>
      <c r="E31" s="28" t="s">
        <v>63</v>
      </c>
      <c r="F31" s="28" t="s">
        <v>153</v>
      </c>
      <c r="G31" s="28" t="s">
        <v>154</v>
      </c>
      <c r="I31" s="14" t="s">
        <v>1108</v>
      </c>
    </row>
    <row r="32" customFormat="false" ht="15" hidden="false" customHeight="false" outlineLevel="1" collapsed="false">
      <c r="A32" s="3" t="s">
        <v>1661</v>
      </c>
      <c r="B32" s="11" t="s">
        <v>65</v>
      </c>
      <c r="C32" s="67" t="n">
        <f aca="false">E16</f>
        <v>101.085</v>
      </c>
      <c r="D32" s="67" t="n">
        <f aca="false">C34</f>
        <v>99.085</v>
      </c>
      <c r="E32" s="67" t="n">
        <f aca="false">D34</f>
        <v>98.085</v>
      </c>
      <c r="F32" s="67" t="n">
        <f aca="false">E34</f>
        <v>95.409</v>
      </c>
      <c r="G32" s="67" t="n">
        <f aca="false">F34</f>
        <v>93.645</v>
      </c>
      <c r="I32" s="11" t="s">
        <v>1662</v>
      </c>
    </row>
    <row r="33" customFormat="false" ht="15" hidden="false" customHeight="false" outlineLevel="1" collapsed="false">
      <c r="A33" s="3" t="s">
        <v>1663</v>
      </c>
      <c r="B33" s="11" t="s">
        <v>65</v>
      </c>
      <c r="C33" s="41" t="n">
        <f aca="false">輸入與假設!C$369</f>
        <v>2</v>
      </c>
      <c r="D33" s="41" t="n">
        <f aca="false">輸入與假設!D$369</f>
        <v>1</v>
      </c>
      <c r="E33" s="41" t="n">
        <f aca="false">輸入與假設!E$369</f>
        <v>2.676</v>
      </c>
      <c r="F33" s="41" t="n">
        <f aca="false">輸入與假設!F$369</f>
        <v>1.764</v>
      </c>
      <c r="G33" s="41" t="n">
        <f aca="false">輸入與假設!G$369</f>
        <v>7.186</v>
      </c>
      <c r="I33" s="6" t="s">
        <v>1664</v>
      </c>
    </row>
    <row r="34" customFormat="false" ht="15" hidden="false" customHeight="false" outlineLevel="1" collapsed="false">
      <c r="A34" s="3" t="s">
        <v>1665</v>
      </c>
      <c r="B34" s="11" t="s">
        <v>65</v>
      </c>
      <c r="C34" s="67" t="n">
        <f aca="false">C32-C33</f>
        <v>99.085</v>
      </c>
      <c r="D34" s="67" t="n">
        <f aca="false">D32-D33</f>
        <v>98.085</v>
      </c>
      <c r="E34" s="67" t="n">
        <f aca="false">E32-E33</f>
        <v>95.409</v>
      </c>
      <c r="F34" s="67" t="n">
        <f aca="false">F32-F33</f>
        <v>93.645</v>
      </c>
      <c r="G34" s="67" t="n">
        <f aca="false">G32-G33</f>
        <v>86.459</v>
      </c>
    </row>
    <row r="35" customFormat="false" ht="15" hidden="false" customHeight="false" outlineLevel="1" collapsed="false">
      <c r="A35" s="3" t="s">
        <v>1666</v>
      </c>
      <c r="B35" s="11" t="s">
        <v>65</v>
      </c>
      <c r="C35" s="67" t="n">
        <f aca="false">(C32+C34)/2</f>
        <v>100.085</v>
      </c>
      <c r="D35" s="67" t="n">
        <f aca="false">(D32+D34)/2</f>
        <v>98.585</v>
      </c>
      <c r="E35" s="67" t="n">
        <f aca="false">(E32+E34)/2</f>
        <v>96.747</v>
      </c>
      <c r="F35" s="67" t="n">
        <f aca="false">(F32+F34)/2</f>
        <v>94.527</v>
      </c>
      <c r="G35" s="67" t="n">
        <f aca="false">(G32+G34)/2</f>
        <v>90.052</v>
      </c>
    </row>
    <row r="36" customFormat="false" ht="15" hidden="false" customHeight="false" outlineLevel="1" collapsed="false">
      <c r="A36" s="3" t="s">
        <v>1667</v>
      </c>
      <c r="B36" s="11" t="s">
        <v>65</v>
      </c>
      <c r="C36" s="67" t="n">
        <f aca="false">C35*資產負債_既有債務!$D$17*輸入與假設!C$34</f>
        <v>2.01268256759658</v>
      </c>
      <c r="D36" s="67" t="n">
        <f aca="false">D35*資產負債_既有債務!$D$17*輸入與假設!D$34</f>
        <v>3.96503593798289</v>
      </c>
      <c r="E36" s="67" t="n">
        <f aca="false">E35*資產負債_既有債務!$D$17*輸入與假設!E$34</f>
        <v>3.8911125616679</v>
      </c>
      <c r="F36" s="67" t="n">
        <f aca="false">F35*資產負債_既有債務!$D$17*輸入與假設!F$34</f>
        <v>3.80182534979671</v>
      </c>
      <c r="G36" s="67" t="n">
        <f aca="false">G35*資產負債_既有債務!$D$17*輸入與假設!G$34</f>
        <v>3.62184324478607</v>
      </c>
      <c r="I36" s="6" t="s">
        <v>1668</v>
      </c>
    </row>
    <row r="37" customFormat="false" ht="15" hidden="false" customHeight="false" outlineLevel="1" collapsed="false">
      <c r="A37" s="3" t="s">
        <v>1669</v>
      </c>
      <c r="B37" s="11" t="s">
        <v>65</v>
      </c>
      <c r="C37" s="67" t="n">
        <f aca="false">資產負債_既有債務!$F$19*輸入與假設!C$34</f>
        <v>0</v>
      </c>
      <c r="D37" s="67" t="n">
        <f aca="false">資產負債_既有債務!$F$19*輸入與假設!D$34</f>
        <v>0</v>
      </c>
      <c r="E37" s="67" t="n">
        <f aca="false">資產負債_既有債務!$F$19*輸入與假設!E$34</f>
        <v>0</v>
      </c>
      <c r="F37" s="67" t="n">
        <f aca="false">資產負債_既有債務!$F$19*輸入與假設!F$34</f>
        <v>0</v>
      </c>
      <c r="G37" s="67" t="n">
        <f aca="false">資產負債_既有債務!$F$19*輸入與假設!G$34</f>
        <v>0</v>
      </c>
    </row>
    <row r="38" customFormat="false" ht="15" hidden="false" customHeight="false" outlineLevel="1" collapsed="false">
      <c r="A38" s="3" t="s">
        <v>1670</v>
      </c>
      <c r="B38" s="11" t="s">
        <v>65</v>
      </c>
      <c r="C38" s="67" t="n">
        <f aca="false">IF(輸入與假設!$C$340=1,SUMPRODUCT((1-資產負債_既有債務!$F$27:$F$27)*資產負債_既有債務!$C$27:$C$27*(資產負債_既有債務!$G$23:$G$23=0)),0)</f>
        <v>0</v>
      </c>
      <c r="D38" s="67" t="n">
        <f aca="false">IF(輸入與假設!$C$340=1,SUMPRODUCT((1-資產負債_既有債務!$F$27:$F$27)*資產負債_既有債務!$C$27:$C$27*(資產負債_既有債務!$G$23:$G$23=1)),0)</f>
        <v>0</v>
      </c>
      <c r="E38" s="67" t="n">
        <f aca="false">IF(輸入與假設!$C$340=1,SUMPRODUCT((1-資產負債_既有債務!$F$27:$F$27)*資產負債_既有債務!$C$27:$C$27*(資產負債_既有債務!$G$23:$G$23=2)),0)</f>
        <v>0</v>
      </c>
      <c r="F38" s="67" t="n">
        <f aca="false">IF(輸入與假設!$C$340=1,SUMPRODUCT((1-資產負債_既有債務!$F$27:$F$27)*資產負債_既有債務!$C$27:$C$27*(資產負債_既有債務!$G$23:$G$23=3)),0)</f>
        <v>0</v>
      </c>
      <c r="G38" s="67" t="n">
        <f aca="false">IF(輸入與假設!$C$340=1,SUMPRODUCT((1-資產負債_既有債務!$F$27:$F$27)*資產負債_既有債務!$C$27:$C$27*(資產負債_既有債務!$G$23:$G$23=4)),0)</f>
        <v>0</v>
      </c>
      <c r="I38" s="6" t="s">
        <v>1671</v>
      </c>
    </row>
    <row r="39" customFormat="false" ht="15" hidden="false" customHeight="false" outlineLevel="1" collapsed="false">
      <c r="A39" s="3" t="s">
        <v>1672</v>
      </c>
      <c r="B39" s="11" t="s">
        <v>65</v>
      </c>
      <c r="C39" s="67" t="n">
        <f aca="false">IF(輸入與假設!$C$340=1,SUMPRODUCT((1-資產負債_既有債務!$F$27:$F$27)*資產負債_既有債務!$C$27:$C$27*(資產負債_既有債務!$G$23:$G$23&gt;0)),SUMPRODUCT((1-資產負債_既有債務!$F$27:$F$27)*資產負債_既有債務!$C$27:$C$27))</f>
        <v>0</v>
      </c>
      <c r="D39" s="67" t="n">
        <f aca="false">IF(輸入與假設!$C$340=1,SUMPRODUCT((1-資產負債_既有債務!$F$27:$F$27)*資產負債_既有債務!$C$27:$C$27*(資產負債_既有債務!$G$23:$G$23&gt;1)),SUMPRODUCT((1-資產負債_既有債務!$F$27:$F$27)*資產負債_既有債務!$C$27:$C$27))</f>
        <v>0</v>
      </c>
      <c r="E39" s="67" t="n">
        <f aca="false">IF(輸入與假設!$C$340=1,SUMPRODUCT((1-資產負債_既有債務!$F$27:$F$27)*資產負債_既有債務!$C$27:$C$27*(資產負債_既有債務!$G$23:$G$23&gt;2)),SUMPRODUCT((1-資產負債_既有債務!$F$27:$F$27)*資產負債_既有債務!$C$27:$C$27))</f>
        <v>0</v>
      </c>
      <c r="F39" s="67" t="n">
        <f aca="false">IF(輸入與假設!$C$340=1,SUMPRODUCT((1-資產負債_既有債務!$F$27:$F$27)*資產負債_既有債務!$C$27:$C$27*(資產負債_既有債務!$G$23:$G$23&gt;3)),SUMPRODUCT((1-資產負債_既有債務!$F$27:$F$27)*資產負債_既有債務!$C$27:$C$27))</f>
        <v>0</v>
      </c>
      <c r="G39" s="67" t="n">
        <f aca="false">IF(輸入與假設!$C$340=1,SUMPRODUCT((1-資產負債_既有債務!$F$27:$F$27)*資產負債_既有債務!$C$27:$C$27*(資產負債_既有債務!$G$23:$G$23&gt;4)),SUMPRODUCT((1-資產負債_既有債務!$F$27:$F$27)*資產負債_既有債務!$C$27:$C$27))</f>
        <v>0</v>
      </c>
      <c r="I39" s="6" t="s">
        <v>1673</v>
      </c>
    </row>
    <row r="40" customFormat="false" ht="15" hidden="false" customHeight="false" outlineLevel="1" collapsed="false">
      <c r="A40" s="3" t="s">
        <v>1674</v>
      </c>
      <c r="B40" s="11" t="s">
        <v>65</v>
      </c>
      <c r="C40" s="67" t="n">
        <f aca="false">IF(輸入與假設!$C$340=1,SUMPRODUCT((1-資產負債_既有債務!$F$27:$F$27)*資產負債_既有債務!$D$23:$D$23*資產負債_既有債務!$C$23:$C$23*((資產負債_既有債務!$G$23:$G$23&gt;0)+0.5*(資產負債_既有債務!$G$23:$G$23=0))),SUMPRODUCT((1-資產負債_既有債務!$F$27:$F$27)*資產負債_既有債務!$D$23:$D$23*資產負債_既有債務!$C$23:$C$23))*輸入與假設!C$34</f>
        <v>0</v>
      </c>
      <c r="D40" s="67" t="n">
        <f aca="false">IF(輸入與假設!$C$340=1,SUMPRODUCT((1-資產負債_既有債務!$F$27:$F$27)*資產負債_既有債務!$D$23:$D$23*資產負債_既有債務!$C$23:$C$23*((資產負債_既有債務!$G$23:$G$23&gt;1)+0.5*(資產負債_既有債務!$G$23:$G$23=1))),SUMPRODUCT((1-資產負債_既有債務!$F$27:$F$27)*資產負債_既有債務!$D$23:$D$23*資產負債_既有債務!$C$23:$C$23))*輸入與假設!D$34</f>
        <v>0</v>
      </c>
      <c r="E40" s="67" t="n">
        <f aca="false">IF(輸入與假設!$C$340=1,SUMPRODUCT((1-資產負債_既有債務!$F$27:$F$27)*資產負債_既有債務!$D$23:$D$23*資產負債_既有債務!$C$23:$C$23*((資產負債_既有債務!$G$23:$G$23&gt;2)+0.5*(資產負債_既有債務!$G$23:$G$23=2))),SUMPRODUCT((1-資產負債_既有債務!$F$27:$F$27)*資產負債_既有債務!$D$23:$D$23*資產負債_既有債務!$C$23:$C$23))*輸入與假設!E$34</f>
        <v>0</v>
      </c>
      <c r="F40" s="67" t="n">
        <f aca="false">IF(輸入與假設!$C$340=1,SUMPRODUCT((1-資產負債_既有債務!$F$27:$F$27)*資產負債_既有債務!$D$23:$D$23*資產負債_既有債務!$C$23:$C$23*((資產負債_既有債務!$G$23:$G$23&gt;3)+0.5*(資產負債_既有債務!$G$23:$G$23=3))),SUMPRODUCT((1-資產負債_既有債務!$F$27:$F$27)*資產負債_既有債務!$D$23:$D$23*資產負債_既有債務!$C$23:$C$23))*輸入與假設!F$34</f>
        <v>0</v>
      </c>
      <c r="G40" s="67" t="n">
        <f aca="false">IF(輸入與假設!$C$340=1,SUMPRODUCT((1-資產負債_既有債務!$F$27:$F$27)*資產負債_既有債務!$D$23:$D$23*資產負債_既有債務!$C$23:$C$23*((資產負債_既有債務!$G$23:$G$23&gt;4)+0.5*(資產負債_既有債務!$G$23:$G$23=4))),SUMPRODUCT((1-資產負債_既有債務!$F$27:$F$27)*資產負債_既有債務!$D$23:$D$23*資產負債_既有債務!$C$23:$C$23))*輸入與假設!G$34</f>
        <v>0</v>
      </c>
      <c r="I40" s="6" t="s">
        <v>1675</v>
      </c>
    </row>
    <row r="41" customFormat="false" ht="15" hidden="false" customHeight="false" outlineLevel="1" collapsed="false">
      <c r="A41" s="3" t="s">
        <v>1676</v>
      </c>
      <c r="B41" s="11" t="s">
        <v>65</v>
      </c>
      <c r="C41" s="24" t="n">
        <f aca="false">0</f>
        <v>0</v>
      </c>
      <c r="D41" s="24" t="n">
        <f aca="false">0</f>
        <v>0</v>
      </c>
      <c r="E41" s="24" t="n">
        <f aca="false">0</f>
        <v>0</v>
      </c>
      <c r="F41" s="24" t="n">
        <f aca="false">0</f>
        <v>0</v>
      </c>
      <c r="G41" s="24" t="n">
        <f aca="false">0</f>
        <v>0</v>
      </c>
      <c r="I41" s="6" t="s">
        <v>1677</v>
      </c>
    </row>
    <row r="42" customFormat="false" ht="15" hidden="false" customHeight="false" outlineLevel="1" collapsed="false">
      <c r="A42" s="2" t="s">
        <v>1678</v>
      </c>
      <c r="B42" s="11" t="s">
        <v>65</v>
      </c>
      <c r="C42" s="44" t="n">
        <f aca="false">C36+C37+C40+C41</f>
        <v>2.01268256759658</v>
      </c>
      <c r="D42" s="44" t="n">
        <f aca="false">D36+D37+D40+D41</f>
        <v>3.96503593798289</v>
      </c>
      <c r="E42" s="44" t="n">
        <f aca="false">E36+E37+E40+E41</f>
        <v>3.8911125616679</v>
      </c>
      <c r="F42" s="44" t="n">
        <f aca="false">F36+F37+F40+F41</f>
        <v>3.80182534979671</v>
      </c>
      <c r="G42" s="44" t="n">
        <f aca="false">G36+G37+G40+G41</f>
        <v>3.62184324478607</v>
      </c>
      <c r="I42" s="6" t="s">
        <v>1679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1680</v>
      </c>
    </row>
    <row r="2" customFormat="false" ht="15" hidden="false" customHeight="false" outlineLevel="0" collapsed="false">
      <c r="A2" s="6" t="s">
        <v>1681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1108</v>
      </c>
    </row>
    <row r="5" customFormat="false" ht="15" hidden="false" customHeight="false" outlineLevel="0" collapsed="false">
      <c r="A5" s="53" t="s">
        <v>1682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1683</v>
      </c>
      <c r="B6" s="11" t="s">
        <v>65</v>
      </c>
      <c r="C6" s="67" t="n">
        <f aca="false">輸入與假設!$C$335</f>
        <v>155.411</v>
      </c>
      <c r="D6" s="67" t="n">
        <f aca="false">各期收支!C56</f>
        <v>128.18251956481</v>
      </c>
      <c r="E6" s="67" t="n">
        <f aca="false">各期收支!D56</f>
        <v>86.3200024092921</v>
      </c>
      <c r="F6" s="67" t="n">
        <f aca="false">各期收支!E56</f>
        <v>64.5468423520706</v>
      </c>
      <c r="G6" s="67" t="n">
        <f aca="false">各期收支!F56</f>
        <v>55.9807161626762</v>
      </c>
      <c r="I6" s="11" t="s">
        <v>1684</v>
      </c>
    </row>
    <row r="7" customFormat="false" ht="15" hidden="false" customHeight="false" outlineLevel="1" collapsed="false">
      <c r="A7" s="3" t="s">
        <v>1685</v>
      </c>
      <c r="B7" s="11" t="s">
        <v>65</v>
      </c>
      <c r="C7" s="67" t="n">
        <f aca="false">各期收支!C103-輸入與假設!$C$335</f>
        <v>-18.7269804351898</v>
      </c>
      <c r="D7" s="67" t="n">
        <f aca="false">各期收支!D103-各期收支!C103</f>
        <v>-24.8595171555181</v>
      </c>
      <c r="E7" s="67" t="n">
        <f aca="false">各期收支!E103-各期收支!D103</f>
        <v>-4.77016005722152</v>
      </c>
      <c r="F7" s="67" t="n">
        <f aca="false">各期收支!F103-各期收支!E103</f>
        <v>8.43687381060562</v>
      </c>
      <c r="G7" s="67" t="n">
        <f aca="false">各期收支!G103-各期收支!F103</f>
        <v>-83.6579681827915</v>
      </c>
      <c r="I7" s="6" t="s">
        <v>1686</v>
      </c>
    </row>
    <row r="8" customFormat="false" ht="15" hidden="false" customHeight="false" outlineLevel="1" collapsed="false">
      <c r="A8" s="3" t="s">
        <v>1687</v>
      </c>
      <c r="B8" s="11" t="s">
        <v>65</v>
      </c>
      <c r="C8" s="67" t="n">
        <f aca="false">各期收支!C86</f>
        <v>0</v>
      </c>
      <c r="D8" s="67" t="n">
        <f aca="false">各期收支!D86</f>
        <v>0</v>
      </c>
      <c r="E8" s="67" t="n">
        <f aca="false">各期收支!E86</f>
        <v>0</v>
      </c>
      <c r="F8" s="67" t="n">
        <f aca="false">各期收支!F86</f>
        <v>0</v>
      </c>
      <c r="G8" s="67" t="n">
        <f aca="false">各期收支!G86</f>
        <v>81.7655284422266</v>
      </c>
    </row>
    <row r="9" customFormat="false" ht="15" hidden="false" customHeight="false" outlineLevel="1" collapsed="false">
      <c r="A9" s="3" t="s">
        <v>1688</v>
      </c>
      <c r="B9" s="11" t="s">
        <v>65</v>
      </c>
      <c r="C9" s="67" t="n">
        <f aca="false">各期收支!C89</f>
        <v>0</v>
      </c>
      <c r="D9" s="67" t="n">
        <f aca="false">各期收支!D89</f>
        <v>0</v>
      </c>
      <c r="E9" s="67" t="n">
        <f aca="false">各期收支!E89</f>
        <v>0</v>
      </c>
      <c r="F9" s="67" t="n">
        <f aca="false">各期收支!F89</f>
        <v>0</v>
      </c>
      <c r="G9" s="67" t="n">
        <f aca="false">各期收支!G89</f>
        <v>0</v>
      </c>
    </row>
    <row r="10" customFormat="false" ht="15" hidden="false" customHeight="false" outlineLevel="1" collapsed="false">
      <c r="A10" s="3" t="s">
        <v>1689</v>
      </c>
      <c r="B10" s="11" t="s">
        <v>65</v>
      </c>
      <c r="C10" s="67" t="n">
        <f aca="false">各期收支!C93</f>
        <v>0</v>
      </c>
      <c r="D10" s="67" t="n">
        <f aca="false">各期收支!D93</f>
        <v>0</v>
      </c>
      <c r="E10" s="67" t="n">
        <f aca="false">各期收支!E93</f>
        <v>0</v>
      </c>
      <c r="F10" s="67" t="n">
        <f aca="false">各期收支!F93</f>
        <v>0</v>
      </c>
      <c r="G10" s="67" t="n">
        <f aca="false">各期收支!G93</f>
        <v>0</v>
      </c>
    </row>
    <row r="11" customFormat="false" ht="15" hidden="false" customHeight="false" outlineLevel="1" collapsed="false">
      <c r="A11" s="3" t="s">
        <v>1690</v>
      </c>
      <c r="B11" s="11" t="s">
        <v>65</v>
      </c>
      <c r="C11" s="67" t="n">
        <f aca="false">各期收支!C92</f>
        <v>0</v>
      </c>
      <c r="D11" s="67" t="n">
        <f aca="false">各期收支!D92</f>
        <v>0</v>
      </c>
      <c r="E11" s="67" t="n">
        <f aca="false">各期收支!E92</f>
        <v>0</v>
      </c>
      <c r="F11" s="67" t="n">
        <f aca="false">各期收支!F92</f>
        <v>0</v>
      </c>
      <c r="G11" s="67" t="n">
        <f aca="false">各期收支!G92</f>
        <v>0</v>
      </c>
    </row>
    <row r="12" customFormat="false" ht="15" hidden="false" customHeight="false" outlineLevel="1" collapsed="false">
      <c r="A12" s="3" t="s">
        <v>1691</v>
      </c>
      <c r="B12" s="11" t="s">
        <v>65</v>
      </c>
      <c r="C12" s="67" t="n">
        <f aca="false">-各期收支!C76</f>
        <v>-8.5015</v>
      </c>
      <c r="D12" s="67" t="n">
        <f aca="false">-各期收支!D76</f>
        <v>-17.003</v>
      </c>
      <c r="E12" s="67" t="n">
        <f aca="false">-各期收支!E76</f>
        <v>-17.003</v>
      </c>
      <c r="F12" s="67" t="n">
        <f aca="false">-各期收支!F76</f>
        <v>-17.003</v>
      </c>
      <c r="G12" s="67" t="n">
        <f aca="false">-各期收支!G76</f>
        <v>-0</v>
      </c>
    </row>
    <row r="13" customFormat="false" ht="15" hidden="false" customHeight="false" outlineLevel="1" collapsed="false">
      <c r="A13" s="3" t="s">
        <v>1692</v>
      </c>
      <c r="B13" s="11" t="s">
        <v>65</v>
      </c>
      <c r="C13" s="67" t="n">
        <f aca="false">-各期收支!C94</f>
        <v>-0</v>
      </c>
      <c r="D13" s="67" t="n">
        <f aca="false">-各期收支!D94</f>
        <v>-0</v>
      </c>
      <c r="E13" s="67" t="n">
        <f aca="false">-各期收支!E94</f>
        <v>-0</v>
      </c>
      <c r="F13" s="67" t="n">
        <f aca="false">-各期收支!F94</f>
        <v>-0</v>
      </c>
      <c r="G13" s="67" t="n">
        <f aca="false">-各期收支!G94</f>
        <v>-4.08827642211133</v>
      </c>
    </row>
    <row r="14" customFormat="false" ht="15" hidden="false" customHeight="false" outlineLevel="1" collapsed="false">
      <c r="A14" s="2" t="s">
        <v>1693</v>
      </c>
      <c r="B14" s="11" t="s">
        <v>65</v>
      </c>
      <c r="C14" s="44" t="n">
        <f aca="false">SUM(C6:C13)</f>
        <v>128.18251956481</v>
      </c>
      <c r="D14" s="44" t="n">
        <f aca="false">SUM(D6:D13)</f>
        <v>86.3200024092921</v>
      </c>
      <c r="E14" s="44" t="n">
        <f aca="false">SUM(E6:E13)</f>
        <v>64.5468423520706</v>
      </c>
      <c r="F14" s="44" t="n">
        <f aca="false">SUM(F6:F13)</f>
        <v>55.9807161626762</v>
      </c>
      <c r="G14" s="44" t="n">
        <f aca="false">SUM(G6:G13)</f>
        <v>50</v>
      </c>
      <c r="I14" s="6" t="s">
        <v>1694</v>
      </c>
    </row>
    <row r="15" customFormat="false" ht="15" hidden="false" customHeight="false" outlineLevel="1" collapsed="false">
      <c r="A15" s="3" t="s">
        <v>1695</v>
      </c>
      <c r="B15" s="11" t="s">
        <v>65</v>
      </c>
      <c r="C15" s="67" t="n">
        <f aca="false">C14-各期收支!C56</f>
        <v>0</v>
      </c>
      <c r="D15" s="67" t="n">
        <f aca="false">D14-各期收支!D56</f>
        <v>0</v>
      </c>
      <c r="E15" s="67" t="n">
        <f aca="false">E14-各期收支!E56</f>
        <v>0</v>
      </c>
      <c r="F15" s="67" t="n">
        <f aca="false">F14-各期收支!F56</f>
        <v>0</v>
      </c>
      <c r="G15" s="67" t="n">
        <f aca="false">G14-各期收支!G56</f>
        <v>0</v>
      </c>
      <c r="I15" s="6" t="s">
        <v>1696</v>
      </c>
    </row>
    <row r="16" customFormat="false" ht="15" hidden="false" customHeight="false" outlineLevel="0" collapsed="false">
      <c r="A16" s="53" t="s">
        <v>1697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1698</v>
      </c>
      <c r="B17" s="11" t="s">
        <v>65</v>
      </c>
      <c r="C17" s="67" t="n">
        <f aca="false">資產負債_既有債務!$E$16+SUMPRODUCT((1-資產負債_既有債務!$F$27:$F$27)*資產負債_既有債務!$C$27:$C$27)</f>
        <v>101.085</v>
      </c>
      <c r="D17" s="67" t="n">
        <f aca="false">C19</f>
        <v>99.085</v>
      </c>
      <c r="E17" s="67" t="n">
        <f aca="false">D19</f>
        <v>98.085</v>
      </c>
      <c r="F17" s="67" t="n">
        <f aca="false">E19</f>
        <v>95.409</v>
      </c>
      <c r="G17" s="67" t="n">
        <f aca="false">F19</f>
        <v>93.645</v>
      </c>
      <c r="I17" s="11" t="s">
        <v>1699</v>
      </c>
    </row>
    <row r="18" customFormat="false" ht="15" hidden="false" customHeight="false" outlineLevel="1" collapsed="false">
      <c r="A18" s="3" t="s">
        <v>1700</v>
      </c>
      <c r="B18" s="11" t="s">
        <v>65</v>
      </c>
      <c r="C18" s="67" t="n">
        <f aca="false">-IF(輸入與假設!$C$340=1,輸入與假設!C$369,0)-資產負債_既有債務!C38</f>
        <v>-2</v>
      </c>
      <c r="D18" s="67" t="n">
        <f aca="false">-IF(輸入與假設!$C$340=1,輸入與假設!D$369,0)-資產負債_既有債務!D38</f>
        <v>-1</v>
      </c>
      <c r="E18" s="67" t="n">
        <f aca="false">-IF(輸入與假設!$C$340=1,輸入與假設!E$369,0)-資產負債_既有債務!E38</f>
        <v>-2.676</v>
      </c>
      <c r="F18" s="67" t="n">
        <f aca="false">-IF(輸入與假設!$C$340=1,輸入與假設!F$369,0)-資產負債_既有債務!F38</f>
        <v>-1.764</v>
      </c>
      <c r="G18" s="67" t="n">
        <f aca="false">-IF(輸入與假設!$C$340=1,輸入與假設!G$369,0)-資產負債_既有債務!G38</f>
        <v>-7.186</v>
      </c>
    </row>
    <row r="19" customFormat="false" ht="15" hidden="false" customHeight="false" outlineLevel="1" collapsed="false">
      <c r="A19" s="3" t="s">
        <v>1701</v>
      </c>
      <c r="B19" s="11" t="s">
        <v>65</v>
      </c>
      <c r="C19" s="67" t="n">
        <f aca="false">各期收支!C82-0</f>
        <v>99.085</v>
      </c>
      <c r="D19" s="67" t="n">
        <f aca="false">各期收支!D82-0</f>
        <v>98.085</v>
      </c>
      <c r="E19" s="67" t="n">
        <f aca="false">各期收支!E82-0</f>
        <v>95.409</v>
      </c>
      <c r="F19" s="67" t="n">
        <f aca="false">各期收支!F82-0</f>
        <v>93.645</v>
      </c>
      <c r="G19" s="67" t="n">
        <f aca="false">各期收支!G82-0</f>
        <v>86.459</v>
      </c>
      <c r="I19" s="6" t="s">
        <v>1702</v>
      </c>
    </row>
    <row r="20" customFormat="false" ht="15" hidden="false" customHeight="false" outlineLevel="1" collapsed="false">
      <c r="A20" s="3" t="s">
        <v>1703</v>
      </c>
      <c r="B20" s="11" t="s">
        <v>65</v>
      </c>
      <c r="C20" s="67" t="n">
        <f aca="false">0</f>
        <v>0</v>
      </c>
      <c r="D20" s="67" t="n">
        <f aca="false">0</f>
        <v>0</v>
      </c>
      <c r="E20" s="67" t="n">
        <f aca="false">0</f>
        <v>0</v>
      </c>
      <c r="F20" s="67" t="n">
        <f aca="false">0</f>
        <v>0</v>
      </c>
      <c r="G20" s="67" t="n">
        <f aca="false">0</f>
        <v>0</v>
      </c>
    </row>
    <row r="21" customFormat="false" ht="15" hidden="false" customHeight="false" outlineLevel="1" collapsed="false">
      <c r="A21" s="3" t="s">
        <v>1704</v>
      </c>
      <c r="B21" s="11" t="s">
        <v>65</v>
      </c>
      <c r="C21" s="67" t="n">
        <f aca="false">各期收支!C98</f>
        <v>0</v>
      </c>
      <c r="D21" s="67" t="n">
        <f aca="false">各期收支!D98</f>
        <v>0</v>
      </c>
      <c r="E21" s="67" t="n">
        <f aca="false">各期收支!E98</f>
        <v>0</v>
      </c>
      <c r="F21" s="67" t="n">
        <f aca="false">各期收支!F98</f>
        <v>0</v>
      </c>
      <c r="G21" s="67" t="n">
        <f aca="false">各期收支!G98</f>
        <v>81.7655284422266</v>
      </c>
    </row>
    <row r="22" customFormat="false" ht="15" hidden="false" customHeight="false" outlineLevel="1" collapsed="false">
      <c r="A22" s="3" t="s">
        <v>1705</v>
      </c>
      <c r="B22" s="11" t="s">
        <v>65</v>
      </c>
      <c r="C22" s="67" t="n">
        <f aca="false">各期收支!C101</f>
        <v>0</v>
      </c>
      <c r="D22" s="67" t="n">
        <f aca="false">各期收支!D101</f>
        <v>0</v>
      </c>
      <c r="E22" s="67" t="n">
        <f aca="false">各期收支!E101</f>
        <v>0</v>
      </c>
      <c r="F22" s="67" t="n">
        <f aca="false">各期收支!F101</f>
        <v>0</v>
      </c>
      <c r="G22" s="67" t="n">
        <f aca="false">各期收支!G101</f>
        <v>0</v>
      </c>
    </row>
    <row r="23" customFormat="false" ht="15" hidden="false" customHeight="false" outlineLevel="1" collapsed="false">
      <c r="A23" s="3" t="s">
        <v>1706</v>
      </c>
      <c r="B23" s="11" t="s">
        <v>65</v>
      </c>
      <c r="C23" s="67" t="n">
        <f aca="false">各期收支!C100</f>
        <v>0</v>
      </c>
      <c r="D23" s="67" t="n">
        <f aca="false">各期收支!D100</f>
        <v>0</v>
      </c>
      <c r="E23" s="67" t="n">
        <f aca="false">各期收支!E100</f>
        <v>0</v>
      </c>
      <c r="F23" s="67" t="n">
        <f aca="false">各期收支!F100</f>
        <v>0</v>
      </c>
      <c r="G23" s="67" t="n">
        <f aca="false">各期收支!G100</f>
        <v>0</v>
      </c>
    </row>
    <row r="24" customFormat="false" ht="15" hidden="false" customHeight="false" outlineLevel="1" collapsed="false">
      <c r="A24" s="2" t="s">
        <v>1707</v>
      </c>
      <c r="B24" s="11" t="s">
        <v>65</v>
      </c>
      <c r="C24" s="44" t="n">
        <f aca="false">SUM(C19:C23)</f>
        <v>99.085</v>
      </c>
      <c r="D24" s="44" t="n">
        <f aca="false">SUM(D19:D23)</f>
        <v>98.085</v>
      </c>
      <c r="E24" s="44" t="n">
        <f aca="false">SUM(E19:E23)</f>
        <v>95.409</v>
      </c>
      <c r="F24" s="44" t="n">
        <f aca="false">SUM(F19:F23)</f>
        <v>93.645</v>
      </c>
      <c r="G24" s="44" t="n">
        <f aca="false">SUM(G19:G23)</f>
        <v>168.224528442227</v>
      </c>
      <c r="I24" s="6" t="s">
        <v>1708</v>
      </c>
    </row>
    <row r="25" customFormat="false" ht="15" hidden="false" customHeight="false" outlineLevel="1" collapsed="false">
      <c r="A25" s="2" t="s">
        <v>1709</v>
      </c>
      <c r="B25" s="11" t="s">
        <v>65</v>
      </c>
      <c r="C25" s="44" t="n">
        <f aca="false">C24-C14</f>
        <v>-29.0975195648102</v>
      </c>
      <c r="D25" s="44" t="n">
        <f aca="false">D24-D14</f>
        <v>11.7649975907079</v>
      </c>
      <c r="E25" s="44" t="n">
        <f aca="false">E24-E14</f>
        <v>30.8621576479294</v>
      </c>
      <c r="F25" s="44" t="n">
        <f aca="false">F24-F14</f>
        <v>37.6642838373238</v>
      </c>
      <c r="G25" s="44" t="n">
        <f aca="false">G24-G14</f>
        <v>118.224528442227</v>
      </c>
    </row>
    <row r="26" customFormat="false" ht="15" hidden="false" customHeight="false" outlineLevel="0" collapsed="false">
      <c r="A26" s="53" t="s">
        <v>1710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1711</v>
      </c>
      <c r="B27" s="11" t="s">
        <v>709</v>
      </c>
      <c r="C27" s="31" t="n">
        <f aca="false">損益!C23</f>
        <v>12.3636006353528</v>
      </c>
      <c r="D27" s="31" t="n">
        <f aca="false">損益!D23</f>
        <v>12.4872366417064</v>
      </c>
      <c r="E27" s="31" t="n">
        <f aca="false">損益!E23</f>
        <v>12.6121090081234</v>
      </c>
      <c r="F27" s="31" t="n">
        <f aca="false">損益!F23</f>
        <v>12.7382300982047</v>
      </c>
      <c r="G27" s="31" t="n">
        <f aca="false">損益!G23</f>
        <v>12.8656123991867</v>
      </c>
    </row>
    <row r="28" customFormat="false" ht="15" hidden="false" customHeight="false" outlineLevel="1" collapsed="false">
      <c r="A28" s="3" t="s">
        <v>1712</v>
      </c>
      <c r="B28" s="11" t="s">
        <v>709</v>
      </c>
      <c r="C28" s="31" t="n">
        <f aca="false">各期收支!C96</f>
        <v>0</v>
      </c>
      <c r="D28" s="31" t="n">
        <f aca="false">各期收支!D96</f>
        <v>0</v>
      </c>
      <c r="E28" s="31" t="n">
        <f aca="false">各期收支!E96</f>
        <v>0</v>
      </c>
      <c r="F28" s="31" t="n">
        <f aca="false">各期收支!F96</f>
        <v>0</v>
      </c>
      <c r="G28" s="31" t="n">
        <f aca="false">各期收支!G96</f>
        <v>0</v>
      </c>
    </row>
    <row r="29" customFormat="false" ht="15" hidden="false" customHeight="false" outlineLevel="1" collapsed="false">
      <c r="A29" s="2" t="s">
        <v>1713</v>
      </c>
      <c r="B29" s="11" t="s">
        <v>709</v>
      </c>
      <c r="C29" s="57" t="n">
        <f aca="false">損益!C24</f>
        <v>12.3393452858521</v>
      </c>
      <c r="D29" s="57" t="n">
        <f aca="false">損益!D24</f>
        <v>12.4144705932042</v>
      </c>
      <c r="E29" s="57" t="n">
        <f aca="false">損益!E24</f>
        <v>12.4908322606199</v>
      </c>
      <c r="F29" s="57" t="n">
        <f aca="false">損益!F24</f>
        <v>12.5684426516997</v>
      </c>
      <c r="G29" s="57" t="n">
        <f aca="false">損益!G24</f>
        <v>12.6958249526817</v>
      </c>
      <c r="I29" s="6" t="s">
        <v>1714</v>
      </c>
    </row>
    <row r="30" customFormat="false" ht="15" hidden="false" customHeight="false" outlineLevel="0" collapsed="false">
      <c r="A30" s="53" t="s">
        <v>1715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1232</v>
      </c>
      <c r="B31" s="11" t="s">
        <v>65</v>
      </c>
      <c r="C31" s="67" t="n">
        <f aca="false">各期收支!C81</f>
        <v>66.2200920694358</v>
      </c>
      <c r="D31" s="67" t="n">
        <f aca="false">各期收支!D81</f>
        <v>66.1137027907243</v>
      </c>
      <c r="E31" s="67" t="n">
        <f aca="false">各期收支!E81</f>
        <v>62.4339693047579</v>
      </c>
      <c r="F31" s="67" t="n">
        <f aca="false">各期收支!F81</f>
        <v>41.0117413196161</v>
      </c>
      <c r="G31" s="67" t="n">
        <f aca="false">各期收支!G81</f>
        <v>1.59044824721675</v>
      </c>
    </row>
    <row r="32" customFormat="false" ht="15" hidden="false" customHeight="false" outlineLevel="1" collapsed="false">
      <c r="A32" s="3" t="s">
        <v>1716</v>
      </c>
      <c r="B32" s="11" t="s">
        <v>65</v>
      </c>
      <c r="C32" s="67" t="n">
        <f aca="false">各期收支!C83</f>
        <v>579.613928568722</v>
      </c>
      <c r="D32" s="67" t="n">
        <f aca="false">各期收支!D83</f>
        <v>631.929951990299</v>
      </c>
      <c r="E32" s="67" t="n">
        <f aca="false">各期收支!E83</f>
        <v>734.21568124113</v>
      </c>
      <c r="F32" s="67" t="n">
        <f aca="false">各期收支!F83</f>
        <v>843.259418491131</v>
      </c>
      <c r="G32" s="67" t="n">
        <f aca="false">各期收支!G83</f>
        <v>936.305436338579</v>
      </c>
    </row>
    <row r="33" customFormat="false" ht="15" hidden="false" customHeight="false" outlineLevel="1" collapsed="false">
      <c r="A33" s="3" t="s">
        <v>1717</v>
      </c>
      <c r="B33" s="11" t="s">
        <v>111</v>
      </c>
      <c r="C33" s="80" t="n">
        <f aca="false">C24/MAX(0.01,C31)</f>
        <v>1.49629813102802</v>
      </c>
      <c r="D33" s="80" t="n">
        <f aca="false">D24/MAX(0.01,D31)</f>
        <v>1.48358049632279</v>
      </c>
      <c r="E33" s="80" t="n">
        <f aca="false">E24/MAX(0.01,E31)</f>
        <v>1.5281584858762</v>
      </c>
      <c r="F33" s="80" t="n">
        <f aca="false">F24/MAX(0.01,F31)</f>
        <v>2.28337049310338</v>
      </c>
      <c r="G33" s="80" t="n">
        <f aca="false">G24/MAX(0.01,G31)</f>
        <v>105.771771408857</v>
      </c>
      <c r="I33" s="6" t="s">
        <v>1718</v>
      </c>
    </row>
    <row r="34" customFormat="false" ht="15" hidden="false" customHeight="false" outlineLevel="1" collapsed="false">
      <c r="A34" s="3" t="s">
        <v>1719</v>
      </c>
      <c r="B34" s="11" t="s">
        <v>111</v>
      </c>
      <c r="C34" s="48" t="n">
        <f aca="false">C24/MAX(0.01,損益!C22/輸入與假設!C$34)</f>
        <v>0.4929943902164</v>
      </c>
      <c r="D34" s="48" t="n">
        <f aca="false">D24/MAX(0.01,損益!D22/輸入與假設!D$34)</f>
        <v>0.443855640172508</v>
      </c>
      <c r="E34" s="48" t="n">
        <f aca="false">E24/MAX(0.01,損益!E22/輸入與假設!E$34)</f>
        <v>0.370489231516581</v>
      </c>
      <c r="F34" s="48" t="n">
        <f aca="false">F24/MAX(0.01,損益!F22/輸入與假設!F$34)</f>
        <v>0.316138391492794</v>
      </c>
      <c r="G34" s="48" t="n">
        <f aca="false">G24/MAX(0.01,損益!G22/輸入與假設!G$34)</f>
        <v>0.510429519927217</v>
      </c>
      <c r="I34" s="11" t="s">
        <v>1720</v>
      </c>
    </row>
    <row r="35" customFormat="false" ht="15" hidden="false" customHeight="false" outlineLevel="1" collapsed="false">
      <c r="A35" s="3" t="s">
        <v>1721</v>
      </c>
      <c r="B35" s="11" t="s">
        <v>65</v>
      </c>
      <c r="C35" s="67" t="n">
        <f aca="false">各期收支!C63</f>
        <v>24.7261334114602</v>
      </c>
      <c r="D35" s="67" t="n">
        <f aca="false">各期收支!D63</f>
        <v>32.620730852718</v>
      </c>
      <c r="E35" s="67" t="n">
        <f aca="false">各期收支!E63</f>
        <v>40.3069509907814</v>
      </c>
      <c r="F35" s="67" t="n">
        <f aca="false">各期收支!F63</f>
        <v>47.6698990888628</v>
      </c>
      <c r="G35" s="67" t="n">
        <f aca="false">各期收支!G63</f>
        <v>54.8776224539205</v>
      </c>
      <c r="I35" s="6" t="s">
        <v>1722</v>
      </c>
    </row>
    <row r="36" customFormat="false" ht="15" hidden="false" customHeight="false" outlineLevel="1" collapsed="false">
      <c r="A36" s="4" t="s">
        <v>1723</v>
      </c>
      <c r="B36" s="11" t="s">
        <v>65</v>
      </c>
      <c r="C36" s="67" t="n">
        <f aca="false">(損益!C22+各期收支!C16)/輸入與假設!C$34</f>
        <v>201.446687326728</v>
      </c>
      <c r="D36" s="67" t="n">
        <f aca="false">(損益!D22+各期收支!D16)/輸入與假設!D$34</f>
        <v>221.516894281006</v>
      </c>
      <c r="E36" s="67" t="n">
        <f aca="false">(損益!E22+各期收支!E16)/輸入與假設!E$34</f>
        <v>258.174210743971</v>
      </c>
      <c r="F36" s="67" t="n">
        <f aca="false">(損益!F22+各期收支!F16)/輸入與假設!F$34</f>
        <v>296.976439193331</v>
      </c>
      <c r="G36" s="67" t="n">
        <f aca="false">(損益!G22+各期收支!G16)/輸入與假設!G$34</f>
        <v>330.394352930833</v>
      </c>
    </row>
    <row r="37" customFormat="false" ht="15" hidden="false" customHeight="false" outlineLevel="1" collapsed="false">
      <c r="A37" s="2" t="s">
        <v>1724</v>
      </c>
      <c r="B37" s="11" t="s">
        <v>111</v>
      </c>
      <c r="C37" s="81" t="n">
        <f aca="false">(C24+C35)/MAX(0.01,C36)</f>
        <v>0.614609925109616</v>
      </c>
      <c r="D37" s="81" t="n">
        <f aca="false">(D24+D35)/MAX(0.01,D36)</f>
        <v>0.590048588740645</v>
      </c>
      <c r="E37" s="81" t="n">
        <f aca="false">(E24+E35)/MAX(0.01,E36)</f>
        <v>0.52567586282028</v>
      </c>
      <c r="F37" s="81" t="n">
        <f aca="false">(F24+F35)/MAX(0.01,F36)</f>
        <v>0.475845489536855</v>
      </c>
      <c r="G37" s="81" t="n">
        <f aca="false">(G24+G35)/MAX(0.01,G36)</f>
        <v>0.675260182013016</v>
      </c>
      <c r="I37" s="11" t="s">
        <v>1725</v>
      </c>
    </row>
    <row r="38" customFormat="false" ht="15" hidden="false" customHeight="false" outlineLevel="1" collapsed="false">
      <c r="A38" s="3" t="s">
        <v>1726</v>
      </c>
      <c r="B38" s="11" t="s">
        <v>111</v>
      </c>
      <c r="C38" s="80" t="n">
        <f aca="false">輸入與假設!$C$343-C37</f>
        <v>2.38539007489038</v>
      </c>
      <c r="D38" s="80" t="n">
        <f aca="false">輸入與假設!$C$343-D37</f>
        <v>2.40995141125936</v>
      </c>
      <c r="E38" s="80" t="n">
        <f aca="false">輸入與假設!$C$343-E37</f>
        <v>2.47432413717972</v>
      </c>
      <c r="F38" s="80" t="n">
        <f aca="false">輸入與假設!$C$343-F37</f>
        <v>2.52415451046315</v>
      </c>
      <c r="G38" s="80" t="n">
        <f aca="false">輸入與假設!$C$343-G37</f>
        <v>2.32473981798698</v>
      </c>
      <c r="I38" s="6" t="s">
        <v>1727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1728</v>
      </c>
    </row>
    <row r="2" customFormat="false" ht="15" hidden="false" customHeight="false" outlineLevel="0" collapsed="false">
      <c r="A2" s="6" t="s">
        <v>1729</v>
      </c>
    </row>
    <row r="4" customFormat="false" ht="15" hidden="false" customHeight="false" outlineLevel="0" collapsed="false">
      <c r="A4" s="2" t="s">
        <v>1730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1731</v>
      </c>
      <c r="D5" s="15" t="s">
        <v>62</v>
      </c>
      <c r="E5" s="15" t="s">
        <v>63</v>
      </c>
      <c r="F5" s="15" t="s">
        <v>153</v>
      </c>
      <c r="G5" s="15" t="s">
        <v>154</v>
      </c>
      <c r="H5" s="14" t="s">
        <v>1732</v>
      </c>
    </row>
    <row r="6" customFormat="false" ht="15" hidden="false" customHeight="false" outlineLevel="0" collapsed="false">
      <c r="A6" s="3" t="s">
        <v>1733</v>
      </c>
      <c r="B6" s="11" t="s">
        <v>65</v>
      </c>
      <c r="C6" s="24" t="n">
        <v>1.836</v>
      </c>
      <c r="D6" s="24" t="n">
        <v>3.498</v>
      </c>
      <c r="E6" s="24" t="n">
        <v>2.979</v>
      </c>
      <c r="F6" s="24" t="n">
        <v>2.576</v>
      </c>
      <c r="G6" s="24" t="n">
        <v>2.046</v>
      </c>
      <c r="H6" s="24" t="n">
        <v>8.398</v>
      </c>
    </row>
    <row r="7" customFormat="false" ht="15" hidden="false" customHeight="false" outlineLevel="0" collapsed="false">
      <c r="A7" s="3" t="s">
        <v>1734</v>
      </c>
      <c r="B7" s="11" t="s">
        <v>65</v>
      </c>
      <c r="C7" s="24" t="n">
        <v>0.206</v>
      </c>
      <c r="D7" s="24" t="n">
        <v>0.387</v>
      </c>
      <c r="E7" s="24" t="n">
        <v>0.377</v>
      </c>
      <c r="F7" s="24" t="n">
        <v>0.356</v>
      </c>
      <c r="G7" s="24" t="n">
        <v>0.285</v>
      </c>
      <c r="H7" s="24" t="n">
        <v>1.309</v>
      </c>
    </row>
    <row r="8" customFormat="false" ht="15" hidden="false" customHeight="false" outlineLevel="0" collapsed="false">
      <c r="A8" s="2" t="s">
        <v>1735</v>
      </c>
      <c r="C8" s="59" t="n">
        <f aca="false">SUM(C6:C7)</f>
        <v>2.042</v>
      </c>
      <c r="D8" s="59" t="n">
        <f aca="false">SUM(D6:D7)</f>
        <v>3.885</v>
      </c>
      <c r="E8" s="59" t="n">
        <f aca="false">SUM(E6:E7)</f>
        <v>3.356</v>
      </c>
      <c r="F8" s="59" t="n">
        <f aca="false">SUM(F6:F7)</f>
        <v>2.932</v>
      </c>
      <c r="G8" s="59" t="n">
        <f aca="false">SUM(G6:G7)</f>
        <v>2.331</v>
      </c>
      <c r="H8" s="59" t="n">
        <f aca="false">SUM(H6:H7)</f>
        <v>9.707</v>
      </c>
      <c r="I8" s="6" t="s">
        <v>1736</v>
      </c>
    </row>
    <row r="10" customFormat="false" ht="15" hidden="false" customHeight="false" outlineLevel="0" collapsed="false">
      <c r="A10" s="2" t="s">
        <v>1737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1731</v>
      </c>
      <c r="D11" s="15" t="s">
        <v>62</v>
      </c>
      <c r="E11" s="15" t="s">
        <v>63</v>
      </c>
      <c r="F11" s="15" t="s">
        <v>153</v>
      </c>
      <c r="G11" s="15" t="s">
        <v>154</v>
      </c>
      <c r="H11" s="14" t="s">
        <v>1732</v>
      </c>
    </row>
    <row r="12" customFormat="false" ht="15" hidden="false" customHeight="false" outlineLevel="0" collapsed="false">
      <c r="A12" s="3" t="s">
        <v>1738</v>
      </c>
      <c r="B12" s="11" t="s">
        <v>65</v>
      </c>
      <c r="C12" s="24" t="n">
        <v>2</v>
      </c>
      <c r="D12" s="24" t="n">
        <v>1</v>
      </c>
      <c r="E12" s="24" t="n">
        <v>2.676</v>
      </c>
      <c r="F12" s="24" t="n">
        <v>1.764</v>
      </c>
      <c r="G12" s="24" t="n">
        <v>7.186</v>
      </c>
      <c r="H12" s="24" t="n">
        <v>86.459</v>
      </c>
      <c r="I12" s="6" t="s">
        <v>1739</v>
      </c>
    </row>
    <row r="13" customFormat="false" ht="15" hidden="false" customHeight="false" outlineLevel="0" collapsed="false">
      <c r="A13" s="2" t="s">
        <v>1658</v>
      </c>
      <c r="C13" s="59" t="n">
        <f aca="false">SUM(C12:H12)</f>
        <v>101.085</v>
      </c>
    </row>
    <row r="15" customFormat="false" ht="15" hidden="false" customHeight="false" outlineLevel="0" collapsed="false">
      <c r="A15" s="2" t="s">
        <v>1740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1741</v>
      </c>
      <c r="D16" s="14" t="s">
        <v>1557</v>
      </c>
      <c r="E16" s="14" t="s">
        <v>1742</v>
      </c>
      <c r="F16" s="14" t="s">
        <v>1743</v>
      </c>
    </row>
    <row r="17" customFormat="false" ht="15" hidden="false" customHeight="false" outlineLevel="0" collapsed="false">
      <c r="A17" s="3" t="s">
        <v>1744</v>
      </c>
      <c r="B17" s="11" t="s">
        <v>65</v>
      </c>
      <c r="C17" s="82" t="n">
        <v>85.2</v>
      </c>
      <c r="D17" s="6" t="s">
        <v>1745</v>
      </c>
      <c r="E17" s="6" t="s">
        <v>1746</v>
      </c>
      <c r="F17" s="6" t="s">
        <v>1747</v>
      </c>
    </row>
    <row r="18" customFormat="false" ht="15" hidden="false" customHeight="false" outlineLevel="0" collapsed="false">
      <c r="A18" s="3" t="s">
        <v>1748</v>
      </c>
      <c r="B18" s="11" t="s">
        <v>65</v>
      </c>
      <c r="C18" s="82" t="n">
        <v>0</v>
      </c>
      <c r="D18" s="6" t="s">
        <v>1749</v>
      </c>
      <c r="E18" s="6" t="s">
        <v>1746</v>
      </c>
      <c r="F18" s="6" t="s">
        <v>1747</v>
      </c>
    </row>
    <row r="19" customFormat="false" ht="15" hidden="false" customHeight="false" outlineLevel="0" collapsed="false">
      <c r="A19" s="3" t="s">
        <v>689</v>
      </c>
      <c r="B19" s="11" t="s">
        <v>65</v>
      </c>
      <c r="C19" s="82" t="n">
        <v>10.4</v>
      </c>
      <c r="D19" s="11" t="s">
        <v>1750</v>
      </c>
      <c r="E19" s="6" t="s">
        <v>1751</v>
      </c>
      <c r="F19" s="6" t="s">
        <v>1752</v>
      </c>
    </row>
    <row r="20" customFormat="false" ht="15" hidden="false" customHeight="false" outlineLevel="0" collapsed="false">
      <c r="A20" s="2" t="s">
        <v>1753</v>
      </c>
      <c r="C20" s="59" t="n">
        <f aca="false">C17+C18</f>
        <v>85.2</v>
      </c>
    </row>
    <row r="21" customFormat="false" ht="15" hidden="false" customHeight="false" outlineLevel="0" collapsed="false">
      <c r="A21" s="3" t="s">
        <v>1754</v>
      </c>
      <c r="C21" s="83" t="n">
        <f aca="false">SUM(各期收支!C15:G15)</f>
        <v>11.0372727272727</v>
      </c>
    </row>
    <row r="22" customFormat="false" ht="15" hidden="false" customHeight="false" outlineLevel="0" collapsed="false">
      <c r="A22" s="3" t="s">
        <v>1755</v>
      </c>
      <c r="C22" s="58" t="n">
        <f aca="false">MAX(0,輸入與假設!$C$19-C21)</f>
        <v>74.1627272727273</v>
      </c>
    </row>
    <row r="23" customFormat="false" ht="15" hidden="false" customHeight="false" outlineLevel="0" collapsed="false">
      <c r="A23" s="2" t="s">
        <v>1756</v>
      </c>
      <c r="C23" s="84" t="n">
        <f aca="false">(C21+C22)/C20</f>
        <v>1</v>
      </c>
      <c r="I23" s="6" t="s">
        <v>1757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1758</v>
      </c>
    </row>
    <row r="2" customFormat="false" ht="15" hidden="false" customHeight="false" outlineLevel="0" collapsed="false">
      <c r="A2" s="6" t="s">
        <v>1759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1108</v>
      </c>
    </row>
    <row r="5" customFormat="false" ht="15" hidden="false" customHeight="false" outlineLevel="0" collapsed="false">
      <c r="A5" s="53" t="s">
        <v>1760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1761</v>
      </c>
      <c r="B6" s="11" t="s">
        <v>65</v>
      </c>
      <c r="C6" s="41" t="n">
        <f aca="false">運營_產能與收入!C26</f>
        <v>13.2440184138872</v>
      </c>
      <c r="D6" s="41" t="n">
        <f aca="false">運營_產能與收入!D26</f>
        <v>39.6788606023057</v>
      </c>
      <c r="E6" s="41" t="n">
        <f aca="false">運營_產能與收入!E26</f>
        <v>57.6784241604754</v>
      </c>
      <c r="F6" s="41" t="n">
        <f aca="false">運營_產能與收入!F26</f>
        <v>75.8065222481422</v>
      </c>
      <c r="G6" s="41" t="n">
        <f aca="false">運營_產能與收入!G26</f>
        <v>93.9991368360136</v>
      </c>
      <c r="I6" s="6" t="s">
        <v>1762</v>
      </c>
    </row>
    <row r="7" customFormat="false" ht="15" hidden="false" customHeight="false" outlineLevel="1" collapsed="false">
      <c r="A7" s="3" t="s">
        <v>1763</v>
      </c>
      <c r="B7" s="11" t="s">
        <v>65</v>
      </c>
      <c r="C7" s="41" t="n">
        <f aca="false">輸入與假設!C$43</f>
        <v>0</v>
      </c>
      <c r="D7" s="41" t="n">
        <f aca="false">輸入與假設!D$43</f>
        <v>0</v>
      </c>
      <c r="E7" s="41" t="n">
        <f aca="false">輸入與假設!E$43</f>
        <v>0</v>
      </c>
      <c r="F7" s="41" t="n">
        <f aca="false">輸入與假設!F$43</f>
        <v>0</v>
      </c>
      <c r="G7" s="41" t="n">
        <f aca="false">輸入與假設!G$43</f>
        <v>0</v>
      </c>
    </row>
    <row r="8" customFormat="false" ht="15" hidden="false" customHeight="false" outlineLevel="1" collapsed="false">
      <c r="A8" s="3" t="s">
        <v>1764</v>
      </c>
      <c r="B8" s="11" t="s">
        <v>65</v>
      </c>
      <c r="C8" s="41" t="n">
        <f aca="false">輸入與假設!C$248</f>
        <v>249.332291843113</v>
      </c>
      <c r="D8" s="41" t="n">
        <f aca="false">輸入與假設!D$248</f>
        <v>559.419723350884</v>
      </c>
      <c r="E8" s="41" t="n">
        <f aca="false">輸入與假設!E$248</f>
        <v>637.610917655028</v>
      </c>
      <c r="F8" s="41" t="n">
        <f aca="false">輸入與假設!F$248</f>
        <v>708.157849778132</v>
      </c>
      <c r="G8" s="41" t="n">
        <f aca="false">輸入與假設!G$248</f>
        <v>763.231247501443</v>
      </c>
      <c r="I8" s="6" t="s">
        <v>1765</v>
      </c>
    </row>
    <row r="9" customFormat="false" ht="15" hidden="false" customHeight="false" outlineLevel="1" collapsed="false">
      <c r="A9" s="2" t="s">
        <v>1766</v>
      </c>
      <c r="B9" s="11" t="s">
        <v>65</v>
      </c>
      <c r="C9" s="44" t="n">
        <f aca="false">C6+C7+C8</f>
        <v>262.576310257</v>
      </c>
      <c r="D9" s="44" t="n">
        <f aca="false">D6+D7+D8</f>
        <v>599.098583953189</v>
      </c>
      <c r="E9" s="44" t="n">
        <f aca="false">E6+E7+E8</f>
        <v>695.289341815504</v>
      </c>
      <c r="F9" s="44" t="n">
        <f aca="false">F6+F7+F8</f>
        <v>783.964372026275</v>
      </c>
      <c r="G9" s="44" t="n">
        <f aca="false">G6+G7+G8</f>
        <v>857.230384337456</v>
      </c>
    </row>
    <row r="10" customFormat="false" ht="15" hidden="false" customHeight="false" outlineLevel="1" collapsed="false">
      <c r="A10" s="4" t="s">
        <v>550</v>
      </c>
      <c r="B10" s="11" t="s">
        <v>42</v>
      </c>
      <c r="C10" s="54" t="n">
        <f aca="false">輸入與假設!C$258</f>
        <v>0.840722228604692</v>
      </c>
      <c r="D10" s="54" t="n">
        <f aca="false">輸入與假設!D$258</f>
        <v>0.845249371659162</v>
      </c>
      <c r="E10" s="54" t="n">
        <f aca="false">輸入與假設!E$258</f>
        <v>0.84863409538504</v>
      </c>
      <c r="F10" s="54" t="n">
        <f aca="false">輸入與假設!F$258</f>
        <v>0.850545503204223</v>
      </c>
      <c r="G10" s="54" t="n">
        <f aca="false">輸入與假設!G$258</f>
        <v>0.851773618922997</v>
      </c>
    </row>
    <row r="11" customFormat="false" ht="15" hidden="false" customHeight="false" outlineLevel="1" collapsed="false">
      <c r="A11" s="3" t="s">
        <v>1767</v>
      </c>
      <c r="B11" s="11" t="s">
        <v>65</v>
      </c>
      <c r="C11" s="41" t="n">
        <f aca="false">運營_產能與收入!C62</f>
        <v>0</v>
      </c>
      <c r="D11" s="41" t="n">
        <f aca="false">運營_產能與收入!D62</f>
        <v>0</v>
      </c>
      <c r="E11" s="41" t="n">
        <f aca="false">運營_產能與收入!E62</f>
        <v>0</v>
      </c>
      <c r="F11" s="41" t="n">
        <f aca="false">運營_產能與收入!F62</f>
        <v>0</v>
      </c>
      <c r="G11" s="41" t="n">
        <f aca="false">運營_產能與收入!G62</f>
        <v>0</v>
      </c>
      <c r="I11" s="6" t="s">
        <v>1167</v>
      </c>
    </row>
    <row r="12" customFormat="false" ht="15" hidden="false" customHeight="false" outlineLevel="1" collapsed="false">
      <c r="A12" s="3" t="s">
        <v>1768</v>
      </c>
      <c r="B12" s="11" t="s">
        <v>65</v>
      </c>
      <c r="C12" s="67" t="n">
        <f aca="false">(C6+C7)*輸入與假設!C$258+輸入與假設!C$48+輸入與假設!C$249-輸入與假設!C$250-C11-輸入與假設!C$332</f>
        <v>76.4339439273811</v>
      </c>
      <c r="D12" s="67" t="n">
        <f aca="false">(D6+D7)*輸入與假設!D$258+輸入與假設!D$48+輸入與假設!D$249-輸入與假設!D$250-D11-輸入與假設!D$332</f>
        <v>149.455565421103</v>
      </c>
      <c r="E12" s="67" t="n">
        <f aca="false">(E6+E7)*輸入與假設!E$258+輸入與假設!E$48+輸入與假設!E$249-輸入與假設!E$250-E11-輸入與假設!E$332</f>
        <v>153.518402366097</v>
      </c>
      <c r="F12" s="67" t="n">
        <f aca="false">(F6+F7)*輸入與假設!F$258+輸入與假設!F$48+輸入與假設!F$249-輸入與假設!F$250-F11-輸入與假設!F$332</f>
        <v>158.020125586877</v>
      </c>
      <c r="G12" s="67" t="n">
        <f aca="false">(G6+G7)*輸入與假設!G$258+輸入與假設!G$48+輸入與假設!G$249-輸入與假設!G$250-G11-輸入與假設!G$332</f>
        <v>156.572016271269</v>
      </c>
      <c r="I12" s="6" t="s">
        <v>1769</v>
      </c>
    </row>
    <row r="13" customFormat="false" ht="15" hidden="false" customHeight="false" outlineLevel="1" collapsed="false">
      <c r="A13" s="3" t="s">
        <v>1770</v>
      </c>
      <c r="B13" s="11" t="s">
        <v>65</v>
      </c>
      <c r="C13" s="41" t="n">
        <f aca="false">各期收支!C21</f>
        <v>2.01268256759658</v>
      </c>
      <c r="D13" s="41" t="n">
        <f aca="false">各期收支!D21</f>
        <v>3.96503593798289</v>
      </c>
      <c r="E13" s="41" t="n">
        <f aca="false">各期收支!E21</f>
        <v>3.8911125616679</v>
      </c>
      <c r="F13" s="41" t="n">
        <f aca="false">各期收支!F21</f>
        <v>3.80182534979671</v>
      </c>
      <c r="G13" s="41" t="n">
        <f aca="false">各期收支!G21</f>
        <v>7.7101196668974</v>
      </c>
    </row>
    <row r="14" customFormat="false" ht="15" hidden="false" customHeight="false" outlineLevel="1" collapsed="false">
      <c r="A14" s="3" t="s">
        <v>1771</v>
      </c>
      <c r="B14" s="11" t="s">
        <v>65</v>
      </c>
      <c r="C14" s="41" t="n">
        <f aca="false">各期收支!C10</f>
        <v>0</v>
      </c>
      <c r="D14" s="41" t="n">
        <f aca="false">各期收支!D10</f>
        <v>0</v>
      </c>
      <c r="E14" s="41" t="n">
        <f aca="false">各期收支!E10</f>
        <v>0</v>
      </c>
      <c r="F14" s="41" t="n">
        <f aca="false">各期收支!F10</f>
        <v>0</v>
      </c>
      <c r="G14" s="41" t="n">
        <f aca="false">各期收支!G10</f>
        <v>0</v>
      </c>
      <c r="I14" s="6" t="s">
        <v>1772</v>
      </c>
    </row>
    <row r="15" customFormat="false" ht="15" hidden="false" customHeight="false" outlineLevel="1" collapsed="false">
      <c r="A15" s="3" t="s">
        <v>1773</v>
      </c>
      <c r="B15" s="11" t="s">
        <v>65</v>
      </c>
      <c r="C15" s="67" t="n">
        <f aca="false">C12-C13-C14</f>
        <v>74.4212613597845</v>
      </c>
      <c r="D15" s="67" t="n">
        <f aca="false">D12-D13-D14</f>
        <v>145.49052948312</v>
      </c>
      <c r="E15" s="67" t="n">
        <f aca="false">E12-E13-E14</f>
        <v>149.627289804429</v>
      </c>
      <c r="F15" s="67" t="n">
        <f aca="false">F12-F13-F14</f>
        <v>154.21830023708</v>
      </c>
      <c r="G15" s="67" t="n">
        <f aca="false">G12-G13-G14</f>
        <v>148.861896604372</v>
      </c>
    </row>
    <row r="16" customFormat="false" ht="15" hidden="false" customHeight="false" outlineLevel="1" collapsed="false">
      <c r="A16" s="4" t="s">
        <v>1774</v>
      </c>
      <c r="B16" s="11" t="s">
        <v>65</v>
      </c>
      <c r="C16" s="67" t="n">
        <f aca="false">輸入與假設!$C$404</f>
        <v>0</v>
      </c>
      <c r="D16" s="67" t="n">
        <f aca="false">C18</f>
        <v>0</v>
      </c>
      <c r="E16" s="67" t="n">
        <f aca="false">D18</f>
        <v>0</v>
      </c>
      <c r="F16" s="67" t="n">
        <f aca="false">E18</f>
        <v>0</v>
      </c>
      <c r="G16" s="67" t="n">
        <f aca="false">F18</f>
        <v>0</v>
      </c>
      <c r="I16" s="11" t="s">
        <v>1775</v>
      </c>
    </row>
    <row r="17" customFormat="false" ht="15" hidden="false" customHeight="false" outlineLevel="1" collapsed="false">
      <c r="A17" s="3" t="s">
        <v>1776</v>
      </c>
      <c r="B17" s="11" t="s">
        <v>65</v>
      </c>
      <c r="C17" s="67" t="n">
        <f aca="false">MIN(C16,MAX(0,C15)*輸入與假設!$C$405)</f>
        <v>0</v>
      </c>
      <c r="D17" s="67" t="n">
        <f aca="false">MIN(D16,MAX(0,D15)*輸入與假設!$C$405)</f>
        <v>0</v>
      </c>
      <c r="E17" s="67" t="n">
        <f aca="false">MIN(E16,MAX(0,E15)*輸入與假設!$C$405)</f>
        <v>0</v>
      </c>
      <c r="F17" s="67" t="n">
        <f aca="false">MIN(F16,MAX(0,F15)*輸入與假設!$C$405)</f>
        <v>0</v>
      </c>
      <c r="G17" s="67" t="n">
        <f aca="false">MIN(G16,MAX(0,G15)*輸入與假設!$C$405)</f>
        <v>0</v>
      </c>
      <c r="I17" s="6" t="s">
        <v>1777</v>
      </c>
    </row>
    <row r="18" customFormat="false" ht="15" hidden="false" customHeight="false" outlineLevel="1" collapsed="false">
      <c r="A18" s="4" t="s">
        <v>1778</v>
      </c>
      <c r="B18" s="11" t="s">
        <v>65</v>
      </c>
      <c r="C18" s="67" t="n">
        <f aca="false">C16-C17+MAX(0,-C15)</f>
        <v>0</v>
      </c>
      <c r="D18" s="67" t="n">
        <f aca="false">D16-D17+MAX(0,-D15)</f>
        <v>0</v>
      </c>
      <c r="E18" s="67" t="n">
        <f aca="false">E16-E17+MAX(0,-E15)</f>
        <v>0</v>
      </c>
      <c r="F18" s="67" t="n">
        <f aca="false">F16-F17+MAX(0,-F15)</f>
        <v>0</v>
      </c>
      <c r="G18" s="67" t="n">
        <f aca="false">G16-G17+MAX(0,-G15)</f>
        <v>0</v>
      </c>
    </row>
    <row r="19" customFormat="false" ht="15" hidden="false" customHeight="false" outlineLevel="1" collapsed="false">
      <c r="A19" s="3" t="s">
        <v>1779</v>
      </c>
      <c r="B19" s="11" t="s">
        <v>65</v>
      </c>
      <c r="C19" s="67" t="n">
        <f aca="false">MAX(0,C15-C17)*輸入與假設!$C$391</f>
        <v>12.5027719084438</v>
      </c>
      <c r="D19" s="67" t="n">
        <f aca="false">MAX(0,D15-D17)*輸入與假設!$C$391</f>
        <v>24.4424089531642</v>
      </c>
      <c r="E19" s="67" t="n">
        <f aca="false">MAX(0,E15-E17)*輸入與假設!$C$391</f>
        <v>25.137384687144</v>
      </c>
      <c r="F19" s="67" t="n">
        <f aca="false">MAX(0,F15-F17)*輸入與假設!$C$391</f>
        <v>25.9086744398294</v>
      </c>
      <c r="G19" s="67" t="n">
        <f aca="false">MAX(0,G15-G17)*輸入與假設!$C$391</f>
        <v>25.0087986295345</v>
      </c>
      <c r="I19" s="6" t="s">
        <v>1780</v>
      </c>
    </row>
    <row r="20" customFormat="false" ht="15" hidden="false" customHeight="false" outlineLevel="1" collapsed="false">
      <c r="A20" s="2" t="s">
        <v>1781</v>
      </c>
      <c r="B20" s="11" t="s">
        <v>65</v>
      </c>
      <c r="C20" s="44" t="n">
        <f aca="false">C15-C19</f>
        <v>61.9184894513407</v>
      </c>
      <c r="D20" s="44" t="n">
        <f aca="false">D15-D19</f>
        <v>121.048120529956</v>
      </c>
      <c r="E20" s="44" t="n">
        <f aca="false">E15-E19</f>
        <v>124.489905117285</v>
      </c>
      <c r="F20" s="44" t="n">
        <f aca="false">F15-F19</f>
        <v>128.30962579725</v>
      </c>
      <c r="G20" s="44" t="n">
        <f aca="false">G15-G19</f>
        <v>123.853097974837</v>
      </c>
    </row>
    <row r="21" customFormat="false" ht="15" hidden="false" customHeight="false" outlineLevel="1" collapsed="false">
      <c r="A21" s="4" t="s">
        <v>972</v>
      </c>
      <c r="B21" s="11" t="s">
        <v>65</v>
      </c>
      <c r="C21" s="41" t="n">
        <f aca="false">輸入與假設!C$332+輸入與假設!C$250</f>
        <v>24.059085979619</v>
      </c>
      <c r="D21" s="41" t="n">
        <f aca="false">輸入與假設!D$332+輸入與假設!D$250</f>
        <v>71.5284463217205</v>
      </c>
      <c r="E21" s="41" t="n">
        <f aca="false">輸入與假設!E$332+輸入與假設!E$250</f>
        <v>104.003252472419</v>
      </c>
      <c r="F21" s="41" t="n">
        <f aca="false">輸入與假設!F$332+輸入與假設!F$250</f>
        <v>138.195084333727</v>
      </c>
      <c r="G21" s="41" t="n">
        <f aca="false">輸入與假設!G$332+輸入與假設!G$250</f>
        <v>173.002434019564</v>
      </c>
      <c r="I21" s="6" t="s">
        <v>1782</v>
      </c>
    </row>
    <row r="22" customFormat="false" ht="15" hidden="false" customHeight="false" outlineLevel="1" collapsed="false">
      <c r="A22" s="85" t="s">
        <v>1783</v>
      </c>
      <c r="B22" s="11" t="s">
        <v>65</v>
      </c>
      <c r="C22" s="44" t="n">
        <f aca="false">C12+C21</f>
        <v>100.493029907</v>
      </c>
      <c r="D22" s="44" t="n">
        <f aca="false">D12+D21</f>
        <v>220.984011742824</v>
      </c>
      <c r="E22" s="44" t="n">
        <f aca="false">E12+E21</f>
        <v>257.521654838516</v>
      </c>
      <c r="F22" s="44" t="n">
        <f aca="false">F12+F21</f>
        <v>296.215209920604</v>
      </c>
      <c r="G22" s="44" t="n">
        <f aca="false">G12+G21</f>
        <v>329.574450290833</v>
      </c>
    </row>
    <row r="23" customFormat="false" ht="15" hidden="false" customHeight="false" outlineLevel="1" collapsed="false">
      <c r="A23" s="3" t="s">
        <v>1784</v>
      </c>
      <c r="B23" s="11" t="s">
        <v>709</v>
      </c>
      <c r="C23" s="30" t="n">
        <f aca="false">評價_DCF與目標價!$C$90</f>
        <v>12.3636006353528</v>
      </c>
      <c r="D23" s="30" t="n">
        <f aca="false">C23*(1+輸入與假設!$C$444)</f>
        <v>12.4872366417064</v>
      </c>
      <c r="E23" s="30" t="n">
        <f aca="false">D23*(1+輸入與假設!$C$444)</f>
        <v>12.6121090081234</v>
      </c>
      <c r="F23" s="30" t="n">
        <f aca="false">E23*(1+輸入與假設!$C$444)</f>
        <v>12.7382300982047</v>
      </c>
      <c r="G23" s="30" t="n">
        <f aca="false">F23*(1+輸入與假設!$C$444)</f>
        <v>12.8656123991867</v>
      </c>
      <c r="I23" s="11" t="s">
        <v>1785</v>
      </c>
    </row>
    <row r="24" customFormat="false" ht="15" hidden="false" customHeight="false" outlineLevel="1" collapsed="false">
      <c r="A24" s="3" t="s">
        <v>1786</v>
      </c>
      <c r="B24" s="11" t="s">
        <v>709</v>
      </c>
      <c r="C24" s="30" t="n">
        <f aca="false">C23+各期收支!C97</f>
        <v>12.3393452858521</v>
      </c>
      <c r="D24" s="30" t="n">
        <f aca="false">D23+各期收支!D97</f>
        <v>12.4144705932042</v>
      </c>
      <c r="E24" s="30" t="n">
        <f aca="false">E23+各期收支!E97</f>
        <v>12.4908322606199</v>
      </c>
      <c r="F24" s="30" t="n">
        <f aca="false">F23+各期收支!F97</f>
        <v>12.5684426516997</v>
      </c>
      <c r="G24" s="30" t="n">
        <f aca="false">G23+各期收支!G97</f>
        <v>12.6958249526817</v>
      </c>
      <c r="I24" s="6" t="s">
        <v>1787</v>
      </c>
    </row>
    <row r="25" customFormat="false" ht="15" hidden="false" customHeight="false" outlineLevel="1" collapsed="false">
      <c r="A25" s="3" t="s">
        <v>1788</v>
      </c>
      <c r="B25" s="11" t="s">
        <v>39</v>
      </c>
      <c r="C25" s="56" t="n">
        <f aca="false">C20/C24</f>
        <v>5.01797202500965</v>
      </c>
      <c r="D25" s="56" t="n">
        <f aca="false">D20/D24</f>
        <v>9.75056645558601</v>
      </c>
      <c r="E25" s="56" t="n">
        <f aca="false">E20/E24</f>
        <v>9.96650203283627</v>
      </c>
      <c r="F25" s="56" t="n">
        <f aca="false">F20/F24</f>
        <v>10.2088722806002</v>
      </c>
      <c r="G25" s="56" t="n">
        <f aca="false">G20/G24</f>
        <v>9.75541947344477</v>
      </c>
      <c r="I25" s="11" t="s">
        <v>1789</v>
      </c>
    </row>
    <row r="27" customFormat="false" ht="15" hidden="false" customHeight="false" outlineLevel="0" collapsed="false">
      <c r="A27" s="53" t="s">
        <v>1790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1791</v>
      </c>
      <c r="B28" s="11" t="s">
        <v>65</v>
      </c>
      <c r="C28" s="41" t="n">
        <f aca="false">輸入與假設!$C$485</f>
        <v>229.692</v>
      </c>
      <c r="D28" s="41" t="n">
        <f aca="false">0</f>
        <v>0</v>
      </c>
      <c r="E28" s="41" t="n">
        <f aca="false">0</f>
        <v>0</v>
      </c>
      <c r="F28" s="41" t="n">
        <f aca="false">0</f>
        <v>0</v>
      </c>
      <c r="G28" s="41" t="n">
        <f aca="false">0</f>
        <v>0</v>
      </c>
    </row>
    <row r="29" customFormat="false" ht="15" hidden="false" customHeight="false" outlineLevel="1" collapsed="false">
      <c r="A29" s="2" t="s">
        <v>1792</v>
      </c>
      <c r="B29" s="11" t="s">
        <v>65</v>
      </c>
      <c r="C29" s="44" t="n">
        <f aca="false">C28+C9</f>
        <v>492.268310257</v>
      </c>
      <c r="D29" s="44" t="n">
        <f aca="false">D28+D9</f>
        <v>599.098583953189</v>
      </c>
      <c r="E29" s="44" t="n">
        <f aca="false">E28+E9</f>
        <v>695.289341815504</v>
      </c>
      <c r="F29" s="44" t="n">
        <f aca="false">F28+F9</f>
        <v>783.964372026275</v>
      </c>
      <c r="G29" s="44" t="n">
        <f aca="false">G28+G9</f>
        <v>857.230384337456</v>
      </c>
      <c r="I29" s="11" t="s">
        <v>1793</v>
      </c>
    </row>
    <row r="30" customFormat="false" ht="15" hidden="false" customHeight="false" outlineLevel="1" collapsed="false">
      <c r="A30" s="3" t="s">
        <v>1794</v>
      </c>
      <c r="B30" s="11" t="s">
        <v>42</v>
      </c>
      <c r="C30" s="68" t="n">
        <f aca="false">C29/402.836-1</f>
        <v>0.222006747800594</v>
      </c>
      <c r="D30" s="68" t="n">
        <f aca="false">D29/C29-1</f>
        <v>0.217016353623121</v>
      </c>
      <c r="E30" s="68" t="n">
        <f aca="false">E29/D29-1</f>
        <v>0.160559147423774</v>
      </c>
      <c r="F30" s="68" t="n">
        <f aca="false">F29/E29-1</f>
        <v>0.127536875481547</v>
      </c>
      <c r="G30" s="68" t="n">
        <f aca="false">G29/F29-1</f>
        <v>0.0934557933057783</v>
      </c>
      <c r="I30" s="11" t="s">
        <v>1795</v>
      </c>
    </row>
    <row r="31" customFormat="false" ht="15" hidden="false" customHeight="false" outlineLevel="1" collapsed="false">
      <c r="A31" s="3" t="s">
        <v>1796</v>
      </c>
      <c r="B31" s="11" t="s">
        <v>65</v>
      </c>
      <c r="C31" s="67" t="n">
        <f aca="false">輸入與假設!$C$486+C12</f>
        <v>156.899943927381</v>
      </c>
      <c r="D31" s="67" t="n">
        <f aca="false">D12</f>
        <v>149.455565421103</v>
      </c>
      <c r="E31" s="67" t="n">
        <f aca="false">E12</f>
        <v>153.518402366097</v>
      </c>
      <c r="F31" s="67" t="n">
        <f aca="false">F12</f>
        <v>158.020125586877</v>
      </c>
      <c r="G31" s="67" t="n">
        <f aca="false">G12</f>
        <v>156.572016271269</v>
      </c>
    </row>
    <row r="32" customFormat="false" ht="15" hidden="false" customHeight="false" outlineLevel="1" collapsed="false">
      <c r="A32" s="3" t="s">
        <v>1797</v>
      </c>
      <c r="B32" s="11" t="s">
        <v>42</v>
      </c>
      <c r="C32" s="68" t="n">
        <f aca="false">C31/C29</f>
        <v>0.318728507722685</v>
      </c>
      <c r="D32" s="68" t="n">
        <f aca="false">D31/D29</f>
        <v>0.249467398896041</v>
      </c>
      <c r="E32" s="68" t="n">
        <f aca="false">E31/E29</f>
        <v>0.220797865195571</v>
      </c>
      <c r="F32" s="68" t="n">
        <f aca="false">F31/F29</f>
        <v>0.201565442544857</v>
      </c>
      <c r="G32" s="68" t="n">
        <f aca="false">G31/G29</f>
        <v>0.182648701133339</v>
      </c>
    </row>
    <row r="33" customFormat="false" ht="15" hidden="false" customHeight="false" outlineLevel="1" collapsed="false">
      <c r="A33" s="3" t="s">
        <v>1798</v>
      </c>
      <c r="B33" s="11" t="s">
        <v>65</v>
      </c>
      <c r="C33" s="67" t="n">
        <f aca="false">輸入與假設!$C$489+C21</f>
        <v>37.645085979619</v>
      </c>
      <c r="D33" s="67" t="n">
        <f aca="false">D21</f>
        <v>71.5284463217205</v>
      </c>
      <c r="E33" s="67" t="n">
        <f aca="false">E21</f>
        <v>104.003252472419</v>
      </c>
      <c r="F33" s="67" t="n">
        <f aca="false">F21</f>
        <v>138.195084333727</v>
      </c>
      <c r="G33" s="67" t="n">
        <f aca="false">G21</f>
        <v>173.002434019564</v>
      </c>
      <c r="I33" s="11" t="s">
        <v>1799</v>
      </c>
    </row>
    <row r="34" customFormat="false" ht="15" hidden="false" customHeight="false" outlineLevel="1" collapsed="false">
      <c r="A34" s="2" t="s">
        <v>1800</v>
      </c>
      <c r="B34" s="11" t="s">
        <v>65</v>
      </c>
      <c r="C34" s="44" t="n">
        <f aca="false">C31+C33</f>
        <v>194.545029907</v>
      </c>
      <c r="D34" s="44" t="n">
        <f aca="false">D31+D33</f>
        <v>220.984011742824</v>
      </c>
      <c r="E34" s="44" t="n">
        <f aca="false">E31+E33</f>
        <v>257.521654838516</v>
      </c>
      <c r="F34" s="44" t="n">
        <f aca="false">F31+F33</f>
        <v>296.215209920604</v>
      </c>
      <c r="G34" s="44" t="n">
        <f aca="false">G31+G33</f>
        <v>329.574450290833</v>
      </c>
    </row>
    <row r="35" customFormat="false" ht="15" hidden="false" customHeight="false" outlineLevel="1" collapsed="false">
      <c r="A35" s="3" t="s">
        <v>1801</v>
      </c>
      <c r="B35" s="11" t="s">
        <v>65</v>
      </c>
      <c r="C35" s="67" t="n">
        <f aca="false">輸入與假設!$C$483+C13</f>
        <v>3.82368256759658</v>
      </c>
      <c r="D35" s="67" t="n">
        <f aca="false">D13</f>
        <v>3.96503593798289</v>
      </c>
      <c r="E35" s="67" t="n">
        <f aca="false">E13</f>
        <v>3.8911125616679</v>
      </c>
      <c r="F35" s="67" t="n">
        <f aca="false">F13</f>
        <v>3.80182534979671</v>
      </c>
      <c r="G35" s="67" t="n">
        <f aca="false">G13</f>
        <v>7.7101196668974</v>
      </c>
      <c r="I35" s="11" t="s">
        <v>1802</v>
      </c>
    </row>
    <row r="36" customFormat="false" ht="15" hidden="false" customHeight="false" outlineLevel="1" collapsed="false">
      <c r="A36" s="2" t="s">
        <v>1803</v>
      </c>
      <c r="B36" s="11" t="s">
        <v>65</v>
      </c>
      <c r="C36" s="44" t="n">
        <f aca="false">輸入與假設!$C$487+C20</f>
        <v>236.689489451341</v>
      </c>
      <c r="D36" s="44" t="n">
        <f aca="false">D20</f>
        <v>121.048120529956</v>
      </c>
      <c r="E36" s="44" t="n">
        <f aca="false">E20</f>
        <v>124.489905117285</v>
      </c>
      <c r="F36" s="44" t="n">
        <f aca="false">F20</f>
        <v>128.30962579725</v>
      </c>
      <c r="G36" s="44" t="n">
        <f aca="false">G20</f>
        <v>123.853097974837</v>
      </c>
    </row>
    <row r="37" customFormat="false" ht="15" hidden="false" customHeight="false" outlineLevel="1" collapsed="false">
      <c r="A37" s="3" t="s">
        <v>1804</v>
      </c>
      <c r="B37" s="11" t="s">
        <v>42</v>
      </c>
      <c r="C37" s="68" t="n">
        <f aca="false">C36/C29</f>
        <v>0.480813988062265</v>
      </c>
      <c r="D37" s="68" t="n">
        <f aca="false">D36/D29</f>
        <v>0.202050420034734</v>
      </c>
      <c r="E37" s="68" t="n">
        <f aca="false">E36/E29</f>
        <v>0.179047624679854</v>
      </c>
      <c r="F37" s="68" t="n">
        <f aca="false">F36/F29</f>
        <v>0.163667674674571</v>
      </c>
      <c r="G37" s="68" t="n">
        <f aca="false">G36/G29</f>
        <v>0.144480527332873</v>
      </c>
    </row>
    <row r="38" customFormat="false" ht="15" hidden="false" customHeight="false" outlineLevel="1" collapsed="false">
      <c r="A38" s="2" t="s">
        <v>1805</v>
      </c>
      <c r="B38" s="11" t="s">
        <v>39</v>
      </c>
      <c r="C38" s="86" t="n">
        <f aca="false">輸入與假設!$C$491+C20/C24</f>
        <v>19.2379720250097</v>
      </c>
      <c r="D38" s="86" t="n">
        <f aca="false">D20/D24</f>
        <v>9.75056645558601</v>
      </c>
      <c r="E38" s="86" t="n">
        <f aca="false">E20/E24</f>
        <v>9.96650203283627</v>
      </c>
      <c r="F38" s="86" t="n">
        <f aca="false">F20/F24</f>
        <v>10.2088722806002</v>
      </c>
      <c r="G38" s="86" t="n">
        <f aca="false">G20/G24</f>
        <v>9.75541947344477</v>
      </c>
      <c r="I38" s="11" t="s">
        <v>1806</v>
      </c>
    </row>
    <row r="39" customFormat="false" ht="15" hidden="false" customHeight="false" outlineLevel="1" collapsed="false">
      <c r="A39" s="3" t="s">
        <v>1807</v>
      </c>
      <c r="B39" s="11" t="s">
        <v>39</v>
      </c>
      <c r="C39" s="56" t="n">
        <f aca="false">輸入與假設!$C$492+(C20+輸入與假設!$C$445*輸入與假設!C$34)/C24</f>
        <v>21.5985106576498</v>
      </c>
      <c r="D39" s="56" t="n">
        <f aca="false">(D20+輸入與假設!$C$445*輸入與假設!D$34)/D24</f>
        <v>12.0178399400798</v>
      </c>
      <c r="E39" s="56" t="n">
        <f aca="false">(E20+輸入與假設!$C$445*輸入與假設!E$34)/E24</f>
        <v>12.2199147288613</v>
      </c>
      <c r="F39" s="56" t="n">
        <f aca="false">(F20+輸入與假設!$C$445*輸入與假設!F$34)/F24</f>
        <v>12.4483701070229</v>
      </c>
      <c r="G39" s="56" t="n">
        <f aca="false">(G20+輸入與假設!$C$445*輸入與假設!G$34)/G24</f>
        <v>11.9724475204528</v>
      </c>
      <c r="I39" s="6" t="s">
        <v>1808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1809</v>
      </c>
    </row>
    <row r="2" customFormat="false" ht="15" hidden="false" customHeight="false" outlineLevel="0" collapsed="false">
      <c r="A2" s="6" t="s">
        <v>1810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1108</v>
      </c>
    </row>
    <row r="5" customFormat="false" ht="15" hidden="false" customHeight="false" outlineLevel="0" collapsed="false">
      <c r="A5" s="7" t="s">
        <v>1811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1812</v>
      </c>
      <c r="B6" s="11" t="s">
        <v>65</v>
      </c>
      <c r="C6" s="67" t="n">
        <f aca="false">輸入與假設!C$331-各期收支!C8</f>
        <v>119.402</v>
      </c>
      <c r="D6" s="67" t="n">
        <f aca="false">輸入與假設!D$331-各期收支!D8</f>
        <v>236.798143918332</v>
      </c>
      <c r="E6" s="67" t="n">
        <f aca="false">輸入與假設!E$331-各期收支!E8</f>
        <v>256.385290221199</v>
      </c>
      <c r="F6" s="67" t="n">
        <f aca="false">輸入與假設!F$331-各期收支!F8</f>
        <v>287.651772424741</v>
      </c>
      <c r="G6" s="67" t="n">
        <f aca="false">輸入與假設!G$331-各期收支!G8</f>
        <v>412.622141042437</v>
      </c>
      <c r="I6" s="11" t="s">
        <v>1813</v>
      </c>
    </row>
    <row r="7" customFormat="false" ht="15" hidden="false" customHeight="false" outlineLevel="1" collapsed="false">
      <c r="A7" s="3" t="s">
        <v>1814</v>
      </c>
      <c r="B7" s="11" t="s">
        <v>65</v>
      </c>
      <c r="C7" s="67" t="n">
        <f aca="false">402.836</f>
        <v>402.836</v>
      </c>
      <c r="D7" s="67" t="n">
        <f aca="false">229.692+損益!C9</f>
        <v>492.268310257</v>
      </c>
      <c r="E7" s="67" t="n">
        <f aca="false">損益!D9</f>
        <v>599.098583953189</v>
      </c>
      <c r="F7" s="67" t="n">
        <f aca="false">損益!E9</f>
        <v>695.289341815504</v>
      </c>
      <c r="G7" s="67" t="n">
        <f aca="false">損益!F9</f>
        <v>783.964372026275</v>
      </c>
      <c r="I7" s="11" t="s">
        <v>1815</v>
      </c>
    </row>
    <row r="8" customFormat="false" ht="15" hidden="false" customHeight="false" outlineLevel="1" collapsed="false">
      <c r="A8" s="3" t="s">
        <v>1816</v>
      </c>
      <c r="B8" s="11" t="s">
        <v>65</v>
      </c>
      <c r="C8" s="41" t="n">
        <f aca="false">各期收支!C11</f>
        <v>0</v>
      </c>
      <c r="D8" s="41" t="n">
        <f aca="false">各期收支!D11</f>
        <v>0</v>
      </c>
      <c r="E8" s="41" t="n">
        <f aca="false">各期收支!E11</f>
        <v>0</v>
      </c>
      <c r="F8" s="41" t="n">
        <f aca="false">各期收支!F11</f>
        <v>0</v>
      </c>
      <c r="G8" s="41" t="n">
        <f aca="false">各期收支!G11</f>
        <v>0</v>
      </c>
      <c r="I8" s="6" t="s">
        <v>1817</v>
      </c>
    </row>
    <row r="9" customFormat="false" ht="15" hidden="false" customHeight="false" outlineLevel="1" collapsed="false">
      <c r="A9" s="3" t="s">
        <v>1818</v>
      </c>
      <c r="B9" s="11" t="s">
        <v>65</v>
      </c>
      <c r="C9" s="67" t="n">
        <f aca="false">IF(ISBLANK(輸入與假設!$C$50),輸入與假設!$C$406*MAX(0,損益!C9-C7),-輸入與假設!$C$50)</f>
        <v>-8.49</v>
      </c>
      <c r="D9" s="67" t="n">
        <f aca="false">輸入與假設!$C$406*MAX(0,損益!D9-D7)</f>
        <v>0</v>
      </c>
      <c r="E9" s="67" t="n">
        <f aca="false">輸入與假設!$C$406*MAX(0,損益!E9-E7)</f>
        <v>0</v>
      </c>
      <c r="F9" s="67" t="n">
        <f aca="false">輸入與假設!$C$406*MAX(0,損益!F9-F7)</f>
        <v>0</v>
      </c>
      <c r="G9" s="67" t="n">
        <f aca="false">輸入與假設!$C$406*MAX(0,損益!G9-G7)</f>
        <v>0</v>
      </c>
      <c r="I9" s="11" t="s">
        <v>1819</v>
      </c>
    </row>
    <row r="10" customFormat="false" ht="15" hidden="false" customHeight="false" outlineLevel="1" collapsed="false">
      <c r="A10" s="3" t="s">
        <v>1820</v>
      </c>
      <c r="B10" s="11" t="s">
        <v>65</v>
      </c>
      <c r="C10" s="67" t="n">
        <f aca="false">輸入與假設!$C$404</f>
        <v>0</v>
      </c>
      <c r="D10" s="67" t="n">
        <f aca="false">C12</f>
        <v>0</v>
      </c>
      <c r="E10" s="67" t="n">
        <f aca="false">D12</f>
        <v>0</v>
      </c>
      <c r="F10" s="67" t="n">
        <f aca="false">E12</f>
        <v>0</v>
      </c>
      <c r="G10" s="67" t="n">
        <f aca="false">F12</f>
        <v>0</v>
      </c>
      <c r="I10" s="11" t="s">
        <v>1821</v>
      </c>
    </row>
    <row r="11" customFormat="false" ht="15" hidden="false" customHeight="false" outlineLevel="1" collapsed="false">
      <c r="A11" s="3" t="s">
        <v>1822</v>
      </c>
      <c r="B11" s="11" t="s">
        <v>65</v>
      </c>
      <c r="C11" s="67" t="n">
        <f aca="false">MIN(C10,MAX(0,損益!C12)*輸入與假設!$C$405)</f>
        <v>0</v>
      </c>
      <c r="D11" s="67" t="n">
        <f aca="false">MIN(D10,MAX(0,損益!D12)*輸入與假設!$C$405)</f>
        <v>0</v>
      </c>
      <c r="E11" s="67" t="n">
        <f aca="false">MIN(E10,MAX(0,損益!E12)*輸入與假設!$C$405)</f>
        <v>0</v>
      </c>
      <c r="F11" s="67" t="n">
        <f aca="false">MIN(F10,MAX(0,損益!F12)*輸入與假設!$C$405)</f>
        <v>0</v>
      </c>
      <c r="G11" s="67" t="n">
        <f aca="false">MIN(G10,MAX(0,損益!G12)*輸入與假設!$C$405)</f>
        <v>0</v>
      </c>
    </row>
    <row r="12" customFormat="false" ht="15" hidden="false" customHeight="false" outlineLevel="1" collapsed="false">
      <c r="A12" s="3" t="s">
        <v>1823</v>
      </c>
      <c r="B12" s="11" t="s">
        <v>65</v>
      </c>
      <c r="C12" s="67" t="n">
        <f aca="false">C10-C11+MAX(0,-損益!C12)</f>
        <v>0</v>
      </c>
      <c r="D12" s="67" t="n">
        <f aca="false">D10-D11+MAX(0,-損益!D12)</f>
        <v>0</v>
      </c>
      <c r="E12" s="67" t="n">
        <f aca="false">E10-E11+MAX(0,-損益!E12)</f>
        <v>0</v>
      </c>
      <c r="F12" s="67" t="n">
        <f aca="false">F10-F11+MAX(0,-損益!F12)</f>
        <v>0</v>
      </c>
      <c r="G12" s="67" t="n">
        <f aca="false">G10-G11+MAX(0,-損益!G12)</f>
        <v>0</v>
      </c>
    </row>
    <row r="13" customFormat="false" ht="15" hidden="false" customHeight="false" outlineLevel="1" collapsed="false">
      <c r="A13" s="3" t="s">
        <v>1824</v>
      </c>
      <c r="B13" s="11" t="s">
        <v>65</v>
      </c>
      <c r="C13" s="67" t="n">
        <f aca="false">MAX(0,損益!C12-C11)*輸入與假設!$C$391</f>
        <v>12.8409025798</v>
      </c>
      <c r="D13" s="67" t="n">
        <f aca="false">MAX(0,損益!D12-D11)*輸入與假設!$C$391</f>
        <v>25.1085349907454</v>
      </c>
      <c r="E13" s="67" t="n">
        <f aca="false">MAX(0,損益!E12-E11)*輸入與假設!$C$391</f>
        <v>25.7910915975043</v>
      </c>
      <c r="F13" s="67" t="n">
        <f aca="false">MAX(0,損益!F12-F11)*輸入與假設!$C$391</f>
        <v>26.5473810985953</v>
      </c>
      <c r="G13" s="67" t="n">
        <f aca="false">MAX(0,損益!G12-G11)*輸入與假設!$C$391</f>
        <v>26.3040987335732</v>
      </c>
      <c r="I13" s="6" t="s">
        <v>1825</v>
      </c>
    </row>
    <row r="14" customFormat="false" ht="15" hidden="false" customHeight="false" outlineLevel="1" collapsed="false">
      <c r="A14" s="85" t="s">
        <v>1826</v>
      </c>
      <c r="B14" s="11" t="s">
        <v>65</v>
      </c>
      <c r="C14" s="44" t="n">
        <f aca="false">損益!C12-C13+損益!C21-輸入與假設!C$250-C6-C9-C8</f>
        <v>-23.2598726727999</v>
      </c>
      <c r="D14" s="44" t="n">
        <f aca="false">損益!D12-D13+損益!D21-輸入與假設!D$250-D6-D9-D8</f>
        <v>-40.922667166254</v>
      </c>
      <c r="E14" s="44" t="n">
        <f aca="false">損益!E12-E13+損益!E21-輸入與假設!E$250-E6-E9-E8</f>
        <v>-24.654726980187</v>
      </c>
      <c r="F14" s="44" t="n">
        <f aca="false">損益!F12-F13+損益!F21-輸入與假設!F$250-F6-F9-F8</f>
        <v>-17.9839436027323</v>
      </c>
      <c r="G14" s="44" t="n">
        <f aca="false">損益!G12-G13+損益!G21-輸入與假設!G$250-G6-G9-G8</f>
        <v>-109.351789485177</v>
      </c>
      <c r="I14" s="6" t="s">
        <v>1827</v>
      </c>
    </row>
    <row r="15" customFormat="false" ht="15" hidden="false" customHeight="false" outlineLevel="1" collapsed="false">
      <c r="A15" s="3" t="s">
        <v>1828</v>
      </c>
      <c r="B15" s="6" t="s">
        <v>184</v>
      </c>
      <c r="C15" s="87" t="n">
        <f aca="false">輸入與假設!$C$462</f>
        <v>0.5</v>
      </c>
      <c r="D15" s="87" t="n">
        <f aca="false">輸入與假設!$D$462</f>
        <v>1.5</v>
      </c>
      <c r="E15" s="87" t="n">
        <f aca="false">輸入與假設!$E$462</f>
        <v>2.5</v>
      </c>
      <c r="F15" s="87" t="n">
        <f aca="false">輸入與假設!$F$462</f>
        <v>3.5</v>
      </c>
      <c r="G15" s="87" t="n">
        <f aca="false">輸入與假設!$G$462</f>
        <v>4.5</v>
      </c>
      <c r="I15" s="6" t="s">
        <v>1829</v>
      </c>
    </row>
    <row r="16" customFormat="false" ht="15" hidden="false" customHeight="false" outlineLevel="1" collapsed="false">
      <c r="A16" s="3" t="s">
        <v>1830</v>
      </c>
      <c r="B16" s="6"/>
      <c r="C16" s="31" t="n">
        <f aca="false">1/(1+輸入與假設!$C$401)^C15</f>
        <v>0.946699351478847</v>
      </c>
      <c r="D16" s="31" t="n">
        <f aca="false">1/(1+輸入與假設!$C$401)^D15</f>
        <v>0.848469506870669</v>
      </c>
      <c r="E16" s="31" t="n">
        <f aca="false">1/(1+輸入與假設!$C$401)^E15</f>
        <v>0.760432024131836</v>
      </c>
      <c r="F16" s="31" t="n">
        <f aca="false">1/(1+輸入與假設!$C$401)^F15</f>
        <v>0.681529340350689</v>
      </c>
      <c r="G16" s="31" t="n">
        <f aca="false">1/(1+輸入與假設!$C$401)^G15</f>
        <v>0.610813625700642</v>
      </c>
    </row>
    <row r="17" customFormat="false" ht="15" hidden="false" customHeight="false" outlineLevel="1" collapsed="false">
      <c r="A17" s="4" t="s">
        <v>1831</v>
      </c>
      <c r="B17" s="11" t="s">
        <v>65</v>
      </c>
      <c r="C17" s="67" t="n">
        <f aca="false">C14*C16</f>
        <v>-22.0201063748202</v>
      </c>
      <c r="D17" s="67" t="n">
        <f aca="false">D14*D16</f>
        <v>-34.7216352303841</v>
      </c>
      <c r="E17" s="67" t="n">
        <f aca="false">E14*E16</f>
        <v>-18.7482439419614</v>
      </c>
      <c r="F17" s="67" t="n">
        <f aca="false">F14*F16</f>
        <v>-12.2565852204741</v>
      </c>
      <c r="G17" s="67" t="n">
        <f aca="false">G14*G16</f>
        <v>-66.7935630122944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1832</v>
      </c>
      <c r="C19" s="10" t="n">
        <f aca="false">SUM(C17:G17)</f>
        <v>-154.540133779934</v>
      </c>
      <c r="I19" s="6" t="s">
        <v>1833</v>
      </c>
    </row>
    <row r="20" customFormat="false" ht="15" hidden="false" customHeight="false" outlineLevel="1" collapsed="false">
      <c r="A20" s="3" t="s">
        <v>1834</v>
      </c>
      <c r="C20" s="10" t="n">
        <f aca="false">G14+輸入與假設!G307*(1-各期收支!G7)</f>
        <v>159.343857226593</v>
      </c>
      <c r="I20" s="11" t="s">
        <v>1835</v>
      </c>
    </row>
    <row r="21" customFormat="false" ht="15" hidden="false" customHeight="false" outlineLevel="1" collapsed="false">
      <c r="A21" s="3" t="s">
        <v>1836</v>
      </c>
      <c r="C21" s="58" t="n">
        <f aca="false">IF(C30=1,0,C20*(1+輸入與假設!$C$402)/(輸入與假設!$C$401-輸入與假設!$C$402))</f>
        <v>1913.4717002884</v>
      </c>
      <c r="I21" s="6" t="s">
        <v>1837</v>
      </c>
    </row>
    <row r="22" customFormat="false" ht="15" hidden="false" customHeight="false" outlineLevel="1" collapsed="false">
      <c r="A22" s="3" t="s">
        <v>1838</v>
      </c>
      <c r="C22" s="58" t="n">
        <f aca="false">C21*G16</f>
        <v>1168.77458692873</v>
      </c>
    </row>
    <row r="23" customFormat="false" ht="15" hidden="false" customHeight="false" outlineLevel="1" collapsed="false">
      <c r="A23" s="3" t="s">
        <v>1839</v>
      </c>
      <c r="C23" s="58" t="n">
        <f aca="false">C19+C22</f>
        <v>1014.2344531488</v>
      </c>
    </row>
    <row r="24" customFormat="false" ht="15" hidden="false" customHeight="false" outlineLevel="1" collapsed="false">
      <c r="A24" s="3" t="s">
        <v>1840</v>
      </c>
      <c r="C24" s="10" t="n">
        <f aca="false">-評價_DCF與目標價!$C$91</f>
        <v>227.559</v>
      </c>
      <c r="I24" s="6" t="s">
        <v>1841</v>
      </c>
    </row>
    <row r="25" customFormat="false" ht="15" hidden="false" customHeight="false" outlineLevel="1" collapsed="false">
      <c r="A25" s="3" t="s">
        <v>1842</v>
      </c>
      <c r="C25" s="58" t="n">
        <f aca="false">C23+C24</f>
        <v>1241.7934531488</v>
      </c>
    </row>
    <row r="26" customFormat="false" ht="15" hidden="false" customHeight="false" outlineLevel="1" collapsed="false">
      <c r="A26" s="85" t="s">
        <v>1843</v>
      </c>
      <c r="C26" s="88" t="n">
        <f aca="false">IF(C30=1,0,IF(輸入與假設!$C$447=2,C32,C31))</f>
        <v>97.5772756984798</v>
      </c>
      <c r="I26" s="6" t="s">
        <v>1844</v>
      </c>
    </row>
    <row r="27" customFormat="false" ht="15" hidden="false" customHeight="false" outlineLevel="1" collapsed="false">
      <c r="A27" s="3" t="s">
        <v>1845</v>
      </c>
      <c r="C27" s="29" t="n">
        <f aca="false">C22/C23</f>
        <v>1.15237121288884</v>
      </c>
      <c r="I27" s="6" t="str">
        <f aca="false">"超過 "&amp;IF(ROUND(ABS(輸入與假設!$C$471)*100,4)=INT(ROUND(ABS(輸入與假設!$C$471)*100,4)),TEXT(ROUND(ABS(輸入與假設!$C$471)*100,4),"0"),TEXT(ROUND(ABS(輸入與假設!$C$471)*100,4),"0.0"))&amp;"%"&amp;"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1846</v>
      </c>
      <c r="C28" s="58" t="n">
        <f aca="false">(各期收支!C92-各期收支!C76)/(1+輸入與假設!$C$401)^輸入與假設!$C$463+(各期收支!D92-各期收支!D76)/(1+輸入與假設!$C$401)^輸入與假設!$D$463+(各期收支!E92-各期收支!E76)/(1+輸入與假設!$C$401)^輸入與假設!$E$463+(各期收支!F92-各期收支!F76)/(1+輸入與假設!$C$401)^輸入與假設!$F$463+(各期收支!G92-各期收支!G76)/(1+輸入與假設!$C$401)^輸入與假設!$G$463</f>
        <v>-51.9543818048304</v>
      </c>
      <c r="I28" s="6" t="s">
        <v>1847</v>
      </c>
    </row>
    <row r="29" customFormat="false" ht="15" hidden="false" customHeight="false" outlineLevel="1" collapsed="false">
      <c r="A29" s="3" t="s">
        <v>1848</v>
      </c>
      <c r="C29" s="89" t="n">
        <f aca="false">評價_DCF與目標價!$C$90+各期收支!G97</f>
        <v>12.1938131888479</v>
      </c>
    </row>
    <row r="30" customFormat="false" ht="15" hidden="false" customHeight="false" outlineLevel="1" collapsed="false">
      <c r="A30" s="4" t="s">
        <v>1849</v>
      </c>
      <c r="C30" s="51" t="n">
        <f aca="false">IF(OR(輸入與假設!$C$401&lt;=輸入與假設!$C$402,C20&lt;=0),1,0)</f>
        <v>0</v>
      </c>
      <c r="I30" s="11" t="s">
        <v>1850</v>
      </c>
    </row>
    <row r="31" customFormat="false" ht="15" hidden="false" customHeight="false" outlineLevel="1" collapsed="false">
      <c r="A31" s="85" t="s">
        <v>1851</v>
      </c>
      <c r="C31" s="50" t="n">
        <f aca="false">MAX(0,(C25+C28)/C29)</f>
        <v>97.5772756984798</v>
      </c>
    </row>
    <row r="32" customFormat="false" ht="15" hidden="false" customHeight="false" outlineLevel="1" collapsed="false">
      <c r="A32" s="85" t="s">
        <v>1852</v>
      </c>
      <c r="C32" s="50" t="n">
        <f aca="false">IF((C23+C28)&lt;=0,0,IF(評價_DCF與目標價!$C$91&lt;=0,(C23+C28),(C23+C28)*NORMSDIST(C33)-評價_DCF與目標價!$C$91*EXP(-輸入與假設!$C$392*輸入與假設!$C$449)*NORMSDIST(C34))/C29)</f>
        <v>78.915434937452</v>
      </c>
      <c r="I32" s="11" t="s">
        <v>1853</v>
      </c>
    </row>
    <row r="33" customFormat="false" ht="15" hidden="false" customHeight="false" outlineLevel="1" collapsed="false">
      <c r="A33" s="3" t="s">
        <v>1854</v>
      </c>
      <c r="C33" s="89" t="n">
        <f aca="false">IF(OR((C23+C28)&lt;=0,評價_DCF與目標價!$C$91&lt;=0),0,(LN((C23+C28)/評價_DCF與目標價!$C$91)+(輸入與假設!$C$392+輸入與假設!$C$448^2/2)*輸入與假設!$C$449)/(輸入與假設!$C$448*SQRT(輸入與假設!$C$449)))</f>
        <v>0</v>
      </c>
    </row>
    <row r="34" customFormat="false" ht="15" hidden="false" customHeight="false" outlineLevel="1" collapsed="false">
      <c r="A34" s="3" t="s">
        <v>1855</v>
      </c>
      <c r="C34" s="89" t="n">
        <f aca="false">C33-輸入與假設!$C$448*SQRT(輸入與假設!$C$449)</f>
        <v>-1.06066017177982</v>
      </c>
    </row>
    <row r="36" customFormat="false" ht="15" hidden="false" customHeight="false" outlineLevel="0" collapsed="false">
      <c r="A36" s="53" t="s">
        <v>1856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1857</v>
      </c>
      <c r="C37" s="90" t="str">
        <f aca="false">CHOOSE(輸入與假設!$C$439,"2027","2028","2029","2030")</f>
        <v>2029</v>
      </c>
      <c r="I37" s="6" t="s">
        <v>1858</v>
      </c>
    </row>
    <row r="38" customFormat="false" ht="15" hidden="false" customHeight="false" outlineLevel="1" collapsed="false">
      <c r="A38" s="3" t="s">
        <v>1859</v>
      </c>
      <c r="C38" s="10" t="n">
        <f aca="false">INDEX(損益!$D$22:$G$22,1,輸入與假設!$C$439)</f>
        <v>296.215209920604</v>
      </c>
    </row>
    <row r="39" customFormat="false" ht="15" hidden="false" customHeight="false" outlineLevel="1" collapsed="false">
      <c r="A39" s="3" t="s">
        <v>1860</v>
      </c>
      <c r="C39" s="58" t="n">
        <f aca="false">C45*輸入與假設!$C$407+C44*輸入與假設!$C$438</f>
        <v>2782.36569778937</v>
      </c>
      <c r="I39" s="6" t="s">
        <v>1861</v>
      </c>
    </row>
    <row r="40" customFormat="false" ht="15" hidden="false" customHeight="false" outlineLevel="1" collapsed="false">
      <c r="A40" s="3" t="s">
        <v>1862</v>
      </c>
      <c r="C40" s="10" t="n">
        <f aca="false">INDEX(各期收支!$D$102:$G$102,1,輸入與假設!$C$439)-INDEX(各期收支!$D$56:$G$56,1,輸入與假設!$C$439)+評價_DCF與目標價!$C$92</f>
        <v>-135.568716162676</v>
      </c>
      <c r="I40" s="6" t="s">
        <v>1863</v>
      </c>
    </row>
    <row r="41" customFormat="false" ht="15" hidden="false" customHeight="false" outlineLevel="1" collapsed="false">
      <c r="A41" s="3" t="s">
        <v>1864</v>
      </c>
      <c r="C41" s="91" t="n">
        <f aca="false">INDEX(損益!$D$24:$G$24,1,輸入與假設!$C$439)</f>
        <v>12.5684426516997</v>
      </c>
      <c r="I41" s="6" t="s">
        <v>1865</v>
      </c>
    </row>
    <row r="42" customFormat="false" ht="15" hidden="false" customHeight="false" outlineLevel="1" collapsed="false">
      <c r="A42" s="3" t="s">
        <v>1866</v>
      </c>
      <c r="C42" s="91" t="n">
        <f aca="false">1/(1+輸入與假設!$C$401)^(輸入與假設!$C$439-輸入與假設!$C$459)</f>
        <v>0.760432024131836</v>
      </c>
      <c r="I42" s="6" t="s">
        <v>1867</v>
      </c>
    </row>
    <row r="43" customFormat="false" ht="15" hidden="false" customHeight="false" outlineLevel="1" collapsed="false">
      <c r="A43" s="4" t="s">
        <v>1868</v>
      </c>
      <c r="C43" s="50" t="n">
        <f aca="false">MAX(0,(C39-C40)/C41)*C42</f>
        <v>176.544607329328</v>
      </c>
      <c r="I43" s="6" t="s">
        <v>1869</v>
      </c>
    </row>
    <row r="44" customFormat="false" ht="15" hidden="false" customHeight="false" outlineLevel="1" collapsed="false">
      <c r="A44" s="3" t="s">
        <v>1870</v>
      </c>
      <c r="C44" s="10" t="n">
        <f aca="false">INDEX(輸入與假設!$D$249:$G$249,1,輸入與假設!$C$439)</f>
        <v>237.258313308896</v>
      </c>
      <c r="I44" s="11" t="s">
        <v>1871</v>
      </c>
    </row>
    <row r="45" customFormat="false" ht="15" hidden="false" customHeight="false" outlineLevel="1" collapsed="false">
      <c r="A45" s="3" t="s">
        <v>1872</v>
      </c>
      <c r="C45" s="58" t="n">
        <f aca="false">C38-C44</f>
        <v>58.9568966117083</v>
      </c>
      <c r="I45" s="6" t="s">
        <v>1873</v>
      </c>
    </row>
    <row r="47" customFormat="false" ht="15" hidden="false" customHeight="false" outlineLevel="0" collapsed="false">
      <c r="A47" s="53" t="s">
        <v>1874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1875</v>
      </c>
      <c r="C48" s="12" t="n">
        <f aca="false">C26*(1+輸入與假設!$C$401)^輸入與假設!$C$455</f>
        <v>108.874087842622</v>
      </c>
      <c r="I48" s="6" t="s">
        <v>1876</v>
      </c>
    </row>
    <row r="49" customFormat="false" ht="15" hidden="false" customHeight="false" outlineLevel="1" collapsed="false">
      <c r="A49" s="4" t="s">
        <v>1877</v>
      </c>
      <c r="C49" s="12" t="n">
        <f aca="false">C48*IF(C30=1,0,輸入與假設!$C$440)</f>
        <v>48.99333952918</v>
      </c>
    </row>
    <row r="50" customFormat="false" ht="15" hidden="false" customHeight="false" outlineLevel="1" collapsed="false">
      <c r="A50" s="4" t="s">
        <v>1878</v>
      </c>
      <c r="C50" s="12" t="n">
        <f aca="false">C43*IF(C30=1,1,1-輸入與假設!$C$440)</f>
        <v>97.0995340311303</v>
      </c>
    </row>
    <row r="51" customFormat="false" ht="15" hidden="false" customHeight="false" outlineLevel="1" collapsed="false">
      <c r="A51" s="2" t="s">
        <v>1874</v>
      </c>
      <c r="C51" s="92" t="n">
        <f aca="false">SUM(C49:C50)</f>
        <v>146.09287356031</v>
      </c>
      <c r="I51" s="6" t="s">
        <v>1879</v>
      </c>
    </row>
    <row r="52" customFormat="false" ht="15" hidden="false" customHeight="false" outlineLevel="1" collapsed="false">
      <c r="A52" s="3" t="s">
        <v>1880</v>
      </c>
      <c r="C52" s="12" t="n">
        <f aca="false">輸入與假設!$C$374</f>
        <v>350.5</v>
      </c>
    </row>
    <row r="53" customFormat="false" ht="15" hidden="false" customHeight="false" outlineLevel="1" collapsed="false">
      <c r="A53" s="3" t="s">
        <v>1881</v>
      </c>
      <c r="C53" s="29" t="n">
        <f aca="false">C51/C52-1</f>
        <v>-0.583187236632496</v>
      </c>
    </row>
    <row r="55" customFormat="false" ht="15" hidden="false" customHeight="false" outlineLevel="0" collapsed="false">
      <c r="A55" s="53" t="s">
        <v>1882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1883</v>
      </c>
      <c r="B56" s="11" t="s">
        <v>65</v>
      </c>
      <c r="C56" s="67" t="n">
        <f aca="false">運營_產能與收入!C26*(1/輸入與假設!$C$63-(1-輸入與假設!C$258))*(1/輸入與假設!$C$271-1)</f>
        <v>20.809056775051</v>
      </c>
      <c r="D56" s="67" t="n">
        <f aca="false">運營_產能與收入!D26*(1/輸入與假設!$C$63-(1-輸入與假設!D$258))*(1/輸入與假設!$C$271-1)</f>
        <v>62.7627317358148</v>
      </c>
      <c r="E56" s="67" t="n">
        <f aca="false">運營_產能與收入!E26*(1/輸入與假設!$C$63-(1-輸入與假設!E$258))*(1/輸入與假設!$C$271-1)</f>
        <v>91.6893824423418</v>
      </c>
      <c r="F56" s="67" t="n">
        <f aca="false">運營_產能與收入!F26*(1/輸入與假設!$C$63-(1-輸入與假設!F$258))*(1/輸入與假設!$C$271-1)</f>
        <v>120.845082144425</v>
      </c>
      <c r="G56" s="67" t="n">
        <f aca="false">運營_產能與收入!G26*(1/輸入與假設!$C$63-(1-輸入與假設!G$258))*(1/輸入與假設!$C$271-1)</f>
        <v>150.11575048277</v>
      </c>
      <c r="I56" s="6" t="s">
        <v>1884</v>
      </c>
    </row>
    <row r="57" customFormat="false" ht="15" hidden="false" customHeight="false" outlineLevel="1" collapsed="false">
      <c r="A57" s="3" t="s">
        <v>1885</v>
      </c>
      <c r="B57" s="11" t="s">
        <v>65</v>
      </c>
      <c r="C57" s="67" t="n">
        <f aca="false">損益!C12+C56</f>
        <v>97.2430007024322</v>
      </c>
      <c r="D57" s="67" t="n">
        <f aca="false">損益!D12+D56</f>
        <v>212.218297156918</v>
      </c>
      <c r="E57" s="67" t="n">
        <f aca="false">損益!E12+E56</f>
        <v>245.207784808439</v>
      </c>
      <c r="F57" s="67" t="n">
        <f aca="false">損益!F12+F56</f>
        <v>278.865207731302</v>
      </c>
      <c r="G57" s="67" t="n">
        <f aca="false">損益!G12+G56</f>
        <v>306.687766754039</v>
      </c>
    </row>
    <row r="58" customFormat="false" ht="15" hidden="false" customHeight="false" outlineLevel="1" collapsed="false">
      <c r="A58" s="3" t="s">
        <v>1886</v>
      </c>
      <c r="B58" s="11" t="s">
        <v>65</v>
      </c>
      <c r="C58" s="67" t="n">
        <f aca="false">輸入與假設!$C$404</f>
        <v>0</v>
      </c>
      <c r="D58" s="67" t="n">
        <f aca="false">C60</f>
        <v>0</v>
      </c>
      <c r="E58" s="67" t="n">
        <f aca="false">D60</f>
        <v>0</v>
      </c>
      <c r="F58" s="67" t="n">
        <f aca="false">E60</f>
        <v>0</v>
      </c>
      <c r="G58" s="67" t="n">
        <f aca="false">F60</f>
        <v>0</v>
      </c>
    </row>
    <row r="59" customFormat="false" ht="15" hidden="false" customHeight="false" outlineLevel="1" collapsed="false">
      <c r="A59" s="3" t="s">
        <v>1887</v>
      </c>
      <c r="B59" s="11" t="s">
        <v>65</v>
      </c>
      <c r="C59" s="67" t="n">
        <f aca="false">MIN(C58,MAX(0,C57)*輸入與假設!$C$405)</f>
        <v>0</v>
      </c>
      <c r="D59" s="67" t="n">
        <f aca="false">MIN(D58,MAX(0,D57)*輸入與假設!$C$405)</f>
        <v>0</v>
      </c>
      <c r="E59" s="67" t="n">
        <f aca="false">MIN(E58,MAX(0,E57)*輸入與假設!$C$405)</f>
        <v>0</v>
      </c>
      <c r="F59" s="67" t="n">
        <f aca="false">MIN(F58,MAX(0,F57)*輸入與假設!$C$405)</f>
        <v>0</v>
      </c>
      <c r="G59" s="67" t="n">
        <f aca="false">MIN(G58,MAX(0,G57)*輸入與假設!$C$405)</f>
        <v>0</v>
      </c>
    </row>
    <row r="60" customFormat="false" ht="15" hidden="false" customHeight="false" outlineLevel="1" collapsed="false">
      <c r="A60" s="3" t="s">
        <v>1888</v>
      </c>
      <c r="B60" s="11" t="s">
        <v>65</v>
      </c>
      <c r="C60" s="67" t="n">
        <f aca="false">C58-C59+MAX(0,-C57)</f>
        <v>0</v>
      </c>
      <c r="D60" s="67" t="n">
        <f aca="false">D58-D59+MAX(0,-D57)</f>
        <v>0</v>
      </c>
      <c r="E60" s="67" t="n">
        <f aca="false">E58-E59+MAX(0,-E57)</f>
        <v>0</v>
      </c>
      <c r="F60" s="67" t="n">
        <f aca="false">F58-F59+MAX(0,-F57)</f>
        <v>0</v>
      </c>
      <c r="G60" s="67" t="n">
        <f aca="false">G58-G59+MAX(0,-G57)</f>
        <v>0</v>
      </c>
    </row>
    <row r="61" customFormat="false" ht="15" hidden="false" customHeight="false" outlineLevel="1" collapsed="false">
      <c r="A61" s="3" t="s">
        <v>1889</v>
      </c>
      <c r="B61" s="11" t="s">
        <v>65</v>
      </c>
      <c r="C61" s="67" t="n">
        <f aca="false">MAX(0,C57-C59)*輸入與假設!$C$391</f>
        <v>16.3368241180086</v>
      </c>
      <c r="D61" s="67" t="n">
        <f aca="false">MAX(0,D57-D59)*輸入與假設!$C$391</f>
        <v>35.6526739223622</v>
      </c>
      <c r="E61" s="67" t="n">
        <f aca="false">MAX(0,E57-E59)*輸入與假設!$C$391</f>
        <v>41.1949078478177</v>
      </c>
      <c r="F61" s="67" t="n">
        <f aca="false">MAX(0,F57-F59)*輸入與假設!$C$391</f>
        <v>46.8493548988587</v>
      </c>
      <c r="G61" s="67" t="n">
        <f aca="false">MAX(0,G57-G59)*輸入與假設!$C$391</f>
        <v>51.5235448146785</v>
      </c>
    </row>
    <row r="62" customFormat="false" ht="15" hidden="false" customHeight="false" outlineLevel="1" collapsed="false">
      <c r="A62" s="2" t="s">
        <v>1890</v>
      </c>
      <c r="B62" s="11" t="s">
        <v>65</v>
      </c>
      <c r="C62" s="44" t="n">
        <f aca="false">C14+C56-(C61-C13)</f>
        <v>-5.94673743595744</v>
      </c>
      <c r="D62" s="44" t="n">
        <f aca="false">D14+D56-(D61-D13)</f>
        <v>11.2959256379439</v>
      </c>
      <c r="E62" s="44" t="n">
        <f aca="false">E14+E56-(E61-E13)</f>
        <v>51.6308392118414</v>
      </c>
      <c r="F62" s="44" t="n">
        <f aca="false">F14+F56-(F61-F13)</f>
        <v>82.5591647414296</v>
      </c>
      <c r="G62" s="44" t="n">
        <f aca="false">G14+G56-(G61-G13)</f>
        <v>15.5445149164873</v>
      </c>
      <c r="I62" s="6" t="s">
        <v>1891</v>
      </c>
    </row>
    <row r="63" customFormat="false" ht="15" hidden="false" customHeight="false" outlineLevel="1" collapsed="false">
      <c r="A63" s="3" t="s">
        <v>1892</v>
      </c>
      <c r="B63" s="11" t="s">
        <v>65</v>
      </c>
      <c r="C63" s="67" t="n">
        <f aca="false">C62*C16</f>
        <v>-5.62977247403589</v>
      </c>
      <c r="D63" s="67" t="n">
        <f aca="false">D62*D16</f>
        <v>9.58424845567399</v>
      </c>
      <c r="E63" s="67" t="n">
        <f aca="false">E62*E16</f>
        <v>39.2617435694859</v>
      </c>
      <c r="F63" s="67" t="n">
        <f aca="false">F62*F16</f>
        <v>56.2664930861304</v>
      </c>
      <c r="G63" s="67" t="n">
        <f aca="false">G62*G16</f>
        <v>9.4948015158973</v>
      </c>
    </row>
    <row r="64" customFormat="false" ht="15" hidden="false" customHeight="false" outlineLevel="1" collapsed="false">
      <c r="A64" s="3" t="s">
        <v>1893</v>
      </c>
      <c r="C64" s="10" t="n">
        <f aca="false">SUM(C63:G63)</f>
        <v>108.977514153152</v>
      </c>
    </row>
    <row r="65" customFormat="false" ht="15" hidden="false" customHeight="false" outlineLevel="1" collapsed="false">
      <c r="A65" s="3" t="s">
        <v>1894</v>
      </c>
      <c r="C65" s="10" t="n">
        <f aca="false">C20-G14+G62</f>
        <v>284.240161628258</v>
      </c>
      <c r="I65" s="6" t="s">
        <v>1895</v>
      </c>
    </row>
    <row r="66" customFormat="false" ht="15" hidden="false" customHeight="false" outlineLevel="1" collapsed="false">
      <c r="A66" s="3" t="s">
        <v>1896</v>
      </c>
      <c r="C66" s="9" t="n">
        <f aca="false">IF(OR(輸入與假設!$C$401&lt;=輸入與假設!$C$402,C65&lt;=0),1,0)</f>
        <v>0</v>
      </c>
    </row>
    <row r="67" customFormat="false" ht="15" hidden="false" customHeight="false" outlineLevel="1" collapsed="false">
      <c r="A67" s="3" t="s">
        <v>1897</v>
      </c>
      <c r="C67" s="10" t="n">
        <f aca="false">IF(C66=1,0,C65*(1+輸入與假設!$C$402)/(輸入與假設!$C$401-輸入與假設!$C$402))*G16</f>
        <v>2084.87909906187</v>
      </c>
    </row>
    <row r="68" customFormat="false" ht="15" hidden="false" customHeight="false" outlineLevel="1" collapsed="false">
      <c r="A68" s="3" t="s">
        <v>1898</v>
      </c>
      <c r="C68" s="10" t="n">
        <f aca="false">C64+C67</f>
        <v>2193.85661321502</v>
      </c>
    </row>
    <row r="69" customFormat="false" ht="15" hidden="false" customHeight="false" outlineLevel="1" collapsed="false">
      <c r="A69" s="3" t="s">
        <v>1899</v>
      </c>
      <c r="C69" s="91" t="n">
        <f aca="false">IF(OR((C68+C28)&lt;=0,評價_DCF與目標價!$C$91&lt;=0),0,(LN((C68+C28)/評價_DCF與目標價!$C$91)+(輸入與假設!$C$392+輸入與假設!$C$448^2/2)*輸入與假設!$C$449)/(輸入與假設!$C$448*SQRT(輸入與假設!$C$449)))</f>
        <v>0</v>
      </c>
    </row>
    <row r="70" customFormat="false" ht="15" hidden="false" customHeight="false" outlineLevel="1" collapsed="false">
      <c r="A70" s="3" t="s">
        <v>1900</v>
      </c>
      <c r="C70" s="12" t="n">
        <f aca="false">IF(C66=1,0,IF(輸入與假設!$C$447=2,IF((C68+C28)&lt;=0,0,IF(評價_DCF與目標價!$C$91&lt;=0,(C68+C28),(C68+C28)*NORMSDIST(C69)-評價_DCF與目標價!$C$91*EXP(-輸入與假設!$C$392*輸入與假設!$C$449)*NORMSDIST(C69-輸入與假設!$C$448*SQRT(輸入與假設!$C$449)))/C29),MAX(0,(C68-評價_DCF與目標價!$C$91+C28)/C29)))</f>
        <v>194.316674752508</v>
      </c>
      <c r="I70" s="6" t="s">
        <v>1901</v>
      </c>
    </row>
    <row r="71" customFormat="false" ht="15" hidden="false" customHeight="false" outlineLevel="1" collapsed="false">
      <c r="A71" s="3" t="s">
        <v>1902</v>
      </c>
      <c r="C71" s="12" t="n">
        <f aca="false">C70*(1+輸入與假設!$C$401)^輸入與假設!$C$455</f>
        <v>216.81329556345</v>
      </c>
    </row>
    <row r="72" customFormat="false" ht="15" hidden="false" customHeight="false" outlineLevel="1" collapsed="false">
      <c r="A72" s="3" t="s">
        <v>1903</v>
      </c>
      <c r="C72" s="12" t="n">
        <f aca="false">MAX(0,(C39+INDEX($D$56:$G$56,1,輸入與假設!$C$439)*輸入與假設!$C$407-C40)/C41)*C42</f>
        <v>220.413751487313</v>
      </c>
      <c r="I72" s="6" t="s">
        <v>1904</v>
      </c>
    </row>
    <row r="73" customFormat="false" ht="15" hidden="false" customHeight="false" outlineLevel="1" collapsed="false">
      <c r="A73" s="2" t="s">
        <v>1905</v>
      </c>
      <c r="C73" s="88" t="n">
        <f aca="false">C71*IF(C66=1,0,輸入與假設!$C$440)+C72*IF(C66=1,1,1-輸入與假設!$C$440)</f>
        <v>218.793546321575</v>
      </c>
      <c r="I73" s="6" t="s">
        <v>1906</v>
      </c>
    </row>
    <row r="74" customFormat="false" ht="15" hidden="false" customHeight="false" outlineLevel="1" collapsed="false">
      <c r="A74" s="2" t="s">
        <v>1907</v>
      </c>
      <c r="C74" s="88" t="n">
        <f aca="false">C73-C51</f>
        <v>72.7006727612643</v>
      </c>
      <c r="I74" s="6" t="s">
        <v>1908</v>
      </c>
    </row>
    <row r="76" customFormat="false" ht="15" hidden="false" customHeight="false" outlineLevel="0" collapsed="false">
      <c r="A76" s="53" t="s">
        <v>1909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1910</v>
      </c>
      <c r="C77" s="93" t="n">
        <f aca="false">SUMPRODUCT(資產負債_既有債務!$D$27:$D$27*資產負債_既有債務!$G$27:$G$27)</f>
        <v>0.0546006353528477</v>
      </c>
      <c r="I77" s="6" t="s">
        <v>1911</v>
      </c>
    </row>
    <row r="78" customFormat="false" ht="15" hidden="false" customHeight="false" outlineLevel="1" collapsed="false">
      <c r="A78" s="3" t="s">
        <v>1912</v>
      </c>
      <c r="C78" s="93" t="n">
        <f aca="false">輸入與假設!$C$375+C77</f>
        <v>12.3636006353528</v>
      </c>
    </row>
    <row r="79" customFormat="false" ht="15" hidden="false" customHeight="false" outlineLevel="1" collapsed="false">
      <c r="A79" s="3" t="s">
        <v>1913</v>
      </c>
      <c r="C79" s="10" t="n">
        <f aca="false">輸入與假設!$C$376+SUMPRODUCT(資產負債_既有債務!$C$27:$C$27*(1-資產負債_既有債務!$G$27:$G$27))+輸入與假設!$C$390</f>
        <v>-227.559</v>
      </c>
      <c r="I79" s="6" t="s">
        <v>1914</v>
      </c>
    </row>
    <row r="80" customFormat="false" ht="15" hidden="false" customHeight="false" outlineLevel="1" collapsed="false">
      <c r="A80" s="3" t="s">
        <v>1915</v>
      </c>
      <c r="C80" s="91" t="n">
        <f aca="false">C78+各期收支!G97</f>
        <v>12.1938131888479</v>
      </c>
    </row>
    <row r="81" customFormat="false" ht="15" hidden="false" customHeight="false" outlineLevel="1" collapsed="false">
      <c r="A81" s="3" t="s">
        <v>1916</v>
      </c>
      <c r="C81" s="91" t="n">
        <f aca="false">IF(OR((C23+C28)&lt;=0,C79&lt;=0),0,(LN((C23+C28)/C79)+(輸入與假設!$C$392+輸入與假設!$C$448^2/2)*輸入與假設!$C$449)/(輸入與假設!$C$448*SQRT(輸入與假設!$C$449)))</f>
        <v>0</v>
      </c>
    </row>
    <row r="82" customFormat="false" ht="15" hidden="false" customHeight="false" outlineLevel="1" collapsed="false">
      <c r="A82" s="3" t="s">
        <v>1917</v>
      </c>
      <c r="C82" s="12" t="n">
        <f aca="false">IF(C30=1,0,IF(輸入與假設!$C$447=2,IF((C23+C28)&lt;=0,0,IF(C79&lt;=0,(C23+C28),(C23+C28)*NORMSDIST(C81)-C79*EXP(-輸入與假設!$C$392*輸入與假設!$C$449)*NORMSDIST(C81-輸入與假設!$C$448*SQRT(輸入與假設!$C$449)))/C80),MAX(0,(C23-C79+C28)/C80)))</f>
        <v>97.5772756984798</v>
      </c>
      <c r="I82" s="6" t="s">
        <v>1918</v>
      </c>
    </row>
    <row r="83" customFormat="false" ht="15" hidden="false" customHeight="false" outlineLevel="1" collapsed="false">
      <c r="A83" s="3" t="s">
        <v>1919</v>
      </c>
      <c r="C83" s="10" t="n">
        <f aca="false">INDEX(各期收支!$D$102:$G$102,1,輸入與假設!$C$439)-INDEX(各期收支!$D$56:$G$56,1,輸入與假設!$C$439)+SUMPRODUCT(資產負債_既有債務!$C$27:$C$27*(資產負債_既有債務!$F$27:$F$27-資產負債_既有債務!$G$27:$G$27))+輸入與假設!$C$390</f>
        <v>-135.568716162676</v>
      </c>
      <c r="I83" s="6" t="s">
        <v>1920</v>
      </c>
    </row>
    <row r="84" customFormat="false" ht="15" hidden="false" customHeight="false" outlineLevel="1" collapsed="false">
      <c r="A84" s="3" t="s">
        <v>1921</v>
      </c>
      <c r="C84" s="91" t="n">
        <f aca="false">C78*(1+輸入與假設!$C$444)^輸入與假設!$C$439+INDEX(各期收支!$D$97:$G$97,1,輸入與假設!$C$439)</f>
        <v>12.5684426516997</v>
      </c>
    </row>
    <row r="85" customFormat="false" ht="15" hidden="false" customHeight="false" outlineLevel="1" collapsed="false">
      <c r="A85" s="3" t="s">
        <v>1922</v>
      </c>
      <c r="C85" s="12" t="n">
        <f aca="false">MAX(0,(C39-C83)/C84)*C42</f>
        <v>176.544607329328</v>
      </c>
    </row>
    <row r="86" customFormat="false" ht="15" hidden="false" customHeight="false" outlineLevel="1" collapsed="false">
      <c r="A86" s="2" t="s">
        <v>1923</v>
      </c>
      <c r="C86" s="88" t="n">
        <f aca="false">C82*(1+輸入與假設!$C$401)^輸入與假設!$C$455*IF(C30=1,0,輸入與假設!$C$440)+C85*IF(C30=1,1,1-輸入與假設!$C$440)</f>
        <v>146.09287356031</v>
      </c>
    </row>
    <row r="87" customFormat="false" ht="15" hidden="false" customHeight="false" outlineLevel="1" collapsed="false">
      <c r="A87" s="2" t="s">
        <v>1924</v>
      </c>
      <c r="C87" s="88" t="n">
        <f aca="false">MIN(輸入與假設!$C$374,C86)</f>
        <v>146.09287356031</v>
      </c>
      <c r="I87" s="6" t="s">
        <v>1925</v>
      </c>
    </row>
    <row r="88" customFormat="false" ht="15" hidden="false" customHeight="false" outlineLevel="1" collapsed="false">
      <c r="A88" s="3" t="s">
        <v>1926</v>
      </c>
      <c r="C88" s="93" t="n">
        <f aca="false">SUMPRODUCT(資產負債_既有債務!$D$27:$D$27*資產負債_既有債務!$H$27:$H$27)</f>
        <v>0.0546006353528477</v>
      </c>
      <c r="I88" s="6" t="s">
        <v>1927</v>
      </c>
    </row>
    <row r="89" customFormat="false" ht="15" hidden="false" customHeight="false" outlineLevel="1" collapsed="false">
      <c r="A89" s="3" t="s">
        <v>1928</v>
      </c>
      <c r="C89" s="10" t="n">
        <f aca="false">SUMPRODUCT(資產負債_既有債務!$C$27:$C$27*(1-資產負債_既有債務!$H$27:$H$27))</f>
        <v>0</v>
      </c>
    </row>
    <row r="90" customFormat="false" ht="15" hidden="false" customHeight="false" outlineLevel="1" collapsed="false">
      <c r="A90" s="2" t="s">
        <v>1929</v>
      </c>
      <c r="C90" s="79" t="n">
        <f aca="false">輸入與假設!$C$375+C88</f>
        <v>12.3636006353528</v>
      </c>
      <c r="I90" s="11" t="s">
        <v>1930</v>
      </c>
    </row>
    <row r="91" customFormat="false" ht="15" hidden="false" customHeight="false" outlineLevel="1" collapsed="false">
      <c r="A91" s="2" t="s">
        <v>1931</v>
      </c>
      <c r="C91" s="59" t="n">
        <f aca="false">輸入與假設!$C$376+C89+輸入與假設!$C$390</f>
        <v>-227.559</v>
      </c>
      <c r="I91" s="11" t="s">
        <v>1932</v>
      </c>
    </row>
    <row r="92" customFormat="false" ht="15" hidden="false" customHeight="false" outlineLevel="1" collapsed="false">
      <c r="A92" s="3" t="s">
        <v>1933</v>
      </c>
      <c r="C92" s="10" t="n">
        <f aca="false">SUMPRODUCT(資產負債_既有債務!$C$27:$C$27*(資產負債_既有債務!$F$27:$F$27-資產負債_既有債務!$H$27:$H$27))+輸入與假設!$C$390</f>
        <v>-173.233</v>
      </c>
      <c r="I92" s="6" t="s">
        <v>1934</v>
      </c>
    </row>
    <row r="93" customFormat="false" ht="15" hidden="false" customHeight="false" outlineLevel="1" collapsed="false">
      <c r="A93" s="4" t="s">
        <v>1935</v>
      </c>
      <c r="C93" s="3" t="str">
        <f aca="false">IF(C30=1,"DCF 失效，已以 EV/EBITDA 100% 計。",IF(AND(輸入與假設!$C$447&lt;&gt;2,C108&lt;0),"DCF 為 $0 仍計 "&amp;TEXT(輸入與假設!$C$440,"0%")&amp;"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$"&amp;TEXT(C43,"0.0")&amp;"（"&amp;CHOOSE(D107+2,"賣出","中立","買進")&amp;"）；"&amp;TEXT(輸入與假設!$C$440,"0%")&amp;"／"&amp;TEXT(1-輸入與假設!$C$440,"0%")&amp;" 為判斷值。",""))</f>
        <v/>
      </c>
      <c r="I93" s="6" t="s">
        <v>1936</v>
      </c>
    </row>
    <row r="95" customFormat="false" ht="15" hidden="false" customHeight="false" outlineLevel="0" collapsed="false">
      <c r="A95" s="53" t="s">
        <v>1937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1938</v>
      </c>
      <c r="C96" s="12" t="n">
        <f aca="false">C51</f>
        <v>146.09287356031</v>
      </c>
      <c r="I96" s="6" t="str">
        <f aca="false">"評等規則不變：空間 ≥"&amp;IF(ROUND(ABS(輸入與假設!$C$465)*100,4)=INT(ROUND(ABS(輸入與假設!$C$465)*100,4)),TEXT(ROUND(ABS(輸入與假設!$C$465)*100,4),"0"),TEXT(ROUND(ABS(輸入與假設!$C$465)*100,4),"0.0"))&amp;"%"&amp;" 且終值占比 &lt;"&amp;IF(ROUND(ABS(輸入與假設!$C$466)*100,4)=INT(ROUND(ABS(輸入與假設!$C$466)*100,4)),TEXT(ROUND(ABS(輸入與假設!$C$466)*100,4),"0"),TEXT(ROUND(ABS(輸入與假設!$C$466)*100,4),"0.0"))&amp;"%"&amp;"、股權募資 ≤"&amp;IF(輸入與假設!$C$468=INT(輸入與假設!$C$468),TEXT(輸入與假設!$C$468,"0"),TEXT(輸入與假設!$C$468,"0.0"))&amp;" 倍現市值 → 買進；空間 ≤−"&amp;IF(ROUND(ABS(輸入與假設!$C$467)*100,4)=INT(ROUND(ABS(輸入與假設!$C$467)*100,4)),TEXT(ROUND(ABS(輸入與假設!$C$467)*100,4),"0"),TEXT(ROUND(ABS(輸入與假設!$C$467)*100,4),"0.0"))&amp;"%"&amp;"，或股權募資 &gt;"&amp;IF(輸入與假設!$C$468=INT(輸入與假設!$C$468),TEXT(輸入與假設!$C$468,"0"),TEXT(輸入與假設!$C$468,"0.0"))&amp;" 倍且空間 ≤−"&amp;IF(ROUND(ABS(輸入與假設!$C$469)*100,4)=INT(ROUND(ABS(輸入與假設!$C$469)*100,4)),TEXT(ROUND(ABS(輸入與假設!$C$469)*100,4),"0"),TEXT(ROUND(ABS(輸入與假設!$C$469)*100,4),"0.0"))&amp;"%"&amp;"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1939</v>
      </c>
      <c r="C97" s="13" t="n">
        <f aca="false">C22/MAX(ABS(C23),1)*IF(C23=0,1,SIGN(C23))</f>
        <v>1.15237121288884</v>
      </c>
    </row>
    <row r="98" customFormat="false" ht="15" hidden="false" customHeight="false" outlineLevel="1" collapsed="false">
      <c r="A98" s="3" t="s">
        <v>1940</v>
      </c>
      <c r="C98" s="16" t="n">
        <f aca="false">SUM(各期收支!C92:G92)/(輸入與假設!$C$374*輸入與假設!$C$375)</f>
        <v>0</v>
      </c>
    </row>
    <row r="99" customFormat="false" ht="15" hidden="false" customHeight="false" outlineLevel="1" collapsed="false">
      <c r="A99" s="3" t="s">
        <v>1941</v>
      </c>
      <c r="C99" s="9" t="n">
        <f aca="false">IF(AND((C51/MAX(輸入與假設!$C$374,0.01)-1)&gt;=輸入與假設!$C$465,$C$97&lt;輸入與假設!$C$466,$C$98&lt;=輸入與假設!$C$468),1,IF(OR((C51/MAX(輸入與假設!$C$374,0.01)-1)&lt;=輸入與假設!$C$467,AND($C$98&gt;輸入與假設!$C$468,(C51/MAX(輸入與假設!$C$374,0.01)-1)&lt;=輸入與假設!$C$469)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1942</v>
      </c>
      <c r="C100" s="12" t="n">
        <f aca="false">輸入與假設!$C$374*(1+輸入與假設!$C$467)</f>
        <v>297.925</v>
      </c>
    </row>
    <row r="101" customFormat="false" ht="15" hidden="false" customHeight="false" outlineLevel="1" collapsed="false">
      <c r="A101" s="3" t="s">
        <v>1943</v>
      </c>
      <c r="C101" s="12" t="n">
        <f aca="false">輸入與假設!D499</f>
        <v>175.083617103409</v>
      </c>
      <c r="D101" s="9" t="n">
        <f aca="false">輸入與假設!E499</f>
        <v>-1</v>
      </c>
      <c r="E101" s="12" t="n">
        <f aca="false">C101-$C$100</f>
        <v>-122.841382896591</v>
      </c>
      <c r="I101" s="6" t="s">
        <v>1944</v>
      </c>
    </row>
    <row r="102" customFormat="false" ht="15" hidden="false" customHeight="false" outlineLevel="1" collapsed="false">
      <c r="A102" s="3" t="s">
        <v>1945</v>
      </c>
      <c r="C102" s="12" t="n">
        <f aca="false">輸入與假設!D500</f>
        <v>146.09287356031</v>
      </c>
      <c r="D102" s="9" t="n">
        <f aca="false">輸入與假設!E500</f>
        <v>-1</v>
      </c>
      <c r="E102" s="12" t="n">
        <f aca="false">C102-$C$100</f>
        <v>-151.83212643969</v>
      </c>
    </row>
    <row r="103" customFormat="false" ht="15" hidden="false" customHeight="false" outlineLevel="1" collapsed="false">
      <c r="A103" s="3" t="s">
        <v>1946</v>
      </c>
      <c r="C103" s="12" t="n">
        <f aca="false">輸入與假設!D501</f>
        <v>122.889116020962</v>
      </c>
      <c r="D103" s="9" t="n">
        <f aca="false">輸入與假設!E501</f>
        <v>-1</v>
      </c>
      <c r="E103" s="12" t="n">
        <f aca="false">C103-$C$100</f>
        <v>-175.035883979038</v>
      </c>
    </row>
    <row r="104" customFormat="false" ht="15" hidden="false" customHeight="false" outlineLevel="1" collapsed="false">
      <c r="A104" s="3" t="s">
        <v>1947</v>
      </c>
      <c r="C104" s="12" t="n">
        <f aca="false">MIN(C101,C103)</f>
        <v>122.889116020962</v>
      </c>
      <c r="D104" s="12" t="n">
        <f aca="false">MAX(C101,C103)</f>
        <v>175.083617103409</v>
      </c>
    </row>
    <row r="105" customFormat="false" ht="15" hidden="false" customHeight="false" outlineLevel="1" collapsed="false">
      <c r="A105" s="3" t="s">
        <v>1948</v>
      </c>
      <c r="C105" s="16" t="n">
        <f aca="false">MIN(輸入與假設!$C$442,輸入與假設!$C$443)</f>
        <v>5</v>
      </c>
      <c r="D105" s="16" t="n">
        <f aca="false">MAX(輸入與假設!$C$442,輸入與假設!$C$443)</f>
        <v>6</v>
      </c>
    </row>
    <row r="106" customFormat="false" ht="15" hidden="false" customHeight="false" outlineLevel="1" collapsed="false">
      <c r="A106" s="3" t="s">
        <v>1949</v>
      </c>
      <c r="C106" s="12" t="n">
        <f aca="false">MIN(C48*IF(C30=1,0,輸入與假設!$C$440)+MAX(0,(C45*C105+C44*輸入與假設!$C$438-C40)/C41)*C42*IF(C30=1,1,1-輸入與假設!$C$440),C48*IF(C30=1,0,輸入與假設!$C$440)+MAX(0,(C45*D105+C44*輸入與假設!$C$438-C40)/C41)*C42*IF(C30=1,1,1-輸入與假設!$C$440))</f>
        <v>144.130976417747</v>
      </c>
      <c r="D106" s="12" t="n">
        <f aca="false">MAX(C48*IF(C30=1,0,輸入與假設!$C$440)+MAX(0,(C45*C105+C44*輸入與假設!$C$438-C40)/C41)*C42*IF(C30=1,1,1-輸入與假設!$C$440),C48*IF(C30=1,0,輸入與假設!$C$440)+MAX(0,(C45*D105+C44*輸入與假設!$C$438-C40)/C41)*C42*IF(C30=1,1,1-輸入與假設!$C$440))</f>
        <v>146.09287356031</v>
      </c>
      <c r="I106" s="6" t="s">
        <v>1950</v>
      </c>
    </row>
    <row r="107" customFormat="false" ht="15" hidden="false" customHeight="false" outlineLevel="1" collapsed="false">
      <c r="A107" s="3" t="s">
        <v>1951</v>
      </c>
      <c r="C107" s="12" t="n">
        <f aca="false">C43</f>
        <v>176.544607329328</v>
      </c>
      <c r="D107" s="9" t="n">
        <f aca="false">IF(AND((C43/MAX(輸入與假設!$C$374,0.01)-1)&gt;=輸入與假設!$C$465,$C$97&lt;輸入與假設!$C$466,$C$98&lt;=輸入與假設!$C$468),1,IF(OR((C43/MAX(輸入與假設!$C$374,0.01)-1)&lt;=輸入與假設!$C$467,AND($C$98&gt;輸入與假設!$C$468,(C43/MAX(輸入與假設!$C$374,0.01)-1)&lt;=輸入與假設!$C$469)),-1,0))</f>
        <v>-1</v>
      </c>
      <c r="E107" s="12" t="str">
        <f aca="false">CHOOSE(D107+2,"賣出","中立","買進")</f>
        <v>賣出</v>
      </c>
    </row>
    <row r="108" customFormat="false" ht="15" hidden="false" customHeight="false" outlineLevel="1" collapsed="false">
      <c r="A108" s="3" t="s">
        <v>1952</v>
      </c>
      <c r="C108" s="12" t="n">
        <f aca="false">(C25+C28)/C29</f>
        <v>97.5772756984798</v>
      </c>
    </row>
    <row r="109" customFormat="false" ht="15" hidden="false" customHeight="false" outlineLevel="1" collapsed="false">
      <c r="A109" s="3" t="s">
        <v>1953</v>
      </c>
      <c r="C109" s="94" t="n">
        <v>209.756438407744</v>
      </c>
      <c r="D109" s="12" t="n">
        <f aca="false">C109-輸入與假設!D499</f>
        <v>34.6728213043348</v>
      </c>
      <c r="I109" s="6" t="s">
        <v>1954</v>
      </c>
    </row>
    <row r="110" customFormat="false" ht="15" hidden="false" customHeight="false" outlineLevel="1" collapsed="false">
      <c r="A110" s="3" t="s">
        <v>1955</v>
      </c>
      <c r="C110" s="94" t="n">
        <v>218.793546321575</v>
      </c>
      <c r="D110" s="12" t="n">
        <f aca="false">C110-輸入與假設!D500</f>
        <v>72.7006727612643</v>
      </c>
      <c r="I110" s="6" t="s">
        <v>1954</v>
      </c>
    </row>
    <row r="111" customFormat="false" ht="15" hidden="false" customHeight="false" outlineLevel="1" collapsed="false">
      <c r="A111" s="3" t="s">
        <v>1956</v>
      </c>
      <c r="C111" s="94" t="n">
        <v>220.823471513952</v>
      </c>
      <c r="D111" s="12" t="n">
        <f aca="false">C111-輸入與假設!D501</f>
        <v>97.9343554929899</v>
      </c>
      <c r="I111" s="6" t="s">
        <v>1954</v>
      </c>
    </row>
    <row r="112" customFormat="false" ht="15" hidden="false" customHeight="false" outlineLevel="1" collapsed="false">
      <c r="A112" s="3" t="s">
        <v>1957</v>
      </c>
      <c r="C112" s="95" t="n">
        <v>0.1</v>
      </c>
      <c r="D112" s="94" t="n">
        <v>99.2693039051743</v>
      </c>
      <c r="I112" s="6" t="s">
        <v>1954</v>
      </c>
    </row>
    <row r="113" customFormat="false" ht="15" hidden="false" customHeight="false" outlineLevel="1" collapsed="false">
      <c r="A113" s="3" t="s">
        <v>1958</v>
      </c>
      <c r="C113" s="95" t="n">
        <v>0.5</v>
      </c>
      <c r="D113" s="94" t="n">
        <v>179.713162078522</v>
      </c>
      <c r="I113" s="6" t="s">
        <v>1954</v>
      </c>
    </row>
    <row r="114" customFormat="false" ht="15" hidden="false" customHeight="false" outlineLevel="1" collapsed="false">
      <c r="A114" s="3" t="s">
        <v>1959</v>
      </c>
      <c r="C114" s="94" t="n">
        <v>177.945972375899</v>
      </c>
      <c r="D114" s="96" t="n">
        <v>-1</v>
      </c>
      <c r="I114" s="6" t="s">
        <v>1954</v>
      </c>
    </row>
    <row r="115" customFormat="false" ht="15" hidden="false" customHeight="false" outlineLevel="1" collapsed="false">
      <c r="A115" s="3" t="s">
        <v>1960</v>
      </c>
      <c r="C115" s="94" t="n">
        <v>163.150483027866</v>
      </c>
      <c r="D115" s="96" t="n">
        <v>-1</v>
      </c>
      <c r="I115" s="6" t="s">
        <v>1954</v>
      </c>
    </row>
    <row r="116" customFormat="false" ht="15" hidden="false" customHeight="false" outlineLevel="1" collapsed="false">
      <c r="A116" s="3" t="s">
        <v>1961</v>
      </c>
      <c r="C116" s="94" t="n">
        <v>151.66354505522</v>
      </c>
      <c r="D116" s="96" t="n">
        <v>-1</v>
      </c>
      <c r="I116" s="6" t="s">
        <v>1954</v>
      </c>
    </row>
    <row r="117" customFormat="false" ht="15" hidden="false" customHeight="false" outlineLevel="1" collapsed="false">
      <c r="A117" s="3" t="s">
        <v>1962</v>
      </c>
      <c r="C117" s="94" t="n">
        <v>159.196112878347</v>
      </c>
      <c r="D117" s="96" t="n">
        <v>-1</v>
      </c>
      <c r="I117" s="6" t="s">
        <v>1954</v>
      </c>
    </row>
    <row r="118" customFormat="false" ht="15" hidden="false" customHeight="false" outlineLevel="1" collapsed="false">
      <c r="A118" s="3" t="s">
        <v>1963</v>
      </c>
      <c r="C118" s="94" t="n">
        <v>135.878541518699</v>
      </c>
      <c r="D118" s="96" t="n">
        <v>-1</v>
      </c>
      <c r="I118" s="6" t="s">
        <v>1954</v>
      </c>
    </row>
    <row r="119" customFormat="false" ht="15" hidden="false" customHeight="false" outlineLevel="1" collapsed="false">
      <c r="A119" s="3" t="s">
        <v>1964</v>
      </c>
      <c r="C119" s="94" t="n">
        <v>181.1775313787</v>
      </c>
      <c r="D119" s="96" t="n">
        <v>-1</v>
      </c>
      <c r="I119" s="6" t="s">
        <v>1954</v>
      </c>
    </row>
    <row r="120" customFormat="false" ht="15" hidden="false" customHeight="false" outlineLevel="1" collapsed="false">
      <c r="A120" s="3" t="s">
        <v>1965</v>
      </c>
      <c r="C120" s="94" t="n">
        <v>162.327364436435</v>
      </c>
      <c r="D120" s="96" t="n">
        <v>-1</v>
      </c>
      <c r="I120" s="6" t="s">
        <v>1954</v>
      </c>
    </row>
    <row r="121" customFormat="false" ht="15" hidden="false" customHeight="false" outlineLevel="1" collapsed="false">
      <c r="A121" s="3" t="s">
        <v>1966</v>
      </c>
      <c r="C121" s="94" t="n">
        <v>233.860897225095</v>
      </c>
      <c r="D121" s="96" t="n">
        <v>-1</v>
      </c>
      <c r="I121" s="6" t="s">
        <v>1954</v>
      </c>
    </row>
    <row r="122" customFormat="false" ht="15" hidden="false" customHeight="false" outlineLevel="1" collapsed="false">
      <c r="A122" s="3" t="s">
        <v>1967</v>
      </c>
      <c r="C122" s="95" t="n">
        <v>0.0566950046139881</v>
      </c>
      <c r="D122" s="95" t="n">
        <v>0.00306676479659964</v>
      </c>
      <c r="I122" s="6" t="s">
        <v>1954</v>
      </c>
    </row>
    <row r="123" customFormat="false" ht="15" hidden="false" customHeight="false" outlineLevel="1" collapsed="false">
      <c r="A123" s="4" t="s">
        <v>1968</v>
      </c>
      <c r="C123" s="46" t="n">
        <v>176.443306225945</v>
      </c>
      <c r="D123" s="46" t="n">
        <v>175.083617103409</v>
      </c>
      <c r="E123" s="46" t="n">
        <v>168.85276355673</v>
      </c>
      <c r="I123" s="6" t="s">
        <v>1969</v>
      </c>
    </row>
    <row r="124" customFormat="false" ht="15" hidden="false" customHeight="false" outlineLevel="1" collapsed="false">
      <c r="A124" s="4" t="s">
        <v>1970</v>
      </c>
      <c r="C124" s="46" t="n">
        <v>145.463675621051</v>
      </c>
      <c r="D124" s="46" t="n">
        <v>146.09287356031</v>
      </c>
      <c r="E124" s="46" t="n">
        <v>151.083879999</v>
      </c>
    </row>
    <row r="125" customFormat="false" ht="15" hidden="false" customHeight="false" outlineLevel="1" collapsed="false">
      <c r="A125" s="4" t="s">
        <v>1971</v>
      </c>
      <c r="C125" s="46" t="n">
        <v>120.850395768838</v>
      </c>
      <c r="D125" s="46" t="n">
        <v>122.889116020962</v>
      </c>
      <c r="E125" s="46" t="n">
        <v>136.027944740849</v>
      </c>
    </row>
    <row r="126" customFormat="false" ht="15" hidden="false" customHeight="false" outlineLevel="1" collapsed="false">
      <c r="A126" s="3" t="s">
        <v>1972</v>
      </c>
      <c r="C126" s="3" t="str">
        <f aca="false">"目標價 $"&amp;TEXT(C51,"0.0")&amp;"（情境區間 $"&amp;TEXT(C104,"0.0")&amp;"–$"&amp;TEXT(D104,"0.0")&amp;"）"</f>
        <v>目標價 $146.1（情境區間 $122.9–$175.1）</v>
      </c>
    </row>
    <row r="127" customFormat="false" ht="15" hidden="false" customHeight="false" outlineLevel="1" collapsed="false">
      <c r="A127" s="3" t="s">
        <v>1973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1974</v>
      </c>
      <c r="C128" s="3" t="str">
        <f aca="false">IF(ABS(輸入與假設!$C$407-D105)&lt;0.000000001,"目前點位位於方法區間上緣（"&amp;IF(D105=INT(D105),TEXT(D105,"0"),TEXT(D105,"0.0"))&amp;"x 為穩態倍數上緣）",IF(ABS(輸入與假設!$C$407-C105)&lt;0.000000001,"目前點位位於方法區間下緣（"&amp;IF(C105=INT(C105),TEXT(C105,"0"),TEXT(C105,"0.0"))&amp;"x）","目前點位"&amp;IF(AND(輸入與假設!$C$407&gt;C105,輸入與假設!$C$407&lt;D105),"位於方法區間內",IF(輸入與假設!$C$407&gt;D105,"高於方法區間上緣","低於方法區間下緣"))&amp;"（目前倍數 "&amp;IF(輸入與假設!$C$407=INT(輸入與假設!$C$407),TEXT(輸入與假設!$C$407,"0"),TEXT(輸入與假設!$C$407,"0.0"))&amp;"x）"))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1975</v>
      </c>
      <c r="C129" s="3" t="str">
        <f aca="false">IF(D104&lt;輸入與假設!$C$374,"情境區間上緣 $"&amp;TEXT(D104,"0.0")&amp;" 低於現價 $"&amp;TEXT(輸入與假設!$C$374,"0.00")&amp;IF((D101&lt;&gt;-1)+(D102&lt;&gt;-1)+(D103&lt;&gt;-1)&gt;0,"，但"&amp;SUBSTITUTE(TRIM(IF(D101&lt;&gt;-1,"保守","")&amp;"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$"&amp;TEXT(輸入與假設!$C$374,"0.00")&amp;"：賣出並非在三個擴張情境下都成立")&amp;"。"&amp;IF(ABS(E101)&lt;輸入與假設!$C$470*輸入與假設!$C$374,"保守情境 $"&amp;TEXT(C101,"0.0")&amp;"，"&amp;IF(E101&lt;0,"距賣出門檻","高於賣出門檻")&amp;" $"&amp;TEXT($C$100,"0.0")&amp;" 僅 $"&amp;TEXT(ABS(E101),"0.0")&amp;"。","")&amp;IF(ABS(E102)&lt;輸入與假設!$C$470*輸入與假設!$C$374,"基準情境 $"&amp;TEXT(C102,"0.0")&amp;"，"&amp;IF(E102&lt;0,"距賣出門檻","高於賣出門檻")&amp;" $"&amp;TEXT($C$100,"0.0")&amp;" 僅 $"&amp;TEXT(ABS(E102),"0.0")&amp;"。","")&amp;IF(ABS(E103)&lt;輸入與假設!$C$470*輸入與假設!$C$374,"積極情境 $"&amp;TEXT(C103,"0.0")&amp;"，"&amp;IF(E103&lt;0,"距賣出門檻","高於賣出門檻")&amp;" $"&amp;TEXT($C$100,"0.0")&amp;" 僅 $"&amp;TEXT(ABS(E103),"0.0")&amp;"。","")</f>
        <v>情境區間上緣 $175.1 低於現價 $350.50：賣出在三個擴張情境下都成立。</v>
      </c>
    </row>
    <row r="131" customFormat="false" ht="15" hidden="false" customHeight="false" outlineLevel="0" collapsed="false">
      <c r="A131" s="53" t="s">
        <v>1976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1977</v>
      </c>
      <c r="B132" s="14" t="s">
        <v>249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1978</v>
      </c>
    </row>
    <row r="133" customFormat="false" ht="15" hidden="false" customHeight="false" outlineLevel="1" collapsed="false">
      <c r="A133" s="3" t="s">
        <v>1979</v>
      </c>
      <c r="B133" s="97" t="n">
        <v>3.4</v>
      </c>
      <c r="C133" s="12" t="n">
        <f aca="false">MAX(0,((INDEX(損益!$D$22:$G$22,1,1)-INDEX(輸入與假設!$D$249:$G$249,1,1))*$B133+INDEX(輸入與假設!$D$249:$G$249,1,1)*輸入與假設!$C$438-(INDEX(各期收支!$D$102:$G$102,1,1)-INDEX(各期收支!$D$56:$G$56,1,1)+評價_DCF與目標價!$C$92))/INDEX(損益!$D$24:$G$24,1,1))/(1+輸入與假設!$C$401)^(1-輸入與假設!$C$459)</f>
        <v>173.082225913377</v>
      </c>
      <c r="D133" s="12" t="n">
        <f aca="false">MAX(0,((INDEX(損益!$D$22:$G$22,1,2)-INDEX(輸入與假設!$D$249:$G$249,1,2))*$B133+INDEX(輸入與假設!$D$249:$G$249,1,2)*輸入與假設!$C$438-(INDEX(各期收支!$D$102:$G$102,1,2)-INDEX(各期收支!$D$56:$G$56,1,2)+評價_DCF與目標價!$C$92))/INDEX(損益!$D$24:$G$24,1,2))/(1+輸入與假設!$C$401)^(2-輸入與假設!$C$459)</f>
        <v>171.127334604449</v>
      </c>
      <c r="E133" s="12" t="n">
        <f aca="false">MAX(0,((INDEX(損益!$D$22:$G$22,1,3)-INDEX(輸入與假設!$D$249:$G$249,1,3))*$B133+INDEX(輸入與假設!$D$249:$G$249,1,3)*輸入與假設!$C$438-(INDEX(各期收支!$D$102:$G$102,1,3)-INDEX(各期收支!$D$56:$G$56,1,3)+評價_DCF與目標價!$C$92))/INDEX(損益!$D$24:$G$24,1,3))/(1+輸入與假設!$C$401)^(3-輸入與假設!$C$459)</f>
        <v>167.270184473576</v>
      </c>
      <c r="F133" s="12" t="n">
        <f aca="false">MAX(0,((INDEX(損益!$D$22:$G$22,1,4)-INDEX(輸入與假設!$D$249:$G$249,1,4))*$B133+INDEX(輸入與假設!$D$249:$G$249,1,4)*輸入與假設!$C$438-(INDEX(各期收支!$D$102:$G$102,1,4)-INDEX(各期收支!$D$56:$G$56,1,4)+評價_DCF與目標價!$C$92))/INDEX(損益!$D$24:$G$24,1,4))/(1+輸入與假設!$C$401)^(4-輸入與假設!$C$459)</f>
        <v>154.669579016015</v>
      </c>
    </row>
    <row r="134" customFormat="false" ht="15" hidden="false" customHeight="false" outlineLevel="1" collapsed="false">
      <c r="A134" s="3" t="s">
        <v>1980</v>
      </c>
      <c r="B134" s="97" t="n">
        <v>4.5</v>
      </c>
      <c r="C134" s="12" t="n">
        <f aca="false">MAX(0,((INDEX(損益!$D$22:$G$22,1,1)-INDEX(輸入與假設!$D$249:$G$249,1,1))*$B134+INDEX(輸入與假設!$D$249:$G$249,1,1)*輸入與假設!$C$438-(INDEX(各期收支!$D$102:$G$102,1,1)-INDEX(各期收支!$D$56:$G$56,1,1)+評價_DCF與目標價!$C$92))/INDEX(損益!$D$24:$G$24,1,1))/(1+輸入與假設!$C$401)^(1-輸入與假設!$C$459)</f>
        <v>174.969481598992</v>
      </c>
      <c r="D134" s="12" t="n">
        <f aca="false">MAX(0,((INDEX(損益!$D$22:$G$22,1,2)-INDEX(輸入與假設!$D$249:$G$249,1,2))*$B134+INDEX(輸入與假設!$D$249:$G$249,1,2)*輸入與假設!$C$438-(INDEX(各期收支!$D$102:$G$102,1,2)-INDEX(各期收支!$D$56:$G$56,1,2)+評價_DCF與目標價!$C$92))/INDEX(損益!$D$24:$G$24,1,2))/(1+輸入與假設!$C$401)^(2-輸入與假設!$C$459)</f>
        <v>173.959815661509</v>
      </c>
      <c r="E134" s="12" t="n">
        <f aca="false">MAX(0,((INDEX(損益!$D$22:$G$22,1,3)-INDEX(輸入與假設!$D$249:$G$249,1,3))*$B134+INDEX(輸入與假設!$D$249:$G$249,1,3)*輸入與假設!$C$438-(INDEX(各期收支!$D$102:$G$102,1,3)-INDEX(各期收支!$D$56:$G$56,1,3)+評價_DCF與目標價!$C$92))/INDEX(損益!$D$24:$G$24,1,3))/(1+輸入與假設!$C$401)^(3-輸入與假設!$C$459)</f>
        <v>171.193978758702</v>
      </c>
      <c r="F134" s="12" t="n">
        <f aca="false">MAX(0,((INDEX(損益!$D$22:$G$22,1,4)-INDEX(輸入與假設!$D$249:$G$249,1,4))*$B134+INDEX(輸入與假設!$D$249:$G$249,1,4)*輸入與假設!$C$438-(INDEX(各期收支!$D$102:$G$102,1,4)-INDEX(各期收支!$D$56:$G$56,1,4)+評價_DCF與目標價!$C$92))/INDEX(損益!$D$24:$G$24,1,4))/(1+輸入與假設!$C$401)^(4-輸入與假設!$C$459)</f>
        <v>159.397436396555</v>
      </c>
    </row>
    <row r="135" customFormat="false" ht="15" hidden="false" customHeight="false" outlineLevel="1" collapsed="false">
      <c r="A135" s="3" t="s">
        <v>1981</v>
      </c>
      <c r="B135" s="97" t="n">
        <v>5</v>
      </c>
      <c r="C135" s="12" t="n">
        <f aca="false">MAX(0,((INDEX(損益!$D$22:$G$22,1,1)-INDEX(輸入與假設!$D$249:$G$249,1,1))*$B135+INDEX(輸入與假設!$D$249:$G$249,1,1)*輸入與假設!$C$438-(INDEX(各期收支!$D$102:$G$102,1,1)-INDEX(各期收支!$D$56:$G$56,1,1)+評價_DCF與目標價!$C$92))/INDEX(損益!$D$24:$G$24,1,1))/(1+輸入與假設!$C$401)^(1-輸入與假設!$C$459)</f>
        <v>175.827325092453</v>
      </c>
      <c r="D135" s="12" t="n">
        <f aca="false">MAX(0,((INDEX(損益!$D$22:$G$22,1,2)-INDEX(輸入與假設!$D$249:$G$249,1,2))*$B135+INDEX(輸入與假設!$D$249:$G$249,1,2)*輸入與假設!$C$438-(INDEX(各期收支!$D$102:$G$102,1,2)-INDEX(各期收支!$D$56:$G$56,1,2)+評價_DCF與目標價!$C$92))/INDEX(損益!$D$24:$G$24,1,2))/(1+輸入與假設!$C$401)^(2-輸入與假設!$C$459)</f>
        <v>175.247307051082</v>
      </c>
      <c r="E135" s="12" t="n">
        <f aca="false">MAX(0,((INDEX(損益!$D$22:$G$22,1,3)-INDEX(輸入與假設!$D$249:$G$249,1,3))*$B135+INDEX(輸入與假設!$D$249:$G$249,1,3)*輸入與假設!$C$438-(INDEX(各期收支!$D$102:$G$102,1,3)-INDEX(各期收支!$D$56:$G$56,1,3)+評價_DCF與目標價!$C$92))/INDEX(損益!$D$24:$G$24,1,3))/(1+輸入與假設!$C$401)^(3-輸入與假設!$C$459)</f>
        <v>172.977521615577</v>
      </c>
      <c r="F135" s="12" t="n">
        <f aca="false">MAX(0,((INDEX(損益!$D$22:$G$22,1,4)-INDEX(輸入與假設!$D$249:$G$249,1,4))*$B135+INDEX(輸入與假設!$D$249:$G$249,1,4)*輸入與假設!$C$438-(INDEX(各期收支!$D$102:$G$102,1,4)-INDEX(各期收支!$D$56:$G$56,1,4)+評價_DCF與目標價!$C$92))/INDEX(損益!$D$24:$G$24,1,4))/(1+輸入與假設!$C$401)^(4-輸入與假設!$C$459)</f>
        <v>161.546462478619</v>
      </c>
    </row>
    <row r="136" customFormat="false" ht="15" hidden="false" customHeight="false" outlineLevel="1" collapsed="false">
      <c r="A136" s="3" t="s">
        <v>1982</v>
      </c>
      <c r="B136" s="97" t="n">
        <v>6</v>
      </c>
      <c r="C136" s="12" t="n">
        <f aca="false">MAX(0,((INDEX(損益!$D$22:$G$22,1,1)-INDEX(輸入與假設!$D$249:$G$249,1,1))*$B136+INDEX(輸入與假設!$D$249:$G$249,1,1)*輸入與假設!$C$438-(INDEX(各期收支!$D$102:$G$102,1,1)-INDEX(各期收支!$D$56:$G$56,1,1)+評價_DCF與目標價!$C$92))/INDEX(損益!$D$24:$G$24,1,1))/(1+輸入與假設!$C$401)^(1-輸入與假設!$C$459)</f>
        <v>177.543012079375</v>
      </c>
      <c r="D136" s="12" t="n">
        <f aca="false">MAX(0,((INDEX(損益!$D$22:$G$22,1,2)-INDEX(輸入與假設!$D$249:$G$249,1,2))*$B136+INDEX(輸入與假設!$D$249:$G$249,1,2)*輸入與假設!$C$438-(INDEX(各期收支!$D$102:$G$102,1,2)-INDEX(各期收支!$D$56:$G$56,1,2)+評價_DCF與目標價!$C$92))/INDEX(損益!$D$24:$G$24,1,2))/(1+輸入與假設!$C$401)^(2-輸入與假設!$C$459)</f>
        <v>177.822289830227</v>
      </c>
      <c r="E136" s="12" t="n">
        <f aca="false">MAX(0,((INDEX(損益!$D$22:$G$22,1,3)-INDEX(輸入與假設!$D$249:$G$249,1,3))*$B136+INDEX(輸入與假設!$D$249:$G$249,1,3)*輸入與假設!$C$438-(INDEX(各期收支!$D$102:$G$102,1,3)-INDEX(各期收支!$D$56:$G$56,1,3)+評價_DCF與目標價!$C$92))/INDEX(損益!$D$24:$G$24,1,3))/(1+輸入與假設!$C$401)^(3-輸入與假設!$C$459)</f>
        <v>176.544607329328</v>
      </c>
      <c r="F136" s="12" t="n">
        <f aca="false">MAX(0,((INDEX(損益!$D$22:$G$22,1,4)-INDEX(輸入與假設!$D$249:$G$249,1,4))*$B136+INDEX(輸入與假設!$D$249:$G$249,1,4)*輸入與假設!$C$438-(INDEX(各期收支!$D$102:$G$102,1,4)-INDEX(各期收支!$D$56:$G$56,1,4)+評價_DCF與目標價!$C$92))/INDEX(損益!$D$24:$G$24,1,4))/(1+輸入與假設!$C$401)^(4-輸入與假設!$C$459)</f>
        <v>165.844514642747</v>
      </c>
    </row>
    <row r="137" customFormat="false" ht="15" hidden="false" customHeight="false" outlineLevel="1" collapsed="false">
      <c r="A137" s="3" t="s">
        <v>1983</v>
      </c>
      <c r="B137" s="97" t="n">
        <v>7</v>
      </c>
      <c r="C137" s="12" t="n">
        <f aca="false">MAX(0,((INDEX(損益!$D$22:$G$22,1,1)-INDEX(輸入與假設!$D$249:$G$249,1,1))*$B137+INDEX(輸入與假設!$D$249:$G$249,1,1)*輸入與假設!$C$438-(INDEX(各期收支!$D$102:$G$102,1,1)-INDEX(各期收支!$D$56:$G$56,1,1)+評價_DCF與目標價!$C$92))/INDEX(損益!$D$24:$G$24,1,1))/(1+輸入與假設!$C$401)^(1-輸入與假設!$C$459)</f>
        <v>179.258699066297</v>
      </c>
      <c r="D137" s="12" t="n">
        <f aca="false">MAX(0,((INDEX(損益!$D$22:$G$22,1,2)-INDEX(輸入與假設!$D$249:$G$249,1,2))*$B137+INDEX(輸入與假設!$D$249:$G$249,1,2)*輸入與假設!$C$438-(INDEX(各期收支!$D$102:$G$102,1,2)-INDEX(各期收支!$D$56:$G$56,1,2)+評價_DCF與目標價!$C$92))/INDEX(損益!$D$24:$G$24,1,2))/(1+輸入與假設!$C$401)^(2-輸入與假設!$C$459)</f>
        <v>180.397272609372</v>
      </c>
      <c r="E137" s="12" t="n">
        <f aca="false">MAX(0,((INDEX(損益!$D$22:$G$22,1,3)-INDEX(輸入與假設!$D$249:$G$249,1,3))*$B137+INDEX(輸入與假設!$D$249:$G$249,1,3)*輸入與假設!$C$438-(INDEX(各期收支!$D$102:$G$102,1,3)-INDEX(各期收支!$D$56:$G$56,1,3)+評價_DCF與目標價!$C$92))/INDEX(損益!$D$24:$G$24,1,3))/(1+輸入與假設!$C$401)^(3-輸入與假設!$C$459)</f>
        <v>180.111693043079</v>
      </c>
      <c r="F137" s="12" t="n">
        <f aca="false">MAX(0,((INDEX(損益!$D$22:$G$22,1,4)-INDEX(輸入與假設!$D$249:$G$249,1,4))*$B137+INDEX(輸入與假設!$D$249:$G$249,1,4)*輸入與假設!$C$438-(INDEX(各期收支!$D$102:$G$102,1,4)-INDEX(各期收支!$D$56:$G$56,1,4)+評價_DCF與目標價!$C$92))/INDEX(損益!$D$24:$G$24,1,4))/(1+輸入與假設!$C$401)^(4-輸入與假設!$C$459)</f>
        <v>170.142566806874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1984</v>
      </c>
      <c r="B139" s="14" t="s">
        <v>249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1985</v>
      </c>
      <c r="B140" s="97" t="n">
        <v>3.4</v>
      </c>
      <c r="C140" s="12" t="n">
        <f aca="false">C48*IF(C30=1,0,輸入與假設!$C$440)+C133*IF(C30=1,1,1-輸入與假設!$C$440)</f>
        <v>144.188563781537</v>
      </c>
      <c r="D140" s="12" t="n">
        <f aca="false">C48*IF(C30=1,0,輸入與假設!$C$440)+D133*IF(C30=1,1,1-輸入與假設!$C$440)</f>
        <v>143.113373561627</v>
      </c>
      <c r="E140" s="12" t="n">
        <f aca="false">C48*IF(C30=1,0,輸入與假設!$C$440)+E133*IF(C30=1,1,1-輸入與假設!$C$440)</f>
        <v>140.991940989647</v>
      </c>
      <c r="F140" s="12" t="n">
        <f aca="false">C48*IF(C30=1,0,輸入與假設!$C$440)+F133*IF(C30=1,1,1-輸入與假設!$C$440)</f>
        <v>134.061607987988</v>
      </c>
    </row>
    <row r="141" customFormat="false" ht="15" hidden="false" customHeight="false" outlineLevel="1" collapsed="false">
      <c r="A141" s="3" t="s">
        <v>1986</v>
      </c>
      <c r="B141" s="97" t="n">
        <v>4.5</v>
      </c>
      <c r="C141" s="12" t="n">
        <f aca="false">C48*IF(C30=1,0,輸入與假設!$C$440)+C134*IF(C30=1,1,1-輸入與假設!$C$440)</f>
        <v>145.226554408625</v>
      </c>
      <c r="D141" s="12" t="n">
        <f aca="false">C48*IF(C30=1,0,輸入與假設!$C$440)+D134*IF(C30=1,1,1-輸入與假設!$C$440)</f>
        <v>144.67123814301</v>
      </c>
      <c r="E141" s="12" t="n">
        <f aca="false">C48*IF(C30=1,0,輸入與假設!$C$440)+E134*IF(C30=1,1,1-輸入與假設!$C$440)</f>
        <v>143.150027846466</v>
      </c>
      <c r="F141" s="12" t="n">
        <f aca="false">C48*IF(C30=1,0,輸入與假設!$C$440)+F134*IF(C30=1,1,1-輸入與假設!$C$440)</f>
        <v>136.661929547285</v>
      </c>
    </row>
    <row r="142" customFormat="false" ht="15" hidden="false" customHeight="false" outlineLevel="1" collapsed="false">
      <c r="A142" s="3" t="s">
        <v>1987</v>
      </c>
      <c r="B142" s="97" t="n">
        <v>5</v>
      </c>
      <c r="C142" s="12" t="n">
        <f aca="false">C48*IF(C30=1,0,輸入與假設!$C$440)+C135*IF(C30=1,1,1-輸入與假設!$C$440)</f>
        <v>145.698368330029</v>
      </c>
      <c r="D142" s="12" t="n">
        <f aca="false">C48*IF(C30=1,0,輸入與假設!$C$440)+D135*IF(C30=1,1,1-輸入與假設!$C$440)</f>
        <v>145.379358407275</v>
      </c>
      <c r="E142" s="12" t="n">
        <f aca="false">C48*IF(C30=1,0,輸入與假設!$C$440)+E135*IF(C30=1,1,1-輸入與假設!$C$440)</f>
        <v>144.130976417747</v>
      </c>
      <c r="F142" s="12" t="n">
        <f aca="false">C48*IF(C30=1,0,輸入與假設!$C$440)+F135*IF(C30=1,1,1-輸入與假設!$C$440)</f>
        <v>137.84389389242</v>
      </c>
    </row>
    <row r="143" customFormat="false" ht="15" hidden="false" customHeight="false" outlineLevel="1" collapsed="false">
      <c r="A143" s="3" t="s">
        <v>1988</v>
      </c>
      <c r="B143" s="97" t="n">
        <v>6</v>
      </c>
      <c r="C143" s="12" t="n">
        <f aca="false">C48*IF(C30=1,0,輸入與假設!$C$440)+C136*IF(C30=1,1,1-輸入與假設!$C$440)</f>
        <v>146.641996172836</v>
      </c>
      <c r="D143" s="12" t="n">
        <f aca="false">C48*IF(C30=1,0,輸入與假設!$C$440)+D136*IF(C30=1,1,1-輸入與假設!$C$440)</f>
        <v>146.795598935805</v>
      </c>
      <c r="E143" s="12" t="n">
        <f aca="false">C48*IF(C30=1,0,輸入與假設!$C$440)+E136*IF(C30=1,1,1-輸入與假設!$C$440)</f>
        <v>146.09287356031</v>
      </c>
      <c r="F143" s="12" t="n">
        <f aca="false">C48*IF(C30=1,0,輸入與假設!$C$440)+F136*IF(C30=1,1,1-輸入與假設!$C$440)</f>
        <v>140.207822582691</v>
      </c>
    </row>
    <row r="144" customFormat="false" ht="15" hidden="false" customHeight="false" outlineLevel="1" collapsed="false">
      <c r="A144" s="3" t="s">
        <v>1989</v>
      </c>
      <c r="B144" s="97" t="n">
        <v>7</v>
      </c>
      <c r="C144" s="12" t="n">
        <f aca="false">C48*IF(C30=1,0,輸入與假設!$C$440)+C137*IF(C30=1,1,1-輸入與假設!$C$440)</f>
        <v>147.585624015644</v>
      </c>
      <c r="D144" s="12" t="n">
        <f aca="false">C48*IF(C30=1,0,輸入與假設!$C$440)+D137*IF(C30=1,1,1-輸入與假設!$C$440)</f>
        <v>148.211839464335</v>
      </c>
      <c r="E144" s="12" t="n">
        <f aca="false">C48*IF(C30=1,0,輸入與假設!$C$440)+E137*IF(C30=1,1,1-輸入與假設!$C$440)</f>
        <v>148.054770702873</v>
      </c>
      <c r="F144" s="12" t="n">
        <f aca="false">C48*IF(C30=1,0,輸入與假設!$C$440)+F137*IF(C30=1,1,1-輸入與假設!$C$440)</f>
        <v>142.571751272961</v>
      </c>
    </row>
  </sheetData>
  <conditionalFormatting sqref="C133:F137">
    <cfRule type="cellIs" priority="2" operator="greaterThanOrEqual" aboveAverage="0" equalAverage="0" bottom="0" percent="0" rank="0" text="" dxfId="0">
      <formula>輸入與假設!$C$374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輸入與假設!$C$374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1990</v>
      </c>
    </row>
    <row r="2" customFormat="false" ht="15" hidden="false" customHeight="false" outlineLevel="0" collapsed="false">
      <c r="A2" s="6" t="s">
        <v>1991</v>
      </c>
    </row>
    <row r="4" customFormat="false" ht="15" hidden="false" customHeight="false" outlineLevel="0" collapsed="false">
      <c r="A4" s="53" t="s">
        <v>1992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1880</v>
      </c>
      <c r="B5" s="98" t="n">
        <f aca="false">輸入與假設!$C$374</f>
        <v>350.5</v>
      </c>
    </row>
    <row r="6" customFormat="false" ht="15" hidden="false" customHeight="false" outlineLevel="1" collapsed="false">
      <c r="A6" s="3" t="s">
        <v>1993</v>
      </c>
      <c r="B6" s="98" t="n">
        <f aca="false">評價_DCF與目標價!C26</f>
        <v>97.5772756984798</v>
      </c>
    </row>
    <row r="7" customFormat="false" ht="15" hidden="false" customHeight="false" outlineLevel="1" collapsed="false">
      <c r="A7" s="2" t="s">
        <v>1994</v>
      </c>
      <c r="B7" s="92" t="n">
        <f aca="false">B6-B5</f>
        <v>-252.92272430152</v>
      </c>
    </row>
    <row r="8" customFormat="false" ht="15" hidden="false" customHeight="false" outlineLevel="1" collapsed="false">
      <c r="A8" s="3" t="s">
        <v>1995</v>
      </c>
      <c r="B8" s="99" t="n">
        <f aca="false">輸入與假設!$C$32</f>
        <v>1</v>
      </c>
      <c r="C8" s="99" t="n">
        <f aca="false">輸入與假設!$C$277</f>
        <v>1</v>
      </c>
    </row>
    <row r="10" customFormat="false" ht="15" hidden="false" customHeight="false" outlineLevel="0" collapsed="false">
      <c r="A10" s="53" t="s">
        <v>1996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1997</v>
      </c>
    </row>
    <row r="12" customFormat="false" ht="15" hidden="false" customHeight="false" outlineLevel="1" collapsed="false">
      <c r="A12" s="6" t="s">
        <v>1998</v>
      </c>
    </row>
    <row r="13" customFormat="false" ht="15" hidden="false" customHeight="false" outlineLevel="1" collapsed="false">
      <c r="A13" s="6" t="s">
        <v>1999</v>
      </c>
    </row>
    <row r="14" customFormat="false" ht="15" hidden="false" customHeight="false" outlineLevel="1" collapsed="false">
      <c r="A14" s="6" t="s">
        <v>2000</v>
      </c>
    </row>
    <row r="16" customFormat="false" ht="15" hidden="false" customHeight="false" outlineLevel="0" collapsed="false">
      <c r="A16" s="53" t="s">
        <v>2001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2002</v>
      </c>
      <c r="B17" s="14" t="s">
        <v>2003</v>
      </c>
      <c r="C17" s="14" t="s">
        <v>2004</v>
      </c>
      <c r="D17" s="14" t="s">
        <v>2005</v>
      </c>
      <c r="G17" s="14" t="s">
        <v>2006</v>
      </c>
    </row>
    <row r="18" customFormat="false" ht="15" hidden="false" customHeight="false" outlineLevel="1" collapsed="false">
      <c r="A18" s="4" t="s">
        <v>2007</v>
      </c>
      <c r="B18" s="100" t="n">
        <v>13.6377</v>
      </c>
      <c r="C18" s="101" t="s">
        <v>2008</v>
      </c>
      <c r="D18" s="63" t="s">
        <v>2008</v>
      </c>
      <c r="G18" s="11" t="s">
        <v>2009</v>
      </c>
    </row>
    <row r="19" customFormat="false" ht="15" hidden="false" customHeight="false" outlineLevel="1" collapsed="false">
      <c r="A19" s="3" t="s">
        <v>2010</v>
      </c>
      <c r="B19" s="100" t="n">
        <v>48.3559</v>
      </c>
      <c r="C19" s="101" t="s">
        <v>2008</v>
      </c>
      <c r="D19" s="63" t="s">
        <v>2008</v>
      </c>
      <c r="G19" s="11" t="s">
        <v>2011</v>
      </c>
    </row>
    <row r="20" customFormat="false" ht="15" hidden="false" customHeight="false" outlineLevel="1" collapsed="false">
      <c r="A20" s="3" t="s">
        <v>548</v>
      </c>
      <c r="B20" s="61" t="n">
        <v>0.765</v>
      </c>
      <c r="C20" s="63" t="s">
        <v>2008</v>
      </c>
      <c r="D20" s="63" t="s">
        <v>2008</v>
      </c>
      <c r="G20" s="11" t="s">
        <v>2012</v>
      </c>
    </row>
    <row r="21" customFormat="false" ht="15" hidden="false" customHeight="false" outlineLevel="1" collapsed="false">
      <c r="A21" s="3" t="s">
        <v>2013</v>
      </c>
      <c r="B21" s="100" t="n">
        <v>13.6377</v>
      </c>
      <c r="C21" s="101" t="s">
        <v>2008</v>
      </c>
      <c r="D21" s="63" t="s">
        <v>2008</v>
      </c>
      <c r="G21" s="6" t="s">
        <v>2014</v>
      </c>
    </row>
    <row r="23" customFormat="false" ht="15" hidden="false" customHeight="false" outlineLevel="0" collapsed="false">
      <c r="A23" s="53" t="s">
        <v>2015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2016</v>
      </c>
      <c r="B24" s="102" t="n">
        <v>0.35</v>
      </c>
      <c r="C24" s="102" t="n">
        <v>0.47</v>
      </c>
      <c r="D24" s="102" t="n">
        <v>0.59</v>
      </c>
      <c r="E24" s="102" t="n">
        <v>0.7</v>
      </c>
      <c r="I24" s="6" t="s">
        <v>2017</v>
      </c>
    </row>
    <row r="25" customFormat="false" ht="15" hidden="false" customHeight="false" outlineLevel="1" collapsed="false">
      <c r="A25" s="4" t="s">
        <v>2018</v>
      </c>
      <c r="B25" s="100" t="s">
        <v>1562</v>
      </c>
      <c r="C25" s="100" t="s">
        <v>1562</v>
      </c>
      <c r="D25" s="100" t="s">
        <v>1562</v>
      </c>
      <c r="E25" s="100" t="s">
        <v>1562</v>
      </c>
    </row>
    <row r="26" customFormat="false" ht="15" hidden="false" customHeight="false" outlineLevel="1" collapsed="false">
      <c r="A26" s="4" t="s">
        <v>2019</v>
      </c>
      <c r="B26" s="100" t="s">
        <v>1562</v>
      </c>
      <c r="C26" s="100" t="s">
        <v>1562</v>
      </c>
      <c r="D26" s="100" t="s">
        <v>1562</v>
      </c>
      <c r="E26" s="100" t="s">
        <v>1562</v>
      </c>
    </row>
    <row r="27" customFormat="false" ht="15" hidden="false" customHeight="false" outlineLevel="1" collapsed="false">
      <c r="A27" s="4" t="s">
        <v>2020</v>
      </c>
      <c r="B27" s="100" t="s">
        <v>1562</v>
      </c>
      <c r="C27" s="100" t="s">
        <v>1562</v>
      </c>
      <c r="D27" s="100" t="s">
        <v>1562</v>
      </c>
      <c r="E27" s="100" t="s">
        <v>1562</v>
      </c>
    </row>
    <row r="28" customFormat="false" ht="15" hidden="false" customHeight="false" outlineLevel="1" collapsed="false">
      <c r="A28" s="4" t="s">
        <v>2021</v>
      </c>
      <c r="B28" s="100" t="s">
        <v>1562</v>
      </c>
      <c r="C28" s="100" t="s">
        <v>1562</v>
      </c>
      <c r="D28" s="100" t="s">
        <v>1562</v>
      </c>
      <c r="E28" s="100" t="s">
        <v>1562</v>
      </c>
    </row>
    <row r="29" customFormat="false" ht="15" hidden="false" customHeight="false" outlineLevel="1" collapsed="false">
      <c r="A29" s="4" t="s">
        <v>2022</v>
      </c>
      <c r="B29" s="100" t="s">
        <v>1562</v>
      </c>
      <c r="C29" s="100" t="s">
        <v>1562</v>
      </c>
      <c r="D29" s="100" t="s">
        <v>1562</v>
      </c>
      <c r="E29" s="100" t="s">
        <v>1562</v>
      </c>
    </row>
    <row r="30" customFormat="false" ht="15" hidden="false" customHeight="false" outlineLevel="1" collapsed="false">
      <c r="A30" s="6" t="s">
        <v>2023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2024</v>
      </c>
    </row>
    <row r="2" customFormat="false" ht="15" hidden="false" customHeight="false" outlineLevel="0" collapsed="false">
      <c r="A2" s="11" t="s">
        <v>2025</v>
      </c>
    </row>
    <row r="4" customFormat="false" ht="17.15" hidden="false" customHeight="false" outlineLevel="0" collapsed="false">
      <c r="A4" s="14" t="s">
        <v>2026</v>
      </c>
      <c r="B4" s="14" t="s">
        <v>2027</v>
      </c>
      <c r="C4" s="14" t="s">
        <v>2028</v>
      </c>
      <c r="D4" s="15" t="s">
        <v>2029</v>
      </c>
      <c r="E4" s="15" t="s">
        <v>2030</v>
      </c>
      <c r="F4" s="103" t="s">
        <v>2031</v>
      </c>
      <c r="G4" s="14" t="s">
        <v>2032</v>
      </c>
      <c r="H4" s="15" t="s">
        <v>2033</v>
      </c>
      <c r="I4" s="15" t="s">
        <v>2034</v>
      </c>
      <c r="J4" s="14" t="s">
        <v>2035</v>
      </c>
      <c r="K4" s="14" t="s">
        <v>999</v>
      </c>
    </row>
    <row r="5" customFormat="false" ht="15" hidden="false" customHeight="false" outlineLevel="0" collapsed="false">
      <c r="A5" s="4" t="s">
        <v>2036</v>
      </c>
      <c r="B5" s="24" t="n">
        <v>49.11</v>
      </c>
      <c r="C5" s="24" t="n">
        <v>46.03</v>
      </c>
      <c r="D5" s="60" t="n">
        <f aca="false">B5+C5</f>
        <v>95.14</v>
      </c>
      <c r="E5" s="24" t="n">
        <v>7.59</v>
      </c>
      <c r="F5" s="104" t="n">
        <f aca="false">D5/E5</f>
        <v>12.5349143610013</v>
      </c>
      <c r="G5" s="105" t="n">
        <f aca="false">(D5+16.54)/E5</f>
        <v>14.7140974967062</v>
      </c>
      <c r="H5" s="24" t="n">
        <f aca="false">-0.231+3.991</f>
        <v>3.76</v>
      </c>
      <c r="I5" s="105" t="n">
        <f aca="false">IF(H5&gt;0,D5/H5,"n/m")</f>
        <v>25.3031914893617</v>
      </c>
      <c r="J5" s="11" t="s">
        <v>2037</v>
      </c>
      <c r="K5" s="6" t="s">
        <v>2038</v>
      </c>
    </row>
    <row r="6" customFormat="false" ht="15" hidden="false" customHeight="false" outlineLevel="0" collapsed="false">
      <c r="A6" s="4" t="s">
        <v>2039</v>
      </c>
      <c r="B6" s="24" t="n">
        <v>68.49</v>
      </c>
      <c r="C6" s="24" t="n">
        <v>2.15</v>
      </c>
      <c r="D6" s="60" t="n">
        <f aca="false">B6+C6</f>
        <v>70.64</v>
      </c>
      <c r="E6" s="24" t="n">
        <v>1.36</v>
      </c>
      <c r="F6" s="104" t="n">
        <f aca="false">D6/E6</f>
        <v>51.9411764705882</v>
      </c>
      <c r="G6" s="105" t="n">
        <f aca="false">(D6+1.6253)/E6</f>
        <v>53.13625</v>
      </c>
      <c r="H6" s="24" t="n">
        <f aca="false">-0.612+0.418</f>
        <v>-0.194</v>
      </c>
      <c r="I6" s="105" t="str">
        <f aca="false">IF(H6&gt;0,D6/H6,"n/m")</f>
        <v>n/m</v>
      </c>
      <c r="J6" s="6" t="s">
        <v>2040</v>
      </c>
      <c r="K6" s="6" t="s">
        <v>2041</v>
      </c>
    </row>
    <row r="7" customFormat="false" ht="15" hidden="false" customHeight="false" outlineLevel="0" collapsed="false">
      <c r="A7" s="4" t="s">
        <v>2042</v>
      </c>
      <c r="B7" s="24" t="n">
        <v>18.61</v>
      </c>
      <c r="C7" s="24" t="n">
        <v>1.7</v>
      </c>
      <c r="D7" s="60" t="n">
        <f aca="false">B7+C7</f>
        <v>20.31</v>
      </c>
      <c r="E7" s="24" t="n">
        <v>0.707</v>
      </c>
      <c r="F7" s="104" t="n">
        <f aca="false">D7/E7</f>
        <v>28.7270155586987</v>
      </c>
      <c r="G7" s="105" t="n">
        <f aca="false">(D7+0.003)/E7</f>
        <v>28.7312588401697</v>
      </c>
      <c r="H7" s="24" t="n">
        <f aca="false">-1.047+0.418</f>
        <v>-0.629</v>
      </c>
      <c r="I7" s="105" t="str">
        <f aca="false">IF(H7&gt;0,D7/H7,"n/m")</f>
        <v>n/m</v>
      </c>
      <c r="J7" s="11" t="s">
        <v>2043</v>
      </c>
      <c r="K7" s="6" t="s">
        <v>2044</v>
      </c>
    </row>
    <row r="8" customFormat="false" ht="15" hidden="false" customHeight="false" outlineLevel="0" collapsed="false">
      <c r="A8" s="4" t="s">
        <v>2045</v>
      </c>
      <c r="B8" s="24" t="n">
        <v>8.22</v>
      </c>
      <c r="C8" s="24" t="n">
        <v>3.37</v>
      </c>
      <c r="D8" s="60" t="n">
        <f aca="false">B8+C8</f>
        <v>11.59</v>
      </c>
      <c r="E8" s="24" t="n">
        <v>0.6113</v>
      </c>
      <c r="F8" s="104" t="n">
        <f aca="false">D8/E8</f>
        <v>18.9595943072141</v>
      </c>
      <c r="G8" s="105" t="n">
        <f aca="false">(D8+0.066)/E8</f>
        <v>19.0675609357108</v>
      </c>
      <c r="H8" s="24" t="n">
        <f aca="false">-0.236+0.067</f>
        <v>-0.169</v>
      </c>
      <c r="I8" s="105" t="str">
        <f aca="false">IF(H8&gt;0,D8/H8,"n/m")</f>
        <v>n/m</v>
      </c>
      <c r="J8" s="11" t="s">
        <v>2046</v>
      </c>
      <c r="K8" s="6" t="s">
        <v>2047</v>
      </c>
    </row>
    <row r="9" customFormat="false" ht="15" hidden="false" customHeight="false" outlineLevel="0" collapsed="false">
      <c r="A9" s="4" t="s">
        <v>2048</v>
      </c>
      <c r="B9" s="24" t="n">
        <v>5.9</v>
      </c>
      <c r="C9" s="24" t="n">
        <v>2.53</v>
      </c>
      <c r="D9" s="60" t="n">
        <f aca="false">B9+C9</f>
        <v>8.43</v>
      </c>
      <c r="E9" s="24" t="n">
        <v>0.4403</v>
      </c>
      <c r="F9" s="104" t="n">
        <f aca="false">D9/E9</f>
        <v>19.1460367930956</v>
      </c>
      <c r="G9" s="105" t="n">
        <f aca="false">(D9+0.109)/E9</f>
        <v>19.3935952759482</v>
      </c>
      <c r="H9" s="24" t="n">
        <f aca="false">-0.561+0.063</f>
        <v>-0.498</v>
      </c>
      <c r="I9" s="105" t="str">
        <f aca="false">IF(H9&gt;0,D9/H9,"n/m")</f>
        <v>n/m</v>
      </c>
      <c r="J9" s="11" t="s">
        <v>2049</v>
      </c>
      <c r="K9" s="6" t="s">
        <v>2050</v>
      </c>
    </row>
    <row r="10" customFormat="false" ht="15" hidden="false" customHeight="false" outlineLevel="0" collapsed="false">
      <c r="A10" s="2" t="s">
        <v>2051</v>
      </c>
      <c r="F10" s="84" t="n">
        <f aca="false">MEDIAN(F5:F9)</f>
        <v>19.1460367930956</v>
      </c>
      <c r="G10" s="106" t="n">
        <f aca="false">MEDIAN(G5:G9)</f>
        <v>19.3935952759482</v>
      </c>
    </row>
    <row r="11" customFormat="false" ht="15" hidden="false" customHeight="false" outlineLevel="0" collapsed="false">
      <c r="A11" s="85" t="s">
        <v>2052</v>
      </c>
      <c r="B11" s="82" t="n">
        <v>4286.615</v>
      </c>
      <c r="C11" s="83" t="n">
        <f aca="false">輸入與假設!$C$376+SUMPRODUCT(資產負債_既有債務!$C$27:$C$27*(1-資產負債_既有債務!$H$23:$H$23))+輸入與假設!$C$390</f>
        <v>-227.559</v>
      </c>
      <c r="D11" s="58" t="n">
        <f aca="false">B11+C11</f>
        <v>4059.056</v>
      </c>
      <c r="E11" s="82" t="n">
        <v>445.866</v>
      </c>
      <c r="F11" s="84" t="n">
        <f aca="false">D11/E11</f>
        <v>9.10375763121655</v>
      </c>
      <c r="G11" s="106" t="n">
        <f aca="false">(D11+18.037)/E11</f>
        <v>9.14421148955067</v>
      </c>
      <c r="H11" s="82" t="n">
        <f aca="false">147.628+25.237</f>
        <v>172.865</v>
      </c>
      <c r="I11" s="106" t="n">
        <f aca="false">IF(H11&gt;0,D11/H11,"n/m")</f>
        <v>23.4810748271773</v>
      </c>
      <c r="J11" s="11" t="s">
        <v>2053</v>
      </c>
      <c r="K11" s="11" t="s">
        <v>2054</v>
      </c>
    </row>
    <row r="12" customFormat="false" ht="15" hidden="false" customHeight="false" outlineLevel="0" collapsed="false">
      <c r="A12" s="4" t="s">
        <v>2055</v>
      </c>
      <c r="B12" s="58" t="n">
        <f aca="false">輸入與假設!$C$374*評價_DCF與目標價!$C$90</f>
        <v>4333.44202269117</v>
      </c>
      <c r="C12" s="58" t="n">
        <f aca="false">評價_DCF與目標價!$C$91</f>
        <v>-227.559</v>
      </c>
      <c r="D12" s="58" t="n">
        <f aca="false">B12+C12</f>
        <v>4105.88302269117</v>
      </c>
      <c r="E12" s="83" t="n">
        <f aca="false">損益!D9</f>
        <v>599.098583953189</v>
      </c>
      <c r="F12" s="106" t="n">
        <f aca="false">D12/E12</f>
        <v>6.85343469783929</v>
      </c>
      <c r="G12" s="106" t="n">
        <f aca="false">(D12+18.037)/E12</f>
        <v>6.88354159590769</v>
      </c>
      <c r="H12" s="83" t="n">
        <f aca="false">損益!D22</f>
        <v>220.984011742824</v>
      </c>
      <c r="I12" s="106" t="n">
        <f aca="false">D12/H12</f>
        <v>18.5800003824236</v>
      </c>
      <c r="K12" s="6" t="s">
        <v>2056</v>
      </c>
    </row>
    <row r="14" customFormat="false" ht="15" hidden="false" customHeight="false" outlineLevel="0" collapsed="false">
      <c r="A14" s="6" t="s">
        <v>2057</v>
      </c>
    </row>
    <row r="15" customFormat="false" ht="15" hidden="false" customHeight="false" outlineLevel="0" collapsed="false">
      <c r="A15" s="11" t="s">
        <v>2058</v>
      </c>
    </row>
    <row r="16" customFormat="false" ht="15" hidden="false" customHeight="false" outlineLevel="0" collapsed="false">
      <c r="A16" s="6" t="s">
        <v>2059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2060</v>
      </c>
    </row>
    <row r="2" customFormat="false" ht="15" hidden="false" customHeight="false" outlineLevel="0" collapsed="false">
      <c r="A2" s="6" t="s">
        <v>2061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1108</v>
      </c>
    </row>
    <row r="5" customFormat="false" ht="15" hidden="false" customHeight="false" outlineLevel="0" collapsed="false">
      <c r="A5" s="3" t="s">
        <v>2062</v>
      </c>
      <c r="B5" s="11" t="s">
        <v>65</v>
      </c>
      <c r="C5" s="41" t="n">
        <f aca="false">運營_產能與收入!C26/輸入與假設!C$34</f>
        <v>26.4880368277743</v>
      </c>
      <c r="D5" s="41" t="n">
        <f aca="false">運營_產能與收入!D26/輸入與假設!D$34</f>
        <v>39.6788606023057</v>
      </c>
      <c r="E5" s="41" t="n">
        <f aca="false">運營_產能與收入!E26/輸入與假設!E$34</f>
        <v>57.6784241604754</v>
      </c>
      <c r="F5" s="41" t="n">
        <f aca="false">運營_產能與收入!F26/輸入與假設!F$34</f>
        <v>75.8065222481422</v>
      </c>
      <c r="G5" s="41" t="n">
        <f aca="false">運營_產能與收入!G26/輸入與假設!G$34</f>
        <v>93.9991368360136</v>
      </c>
    </row>
    <row r="6" customFormat="false" ht="15" hidden="false" customHeight="false" outlineLevel="0" collapsed="false">
      <c r="A6" s="4" t="s">
        <v>2063</v>
      </c>
      <c r="B6" s="11" t="s">
        <v>42</v>
      </c>
      <c r="C6" s="54" t="n">
        <f aca="false">輸入與假設!C$258</f>
        <v>0.840722228604692</v>
      </c>
      <c r="D6" s="54" t="n">
        <f aca="false">輸入與假設!D$258</f>
        <v>0.845249371659162</v>
      </c>
      <c r="E6" s="54" t="n">
        <f aca="false">輸入與假設!E$258</f>
        <v>0.84863409538504</v>
      </c>
      <c r="F6" s="54" t="n">
        <f aca="false">輸入與假設!F$258</f>
        <v>0.850545503204223</v>
      </c>
      <c r="G6" s="54" t="n">
        <f aca="false">輸入與假設!G$258</f>
        <v>0.851773618922997</v>
      </c>
      <c r="I6" s="11" t="s">
        <v>2064</v>
      </c>
    </row>
    <row r="7" customFormat="false" ht="15" hidden="false" customHeight="false" outlineLevel="0" collapsed="false">
      <c r="A7" s="4" t="s">
        <v>2065</v>
      </c>
      <c r="B7" s="11" t="s">
        <v>65</v>
      </c>
      <c r="C7" s="67" t="n">
        <f aca="false">C5*C6</f>
        <v>22.2690813532096</v>
      </c>
      <c r="D7" s="67" t="n">
        <f aca="false">D5*D6</f>
        <v>33.5385319922504</v>
      </c>
      <c r="E7" s="67" t="n">
        <f aca="false">E5*E6</f>
        <v>48.9478773106597</v>
      </c>
      <c r="F7" s="67" t="n">
        <f aca="false">F5*F6</f>
        <v>64.4768966117082</v>
      </c>
      <c r="G7" s="67" t="n">
        <f aca="false">G5*G6</f>
        <v>80.0659849584493</v>
      </c>
    </row>
    <row r="8" customFormat="false" ht="15" hidden="false" customHeight="false" outlineLevel="0" collapsed="false">
      <c r="A8" s="4" t="s">
        <v>2066</v>
      </c>
      <c r="B8" s="11" t="s">
        <v>65</v>
      </c>
      <c r="C8" s="67" t="n">
        <f aca="false">C5-C7</f>
        <v>4.21895547456475</v>
      </c>
      <c r="D8" s="67" t="n">
        <f aca="false">D5-D7</f>
        <v>6.14032861005534</v>
      </c>
      <c r="E8" s="67" t="n">
        <f aca="false">E5-E7</f>
        <v>8.73054684981571</v>
      </c>
      <c r="F8" s="67" t="n">
        <f aca="false">F5-F7</f>
        <v>11.329625636434</v>
      </c>
      <c r="G8" s="67" t="n">
        <f aca="false">G5-G7</f>
        <v>13.9331518775644</v>
      </c>
    </row>
    <row r="9" customFormat="false" ht="15" hidden="false" customHeight="false" outlineLevel="0" collapsed="false">
      <c r="A9" s="4" t="s">
        <v>2067</v>
      </c>
      <c r="B9" s="11" t="s">
        <v>65</v>
      </c>
      <c r="C9" s="41" t="n">
        <f aca="false">輸入與假設!C$327/輸入與假設!C$34</f>
        <v>39.1971409963296</v>
      </c>
      <c r="D9" s="41" t="n">
        <f aca="false">輸入與假設!D$327/輸入與假設!D$34</f>
        <v>59.3100510328537</v>
      </c>
      <c r="E9" s="41" t="n">
        <f aca="false">輸入與假設!E$327/輸入與假設!E$34</f>
        <v>86.6838433109092</v>
      </c>
      <c r="F9" s="41" t="n">
        <f aca="false">輸入與假設!F$327/輸入與假設!F$34</f>
        <v>114.984743482187</v>
      </c>
      <c r="G9" s="41" t="n">
        <f aca="false">輸入與假設!G$327/輸入與假設!G$34</f>
        <v>143.285643653465</v>
      </c>
      <c r="I9" s="11" t="s">
        <v>2068</v>
      </c>
    </row>
    <row r="10" customFormat="false" ht="15" hidden="false" customHeight="false" outlineLevel="0" collapsed="false">
      <c r="A10" s="3" t="s">
        <v>2069</v>
      </c>
      <c r="B10" s="11" t="s">
        <v>157</v>
      </c>
      <c r="C10" s="69" t="n">
        <f aca="false">C5/MAX(0.000000000001,輸入與假設!C125*輸入與假設!$C$63/1000)</f>
        <v>2212.975</v>
      </c>
      <c r="D10" s="69" t="n">
        <f aca="false">D5/MAX(0.000000000001,輸入與假設!D125*輸入與假設!$C$63/1000)</f>
        <v>3148.9</v>
      </c>
      <c r="E10" s="69" t="n">
        <f aca="false">E5/MAX(0.000000000001,輸入與假設!E125*輸入與假設!$C$63/1000)</f>
        <v>4396.8</v>
      </c>
      <c r="F10" s="69" t="n">
        <f aca="false">F5/MAX(0.000000000001,輸入與假設!F125*輸入與假設!$C$63/1000)</f>
        <v>5644.7</v>
      </c>
      <c r="G10" s="69" t="n">
        <f aca="false">G5/MAX(0.000000000001,輸入與假設!G125*輸入與假設!$C$63/1000)</f>
        <v>6892.6</v>
      </c>
    </row>
    <row r="11" customFormat="false" ht="15" hidden="false" customHeight="false" outlineLevel="0" collapsed="false">
      <c r="A11" s="3" t="s">
        <v>2070</v>
      </c>
      <c r="B11" s="11" t="s">
        <v>157</v>
      </c>
      <c r="C11" s="26" t="n">
        <f aca="false">(輸入與假設!$C$300+輸入與假設!C$301)/2</f>
        <v>0</v>
      </c>
      <c r="D11" s="26" t="n">
        <f aca="false">(輸入與假設!C$301+輸入與假設!D$301)/2</f>
        <v>0</v>
      </c>
      <c r="E11" s="26" t="n">
        <f aca="false">(輸入與假設!D$301+輸入與假設!E$301)/2</f>
        <v>0</v>
      </c>
      <c r="F11" s="26" t="n">
        <f aca="false">(輸入與假設!E$301+輸入與假設!F$301)/2</f>
        <v>0</v>
      </c>
      <c r="G11" s="26" t="n">
        <f aca="false">(輸入與假設!F$301+輸入與假設!G$301)/2</f>
        <v>0</v>
      </c>
      <c r="I11" s="11" t="s">
        <v>2071</v>
      </c>
    </row>
    <row r="12" customFormat="false" ht="15" hidden="false" customHeight="false" outlineLevel="0" collapsed="false">
      <c r="A12" s="3" t="s">
        <v>2072</v>
      </c>
      <c r="B12" s="11" t="s">
        <v>42</v>
      </c>
      <c r="C12" s="68" t="n">
        <f aca="false">MAX(0,C10-C11)/MAX(0.000000001,C10/輸入與假設!$C$271-C11)</f>
        <v>0.3</v>
      </c>
      <c r="D12" s="68" t="n">
        <f aca="false">MAX(0,D10-D11)/MAX(0.000000001,D10/輸入與假設!$C$271-D11)</f>
        <v>0.3</v>
      </c>
      <c r="E12" s="68" t="n">
        <f aca="false">MAX(0,E10-E11)/MAX(0.000000001,E10/輸入與假設!$C$271-E11)</f>
        <v>0.3</v>
      </c>
      <c r="F12" s="68" t="n">
        <f aca="false">MAX(0,F10-F11)/MAX(0.000000001,F10/輸入與假設!$C$271-F11)</f>
        <v>0.3</v>
      </c>
      <c r="G12" s="68" t="n">
        <f aca="false">MAX(0,G10-G11)/MAX(0.000000001,G10/輸入與假設!$C$271-G11)</f>
        <v>0.3</v>
      </c>
      <c r="I12" s="6" t="s">
        <v>2073</v>
      </c>
    </row>
    <row r="13" customFormat="false" ht="15" hidden="false" customHeight="false" outlineLevel="0" collapsed="false">
      <c r="A13" s="3" t="s">
        <v>2074</v>
      </c>
      <c r="B13" s="11" t="s">
        <v>218</v>
      </c>
      <c r="C13" s="30" t="n">
        <f aca="false">(輸入與假設!C74*TK_CapexFacility_H100+輸入與假設!C81*TK_CapexFacility_H100+輸入與假設!C88*TK_CapexFacility_GB200+輸入與假設!C95*TK_CapexFacility_GB200+輸入與假設!C102*TK_CapexFacility_GB300+輸入與假設!C109*TK_CapexFacility_GB300+輸入與假設!C116*TK_CapexFacility_VR200+輸入與假設!C123*TK_CapexFacility_VR200)/MAX(0.000000001,輸入與假設!C124)/1000*0.1/(1-(1+0.1)^(-輸入與假設!$C$318))</f>
        <v>0.00148893043681599</v>
      </c>
      <c r="D13" s="30" t="n">
        <f aca="false">(輸入與假設!D74*TK_CapexFacility_H100+輸入與假設!D81*TK_CapexFacility_H100+輸入與假設!D88*TK_CapexFacility_GB200+輸入與假設!D95*TK_CapexFacility_GB200+輸入與假設!D102*TK_CapexFacility_GB300+輸入與假設!D109*TK_CapexFacility_GB300+輸入與假設!D116*TK_CapexFacility_VR200+輸入與假設!D123*TK_CapexFacility_VR200)/MAX(0.000000001,輸入與假設!D124)/1000*0.1/(1-(1+0.1)^(-輸入與假設!$C$318))</f>
        <v>0.00148893043681599</v>
      </c>
      <c r="E13" s="30" t="n">
        <f aca="false">(輸入與假設!E74*TK_CapexFacility_H100+輸入與假設!E81*TK_CapexFacility_H100+輸入與假設!E88*TK_CapexFacility_GB200+輸入與假設!E95*TK_CapexFacility_GB200+輸入與假設!E102*TK_CapexFacility_GB300+輸入與假設!E109*TK_CapexFacility_GB300+輸入與假設!E116*TK_CapexFacility_VR200+輸入與假設!E123*TK_CapexFacility_VR200)/MAX(0.000000001,輸入與假設!E124)/1000*0.1/(1-(1+0.1)^(-輸入與假設!$C$318))</f>
        <v>0.00148893043681599</v>
      </c>
      <c r="F13" s="30" t="n">
        <f aca="false">(輸入與假設!F74*TK_CapexFacility_H100+輸入與假設!F81*TK_CapexFacility_H100+輸入與假設!F88*TK_CapexFacility_GB200+輸入與假設!F95*TK_CapexFacility_GB200+輸入與假設!F102*TK_CapexFacility_GB300+輸入與假設!F109*TK_CapexFacility_GB300+輸入與假設!F116*TK_CapexFacility_VR200+輸入與假設!F123*TK_CapexFacility_VR200)/MAX(0.000000001,輸入與假設!F124)/1000*0.1/(1-(1+0.1)^(-輸入與假設!$C$318))</f>
        <v>0.00148893043681599</v>
      </c>
      <c r="G13" s="30" t="n">
        <f aca="false">(輸入與假設!G74*TK_CapexFacility_H100+輸入與假設!G81*TK_CapexFacility_H100+輸入與假設!G88*TK_CapexFacility_GB200+輸入與假設!G95*TK_CapexFacility_GB200+輸入與假設!G102*TK_CapexFacility_GB300+輸入與假設!G109*TK_CapexFacility_GB300+輸入與假設!G116*TK_CapexFacility_VR200+輸入與假設!G123*TK_CapexFacility_VR200)/MAX(0.000000001,輸入與假設!G124)/1000*0.1/(1-(1+0.1)^(-輸入與假設!$C$318))</f>
        <v>0.00148893043681599</v>
      </c>
      <c r="I13" s="6" t="s">
        <v>2075</v>
      </c>
    </row>
    <row r="14" customFormat="false" ht="15" hidden="false" customHeight="false" outlineLevel="0" collapsed="false">
      <c r="A14" s="3" t="s">
        <v>2076</v>
      </c>
      <c r="B14" s="11" t="s">
        <v>65</v>
      </c>
      <c r="C14" s="67" t="n">
        <f aca="false">(1-輸入與假設!$C$272)*MAX(0,C10-C11)*C13</f>
        <v>0.494244875011928</v>
      </c>
      <c r="D14" s="67" t="n">
        <f aca="false">(1-輸入與假設!$C$272)*MAX(0,D10-D11)*D13</f>
        <v>0.703273957873479</v>
      </c>
      <c r="E14" s="67" t="n">
        <f aca="false">(1-輸入與假設!$C$272)*MAX(0,E10-E11)*E13</f>
        <v>0.981979401688879</v>
      </c>
      <c r="F14" s="67" t="n">
        <f aca="false">(1-輸入與假設!$C$272)*MAX(0,F10-F11)*F13</f>
        <v>1.26068484550428</v>
      </c>
      <c r="G14" s="67" t="n">
        <f aca="false">(1-輸入與假設!$C$272)*MAX(0,G10-G11)*G13</f>
        <v>1.53939028931968</v>
      </c>
      <c r="I14" s="6" t="s">
        <v>2077</v>
      </c>
    </row>
    <row r="15" customFormat="false" ht="15" hidden="false" customHeight="false" outlineLevel="0" collapsed="false">
      <c r="A15" s="3" t="s">
        <v>2078</v>
      </c>
      <c r="B15" s="11" t="s">
        <v>65</v>
      </c>
      <c r="C15" s="67" t="n">
        <f aca="false">C11*0/1000</f>
        <v>0</v>
      </c>
      <c r="D15" s="67" t="n">
        <f aca="false">D11*0/1000</f>
        <v>0</v>
      </c>
      <c r="E15" s="67" t="n">
        <f aca="false">E11*0/1000</f>
        <v>0</v>
      </c>
      <c r="F15" s="67" t="n">
        <f aca="false">F11*0/1000</f>
        <v>0</v>
      </c>
      <c r="G15" s="67" t="n">
        <f aca="false">G11*0/1000</f>
        <v>0</v>
      </c>
      <c r="I15" s="6" t="s">
        <v>2079</v>
      </c>
    </row>
    <row r="16" customFormat="false" ht="15" hidden="false" customHeight="false" outlineLevel="0" collapsed="false">
      <c r="A16" s="3" t="s">
        <v>2080</v>
      </c>
      <c r="B16" s="11" t="s">
        <v>65</v>
      </c>
      <c r="C16" s="67" t="n">
        <f aca="false">C7-C14-C15</f>
        <v>21.7748364781976</v>
      </c>
      <c r="D16" s="67" t="n">
        <f aca="false">D7-D14-D15</f>
        <v>32.8352580343769</v>
      </c>
      <c r="E16" s="67" t="n">
        <f aca="false">E7-E14-E15</f>
        <v>47.9658979089708</v>
      </c>
      <c r="F16" s="67" t="n">
        <f aca="false">F7-F14-F15</f>
        <v>63.216211766204</v>
      </c>
      <c r="G16" s="67" t="n">
        <f aca="false">G7-G14-G15</f>
        <v>78.5265946691296</v>
      </c>
    </row>
    <row r="17" customFormat="false" ht="15" hidden="false" customHeight="false" outlineLevel="0" collapsed="false">
      <c r="A17" s="3" t="s">
        <v>2081</v>
      </c>
      <c r="B17" s="11" t="s">
        <v>65</v>
      </c>
      <c r="C17" s="67" t="n">
        <f aca="false">C9*C12</f>
        <v>11.7591422988989</v>
      </c>
      <c r="D17" s="67" t="n">
        <f aca="false">D9*D12</f>
        <v>17.7930153098561</v>
      </c>
      <c r="E17" s="67" t="n">
        <f aca="false">E9*E12</f>
        <v>26.0051529932728</v>
      </c>
      <c r="F17" s="67" t="n">
        <f aca="false">F9*F12</f>
        <v>34.4954230446561</v>
      </c>
      <c r="G17" s="67" t="n">
        <f aca="false">G9*G12</f>
        <v>42.9856930960394</v>
      </c>
    </row>
    <row r="18" customFormat="false" ht="15" hidden="false" customHeight="false" outlineLevel="0" collapsed="false">
      <c r="A18" s="3" t="s">
        <v>2082</v>
      </c>
      <c r="B18" s="11" t="s">
        <v>65</v>
      </c>
      <c r="C18" s="67" t="n">
        <f aca="false">(C16-C17)*(1-輸入與假設!$C$391)</f>
        <v>8.33305755717657</v>
      </c>
      <c r="D18" s="67" t="n">
        <f aca="false">(D16-D17)*(1-輸入與假設!$C$391)</f>
        <v>12.5151459468013</v>
      </c>
      <c r="E18" s="67" t="n">
        <f aca="false">(E16-E17)*(1-輸入與假設!$C$391)</f>
        <v>18.2713397698608</v>
      </c>
      <c r="F18" s="67" t="n">
        <f aca="false">(F16-F17)*(1-輸入與假設!$C$391)</f>
        <v>23.8956962163278</v>
      </c>
      <c r="G18" s="67" t="n">
        <f aca="false">(G16-G17)*(1-輸入與假設!$C$391)</f>
        <v>29.570030108811</v>
      </c>
      <c r="I18" s="6" t="s">
        <v>2083</v>
      </c>
    </row>
    <row r="19" customFormat="false" ht="15" hidden="false" customHeight="false" outlineLevel="0" collapsed="false">
      <c r="A19" s="4" t="s">
        <v>2084</v>
      </c>
      <c r="B19" s="11" t="s">
        <v>65</v>
      </c>
      <c r="C19" s="67" t="n">
        <f aca="false">(輸入與假設!$C$316+輸入與假設!$C$317)*輸入與假設!$C$321</f>
        <v>181.1892953725</v>
      </c>
      <c r="D19" s="67" t="n">
        <f aca="false">C21</f>
        <v>261.8246512895</v>
      </c>
      <c r="E19" s="67" t="n">
        <f aca="false">D21</f>
        <v>392.533531240646</v>
      </c>
      <c r="F19" s="67" t="n">
        <f aca="false">E21</f>
        <v>506.993913632404</v>
      </c>
      <c r="G19" s="67" t="n">
        <f aca="false">F21</f>
        <v>617.083373292884</v>
      </c>
      <c r="I19" s="11" t="s">
        <v>2085</v>
      </c>
    </row>
    <row r="20" customFormat="false" ht="15" hidden="false" customHeight="false" outlineLevel="0" collapsed="false">
      <c r="A20" s="4" t="s">
        <v>2086</v>
      </c>
      <c r="B20" s="11" t="s">
        <v>65</v>
      </c>
      <c r="C20" s="41" t="n">
        <f aca="false">輸入與假設!C$308+輸入與假設!C$312</f>
        <v>100.233926415165</v>
      </c>
      <c r="D20" s="41" t="n">
        <f aca="false">輸入與假設!D$308+輸入與假設!D$312</f>
        <v>190.018930984</v>
      </c>
      <c r="E20" s="41" t="n">
        <f aca="false">輸入與假設!E$308+輸入與假設!E$312</f>
        <v>201.144225702667</v>
      </c>
      <c r="F20" s="41" t="n">
        <f aca="false">輸入與假設!F$308+輸入與假設!F$312</f>
        <v>225.074203142667</v>
      </c>
      <c r="G20" s="41" t="n">
        <f aca="false">輸入與假設!G$308+輸入與假設!G$312</f>
        <v>345.070720033333</v>
      </c>
    </row>
    <row r="21" customFormat="false" ht="15" hidden="false" customHeight="false" outlineLevel="0" collapsed="false">
      <c r="A21" s="4" t="s">
        <v>2087</v>
      </c>
      <c r="B21" s="11" t="s">
        <v>65</v>
      </c>
      <c r="C21" s="67" t="n">
        <f aca="false">C19+C20-輸入與假設!C$327</f>
        <v>261.8246512895</v>
      </c>
      <c r="D21" s="67" t="n">
        <f aca="false">D19+D20-輸入與假設!D$327</f>
        <v>392.533531240646</v>
      </c>
      <c r="E21" s="67" t="n">
        <f aca="false">E19+E20-輸入與假設!E$327</f>
        <v>506.993913632404</v>
      </c>
      <c r="F21" s="67" t="n">
        <f aca="false">F19+F20-輸入與假設!F$327</f>
        <v>617.083373292884</v>
      </c>
      <c r="G21" s="67" t="n">
        <f aca="false">G19+G20-輸入與假設!G$327</f>
        <v>818.868449672752</v>
      </c>
      <c r="I21" s="6" t="s">
        <v>2088</v>
      </c>
    </row>
    <row r="22" customFormat="false" ht="15" hidden="false" customHeight="false" outlineLevel="0" collapsed="false">
      <c r="A22" s="3" t="s">
        <v>2089</v>
      </c>
      <c r="B22" s="11" t="s">
        <v>65</v>
      </c>
      <c r="C22" s="67" t="n">
        <f aca="false">(C19+C21)/2*C12</f>
        <v>66.4520919993</v>
      </c>
      <c r="D22" s="67" t="n">
        <f aca="false">(D19+D21)/2*D12</f>
        <v>98.153727379522</v>
      </c>
      <c r="E22" s="67" t="n">
        <f aca="false">(E19+E21)/2*E12</f>
        <v>134.929116730958</v>
      </c>
      <c r="F22" s="67" t="n">
        <f aca="false">(F19+F21)/2*F12</f>
        <v>168.611593038793</v>
      </c>
      <c r="G22" s="67" t="n">
        <f aca="false">(G19+G21)/2*G12</f>
        <v>215.392773444845</v>
      </c>
    </row>
    <row r="23" customFormat="false" ht="15" hidden="false" customHeight="false" outlineLevel="0" collapsed="false">
      <c r="A23" s="2" t="s">
        <v>2090</v>
      </c>
      <c r="B23" s="11" t="s">
        <v>42</v>
      </c>
      <c r="C23" s="68" t="n">
        <f aca="false">C18/MAX(0.000000001,C22)</f>
        <v>0.125399476622412</v>
      </c>
      <c r="D23" s="68" t="n">
        <f aca="false">D18/MAX(0.000000001,D22)</f>
        <v>0.127505559706461</v>
      </c>
      <c r="E23" s="68" t="n">
        <f aca="false">E18/MAX(0.000000001,E22)</f>
        <v>0.1354143583871</v>
      </c>
      <c r="F23" s="68" t="n">
        <f aca="false">F18/MAX(0.000000001,F22)</f>
        <v>0.141720363266066</v>
      </c>
      <c r="G23" s="68" t="n">
        <f aca="false">G18/MAX(0.000000001,G22)</f>
        <v>0.137284225630638</v>
      </c>
      <c r="I23" s="6" t="s">
        <v>2091</v>
      </c>
    </row>
    <row r="24" customFormat="false" ht="15" hidden="false" customHeight="false" outlineLevel="0" collapsed="false">
      <c r="A24" s="4" t="s">
        <v>806</v>
      </c>
      <c r="B24" s="11" t="s">
        <v>42</v>
      </c>
      <c r="C24" s="54" t="n">
        <f aca="false">輸入與假設!$C$401</f>
        <v>0.115772981601272</v>
      </c>
      <c r="D24" s="54" t="n">
        <f aca="false">輸入與假設!$C$401</f>
        <v>0.115772981601272</v>
      </c>
      <c r="E24" s="54" t="n">
        <f aca="false">輸入與假設!$C$401</f>
        <v>0.115772981601272</v>
      </c>
      <c r="F24" s="54" t="n">
        <f aca="false">輸入與假設!$C$401</f>
        <v>0.115772981601272</v>
      </c>
      <c r="G24" s="54" t="n">
        <f aca="false">輸入與假設!$C$401</f>
        <v>0.115772981601272</v>
      </c>
    </row>
    <row r="25" customFormat="false" ht="15" hidden="false" customHeight="false" outlineLevel="0" collapsed="false">
      <c r="A25" s="2" t="s">
        <v>2092</v>
      </c>
      <c r="B25" s="11" t="s">
        <v>42</v>
      </c>
      <c r="C25" s="68" t="n">
        <f aca="false">C23-C24</f>
        <v>0.00962649502113987</v>
      </c>
      <c r="D25" s="68" t="n">
        <f aca="false">D23-D24</f>
        <v>0.0117325781051891</v>
      </c>
      <c r="E25" s="68" t="n">
        <f aca="false">E23-E24</f>
        <v>0.0196413767858287</v>
      </c>
      <c r="F25" s="68" t="n">
        <f aca="false">F23-F24</f>
        <v>0.0259473816647941</v>
      </c>
      <c r="G25" s="68" t="n">
        <f aca="false">G23-G24</f>
        <v>0.0215112440293661</v>
      </c>
      <c r="I25" s="6" t="s">
        <v>2093</v>
      </c>
    </row>
    <row r="26" customFormat="false" ht="15" hidden="false" customHeight="false" outlineLevel="0" collapsed="false">
      <c r="A26" s="3" t="s">
        <v>2094</v>
      </c>
      <c r="B26" s="11" t="s">
        <v>65</v>
      </c>
      <c r="C26" s="67" t="n">
        <f aca="false">C5*(1/輸入與假設!$C$271-1)</f>
        <v>61.8054192648067</v>
      </c>
      <c r="D26" s="67" t="n">
        <f aca="false">D5*(1/輸入與假設!$C$271-1)</f>
        <v>92.5840080720467</v>
      </c>
      <c r="E26" s="67" t="n">
        <f aca="false">E5*(1/輸入與假設!$C$271-1)</f>
        <v>134.582989707776</v>
      </c>
      <c r="F26" s="67" t="n">
        <f aca="false">F5*(1/輸入與假設!$C$271-1)</f>
        <v>176.881885245665</v>
      </c>
      <c r="G26" s="67" t="n">
        <f aca="false">G5*(1/輸入與假設!$C$271-1)</f>
        <v>219.331319284032</v>
      </c>
      <c r="I26" s="6" t="s">
        <v>2095</v>
      </c>
    </row>
    <row r="27" customFormat="false" ht="15" hidden="false" customHeight="false" outlineLevel="0" collapsed="false">
      <c r="A27" s="3" t="s">
        <v>2096</v>
      </c>
      <c r="B27" s="11" t="s">
        <v>42</v>
      </c>
      <c r="C27" s="68" t="n">
        <f aca="false">(C7+C26*C6-(1-輸入與假設!$C$272)*MAX(0.000000001,C10/輸入與假設!$C$271-C11)*C13-C15-C9)*(1-輸入與假設!$C$391)/MAX(0.000000001,(C19+C21)/2)</f>
        <v>0.125399476622412</v>
      </c>
      <c r="D27" s="68" t="n">
        <f aca="false">(D7+D26*D6-(1-輸入與假設!$C$272)*MAX(0.000000001,D10/輸入與假設!$C$271-D11)*D13-D15-D9)*(1-輸入與假設!$C$391)/MAX(0.000000001,(D19+D21)/2)</f>
        <v>0.127505559706461</v>
      </c>
      <c r="E27" s="68" t="n">
        <f aca="false">(E7+E26*E6-(1-輸入與假設!$C$272)*MAX(0.000000001,E10/輸入與假設!$C$271-E11)*E13-E15-E9)*(1-輸入與假設!$C$391)/MAX(0.000000001,(E19+E21)/2)</f>
        <v>0.1354143583871</v>
      </c>
      <c r="F27" s="68" t="n">
        <f aca="false">(F7+F26*F6-(1-輸入與假設!$C$272)*MAX(0.000000001,F10/輸入與假設!$C$271-F11)*F13-F15-F9)*(1-輸入與假設!$C$391)/MAX(0.000000001,(F19+F21)/2)</f>
        <v>0.141720363266066</v>
      </c>
      <c r="G27" s="68" t="n">
        <f aca="false">(G7+G26*G6-(1-輸入與假設!$C$272)*MAX(0.000000001,G10/輸入與假設!$C$271-G11)*G13-G15-G9)*(1-輸入與假設!$C$391)/MAX(0.000000001,(G19+G21)/2)</f>
        <v>0.137284225630638</v>
      </c>
      <c r="I27" s="6" t="s">
        <v>2097</v>
      </c>
    </row>
    <row r="29" customFormat="false" ht="15" hidden="false" customHeight="false" outlineLevel="0" collapsed="false">
      <c r="A29" s="2" t="s">
        <v>2098</v>
      </c>
      <c r="C29" s="107" t="n">
        <f aca="false">輸入與假設!$C$63*(輸入與假設!$C$401*F22/(1-輸入與假設!$C$391)+F8+F14+F15+F17)/MAX(0.000000001,F5)</f>
        <v>1.11767513040104</v>
      </c>
      <c r="I29" s="6" t="s">
        <v>2099</v>
      </c>
    </row>
    <row r="30" customFormat="false" ht="15" hidden="false" customHeight="false" outlineLevel="0" collapsed="false">
      <c r="A30" s="3" t="s">
        <v>2100</v>
      </c>
      <c r="C30" s="37" t="n">
        <f aca="false">輸入與假設!$C$63</f>
        <v>1.20098339237901</v>
      </c>
    </row>
    <row r="32" customFormat="false" ht="15" hidden="false" customHeight="false" outlineLevel="0" collapsed="false">
      <c r="A32" s="85" t="s">
        <v>2101</v>
      </c>
    </row>
    <row r="33" customFormat="false" ht="15" hidden="false" customHeight="false" outlineLevel="0" collapsed="false">
      <c r="A33" s="4" t="s">
        <v>2102</v>
      </c>
      <c r="C33" s="23" t="n">
        <v>0.1</v>
      </c>
      <c r="I33" s="11" t="s">
        <v>2103</v>
      </c>
    </row>
    <row r="34" customFormat="false" ht="15" hidden="false" customHeight="false" outlineLevel="0" collapsed="false">
      <c r="A34" s="3" t="s">
        <v>2104</v>
      </c>
      <c r="C34" s="69" t="n">
        <f aca="false">F10</f>
        <v>5644.7</v>
      </c>
    </row>
    <row r="35" customFormat="false" ht="15" hidden="false" customHeight="false" outlineLevel="0" collapsed="false">
      <c r="A35" s="3" t="s">
        <v>2105</v>
      </c>
      <c r="C35" s="69" t="n">
        <f aca="false">MAX(0,C34-F11)</f>
        <v>5644.7</v>
      </c>
    </row>
    <row r="36" customFormat="false" ht="15" hidden="false" customHeight="false" outlineLevel="0" collapsed="false">
      <c r="A36" s="4" t="s">
        <v>2106</v>
      </c>
      <c r="C36" s="67" t="n">
        <f aca="false">C34*(輸入與假設!F74*TK_HoldEcon_H100+輸入與假設!F81*TK_HoldEcon_H100+輸入與假設!F88*TK_HoldEcon_GB200+輸入與假設!F95*TK_HoldEcon_GB200+輸入與假設!F102*TK_HoldEcon_GB300+輸入與假設!F109*TK_HoldEcon_GB300+輸入與假設!F116*TK_HoldEcon_VR200+輸入與假設!F123*TK_HoldEcon_VR200)/MAX(0.000000001,輸入與假設!F124)/1000</f>
        <v>63.120375126902</v>
      </c>
    </row>
    <row r="37" customFormat="false" ht="15" hidden="false" customHeight="false" outlineLevel="0" collapsed="false">
      <c r="A37" s="4" t="s">
        <v>2107</v>
      </c>
      <c r="C37" s="67" t="n">
        <f aca="false">C34*(輸入與假設!F74*TK_OpexGW_H100+輸入與假設!F81*TK_OpexGW_H100+輸入與假設!F88*TK_OpexGW_GB200+輸入與假設!F95*TK_OpexGW_GB200+輸入與假設!F102*TK_OpexGW_GB300+輸入與假設!F109*TK_OpexGW_GB300+輸入與假設!F116*TK_OpexGW_VR200+輸入與假設!F123*TK_OpexGW_VR200)/MAX(0.000000001,輸入與假設!F124)/1000</f>
        <v>11.329625636434</v>
      </c>
    </row>
    <row r="38" customFormat="false" ht="15" hidden="false" customHeight="false" outlineLevel="0" collapsed="false">
      <c r="A38" s="3" t="s">
        <v>2108</v>
      </c>
      <c r="C38" s="67" t="n">
        <f aca="false">F12*(輸入與假設!C$312+輸入與假設!D$312+輸入與假設!E$312+輸入與假設!F$312/2)</f>
        <v>3.589496616</v>
      </c>
    </row>
    <row r="39" customFormat="false" ht="15" hidden="false" customHeight="false" outlineLevel="0" collapsed="false">
      <c r="A39" s="3" t="s">
        <v>2109</v>
      </c>
      <c r="C39" s="67" t="n">
        <f aca="false">C35*((輸入與假設!F74*TK_CapexIT_H100+輸入與假設!F81*TK_CapexIT_H100+輸入與假設!F88*TK_CapexIT_GB200+輸入與假設!F95*TK_CapexIT_GB200+輸入與假設!F102*TK_CapexIT_GB300+輸入與假設!F109*TK_CapexIT_GB300+輸入與假設!F116*TK_CapexIT_VR200+輸入與假設!F123*TK_CapexIT_VR200)/MAX(0.000000001,輸入與假設!F124)/1000+輸入與假設!$C$272*(輸入與假設!F74*TK_CapexFacility_H100+輸入與假設!F81*TK_CapexFacility_H100+輸入與假設!F88*TK_CapexFacility_GB200+輸入與假設!F95*TK_CapexFacility_GB200+輸入與假設!F102*TK_CapexFacility_GB300+輸入與假設!F109*TK_CapexFacility_GB300+輸入與假設!F116*TK_CapexFacility_VR200+輸入與假設!F123*TK_CapexFacility_VR200)/MAX(0.000000001,輸入與假設!F124)/1000)*0.5</f>
        <v>124.715294915302</v>
      </c>
    </row>
    <row r="40" customFormat="false" ht="15" hidden="false" customHeight="false" outlineLevel="0" collapsed="false">
      <c r="A40" s="3" t="s">
        <v>2110</v>
      </c>
      <c r="C40" s="67" t="n">
        <f aca="false">C35*((輸入與假設!F74*TK_CapexIT_H100+輸入與假設!F81*TK_CapexIT_H100+輸入與假設!F88*TK_CapexIT_GB200+輸入與假設!F95*TK_CapexIT_GB200+輸入與假設!F102*TK_CapexIT_GB300+輸入與假設!F109*TK_CapexIT_GB300+輸入與假設!F116*TK_CapexIT_VR200+輸入與假設!F123*TK_CapexIT_VR200)/MAX(0.000000001,輸入與假設!F124)/1000/輸入與假設!$C$270+輸入與假設!$C$272*(輸入與假設!F74*TK_CapexFacility_H100+輸入與假設!F81*TK_CapexFacility_H100+輸入與假設!F88*TK_CapexFacility_GB200+輸入與假設!F95*TK_CapexFacility_GB200+輸入與假設!F102*TK_CapexFacility_GB300+輸入與假設!F109*TK_CapexFacility_GB300+輸入與假設!F116*TK_CapexFacility_VR200+輸入與假設!F123*TK_CapexFacility_VR200)/MAX(0.000000001,輸入與假設!F124)/1000/輸入與假設!$C$318)</f>
        <v>34.4839268580175</v>
      </c>
    </row>
    <row r="41" customFormat="false" ht="15" hidden="false" customHeight="false" outlineLevel="0" collapsed="false">
      <c r="A41" s="3" t="s">
        <v>2111</v>
      </c>
      <c r="C41" s="67" t="n">
        <f aca="false">C34*((輸入與假設!F74*TK_CapexIT_H100+輸入與假設!F81*TK_CapexIT_H100+輸入與假設!F88*TK_CapexIT_GB200+輸入與假設!F95*TK_CapexIT_GB200+輸入與假設!F102*TK_CapexIT_GB300+輸入與假設!F109*TK_CapexIT_GB300+輸入與假設!F116*TK_CapexIT_VR200+輸入與假設!F123*TK_CapexIT_VR200)/MAX(0.000000001,輸入與假設!F124)/1000+(輸入與假設!F74*TK_CapexFacility_H100+輸入與假設!F81*TK_CapexFacility_H100+輸入與假設!F88*TK_CapexFacility_GB200+輸入與假設!F95*TK_CapexFacility_GB200+輸入與假設!F102*TK_CapexFacility_GB300+輸入與假設!F109*TK_CapexFacility_GB300+輸入與假設!F116*TK_CapexFacility_VR200+輸入與假設!F123*TK_CapexFacility_VR200)/MAX(0.000000001,輸入與假設!F124)/1000)*0.5</f>
        <v>130.079171090302</v>
      </c>
    </row>
    <row r="42" customFormat="false" ht="15" hidden="false" customHeight="false" outlineLevel="0" collapsed="false">
      <c r="A42" s="3" t="s">
        <v>2112</v>
      </c>
      <c r="C42" s="67" t="n">
        <f aca="false">C34*((輸入與假設!F74*TK_CapexIT_H100+輸入與假設!F81*TK_CapexIT_H100+輸入與假設!F88*TK_CapexIT_GB200+輸入與假設!F95*TK_CapexIT_GB200+輸入與假設!F102*TK_CapexIT_GB300+輸入與假設!F109*TK_CapexIT_GB300+輸入與假設!F116*TK_CapexIT_VR200+輸入與假設!F123*TK_CapexIT_VR200)/MAX(0.000000001,輸入與假設!F124)/1000/輸入與假設!$C$270+(輸入與假設!F74*TK_CapexFacility_H100+輸入與假設!F81*TK_CapexFacility_H100+輸入與假設!F88*TK_CapexFacility_GB200+輸入與假設!F95*TK_CapexFacility_GB200+輸入與假設!F102*TK_CapexFacility_GB300+輸入與假設!F109*TK_CapexFacility_GB300+輸入與假設!F116*TK_CapexFacility_VR200+輸入與假設!F123*TK_CapexFacility_VR200)/MAX(0.000000001,輸入與假設!F124)/1000/輸入與假設!$C$318)</f>
        <v>35.0210906217675</v>
      </c>
    </row>
    <row r="43" customFormat="false" ht="15" hidden="false" customHeight="false" outlineLevel="0" collapsed="false">
      <c r="A43" s="3" t="s">
        <v>2113</v>
      </c>
      <c r="C43" s="68" t="n">
        <f aca="false">F23</f>
        <v>0.141720363266066</v>
      </c>
    </row>
    <row r="44" customFormat="false" ht="15" hidden="false" customHeight="false" outlineLevel="0" collapsed="false">
      <c r="A44" s="3" t="s">
        <v>2114</v>
      </c>
      <c r="C44" s="68" t="n">
        <f aca="false">(F16-F17)/MAX(0.000000001,F22)</f>
        <v>0.170336975079406</v>
      </c>
    </row>
    <row r="45" customFormat="false" ht="15" hidden="false" customHeight="false" outlineLevel="0" collapsed="false">
      <c r="A45" s="3" t="s">
        <v>2115</v>
      </c>
      <c r="C45" s="68" t="n">
        <f aca="false">(C36-F8-(F14+F15)-F17)/MAX(0.000000001,F22)</f>
        <v>0.0950980968231436</v>
      </c>
    </row>
    <row r="46" customFormat="false" ht="15" hidden="false" customHeight="false" outlineLevel="0" collapsed="false">
      <c r="A46" s="3" t="s">
        <v>2116</v>
      </c>
      <c r="C46" s="68" t="n">
        <f aca="false">(C36-C37-(F14+F15)-F17)/MAX(0.000000001,F22)</f>
        <v>0.0950980968231435</v>
      </c>
    </row>
    <row r="47" customFormat="false" ht="15" hidden="false" customHeight="false" outlineLevel="0" collapsed="false">
      <c r="A47" s="3" t="s">
        <v>2117</v>
      </c>
      <c r="C47" s="68" t="n">
        <f aca="false">(C36-C37-(F14+F15)-(F17-C38/輸入與假設!$C$270))/MAX(0.000000001,F22-C38)</f>
        <v>0.100791902398897</v>
      </c>
    </row>
    <row r="48" customFormat="false" ht="15" hidden="false" customHeight="false" outlineLevel="0" collapsed="false">
      <c r="A48" s="3" t="s">
        <v>2118</v>
      </c>
      <c r="C48" s="68" t="n">
        <f aca="false">(C36-C37-(F14+F15)-C40)/MAX(0.000000001,C39)</f>
        <v>0.128662148438519</v>
      </c>
    </row>
    <row r="49" customFormat="false" ht="15" hidden="false" customHeight="false" outlineLevel="0" collapsed="false">
      <c r="A49" s="2" t="s">
        <v>2119</v>
      </c>
      <c r="C49" s="68" t="n">
        <f aca="false">(C36-C37-C42)/MAX(0.000000001,C41)</f>
        <v>0.12891886324413</v>
      </c>
      <c r="I49" s="11" t="s">
        <v>2120</v>
      </c>
    </row>
    <row r="50" customFormat="false" ht="15" hidden="false" customHeight="false" outlineLevel="0" collapsed="false">
      <c r="A50" s="3" t="s">
        <v>2121</v>
      </c>
      <c r="C50" s="68" t="n">
        <f aca="false">C44-C43</f>
        <v>0.0286166118133402</v>
      </c>
    </row>
    <row r="51" customFormat="false" ht="15" hidden="false" customHeight="false" outlineLevel="0" collapsed="false">
      <c r="A51" s="3" t="s">
        <v>2122</v>
      </c>
      <c r="C51" s="68" t="n">
        <f aca="false">C45-C44</f>
        <v>-0.0752388782562626</v>
      </c>
    </row>
    <row r="52" customFormat="false" ht="15" hidden="false" customHeight="false" outlineLevel="0" collapsed="false">
      <c r="A52" s="3" t="s">
        <v>2123</v>
      </c>
      <c r="C52" s="68" t="n">
        <f aca="false">C46-C45</f>
        <v>0</v>
      </c>
    </row>
    <row r="53" customFormat="false" ht="15" hidden="false" customHeight="false" outlineLevel="0" collapsed="false">
      <c r="A53" s="3" t="s">
        <v>2124</v>
      </c>
      <c r="C53" s="68" t="n">
        <f aca="false">C47-C46</f>
        <v>0.00569380557575401</v>
      </c>
    </row>
    <row r="54" customFormat="false" ht="15" hidden="false" customHeight="false" outlineLevel="0" collapsed="false">
      <c r="A54" s="3" t="s">
        <v>2125</v>
      </c>
      <c r="C54" s="68" t="n">
        <f aca="false">C48-C47</f>
        <v>0.0278702460396211</v>
      </c>
    </row>
    <row r="55" customFormat="false" ht="15" hidden="false" customHeight="false" outlineLevel="0" collapsed="false">
      <c r="A55" s="3" t="s">
        <v>2126</v>
      </c>
      <c r="C55" s="68" t="n">
        <f aca="false">C49-C48</f>
        <v>0.000256714805611819</v>
      </c>
    </row>
    <row r="56" customFormat="false" ht="15" hidden="false" customHeight="false" outlineLevel="0" collapsed="false">
      <c r="A56" s="3" t="s">
        <v>2127</v>
      </c>
      <c r="C56" s="68" t="n">
        <f aca="false">C33-C49</f>
        <v>-0.0289188632441304</v>
      </c>
    </row>
    <row r="57" customFormat="false" ht="15" hidden="false" customHeight="false" outlineLevel="0" collapsed="false">
      <c r="A57" s="2" t="s">
        <v>2128</v>
      </c>
      <c r="C57" s="68" t="n">
        <f aca="false">C33-C43</f>
        <v>-0.0417203632660658</v>
      </c>
      <c r="I57" s="6" t="s">
        <v>2129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2130</v>
      </c>
    </row>
    <row r="3" customFormat="false" ht="15" hidden="false" customHeight="false" outlineLevel="0" collapsed="false">
      <c r="A3" s="14" t="s">
        <v>2131</v>
      </c>
      <c r="B3" s="14" t="s">
        <v>2132</v>
      </c>
      <c r="C3" s="14" t="s">
        <v>2133</v>
      </c>
      <c r="D3" s="14" t="s">
        <v>2134</v>
      </c>
      <c r="E3" s="14" t="s">
        <v>1086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0.725</v>
      </c>
      <c r="C4" s="108" t="n">
        <f aca="false">輸入與假設!$C$27</f>
        <v>0.725</v>
      </c>
      <c r="D4" s="2" t="str">
        <f aca="false">IF(ABS(B4-C4)&lt;0.0001,"通過","不一致")</f>
        <v>通過</v>
      </c>
      <c r="E4" s="6" t="s">
        <v>2135</v>
      </c>
    </row>
    <row r="5" customFormat="false" ht="15" hidden="false" customHeight="false" outlineLevel="0" collapsed="false">
      <c r="A5" s="3" t="s">
        <v>2136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2137</v>
      </c>
    </row>
    <row r="6" customFormat="false" ht="15" hidden="false" customHeight="false" outlineLevel="0" collapsed="false">
      <c r="A6" s="4" t="s">
        <v>2138</v>
      </c>
      <c r="B6" s="9" t="n">
        <f aca="false">運營_產能與收入!G9-運營_產能與收入!G10</f>
        <v>0</v>
      </c>
      <c r="C6" s="11" t="s">
        <v>2139</v>
      </c>
      <c r="D6" s="2" t="str">
        <f aca="false">IF(B6&gt;=0,"通過","不一致")</f>
        <v>通過</v>
      </c>
      <c r="E6" s="6" t="s">
        <v>2140</v>
      </c>
    </row>
    <row r="7" customFormat="false" ht="15" hidden="false" customHeight="false" outlineLevel="0" collapsed="false">
      <c r="A7" s="4" t="s">
        <v>2141</v>
      </c>
      <c r="B7" s="10" t="n">
        <f aca="false">各期收支!C120</f>
        <v>200</v>
      </c>
      <c r="C7" s="11" t="s">
        <v>2142</v>
      </c>
      <c r="D7" s="2" t="str">
        <f aca="false">IF(AND(B7&gt;=195,B7&lt;=205),"通過","觀察")</f>
        <v>通過</v>
      </c>
      <c r="E7" s="11" t="s">
        <v>2143</v>
      </c>
    </row>
    <row r="8" customFormat="false" ht="15" hidden="false" customHeight="false" outlineLevel="0" collapsed="false">
      <c r="A8" s="4" t="s">
        <v>2144</v>
      </c>
      <c r="B8" s="10" t="n">
        <f aca="false">各期收支!C119</f>
        <v>492.268310257</v>
      </c>
      <c r="C8" s="6" t="s">
        <v>2145</v>
      </c>
      <c r="D8" s="2" t="str">
        <f aca="false">"不適用"</f>
        <v>不適用</v>
      </c>
      <c r="E8" s="11" t="s">
        <v>2146</v>
      </c>
    </row>
    <row r="9" customFormat="false" ht="15" hidden="false" customHeight="false" outlineLevel="0" collapsed="false">
      <c r="A9" s="3" t="s">
        <v>2147</v>
      </c>
      <c r="B9" s="13" t="n">
        <f aca="false">MAX(輸入與假設!C128:G128)</f>
        <v>0.379909553803795</v>
      </c>
      <c r="C9" s="11" t="s">
        <v>2148</v>
      </c>
      <c r="D9" s="2" t="str">
        <f aca="false">IF(B9&lt;=0.5,"通過","示警")</f>
        <v>通過</v>
      </c>
      <c r="E9" s="6" t="s">
        <v>2149</v>
      </c>
    </row>
    <row r="10" customFormat="false" ht="15" hidden="false" customHeight="false" outlineLevel="0" collapsed="false">
      <c r="A10" s="3" t="s">
        <v>2150</v>
      </c>
      <c r="B10" s="13" t="n">
        <f aca="false">MAX(輸入與假設!C130:G130)</f>
        <v>0.479198870745857</v>
      </c>
      <c r="C10" s="11" t="s">
        <v>2151</v>
      </c>
      <c r="D10" s="2" t="str">
        <f aca="false">IF(B10&lt;=1,"通過","超過硬上限")</f>
        <v>通過</v>
      </c>
      <c r="E10" s="11" t="s">
        <v>2152</v>
      </c>
    </row>
    <row r="11" customFormat="false" ht="15" hidden="false" customHeight="false" outlineLevel="0" collapsed="false">
      <c r="A11" s="3" t="s">
        <v>2153</v>
      </c>
      <c r="B11" s="13" t="n">
        <f aca="false">MAX(輸入與假設!C131:G131)</f>
        <v>0.275432175152412</v>
      </c>
      <c r="C11" s="6" t="s">
        <v>2154</v>
      </c>
      <c r="D11" s="2" t="str">
        <f aca="false">"對照"</f>
        <v>對照</v>
      </c>
      <c r="E11" s="11" t="s">
        <v>2155</v>
      </c>
    </row>
    <row r="12" customFormat="false" ht="15" hidden="false" customHeight="false" outlineLevel="0" collapsed="false">
      <c r="A12" s="3" t="s">
        <v>2156</v>
      </c>
      <c r="B12" s="9" t="n">
        <f aca="false">輸入與假設!G124-輸入與假設!G36</f>
        <v>0</v>
      </c>
      <c r="C12" s="6" t="n">
        <f aca="false">0</f>
        <v>0</v>
      </c>
      <c r="D12" s="2" t="str">
        <f aca="false">IF(ABS(B12)&lt;0.5,"通過","不一致")</f>
        <v>通過</v>
      </c>
      <c r="E12" s="6" t="s">
        <v>2157</v>
      </c>
    </row>
    <row r="13" customFormat="false" ht="15" hidden="false" customHeight="false" outlineLevel="0" collapsed="false">
      <c r="A13" s="4" t="s">
        <v>2158</v>
      </c>
      <c r="B13" s="10" t="n">
        <f aca="false">輸入與假設!C214</f>
        <v>38.5422025841128</v>
      </c>
      <c r="C13" s="6" t="s">
        <v>2159</v>
      </c>
      <c r="D13" s="2" t="str">
        <f aca="false">IF(AND(B13&gt;0,輸入與假設!$C$205&gt;=0,輸入與假設!$C$205&lt;=輸入與假設!$C$196),"通過","示警")</f>
        <v>通過</v>
      </c>
      <c r="E13" s="6" t="s">
        <v>2160</v>
      </c>
    </row>
    <row r="14" customFormat="false" ht="15" hidden="false" customHeight="false" outlineLevel="0" collapsed="false">
      <c r="A14" s="4" t="s">
        <v>2161</v>
      </c>
      <c r="B14" s="9" t="n">
        <f aca="false">((195+205)/2-輸入與假設!C305-輸入與假設!C312)/(輸入與假設!C279*輸入與假設!$C$277/1000)</f>
        <v>3759.03667599349</v>
      </c>
      <c r="C14" s="11" t="s">
        <v>2162</v>
      </c>
      <c r="D14" s="2" t="str">
        <f aca="false">IF(ABS(B14/((輸入與假設!C298*(1-輸入與假設!$C$267)+輸入與假設!C299*輸入與假設!$C$267)/輸入與假設!$C$271-(輸入與假設!C302*(1-輸入與假設!$C$267)+輸入與假設!C303*輸入與假設!$C$267))-1)&lt;=0.2,"通過","觀察")</f>
        <v>通過</v>
      </c>
      <c r="E14" s="6" t="str">
        <f aca="false">"MW 路徑（AI 總 MW 當量）"&amp;TEXT((輸入與假設!C298*(1-輸入與假設!$C$267)+輸入與假設!C299*輸入與假設!$C$267)/輸入與假設!$C$271-(輸入與假設!C302*(1-輸入與假設!$C$267)+輸入與假設!C303*輸入與假設!$C$267),"#,##0")&amp;"；落差＝指引含 MW 路徑以外的支出或路徑偏低（首期以指引為準）"</f>
        <v>MW 路徑（AI 總 MW 當量）3,759；落差＝指引含 MW 路徑以外的支出或路徑偏低（首期以指引為準）</v>
      </c>
    </row>
    <row r="15" customFormat="false" ht="15" hidden="false" customHeight="false" outlineLevel="0" collapsed="false">
      <c r="A15" s="4" t="s">
        <v>2163</v>
      </c>
      <c r="B15" s="13" t="n">
        <f aca="false">AI增量報酬!C49</f>
        <v>0.12891886324413</v>
      </c>
      <c r="C15" s="11" t="s">
        <v>2164</v>
      </c>
      <c r="D15" s="2" t="str">
        <f aca="false">IF(ABS(B15-AI增量報酬!C33)&lt;=0.05,"通過","觀察")</f>
        <v>通過</v>
      </c>
      <c r="E15" s="6" t="str">
        <f aca="false">"模型稅後 "&amp;TEXT(AI增量報酬!F23*100,"0.0")&amp;"%；差距與逐項拆解見「AI增量報酬」C15 區（各項加總＝總差距）"</f>
        <v>模型稅後 14.2%；差距與逐項拆解見「AI增量報酬」C15 區（各項加總＝總差距）</v>
      </c>
    </row>
    <row r="16" customFormat="false" ht="15" hidden="false" customHeight="false" outlineLevel="0" collapsed="false">
      <c r="A16" s="4" t="s">
        <v>2165</v>
      </c>
      <c r="B16" s="10" t="n">
        <f aca="false">輸入與假設!$C$323</f>
        <v>-11.8542004358889</v>
      </c>
      <c r="C16" s="11" t="s">
        <v>2166</v>
      </c>
      <c r="D16" s="2" t="str">
        <f aca="false">IF(ABS(B16)&lt;=0.1*輸入與假設!$C$273,"通過","觀察")</f>
        <v>觀察</v>
      </c>
      <c r="E16" s="6" t="str">
        <f aca="false">"分部 D&amp;A 年化 "&amp;TEXT(輸入與假設!$C$273,"0.0")&amp;"；AI 期初 "&amp;TEXT(輸入與假設!$C$319,"0.0")&amp;"＋非 AI "&amp;TEXT(輸入與假設!$C$320/輸入與假設!$C$322,"0.0")&amp;"（年限 "&amp;TEXT(輸入與假設!$C$322,"0")&amp;" 年）；殘差不回填（C17）"</f>
        <v>分部 D&amp;A 年化 28.4；AI 期初 32.3＋非 AI 8.0（年限 10 年）；殘差不回填（C17）</v>
      </c>
    </row>
    <row r="17" customFormat="false" ht="15" hidden="false" customHeight="false" outlineLevel="0" collapsed="false">
      <c r="A17" s="4" t="s">
        <v>2167</v>
      </c>
      <c r="B17" s="51" t="n">
        <f aca="false">SUM(各期收支!C6:G6)/((運營_產能與收入!G9-輸入與假設!$C$29)/1000)/1000*1000</f>
        <v>248.142630304549</v>
      </c>
      <c r="C17" s="11" t="s">
        <v>2168</v>
      </c>
      <c r="D17" s="2" t="str">
        <f aca="false">IF(AND(B17&gt;=28,B17&lt;=51),"通過","觀察")</f>
        <v>觀察</v>
      </c>
      <c r="E17" s="11" t="s">
        <v>2169</v>
      </c>
    </row>
    <row r="18" customFormat="false" ht="15" hidden="false" customHeight="false" outlineLevel="0" collapsed="false">
      <c r="A18" s="3" t="s">
        <v>2170</v>
      </c>
      <c r="B18" s="16" t="n">
        <f aca="false">資產負債_租賃承諾!C23</f>
        <v>1</v>
      </c>
      <c r="C18" s="11" t="s">
        <v>2171</v>
      </c>
      <c r="D18" s="2" t="str">
        <f aca="false">IF(B18&gt;=0.8,"通過","不一致")</f>
        <v>通過</v>
      </c>
      <c r="E18" s="6" t="s">
        <v>2172</v>
      </c>
    </row>
    <row r="19" customFormat="false" ht="15" hidden="false" customHeight="false" outlineLevel="0" collapsed="false">
      <c r="A19" s="4" t="s">
        <v>2173</v>
      </c>
      <c r="B19" s="10" t="n">
        <f aca="false">各期收支!C121</f>
        <v>3.82368256759658</v>
      </c>
      <c r="C19" s="11" t="s">
        <v>2174</v>
      </c>
      <c r="D19" s="2" t="str">
        <f aca="false">IF(B19&gt;=1.8,"通過","觀察")</f>
        <v>通過</v>
      </c>
      <c r="E19" s="6" t="str">
        <f aca="false">"1H 實際 1.811＋2H 模型 "&amp;TEXT(各期收支!C17,"0.0")&amp;"；公司未提供季度利息指引（不適用）"</f>
        <v>1H 實際 1.811＋2H 模型 2.0；公司未提供季度利息指引（不適用）</v>
      </c>
    </row>
    <row r="20" customFormat="false" ht="15" hidden="false" customHeight="false" outlineLevel="0" collapsed="false">
      <c r="A20" s="4" t="s">
        <v>2175</v>
      </c>
      <c r="B20" s="29" t="n">
        <f aca="false">SUM(運營_產能與收入!E24:G24)/SUM(運營_產能與收入!E26:G26)</f>
        <v>1</v>
      </c>
      <c r="C20" s="11" t="s">
        <v>2176</v>
      </c>
      <c r="D20" s="2" t="str">
        <f aca="false">IF(B20&lt;0.5,"通過","觀察")</f>
        <v>觀察</v>
      </c>
      <c r="E20" s="11" t="s">
        <v>2177</v>
      </c>
    </row>
    <row r="21" customFormat="false" ht="15" hidden="false" customHeight="false" outlineLevel="0" collapsed="false">
      <c r="A21" s="3" t="s">
        <v>2178</v>
      </c>
      <c r="B21" s="58" t="n">
        <f aca="false">損益!D6-運營_產能與收入!D26</f>
        <v>0</v>
      </c>
      <c r="C21" s="6" t="n">
        <f aca="false">0</f>
        <v>0</v>
      </c>
      <c r="D21" s="2" t="str">
        <f aca="false">IF(ABS(B21)&lt;0.001,"通過","不一致")</f>
        <v>通過</v>
      </c>
      <c r="E21" s="11" t="s">
        <v>2179</v>
      </c>
    </row>
    <row r="22" customFormat="false" ht="15" hidden="false" customHeight="false" outlineLevel="0" collapsed="false">
      <c r="A22" s="3" t="s">
        <v>1845</v>
      </c>
      <c r="B22" s="13" t="n">
        <f aca="false">評價_DCF與目標價!C27</f>
        <v>1.15237121288884</v>
      </c>
      <c r="C22" s="6" t="str">
        <f aca="false">"&lt;"&amp;IF(ROUND(ABS(輸入與假設!$C$471)*100,4)=INT(ROUND(ABS(輸入與假設!$C$471)*100,4)),TEXT(ROUND(ABS(輸入與假設!$C$471)*100,4),"0"),TEXT(ROUND(ABS(輸入與假設!$C$471)*100,4),"0.0"))&amp;"%"</f>
        <v>&lt;85%</v>
      </c>
      <c r="D22" s="2" t="str">
        <f aca="false">IF(B22&lt;輸入與假設!$C$471,"通過","觀察")</f>
        <v>觀察</v>
      </c>
      <c r="E22" s="6" t="s">
        <v>2180</v>
      </c>
    </row>
    <row r="23" customFormat="false" ht="15" hidden="false" customHeight="false" outlineLevel="0" collapsed="false">
      <c r="A23" s="4" t="s">
        <v>2181</v>
      </c>
      <c r="B23" s="109" t="n">
        <f aca="false">(損益!D22+損益!D11-輸入與假設!D249-輸入與假設!D48)/(損益!D6+損益!D7)-輸入與假設!D258</f>
        <v>0</v>
      </c>
      <c r="C23" s="6" t="n">
        <f aca="false">0</f>
        <v>0</v>
      </c>
      <c r="D23" s="2" t="str">
        <f aca="false">IF(ABS(B23)&lt;0.0001,"通過","不一致")</f>
        <v>通過</v>
      </c>
      <c r="E23" s="6" t="s">
        <v>2182</v>
      </c>
    </row>
    <row r="24" customFormat="false" ht="15" hidden="false" customHeight="false" outlineLevel="0" collapsed="false">
      <c r="A24" s="3" t="s">
        <v>2183</v>
      </c>
      <c r="B24" s="58" t="n">
        <f aca="false">(運營_產能與收入!D40+運營_產能與收入!D41+輸入與假設!D259+輸入與假設!D48+輸入與假設!D249-運營_產能與收入!D62-各期收支!D16)+(運營_產能與收入!D35+運營_產能與收入!D24*輸入與假設!D41*(1-輸入與假設!D42))*運營_產能與收入!D39+各期收支!D16-損益!D22</f>
        <v>0</v>
      </c>
      <c r="C24" s="6" t="n">
        <f aca="false">0</f>
        <v>0</v>
      </c>
      <c r="D24" s="2" t="str">
        <f aca="false">IF(ABS(B24)&lt;0.001,"通過","不一致")</f>
        <v>通過</v>
      </c>
      <c r="E24" s="6" t="s">
        <v>2184</v>
      </c>
    </row>
    <row r="25" customFormat="false" ht="15" hidden="false" customHeight="false" outlineLevel="0" collapsed="false">
      <c r="A25" s="4" t="s">
        <v>2185</v>
      </c>
      <c r="B25" s="51" t="n">
        <f aca="false">評價_DCF與目標價!C30</f>
        <v>0</v>
      </c>
      <c r="C25" s="11" t="s">
        <v>2186</v>
      </c>
      <c r="D25" s="2" t="str">
        <f aca="false">IF(B25=0,"通過","觀察")</f>
        <v>通過</v>
      </c>
      <c r="E25" s="6" t="s">
        <v>2187</v>
      </c>
    </row>
    <row r="26" customFormat="false" ht="15" hidden="false" customHeight="false" outlineLevel="0" collapsed="false">
      <c r="A26" s="3" t="s">
        <v>2188</v>
      </c>
      <c r="B26" s="58" t="n">
        <f aca="false">MIN(各期收支!C56:G56)</f>
        <v>50</v>
      </c>
      <c r="C26" s="11" t="s">
        <v>2189</v>
      </c>
      <c r="D26" s="2" t="str">
        <f aca="false">IF(B26&gt;=49.999,"通過","不一致")</f>
        <v>通過</v>
      </c>
      <c r="E26" s="6" t="s">
        <v>2190</v>
      </c>
    </row>
    <row r="27" customFormat="false" ht="15" hidden="false" customHeight="false" outlineLevel="0" collapsed="false">
      <c r="A27" s="3" t="s">
        <v>2191</v>
      </c>
      <c r="B27" s="106" t="n">
        <f aca="false">SUM(各期收支!C92:G92)/(輸入與假設!$C$374*輸入與假設!$C$375)</f>
        <v>0</v>
      </c>
      <c r="C27" s="6" t="str">
        <f aca="false">"≤"&amp;IF(輸入與假設!$C$468=INT(輸入與假設!$C$468),TEXT(輸入與假設!$C$468,"0"),TEXT(輸入與假設!$C$468,"0.0"))&amp;"x"</f>
        <v>≤1.5x</v>
      </c>
      <c r="D27" s="2" t="str">
        <f aca="false">IF(B27&lt;=輸入與假設!$C$468,"通過","觀察")</f>
        <v>通過</v>
      </c>
      <c r="E27" s="6" t="str">
        <f aca="false">"超過 "&amp;IF(輸入與假設!$C$468=INT(輸入與假設!$C$468),TEXT(輸入與假設!$C$468,"0"),TEXT(輸入與假設!$C$468,"0.0"))&amp;" 倍：市場吸收能力存疑，結論不得為買進"</f>
        <v>超過 1.5 倍：市場吸收能力存疑，結論不得為買進</v>
      </c>
    </row>
    <row r="28" customFormat="false" ht="15" hidden="false" customHeight="false" outlineLevel="0" collapsed="false">
      <c r="A28" s="3" t="s">
        <v>2192</v>
      </c>
      <c r="B28" s="58" t="n">
        <f aca="false">資產負債_既有債務!E16+SUMPRODUCT(資產負債_既有債務!$C$27:$C$27*(1-資產負債_既有債務!$H$23:$H$23))</f>
        <v>101.085</v>
      </c>
      <c r="C28" s="11" t="s">
        <v>2193</v>
      </c>
      <c r="D28" s="2" t="str">
        <f aca="false">IF(ABS(B28-101.085)&lt;0.01,"通過","不一致")</f>
        <v>通過</v>
      </c>
      <c r="E28" s="6" t="s">
        <v>2194</v>
      </c>
    </row>
    <row r="29" customFormat="false" ht="15" hidden="false" customHeight="false" outlineLevel="0" collapsed="false">
      <c r="A29" s="4" t="s">
        <v>2195</v>
      </c>
      <c r="B29" s="58" t="n">
        <f aca="false">輸入與假設!C304+輸入與假設!C305</f>
        <v>199.995913960104</v>
      </c>
      <c r="C29" s="11" t="s">
        <v>2142</v>
      </c>
      <c r="D29" s="2" t="str">
        <f aca="false">IF(AND(B29&gt;=195,B29&lt;=205),"通過","觀察")</f>
        <v>通過</v>
      </c>
      <c r="E29" s="6" t="s">
        <v>2196</v>
      </c>
    </row>
    <row r="30" customFormat="false" ht="15" hidden="false" customHeight="false" outlineLevel="0" collapsed="false">
      <c r="A30" s="4" t="s">
        <v>2197</v>
      </c>
      <c r="B30" s="58" t="n">
        <f aca="false">SUM(輸入與假設!C293:G293)</f>
        <v>19.999998</v>
      </c>
      <c r="C30" s="6" t="n">
        <f aca="false">20</f>
        <v>20</v>
      </c>
      <c r="D30" s="2" t="str">
        <f aca="false">IF(ABS(B30-20)&lt;0.01,"通過","不一致")</f>
        <v>通過</v>
      </c>
      <c r="E30" s="6" t="s">
        <v>611</v>
      </c>
    </row>
    <row r="31" customFormat="false" ht="15" hidden="false" customHeight="false" outlineLevel="0" collapsed="false">
      <c r="A31" s="3" t="s">
        <v>2198</v>
      </c>
      <c r="B31" s="58" t="n">
        <f aca="false">運營_站點!G22</f>
        <v>0.118954043466907</v>
      </c>
      <c r="C31" s="6" t="s">
        <v>2199</v>
      </c>
      <c r="D31" s="2" t="str">
        <f aca="false">IF(B31&gt;=運營_站點!$H$6*運營_站點!$C$23*0.8,"通過","觀察")</f>
        <v>通過</v>
      </c>
      <c r="E31" s="6" t="s">
        <v>2200</v>
      </c>
    </row>
    <row r="32" customFormat="false" ht="15" hidden="false" customHeight="false" outlineLevel="0" collapsed="false">
      <c r="A32" s="3" t="s">
        <v>2201</v>
      </c>
      <c r="B32" s="58" t="n">
        <f aca="false">運營_站點!$C$26</f>
        <v>-2.99688411272727</v>
      </c>
      <c r="C32" s="11" t="s">
        <v>2202</v>
      </c>
      <c r="D32" s="2" t="str">
        <f aca="false">IF(B32&lt;10,"通過","觀察")</f>
        <v>通過</v>
      </c>
      <c r="E32" s="6" t="s">
        <v>2203</v>
      </c>
    </row>
    <row r="33" customFormat="false" ht="15" hidden="false" customHeight="false" outlineLevel="0" collapsed="false">
      <c r="A33" s="3" t="s">
        <v>2204</v>
      </c>
      <c r="B33" s="10" t="n">
        <f aca="false">519.5*0.59-SUM(運營_產能與收入!C29:G29)</f>
        <v>158.000435699261</v>
      </c>
      <c r="C33" s="6" t="s">
        <v>2205</v>
      </c>
      <c r="D33" s="2" t="str">
        <f aca="false">"對照"</f>
        <v>對照</v>
      </c>
      <c r="E33" s="11" t="s">
        <v>2206</v>
      </c>
    </row>
    <row r="34" customFormat="false" ht="15" hidden="false" customHeight="false" outlineLevel="0" collapsed="false">
      <c r="A34" s="3" t="s">
        <v>2207</v>
      </c>
      <c r="B34" s="10" t="n">
        <f aca="false">輸入與假設!$C$252</f>
        <v>0</v>
      </c>
      <c r="C34" s="6" t="n">
        <f aca="false">0</f>
        <v>0</v>
      </c>
      <c r="D34" s="2" t="str">
        <f aca="false">IF(ABS(B34)&lt;0.000001,"通過","不一致")</f>
        <v>通過</v>
      </c>
      <c r="E34" s="6" t="s">
        <v>2208</v>
      </c>
    </row>
    <row r="35" customFormat="false" ht="15" hidden="false" customHeight="false" outlineLevel="0" collapsed="false">
      <c r="A35" s="3" t="s">
        <v>2209</v>
      </c>
      <c r="B35" s="10" t="n">
        <f aca="false">SUM(運營_產能與收入!C27:G27)</f>
        <v>0</v>
      </c>
      <c r="C35" s="6" t="n">
        <f aca="false">0</f>
        <v>0</v>
      </c>
      <c r="D35" s="2" t="str">
        <f aca="false">IF(ABS(B35)&lt;0.000001,"通過","不一致")</f>
        <v>通過</v>
      </c>
      <c r="E35" s="11" t="s">
        <v>2210</v>
      </c>
    </row>
    <row r="37" customFormat="false" ht="15" hidden="false" customHeight="false" outlineLevel="0" collapsed="false">
      <c r="A37" s="2" t="s">
        <v>2211</v>
      </c>
    </row>
    <row r="38" customFormat="false" ht="15" hidden="false" customHeight="false" outlineLevel="0" collapsed="false">
      <c r="A38" s="14" t="s">
        <v>59</v>
      </c>
      <c r="B38" s="14" t="s">
        <v>60</v>
      </c>
      <c r="C38" s="15" t="s">
        <v>61</v>
      </c>
      <c r="D38" s="15" t="s">
        <v>62</v>
      </c>
      <c r="E38" s="15" t="s">
        <v>63</v>
      </c>
      <c r="F38" s="15" t="s">
        <v>153</v>
      </c>
      <c r="G38" s="15" t="s">
        <v>154</v>
      </c>
    </row>
    <row r="39" customFormat="false" ht="15" hidden="false" customHeight="false" outlineLevel="0" collapsed="false">
      <c r="A39" s="3" t="s">
        <v>2212</v>
      </c>
      <c r="C39" s="24" t="n">
        <v>15.15</v>
      </c>
      <c r="D39" s="24" t="n">
        <v>15.15</v>
      </c>
      <c r="E39" s="24" t="n">
        <v>15.15</v>
      </c>
      <c r="F39" s="24" t="n">
        <v>15.15</v>
      </c>
      <c r="G39" s="24" t="n">
        <v>15.15</v>
      </c>
      <c r="I39" s="11" t="s">
        <v>2213</v>
      </c>
    </row>
    <row r="40" customFormat="false" ht="15" hidden="false" customHeight="false" outlineLevel="0" collapsed="false">
      <c r="A40" s="2" t="s">
        <v>2214</v>
      </c>
      <c r="C40" s="60" t="n">
        <f aca="false">C39</f>
        <v>15.15</v>
      </c>
      <c r="D40" s="60" t="n">
        <f aca="false">D39</f>
        <v>15.15</v>
      </c>
      <c r="E40" s="60" t="n">
        <f aca="false">E39</f>
        <v>15.15</v>
      </c>
      <c r="F40" s="60" t="n">
        <f aca="false">F39</f>
        <v>15.15</v>
      </c>
      <c r="G40" s="60" t="n">
        <f aca="false">G39</f>
        <v>15.15</v>
      </c>
    </row>
    <row r="41" customFormat="false" ht="15" hidden="false" customHeight="false" outlineLevel="0" collapsed="false">
      <c r="A41" s="3" t="s">
        <v>2215</v>
      </c>
      <c r="C41" s="41" t="n">
        <f aca="false">運營_產能與收入!C26/輸入與假設!C34</f>
        <v>26.4880368277743</v>
      </c>
      <c r="D41" s="41" t="n">
        <f aca="false">運營_產能與收入!D26/輸入與假設!D34</f>
        <v>39.6788606023057</v>
      </c>
      <c r="E41" s="41" t="n">
        <f aca="false">運營_產能與收入!E26/輸入與假設!E34</f>
        <v>57.6784241604754</v>
      </c>
      <c r="F41" s="41" t="n">
        <f aca="false">運營_產能與收入!F26/輸入與假設!F34</f>
        <v>75.8065222481422</v>
      </c>
      <c r="G41" s="41" t="n">
        <f aca="false">運營_產能與收入!G26/輸入與假設!G34</f>
        <v>93.9991368360136</v>
      </c>
    </row>
    <row r="42" customFormat="false" ht="15" hidden="false" customHeight="false" outlineLevel="0" collapsed="false">
      <c r="A42" s="2" t="s">
        <v>2216</v>
      </c>
      <c r="C42" s="61" t="n">
        <f aca="false">C40/MAX(0.000000001,C41)</f>
        <v>0.571956317431358</v>
      </c>
      <c r="D42" s="61" t="n">
        <f aca="false">D40/MAX(0.000000001,D41)</f>
        <v>0.381815399183102</v>
      </c>
      <c r="E42" s="61" t="n">
        <f aca="false">E40/MAX(0.000000001,E41)</f>
        <v>0.262663209345821</v>
      </c>
      <c r="F42" s="61" t="n">
        <f aca="false">F40/MAX(0.000000001,F41)</f>
        <v>0.199850877611936</v>
      </c>
      <c r="G42" s="61" t="n">
        <f aca="false">G40/MAX(0.000000001,G41)</f>
        <v>0.161171692740434</v>
      </c>
      <c r="I42" s="11" t="s">
        <v>2217</v>
      </c>
    </row>
    <row r="43" customFormat="false" ht="15" hidden="false" customHeight="false" outlineLevel="0" collapsed="false">
      <c r="A43" s="3" t="s">
        <v>2218</v>
      </c>
      <c r="C43" s="24" t="n">
        <v>7.407</v>
      </c>
      <c r="D43" s="24" t="n">
        <v>14.81</v>
      </c>
      <c r="E43" s="24" t="n">
        <v>14.81</v>
      </c>
      <c r="F43" s="24" t="n">
        <v>14.81</v>
      </c>
      <c r="G43" s="24" t="n">
        <v>14.81</v>
      </c>
      <c r="I43" s="11" t="s">
        <v>2219</v>
      </c>
    </row>
    <row r="44" customFormat="false" ht="15" hidden="false" customHeight="false" outlineLevel="0" collapsed="false">
      <c r="A44" s="3" t="s">
        <v>2220</v>
      </c>
      <c r="C44" s="24" t="n">
        <v>0</v>
      </c>
      <c r="D44" s="24" t="n">
        <v>13.91</v>
      </c>
      <c r="E44" s="24" t="n">
        <v>27.82</v>
      </c>
      <c r="F44" s="24" t="n">
        <v>27.82</v>
      </c>
      <c r="G44" s="24" t="n">
        <v>27.82</v>
      </c>
      <c r="I44" s="11" t="s">
        <v>2221</v>
      </c>
    </row>
    <row r="46" customFormat="false" ht="15" hidden="false" customHeight="false" outlineLevel="0" collapsed="false">
      <c r="A46" s="2" t="s">
        <v>2222</v>
      </c>
    </row>
    <row r="47" customFormat="false" ht="15" hidden="false" customHeight="false" outlineLevel="0" collapsed="false">
      <c r="A47" s="3" t="s">
        <v>2223</v>
      </c>
      <c r="B47" s="10" t="n">
        <f aca="false">SUM(運營_產能與收入!C18:G18)</f>
        <v>0</v>
      </c>
    </row>
    <row r="48" customFormat="false" ht="15" hidden="false" customHeight="false" outlineLevel="0" collapsed="false">
      <c r="A48" s="3" t="s">
        <v>2224</v>
      </c>
      <c r="B48" s="10" t="n">
        <f aca="false">SUM(運營_產能與收入!C20:G20)</f>
        <v>0</v>
      </c>
    </row>
    <row r="49" customFormat="false" ht="15" hidden="false" customHeight="false" outlineLevel="0" collapsed="false">
      <c r="A49" s="3" t="s">
        <v>2225</v>
      </c>
      <c r="B49" s="10" t="n">
        <f aca="false">SUM(運營_產能與收入!C24:G24)</f>
        <v>280.406962260824</v>
      </c>
    </row>
    <row r="50" customFormat="false" ht="15" hidden="false" customHeight="false" outlineLevel="0" collapsed="false">
      <c r="A50" s="3" t="s">
        <v>2226</v>
      </c>
      <c r="B50" s="10" t="n">
        <f aca="false">SUM(輸入與假設!C331:G331)</f>
        <v>1312.85934760671</v>
      </c>
    </row>
    <row r="51" customFormat="false" ht="15" hidden="false" customHeight="false" outlineLevel="0" collapsed="false">
      <c r="A51" s="3" t="s">
        <v>2227</v>
      </c>
      <c r="B51" s="10" t="n">
        <f aca="false">SUM(各期收支!C16:G16)</f>
        <v>2.99688411272727</v>
      </c>
    </row>
    <row r="52" customFormat="false" ht="15" hidden="false" customHeight="false" outlineLevel="0" collapsed="false">
      <c r="A52" s="3" t="s">
        <v>2228</v>
      </c>
      <c r="B52" s="10" t="n">
        <f aca="false">SUM(各期收支!C21:G21)</f>
        <v>21.3807760839415</v>
      </c>
    </row>
    <row r="53" customFormat="false" ht="15" hidden="false" customHeight="false" outlineLevel="0" collapsed="false">
      <c r="A53" s="3" t="s">
        <v>2229</v>
      </c>
      <c r="B53" s="10" t="n">
        <f aca="false">SUM(輸入與假設!C369:G369)*輸入與假設!$C$340+SUM(資產負債_既有債務!C38:G38)</f>
        <v>14.626</v>
      </c>
    </row>
    <row r="54" customFormat="false" ht="15" hidden="false" customHeight="false" outlineLevel="0" collapsed="false">
      <c r="A54" s="3" t="s">
        <v>2230</v>
      </c>
      <c r="B54" s="10" t="n">
        <f aca="false">SUM(各期收支!C54:G54)-(輸入與假設!$C$475-輸入與假設!$C$476-輸入與假設!$C$478-輸入與假設!$C$493)</f>
        <v>-172.550528442227</v>
      </c>
    </row>
    <row r="55" customFormat="false" ht="15" hidden="false" customHeight="false" outlineLevel="0" collapsed="false">
      <c r="A55" s="4" t="s">
        <v>2231</v>
      </c>
      <c r="B55" s="10" t="n">
        <f aca="false">SUM(各期收支!C54:G54)</f>
        <v>-228.960528442227</v>
      </c>
    </row>
    <row r="56" customFormat="false" ht="15" hidden="false" customHeight="false" outlineLevel="0" collapsed="false">
      <c r="A56" s="3" t="s">
        <v>1693</v>
      </c>
      <c r="B56" s="10" t="n">
        <f aca="false">各期收支!G56</f>
        <v>50</v>
      </c>
    </row>
    <row r="57" customFormat="false" ht="15" hidden="false" customHeight="false" outlineLevel="0" collapsed="false">
      <c r="A57" s="4" t="s">
        <v>2232</v>
      </c>
      <c r="B57" s="12" t="n">
        <f aca="false">評價_DCF與目標價!C26</f>
        <v>97.5772756984798</v>
      </c>
    </row>
    <row r="58" customFormat="false" ht="15" hidden="false" customHeight="false" outlineLevel="0" collapsed="false">
      <c r="A58" s="3" t="s">
        <v>1874</v>
      </c>
      <c r="B58" s="12" t="n">
        <f aca="false">評價_DCF與目標價!C51</f>
        <v>146.09287356031</v>
      </c>
    </row>
  </sheetData>
  <conditionalFormatting sqref="D4:D76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2233</v>
      </c>
    </row>
    <row r="2" customFormat="false" ht="15" hidden="false" customHeight="false" outlineLevel="0" collapsed="false">
      <c r="A2" s="11" t="s">
        <v>2234</v>
      </c>
    </row>
    <row r="4" customFormat="false" ht="15" hidden="false" customHeight="false" outlineLevel="0" collapsed="false">
      <c r="A4" s="14" t="s">
        <v>2235</v>
      </c>
      <c r="B4" s="14" t="s">
        <v>2236</v>
      </c>
      <c r="C4" s="14" t="s">
        <v>2237</v>
      </c>
      <c r="D4" s="14" t="s">
        <v>2238</v>
      </c>
      <c r="E4" s="14" t="s">
        <v>2239</v>
      </c>
    </row>
    <row r="5" customFormat="false" ht="86.55" hidden="false" customHeight="false" outlineLevel="0" collapsed="false">
      <c r="A5" s="110" t="s">
        <v>2240</v>
      </c>
      <c r="B5" s="110" t="s">
        <v>2241</v>
      </c>
      <c r="C5" s="111" t="s">
        <v>2242</v>
      </c>
      <c r="D5" s="112" t="s">
        <v>2243</v>
      </c>
      <c r="E5" s="111" t="s">
        <v>2244</v>
      </c>
    </row>
    <row r="6" customFormat="false" ht="72.35" hidden="false" customHeight="false" outlineLevel="0" collapsed="false">
      <c r="A6" s="110" t="s">
        <v>2245</v>
      </c>
      <c r="B6" s="110" t="s">
        <v>2246</v>
      </c>
      <c r="C6" s="111" t="s">
        <v>2247</v>
      </c>
      <c r="D6" s="112" t="s">
        <v>2243</v>
      </c>
      <c r="E6" s="111" t="s">
        <v>2248</v>
      </c>
    </row>
    <row r="7" customFormat="false" ht="69.4" hidden="false" customHeight="false" outlineLevel="0" collapsed="false">
      <c r="A7" s="110" t="s">
        <v>2249</v>
      </c>
      <c r="B7" s="110" t="s">
        <v>2250</v>
      </c>
      <c r="C7" s="113" t="s">
        <v>2251</v>
      </c>
      <c r="D7" s="112" t="s">
        <v>2252</v>
      </c>
      <c r="E7" s="111" t="s">
        <v>2253</v>
      </c>
    </row>
    <row r="8" customFormat="false" ht="114.9" hidden="false" customHeight="false" outlineLevel="0" collapsed="false">
      <c r="A8" s="110" t="s">
        <v>2254</v>
      </c>
      <c r="B8" s="110" t="s">
        <v>2255</v>
      </c>
      <c r="C8" s="113" t="s">
        <v>2256</v>
      </c>
      <c r="D8" s="112" t="s">
        <v>2257</v>
      </c>
      <c r="E8" s="113" t="s">
        <v>2258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2259</v>
      </c>
    </row>
    <row r="3" customFormat="false" ht="15" hidden="false" customHeight="false" outlineLevel="0" collapsed="false">
      <c r="A3" s="14" t="s">
        <v>2260</v>
      </c>
      <c r="B3" s="14" t="s">
        <v>2261</v>
      </c>
    </row>
    <row r="4" customFormat="false" ht="45.75" hidden="false" customHeight="true" outlineLevel="0" collapsed="false">
      <c r="A4" s="85" t="s">
        <v>1006</v>
      </c>
      <c r="B4" s="111" t="s">
        <v>2262</v>
      </c>
    </row>
    <row r="5" customFormat="false" ht="45.75" hidden="false" customHeight="true" outlineLevel="0" collapsed="false">
      <c r="A5" s="85" t="s">
        <v>1006</v>
      </c>
      <c r="B5" s="113" t="s">
        <v>2263</v>
      </c>
    </row>
    <row r="6" customFormat="false" ht="45.75" hidden="false" customHeight="true" outlineLevel="0" collapsed="false">
      <c r="A6" s="85" t="s">
        <v>1006</v>
      </c>
      <c r="B6" s="113" t="s">
        <v>2264</v>
      </c>
    </row>
    <row r="7" customFormat="false" ht="45.75" hidden="false" customHeight="true" outlineLevel="0" collapsed="false">
      <c r="A7" s="85" t="s">
        <v>1006</v>
      </c>
      <c r="B7" s="111" t="s">
        <v>2265</v>
      </c>
    </row>
    <row r="8" customFormat="false" ht="45.75" hidden="false" customHeight="true" outlineLevel="0" collapsed="false">
      <c r="A8" s="85" t="s">
        <v>1001</v>
      </c>
      <c r="B8" s="111" t="s">
        <v>2266</v>
      </c>
    </row>
    <row r="9" customFormat="false" ht="45.75" hidden="false" customHeight="true" outlineLevel="0" collapsed="false">
      <c r="A9" s="85" t="s">
        <v>1001</v>
      </c>
      <c r="B9" s="113" t="s">
        <v>2267</v>
      </c>
    </row>
    <row r="10" customFormat="false" ht="45.75" hidden="false" customHeight="true" outlineLevel="0" collapsed="false">
      <c r="A10" s="85" t="s">
        <v>1006</v>
      </c>
      <c r="B10" s="113" t="s">
        <v>2268</v>
      </c>
    </row>
    <row r="11" customFormat="false" ht="45.75" hidden="false" customHeight="true" outlineLevel="0" collapsed="false">
      <c r="A11" s="2" t="s">
        <v>2269</v>
      </c>
      <c r="B11" s="113" t="s">
        <v>2270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2271</v>
      </c>
    </row>
    <row r="2" customFormat="false" ht="15" hidden="false" customHeight="false" outlineLevel="0" collapsed="false">
      <c r="A2" s="6" t="s">
        <v>2272</v>
      </c>
    </row>
    <row r="3" customFormat="false" ht="15" hidden="false" customHeight="false" outlineLevel="0" collapsed="false">
      <c r="A3" s="6" t="s">
        <v>2273</v>
      </c>
    </row>
    <row r="4" customFormat="false" ht="17.15" hidden="false" customHeight="false" outlineLevel="0" collapsed="false">
      <c r="A4" s="14" t="s">
        <v>2274</v>
      </c>
      <c r="B4" s="14" t="s">
        <v>2275</v>
      </c>
      <c r="C4" s="14" t="s">
        <v>2276</v>
      </c>
      <c r="D4" s="14" t="s">
        <v>60</v>
      </c>
      <c r="E4" s="14" t="s">
        <v>2277</v>
      </c>
      <c r="F4" s="14" t="s">
        <v>2278</v>
      </c>
      <c r="G4" s="14" t="s">
        <v>262</v>
      </c>
      <c r="H4" s="14" t="s">
        <v>2279</v>
      </c>
      <c r="I4" s="15" t="s">
        <v>2280</v>
      </c>
      <c r="J4" s="14" t="s">
        <v>2281</v>
      </c>
    </row>
    <row r="5" customFormat="false" ht="15" hidden="false" customHeight="false" outlineLevel="0" collapsed="false">
      <c r="A5" s="4" t="s">
        <v>2282</v>
      </c>
      <c r="B5" s="4" t="s">
        <v>2283</v>
      </c>
      <c r="C5" s="3" t="s">
        <v>2284</v>
      </c>
      <c r="D5" s="11" t="s">
        <v>2285</v>
      </c>
      <c r="E5" s="4" t="s">
        <v>2286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2287</v>
      </c>
      <c r="J5" s="11" t="s">
        <v>2288</v>
      </c>
    </row>
    <row r="6" customFormat="false" ht="15" hidden="false" customHeight="false" outlineLevel="0" collapsed="false">
      <c r="A6" s="4" t="s">
        <v>2289</v>
      </c>
      <c r="B6" s="4" t="s">
        <v>2283</v>
      </c>
      <c r="C6" s="3" t="s">
        <v>2284</v>
      </c>
      <c r="D6" s="11" t="s">
        <v>2285</v>
      </c>
      <c r="E6" s="4" t="s">
        <v>2290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2291</v>
      </c>
      <c r="J6" s="11" t="s">
        <v>2288</v>
      </c>
    </row>
    <row r="7" customFormat="false" ht="15" hidden="false" customHeight="false" outlineLevel="0" collapsed="false">
      <c r="A7" s="4" t="s">
        <v>2292</v>
      </c>
      <c r="B7" s="4" t="s">
        <v>2283</v>
      </c>
      <c r="C7" s="3" t="s">
        <v>2284</v>
      </c>
      <c r="D7" s="11" t="s">
        <v>2285</v>
      </c>
      <c r="E7" s="4" t="s">
        <v>2293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2294</v>
      </c>
      <c r="J7" s="11" t="s">
        <v>2288</v>
      </c>
    </row>
    <row r="8" customFormat="false" ht="15" hidden="false" customHeight="false" outlineLevel="0" collapsed="false">
      <c r="A8" s="4" t="s">
        <v>2295</v>
      </c>
      <c r="B8" s="4" t="s">
        <v>2283</v>
      </c>
      <c r="C8" s="3" t="s">
        <v>2284</v>
      </c>
      <c r="D8" s="11" t="s">
        <v>2285</v>
      </c>
      <c r="E8" s="4" t="s">
        <v>2296</v>
      </c>
      <c r="F8" s="114" t="n">
        <v>9.21907146281596</v>
      </c>
      <c r="G8" s="114" t="n">
        <v>12.2254710045841</v>
      </c>
      <c r="H8" s="114" t="n">
        <v>19.7506269894487</v>
      </c>
      <c r="I8" s="11" t="s">
        <v>2297</v>
      </c>
      <c r="J8" s="11" t="s">
        <v>2288</v>
      </c>
    </row>
    <row r="9" customFormat="false" ht="15" hidden="false" customHeight="false" outlineLevel="0" collapsed="false">
      <c r="A9" s="4" t="s">
        <v>2298</v>
      </c>
      <c r="B9" s="4" t="s">
        <v>2283</v>
      </c>
      <c r="C9" s="3" t="s">
        <v>2284</v>
      </c>
      <c r="D9" s="11" t="s">
        <v>2285</v>
      </c>
      <c r="E9" s="4" t="s">
        <v>2299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2300</v>
      </c>
      <c r="J9" s="11" t="s">
        <v>2288</v>
      </c>
    </row>
    <row r="10" customFormat="false" ht="15" hidden="false" customHeight="false" outlineLevel="0" collapsed="false">
      <c r="A10" s="4" t="s">
        <v>2301</v>
      </c>
      <c r="B10" s="4" t="s">
        <v>2302</v>
      </c>
      <c r="C10" s="3" t="s">
        <v>2303</v>
      </c>
      <c r="D10" s="11" t="s">
        <v>2285</v>
      </c>
      <c r="E10" s="4" t="s">
        <v>2286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2304</v>
      </c>
      <c r="J10" s="11" t="s">
        <v>2288</v>
      </c>
    </row>
    <row r="11" customFormat="false" ht="15" hidden="false" customHeight="false" outlineLevel="0" collapsed="false">
      <c r="A11" s="4" t="s">
        <v>2305</v>
      </c>
      <c r="B11" s="4" t="s">
        <v>2302</v>
      </c>
      <c r="C11" s="3" t="s">
        <v>2303</v>
      </c>
      <c r="D11" s="11" t="s">
        <v>2285</v>
      </c>
      <c r="E11" s="4" t="s">
        <v>2290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2306</v>
      </c>
      <c r="J11" s="11" t="s">
        <v>2288</v>
      </c>
    </row>
    <row r="12" customFormat="false" ht="15" hidden="false" customHeight="false" outlineLevel="0" collapsed="false">
      <c r="A12" s="4" t="s">
        <v>2307</v>
      </c>
      <c r="B12" s="4" t="s">
        <v>2302</v>
      </c>
      <c r="C12" s="3" t="s">
        <v>2303</v>
      </c>
      <c r="D12" s="11" t="s">
        <v>2285</v>
      </c>
      <c r="E12" s="4" t="s">
        <v>2293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2308</v>
      </c>
      <c r="J12" s="11" t="s">
        <v>2288</v>
      </c>
    </row>
    <row r="13" customFormat="false" ht="15" hidden="false" customHeight="false" outlineLevel="0" collapsed="false">
      <c r="A13" s="4" t="s">
        <v>2309</v>
      </c>
      <c r="B13" s="4" t="s">
        <v>2302</v>
      </c>
      <c r="C13" s="3" t="s">
        <v>2303</v>
      </c>
      <c r="D13" s="11" t="s">
        <v>2285</v>
      </c>
      <c r="E13" s="4" t="s">
        <v>2296</v>
      </c>
      <c r="F13" s="114" t="n">
        <v>7.09287829867124</v>
      </c>
      <c r="G13" s="114" t="n">
        <v>8.9923042149807</v>
      </c>
      <c r="H13" s="114" t="n">
        <v>14.5598263108425</v>
      </c>
      <c r="I13" s="11" t="s">
        <v>2310</v>
      </c>
      <c r="J13" s="11" t="s">
        <v>2288</v>
      </c>
    </row>
    <row r="14" customFormat="false" ht="15" hidden="false" customHeight="false" outlineLevel="0" collapsed="false">
      <c r="A14" s="4" t="s">
        <v>2311</v>
      </c>
      <c r="B14" s="4" t="s">
        <v>2302</v>
      </c>
      <c r="C14" s="3" t="s">
        <v>2303</v>
      </c>
      <c r="D14" s="11" t="s">
        <v>2285</v>
      </c>
      <c r="E14" s="4" t="s">
        <v>2299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2312</v>
      </c>
      <c r="J14" s="11" t="s">
        <v>2288</v>
      </c>
    </row>
    <row r="15" customFormat="false" ht="15" hidden="false" customHeight="false" outlineLevel="0" collapsed="false">
      <c r="A15" s="4" t="s">
        <v>2313</v>
      </c>
      <c r="B15" s="4" t="s">
        <v>2314</v>
      </c>
      <c r="C15" s="3" t="s">
        <v>2315</v>
      </c>
      <c r="D15" s="11" t="s">
        <v>2316</v>
      </c>
      <c r="E15" s="4" t="s">
        <v>2286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2317</v>
      </c>
      <c r="J15" s="11" t="s">
        <v>2288</v>
      </c>
    </row>
    <row r="16" customFormat="false" ht="15" hidden="false" customHeight="false" outlineLevel="0" collapsed="false">
      <c r="A16" s="4" t="s">
        <v>2318</v>
      </c>
      <c r="B16" s="4" t="s">
        <v>2314</v>
      </c>
      <c r="C16" s="3" t="s">
        <v>2315</v>
      </c>
      <c r="D16" s="11" t="s">
        <v>2316</v>
      </c>
      <c r="E16" s="4" t="s">
        <v>2290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2319</v>
      </c>
      <c r="J16" s="11" t="s">
        <v>2288</v>
      </c>
    </row>
    <row r="17" customFormat="false" ht="15" hidden="false" customHeight="false" outlineLevel="0" collapsed="false">
      <c r="A17" s="4" t="s">
        <v>2320</v>
      </c>
      <c r="B17" s="4" t="s">
        <v>2314</v>
      </c>
      <c r="C17" s="3" t="s">
        <v>2315</v>
      </c>
      <c r="D17" s="11" t="s">
        <v>2316</v>
      </c>
      <c r="E17" s="4" t="s">
        <v>2293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2321</v>
      </c>
      <c r="J17" s="11" t="s">
        <v>2288</v>
      </c>
    </row>
    <row r="18" customFormat="false" ht="15" hidden="false" customHeight="false" outlineLevel="0" collapsed="false">
      <c r="A18" s="4" t="s">
        <v>2322</v>
      </c>
      <c r="B18" s="4" t="s">
        <v>2314</v>
      </c>
      <c r="C18" s="3" t="s">
        <v>2315</v>
      </c>
      <c r="D18" s="11" t="s">
        <v>2316</v>
      </c>
      <c r="E18" s="4" t="s">
        <v>2296</v>
      </c>
      <c r="F18" s="114" t="n">
        <v>3.60729070051029</v>
      </c>
      <c r="G18" s="114" t="n">
        <v>4.78365180724219</v>
      </c>
      <c r="H18" s="114" t="n">
        <v>7.72813762813851</v>
      </c>
      <c r="I18" s="11" t="s">
        <v>2323</v>
      </c>
      <c r="J18" s="11" t="s">
        <v>2288</v>
      </c>
    </row>
    <row r="19" customFormat="false" ht="15" hidden="false" customHeight="false" outlineLevel="0" collapsed="false">
      <c r="A19" s="4" t="s">
        <v>2324</v>
      </c>
      <c r="B19" s="4" t="s">
        <v>2314</v>
      </c>
      <c r="C19" s="3" t="s">
        <v>2315</v>
      </c>
      <c r="D19" s="11" t="s">
        <v>2316</v>
      </c>
      <c r="E19" s="4" t="s">
        <v>2299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2325</v>
      </c>
      <c r="J19" s="11" t="s">
        <v>2288</v>
      </c>
    </row>
    <row r="20" customFormat="false" ht="15" hidden="false" customHeight="false" outlineLevel="0" collapsed="false">
      <c r="A20" s="4" t="s">
        <v>2326</v>
      </c>
      <c r="B20" s="4" t="s">
        <v>2327</v>
      </c>
      <c r="C20" s="3" t="s">
        <v>2328</v>
      </c>
      <c r="D20" s="11" t="s">
        <v>2329</v>
      </c>
      <c r="E20" s="4" t="s">
        <v>2286</v>
      </c>
      <c r="F20" s="114" t="n">
        <v>21.4202694</v>
      </c>
      <c r="G20" s="114" t="n">
        <v>27.510214</v>
      </c>
      <c r="H20" s="114" t="n">
        <v>34.1207434</v>
      </c>
      <c r="I20" s="11" t="s">
        <v>2330</v>
      </c>
      <c r="J20" s="11" t="s">
        <v>2288</v>
      </c>
    </row>
    <row r="21" customFormat="false" ht="15" hidden="false" customHeight="false" outlineLevel="0" collapsed="false">
      <c r="A21" s="4" t="s">
        <v>2331</v>
      </c>
      <c r="B21" s="4" t="s">
        <v>2327</v>
      </c>
      <c r="C21" s="3" t="s">
        <v>2328</v>
      </c>
      <c r="D21" s="11" t="s">
        <v>2329</v>
      </c>
      <c r="E21" s="4" t="s">
        <v>2290</v>
      </c>
      <c r="F21" s="114" t="n">
        <v>20.6393904</v>
      </c>
      <c r="G21" s="114" t="n">
        <v>24.015174</v>
      </c>
      <c r="H21" s="114" t="n">
        <v>27.6502044</v>
      </c>
      <c r="I21" s="11" t="s">
        <v>2332</v>
      </c>
      <c r="J21" s="11" t="s">
        <v>2288</v>
      </c>
    </row>
    <row r="22" customFormat="false" ht="15" hidden="false" customHeight="false" outlineLevel="0" collapsed="false">
      <c r="A22" s="4" t="s">
        <v>2333</v>
      </c>
      <c r="B22" s="4" t="s">
        <v>2327</v>
      </c>
      <c r="C22" s="3" t="s">
        <v>2328</v>
      </c>
      <c r="D22" s="11" t="s">
        <v>2329</v>
      </c>
      <c r="E22" s="4" t="s">
        <v>2293</v>
      </c>
      <c r="F22" s="114" t="n">
        <v>28.5549024</v>
      </c>
      <c r="G22" s="114" t="n">
        <v>32.237224</v>
      </c>
      <c r="H22" s="114" t="n">
        <v>39.2826064</v>
      </c>
      <c r="I22" s="11" t="s">
        <v>2334</v>
      </c>
      <c r="J22" s="11" t="s">
        <v>2288</v>
      </c>
    </row>
    <row r="23" customFormat="false" ht="15" hidden="false" customHeight="false" outlineLevel="0" collapsed="false">
      <c r="A23" s="4" t="s">
        <v>2335</v>
      </c>
      <c r="B23" s="4" t="s">
        <v>2327</v>
      </c>
      <c r="C23" s="3" t="s">
        <v>2328</v>
      </c>
      <c r="D23" s="11" t="s">
        <v>2329</v>
      </c>
      <c r="E23" s="4" t="s">
        <v>2296</v>
      </c>
      <c r="F23" s="114" t="n">
        <v>31.9970232</v>
      </c>
      <c r="G23" s="114" t="n">
        <v>37.586352</v>
      </c>
      <c r="H23" s="114" t="n">
        <v>42.6375752</v>
      </c>
      <c r="I23" s="11" t="s">
        <v>2336</v>
      </c>
      <c r="J23" s="11" t="s">
        <v>2288</v>
      </c>
    </row>
    <row r="24" customFormat="false" ht="15" hidden="false" customHeight="false" outlineLevel="0" collapsed="false">
      <c r="A24" s="4" t="s">
        <v>2337</v>
      </c>
      <c r="B24" s="4" t="s">
        <v>2327</v>
      </c>
      <c r="C24" s="3" t="s">
        <v>2328</v>
      </c>
      <c r="D24" s="11" t="s">
        <v>2329</v>
      </c>
      <c r="E24" s="4" t="s">
        <v>2299</v>
      </c>
      <c r="F24" s="114" t="n">
        <v>35.845578</v>
      </c>
      <c r="G24" s="114" t="n">
        <v>50.08578</v>
      </c>
      <c r="H24" s="114" t="n">
        <v>65.481558</v>
      </c>
      <c r="I24" s="11" t="s">
        <v>2338</v>
      </c>
      <c r="J24" s="11" t="s">
        <v>2288</v>
      </c>
    </row>
    <row r="25" customFormat="false" ht="15" hidden="false" customHeight="false" outlineLevel="0" collapsed="false">
      <c r="A25" s="4" t="s">
        <v>2339</v>
      </c>
      <c r="B25" s="4" t="s">
        <v>2340</v>
      </c>
      <c r="C25" s="3" t="s">
        <v>2341</v>
      </c>
      <c r="D25" s="11" t="s">
        <v>2329</v>
      </c>
      <c r="E25" s="4" t="s">
        <v>2286</v>
      </c>
      <c r="F25" s="114" t="n">
        <v>10.212</v>
      </c>
      <c r="G25" s="114" t="n">
        <v>12.67</v>
      </c>
      <c r="H25" s="114" t="n">
        <v>16.186</v>
      </c>
      <c r="I25" s="11" t="s">
        <v>2342</v>
      </c>
      <c r="J25" s="11" t="s">
        <v>2288</v>
      </c>
    </row>
    <row r="26" customFormat="false" ht="15" hidden="false" customHeight="false" outlineLevel="0" collapsed="false">
      <c r="A26" s="4" t="s">
        <v>2343</v>
      </c>
      <c r="B26" s="4" t="s">
        <v>2340</v>
      </c>
      <c r="C26" s="3" t="s">
        <v>2341</v>
      </c>
      <c r="D26" s="11" t="s">
        <v>2329</v>
      </c>
      <c r="E26" s="4" t="s">
        <v>2290</v>
      </c>
      <c r="F26" s="114" t="n">
        <v>10.212</v>
      </c>
      <c r="G26" s="114" t="n">
        <v>12.67</v>
      </c>
      <c r="H26" s="114" t="n">
        <v>16.186</v>
      </c>
      <c r="I26" s="11" t="s">
        <v>2344</v>
      </c>
      <c r="J26" s="11" t="s">
        <v>2288</v>
      </c>
    </row>
    <row r="27" customFormat="false" ht="15" hidden="false" customHeight="false" outlineLevel="0" collapsed="false">
      <c r="A27" s="4" t="s">
        <v>2345</v>
      </c>
      <c r="B27" s="4" t="s">
        <v>2340</v>
      </c>
      <c r="C27" s="3" t="s">
        <v>2341</v>
      </c>
      <c r="D27" s="11" t="s">
        <v>2329</v>
      </c>
      <c r="E27" s="4" t="s">
        <v>2293</v>
      </c>
      <c r="F27" s="114" t="n">
        <v>10.212</v>
      </c>
      <c r="G27" s="114" t="n">
        <v>12.67</v>
      </c>
      <c r="H27" s="114" t="n">
        <v>16.186</v>
      </c>
      <c r="I27" s="11" t="s">
        <v>2346</v>
      </c>
      <c r="J27" s="11" t="s">
        <v>2288</v>
      </c>
    </row>
    <row r="28" customFormat="false" ht="15" hidden="false" customHeight="false" outlineLevel="0" collapsed="false">
      <c r="A28" s="4" t="s">
        <v>2347</v>
      </c>
      <c r="B28" s="4" t="s">
        <v>2340</v>
      </c>
      <c r="C28" s="3" t="s">
        <v>2341</v>
      </c>
      <c r="D28" s="11" t="s">
        <v>2329</v>
      </c>
      <c r="E28" s="4" t="s">
        <v>2296</v>
      </c>
      <c r="F28" s="114" t="n">
        <v>10.212</v>
      </c>
      <c r="G28" s="114" t="n">
        <v>12.67</v>
      </c>
      <c r="H28" s="114" t="n">
        <v>16.186</v>
      </c>
      <c r="I28" s="11" t="s">
        <v>2348</v>
      </c>
      <c r="J28" s="11" t="s">
        <v>2288</v>
      </c>
    </row>
    <row r="29" customFormat="false" ht="15" hidden="false" customHeight="false" outlineLevel="0" collapsed="false">
      <c r="A29" s="4" t="s">
        <v>2349</v>
      </c>
      <c r="B29" s="4" t="s">
        <v>2340</v>
      </c>
      <c r="C29" s="3" t="s">
        <v>2341</v>
      </c>
      <c r="D29" s="11" t="s">
        <v>2329</v>
      </c>
      <c r="E29" s="4" t="s">
        <v>2299</v>
      </c>
      <c r="F29" s="114" t="n">
        <v>10.212</v>
      </c>
      <c r="G29" s="114" t="n">
        <v>12.67</v>
      </c>
      <c r="H29" s="114" t="n">
        <v>16.186</v>
      </c>
      <c r="I29" s="11" t="s">
        <v>2350</v>
      </c>
      <c r="J29" s="11" t="s">
        <v>2288</v>
      </c>
    </row>
    <row r="30" customFormat="false" ht="15" hidden="false" customHeight="false" outlineLevel="0" collapsed="false">
      <c r="A30" s="4" t="s">
        <v>2351</v>
      </c>
      <c r="B30" s="4" t="s">
        <v>2352</v>
      </c>
      <c r="C30" s="3" t="s">
        <v>2353</v>
      </c>
      <c r="D30" s="11" t="s">
        <v>2329</v>
      </c>
      <c r="E30" s="4" t="s">
        <v>2286</v>
      </c>
      <c r="F30" s="114" t="n">
        <v>31.6322694</v>
      </c>
      <c r="G30" s="114" t="n">
        <v>40.180214</v>
      </c>
      <c r="H30" s="114" t="n">
        <v>50.3067434</v>
      </c>
      <c r="I30" s="11" t="s">
        <v>2354</v>
      </c>
      <c r="J30" s="11" t="s">
        <v>2288</v>
      </c>
    </row>
    <row r="31" customFormat="false" ht="15" hidden="false" customHeight="false" outlineLevel="0" collapsed="false">
      <c r="A31" s="4" t="s">
        <v>2355</v>
      </c>
      <c r="B31" s="4" t="s">
        <v>2352</v>
      </c>
      <c r="C31" s="3" t="s">
        <v>2353</v>
      </c>
      <c r="D31" s="11" t="s">
        <v>2329</v>
      </c>
      <c r="E31" s="4" t="s">
        <v>2290</v>
      </c>
      <c r="F31" s="114" t="n">
        <v>30.8513904</v>
      </c>
      <c r="G31" s="114" t="n">
        <v>36.685174</v>
      </c>
      <c r="H31" s="114" t="n">
        <v>43.8362044</v>
      </c>
      <c r="I31" s="11" t="s">
        <v>2356</v>
      </c>
      <c r="J31" s="11" t="s">
        <v>2288</v>
      </c>
    </row>
    <row r="32" customFormat="false" ht="15" hidden="false" customHeight="false" outlineLevel="0" collapsed="false">
      <c r="A32" s="4" t="s">
        <v>2357</v>
      </c>
      <c r="B32" s="4" t="s">
        <v>2352</v>
      </c>
      <c r="C32" s="3" t="s">
        <v>2353</v>
      </c>
      <c r="D32" s="11" t="s">
        <v>2329</v>
      </c>
      <c r="E32" s="4" t="s">
        <v>2293</v>
      </c>
      <c r="F32" s="114" t="n">
        <v>38.7669024</v>
      </c>
      <c r="G32" s="114" t="n">
        <v>44.907224</v>
      </c>
      <c r="H32" s="114" t="n">
        <v>55.4686064</v>
      </c>
      <c r="I32" s="11" t="s">
        <v>2358</v>
      </c>
      <c r="J32" s="11" t="s">
        <v>2288</v>
      </c>
    </row>
    <row r="33" customFormat="false" ht="15" hidden="false" customHeight="false" outlineLevel="0" collapsed="false">
      <c r="A33" s="4" t="s">
        <v>2359</v>
      </c>
      <c r="B33" s="4" t="s">
        <v>2352</v>
      </c>
      <c r="C33" s="3" t="s">
        <v>2353</v>
      </c>
      <c r="D33" s="11" t="s">
        <v>2329</v>
      </c>
      <c r="E33" s="4" t="s">
        <v>2296</v>
      </c>
      <c r="F33" s="114" t="n">
        <v>42.2090232</v>
      </c>
      <c r="G33" s="114" t="n">
        <v>50.256352</v>
      </c>
      <c r="H33" s="114" t="n">
        <v>58.8235752</v>
      </c>
      <c r="I33" s="11" t="s">
        <v>2360</v>
      </c>
      <c r="J33" s="11" t="s">
        <v>2288</v>
      </c>
    </row>
    <row r="34" customFormat="false" ht="15" hidden="false" customHeight="false" outlineLevel="0" collapsed="false">
      <c r="A34" s="4" t="s">
        <v>2361</v>
      </c>
      <c r="B34" s="4" t="s">
        <v>2352</v>
      </c>
      <c r="C34" s="3" t="s">
        <v>2353</v>
      </c>
      <c r="D34" s="11" t="s">
        <v>2329</v>
      </c>
      <c r="E34" s="4" t="s">
        <v>2299</v>
      </c>
      <c r="F34" s="114" t="n">
        <v>46.057578</v>
      </c>
      <c r="G34" s="114" t="n">
        <v>62.75578</v>
      </c>
      <c r="H34" s="114" t="n">
        <v>81.667558</v>
      </c>
      <c r="I34" s="11" t="s">
        <v>2362</v>
      </c>
      <c r="J34" s="11" t="s">
        <v>2288</v>
      </c>
    </row>
    <row r="35" customFormat="false" ht="15" hidden="false" customHeight="false" outlineLevel="0" collapsed="false">
      <c r="A35" s="4" t="s">
        <v>2363</v>
      </c>
      <c r="B35" s="4" t="s">
        <v>2364</v>
      </c>
      <c r="C35" s="3" t="s">
        <v>2365</v>
      </c>
      <c r="D35" s="11" t="s">
        <v>2366</v>
      </c>
      <c r="E35" s="4" t="s">
        <v>1562</v>
      </c>
      <c r="F35" s="114" t="n">
        <v>10.212</v>
      </c>
      <c r="G35" s="114" t="n">
        <v>12.67</v>
      </c>
      <c r="H35" s="114" t="n">
        <v>16.186</v>
      </c>
      <c r="I35" s="11" t="s">
        <v>2367</v>
      </c>
      <c r="J35" s="11" t="s">
        <v>2288</v>
      </c>
    </row>
    <row r="36" customFormat="false" ht="15" hidden="false" customHeight="false" outlineLevel="0" collapsed="false">
      <c r="A36" s="4" t="s">
        <v>2368</v>
      </c>
      <c r="B36" s="4" t="s">
        <v>2369</v>
      </c>
      <c r="C36" s="4" t="s">
        <v>2370</v>
      </c>
      <c r="D36" s="6" t="s">
        <v>184</v>
      </c>
      <c r="E36" s="4" t="s">
        <v>2286</v>
      </c>
      <c r="F36" s="114" t="n">
        <v>6</v>
      </c>
      <c r="G36" s="114" t="n">
        <v>6</v>
      </c>
      <c r="H36" s="114" t="n">
        <v>4</v>
      </c>
      <c r="I36" s="11" t="s">
        <v>2371</v>
      </c>
      <c r="J36" s="11" t="s">
        <v>2288</v>
      </c>
    </row>
    <row r="37" customFormat="false" ht="15" hidden="false" customHeight="false" outlineLevel="0" collapsed="false">
      <c r="A37" s="4" t="s">
        <v>2372</v>
      </c>
      <c r="B37" s="4" t="s">
        <v>2369</v>
      </c>
      <c r="C37" s="4" t="s">
        <v>2370</v>
      </c>
      <c r="D37" s="6" t="s">
        <v>184</v>
      </c>
      <c r="E37" s="4" t="s">
        <v>2290</v>
      </c>
      <c r="F37" s="114" t="n">
        <v>6</v>
      </c>
      <c r="G37" s="114" t="n">
        <v>6</v>
      </c>
      <c r="H37" s="114" t="n">
        <v>4</v>
      </c>
      <c r="I37" s="11" t="s">
        <v>2373</v>
      </c>
      <c r="J37" s="11" t="s">
        <v>2288</v>
      </c>
    </row>
    <row r="38" customFormat="false" ht="15" hidden="false" customHeight="false" outlineLevel="0" collapsed="false">
      <c r="A38" s="4" t="s">
        <v>2374</v>
      </c>
      <c r="B38" s="4" t="s">
        <v>2369</v>
      </c>
      <c r="C38" s="4" t="s">
        <v>2370</v>
      </c>
      <c r="D38" s="6" t="s">
        <v>184</v>
      </c>
      <c r="E38" s="4" t="s">
        <v>2293</v>
      </c>
      <c r="F38" s="114" t="n">
        <v>6</v>
      </c>
      <c r="G38" s="114" t="n">
        <v>6</v>
      </c>
      <c r="H38" s="114" t="n">
        <v>4</v>
      </c>
      <c r="I38" s="11" t="s">
        <v>2375</v>
      </c>
      <c r="J38" s="11" t="s">
        <v>2288</v>
      </c>
    </row>
    <row r="39" customFormat="false" ht="15" hidden="false" customHeight="false" outlineLevel="0" collapsed="false">
      <c r="A39" s="4" t="s">
        <v>2376</v>
      </c>
      <c r="B39" s="4" t="s">
        <v>2369</v>
      </c>
      <c r="C39" s="4" t="s">
        <v>2370</v>
      </c>
      <c r="D39" s="6" t="s">
        <v>184</v>
      </c>
      <c r="E39" s="4" t="s">
        <v>2296</v>
      </c>
      <c r="F39" s="114" t="n">
        <v>6</v>
      </c>
      <c r="G39" s="114" t="n">
        <v>6</v>
      </c>
      <c r="H39" s="114" t="n">
        <v>4</v>
      </c>
      <c r="I39" s="11" t="s">
        <v>2377</v>
      </c>
      <c r="J39" s="11" t="s">
        <v>2288</v>
      </c>
    </row>
    <row r="40" customFormat="false" ht="15" hidden="false" customHeight="false" outlineLevel="0" collapsed="false">
      <c r="A40" s="4" t="s">
        <v>2378</v>
      </c>
      <c r="B40" s="4" t="s">
        <v>2369</v>
      </c>
      <c r="C40" s="4" t="s">
        <v>2370</v>
      </c>
      <c r="D40" s="6" t="s">
        <v>184</v>
      </c>
      <c r="E40" s="4" t="s">
        <v>2299</v>
      </c>
      <c r="F40" s="114" t="n">
        <v>6</v>
      </c>
      <c r="G40" s="114" t="n">
        <v>6</v>
      </c>
      <c r="H40" s="114" t="n">
        <v>4</v>
      </c>
      <c r="I40" s="11" t="s">
        <v>2379</v>
      </c>
      <c r="J40" s="11" t="s">
        <v>2288</v>
      </c>
    </row>
    <row r="41" customFormat="false" ht="15" hidden="false" customHeight="false" outlineLevel="0" collapsed="false">
      <c r="A41" s="4" t="s">
        <v>2380</v>
      </c>
      <c r="B41" s="4" t="s">
        <v>2381</v>
      </c>
      <c r="C41" s="3" t="s">
        <v>2382</v>
      </c>
      <c r="D41" s="11" t="s">
        <v>2285</v>
      </c>
      <c r="E41" s="4" t="s">
        <v>2286</v>
      </c>
      <c r="F41" s="114" t="n">
        <v>3.5700449</v>
      </c>
      <c r="G41" s="114" t="n">
        <v>4.58503566666667</v>
      </c>
      <c r="H41" s="114" t="n">
        <v>8.53018585</v>
      </c>
      <c r="I41" s="11" t="s">
        <v>2383</v>
      </c>
      <c r="J41" s="11" t="s">
        <v>2288</v>
      </c>
    </row>
    <row r="42" customFormat="false" ht="15" hidden="false" customHeight="false" outlineLevel="0" collapsed="false">
      <c r="A42" s="4" t="s">
        <v>2384</v>
      </c>
      <c r="B42" s="4" t="s">
        <v>2381</v>
      </c>
      <c r="C42" s="3" t="s">
        <v>2382</v>
      </c>
      <c r="D42" s="11" t="s">
        <v>2285</v>
      </c>
      <c r="E42" s="4" t="s">
        <v>2290</v>
      </c>
      <c r="F42" s="114" t="n">
        <v>3.4398984</v>
      </c>
      <c r="G42" s="114" t="n">
        <v>4.002529</v>
      </c>
      <c r="H42" s="114" t="n">
        <v>6.9125511</v>
      </c>
      <c r="I42" s="11" t="s">
        <v>2385</v>
      </c>
      <c r="J42" s="11" t="s">
        <v>2288</v>
      </c>
    </row>
    <row r="43" customFormat="false" ht="15" hidden="false" customHeight="false" outlineLevel="0" collapsed="false">
      <c r="A43" s="4" t="s">
        <v>2386</v>
      </c>
      <c r="B43" s="4" t="s">
        <v>2381</v>
      </c>
      <c r="C43" s="3" t="s">
        <v>2382</v>
      </c>
      <c r="D43" s="11" t="s">
        <v>2285</v>
      </c>
      <c r="E43" s="4" t="s">
        <v>2293</v>
      </c>
      <c r="F43" s="114" t="n">
        <v>4.7591504</v>
      </c>
      <c r="G43" s="114" t="n">
        <v>5.37287066666667</v>
      </c>
      <c r="H43" s="114" t="n">
        <v>9.8206516</v>
      </c>
      <c r="I43" s="11" t="s">
        <v>2387</v>
      </c>
      <c r="J43" s="11" t="s">
        <v>2288</v>
      </c>
    </row>
    <row r="44" customFormat="false" ht="15" hidden="false" customHeight="false" outlineLevel="0" collapsed="false">
      <c r="A44" s="4" t="s">
        <v>2388</v>
      </c>
      <c r="B44" s="4" t="s">
        <v>2381</v>
      </c>
      <c r="C44" s="3" t="s">
        <v>2382</v>
      </c>
      <c r="D44" s="11" t="s">
        <v>2285</v>
      </c>
      <c r="E44" s="4" t="s">
        <v>2296</v>
      </c>
      <c r="F44" s="114" t="n">
        <v>5.3328372</v>
      </c>
      <c r="G44" s="114" t="n">
        <v>6.264392</v>
      </c>
      <c r="H44" s="114" t="n">
        <v>10.6593938</v>
      </c>
      <c r="I44" s="11" t="s">
        <v>2389</v>
      </c>
      <c r="J44" s="11" t="s">
        <v>2288</v>
      </c>
    </row>
    <row r="45" customFormat="false" ht="15" hidden="false" customHeight="false" outlineLevel="0" collapsed="false">
      <c r="A45" s="4" t="s">
        <v>2390</v>
      </c>
      <c r="B45" s="4" t="s">
        <v>2381</v>
      </c>
      <c r="C45" s="3" t="s">
        <v>2382</v>
      </c>
      <c r="D45" s="11" t="s">
        <v>2285</v>
      </c>
      <c r="E45" s="4" t="s">
        <v>2299</v>
      </c>
      <c r="F45" s="114" t="n">
        <v>5.974263</v>
      </c>
      <c r="G45" s="114" t="n">
        <v>8.34763</v>
      </c>
      <c r="H45" s="114" t="n">
        <v>16.3703895</v>
      </c>
      <c r="I45" s="11" t="s">
        <v>2391</v>
      </c>
      <c r="J45" s="11" t="s">
        <v>2288</v>
      </c>
    </row>
    <row r="46" customFormat="false" ht="15" hidden="false" customHeight="false" outlineLevel="0" collapsed="false">
      <c r="A46" s="4" t="s">
        <v>2392</v>
      </c>
      <c r="B46" s="4" t="s">
        <v>2393</v>
      </c>
      <c r="C46" s="3" t="s">
        <v>2394</v>
      </c>
      <c r="D46" s="11" t="s">
        <v>2285</v>
      </c>
      <c r="E46" s="4" t="s">
        <v>2286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2395</v>
      </c>
      <c r="J46" s="11" t="s">
        <v>2288</v>
      </c>
    </row>
    <row r="47" customFormat="false" ht="15" hidden="false" customHeight="false" outlineLevel="0" collapsed="false">
      <c r="A47" s="4" t="s">
        <v>2396</v>
      </c>
      <c r="B47" s="4" t="s">
        <v>2393</v>
      </c>
      <c r="C47" s="3" t="s">
        <v>2394</v>
      </c>
      <c r="D47" s="11" t="s">
        <v>2285</v>
      </c>
      <c r="E47" s="4" t="s">
        <v>2290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2397</v>
      </c>
      <c r="J47" s="11" t="s">
        <v>2288</v>
      </c>
    </row>
    <row r="48" customFormat="false" ht="15" hidden="false" customHeight="false" outlineLevel="0" collapsed="false">
      <c r="A48" s="4" t="s">
        <v>2398</v>
      </c>
      <c r="B48" s="4" t="s">
        <v>2393</v>
      </c>
      <c r="C48" s="3" t="s">
        <v>2394</v>
      </c>
      <c r="D48" s="11" t="s">
        <v>2285</v>
      </c>
      <c r="E48" s="4" t="s">
        <v>2293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2399</v>
      </c>
      <c r="J48" s="11" t="s">
        <v>2288</v>
      </c>
    </row>
    <row r="49" customFormat="false" ht="15" hidden="false" customHeight="false" outlineLevel="0" collapsed="false">
      <c r="A49" s="4" t="s">
        <v>2400</v>
      </c>
      <c r="B49" s="4" t="s">
        <v>2393</v>
      </c>
      <c r="C49" s="3" t="s">
        <v>2394</v>
      </c>
      <c r="D49" s="11" t="s">
        <v>2285</v>
      </c>
      <c r="E49" s="4" t="s">
        <v>2296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2401</v>
      </c>
      <c r="J49" s="11" t="s">
        <v>2288</v>
      </c>
    </row>
    <row r="50" customFormat="false" ht="15" hidden="false" customHeight="false" outlineLevel="0" collapsed="false">
      <c r="A50" s="4" t="s">
        <v>2402</v>
      </c>
      <c r="B50" s="4" t="s">
        <v>2393</v>
      </c>
      <c r="C50" s="3" t="s">
        <v>2394</v>
      </c>
      <c r="D50" s="11" t="s">
        <v>2285</v>
      </c>
      <c r="E50" s="4" t="s">
        <v>2299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2403</v>
      </c>
      <c r="J50" s="11" t="s">
        <v>2288</v>
      </c>
    </row>
    <row r="51" customFormat="false" ht="15" hidden="false" customHeight="false" outlineLevel="0" collapsed="false">
      <c r="A51" s="4" t="s">
        <v>2404</v>
      </c>
      <c r="B51" s="4" t="s">
        <v>2405</v>
      </c>
      <c r="C51" s="3" t="s">
        <v>2406</v>
      </c>
      <c r="D51" s="11" t="s">
        <v>2285</v>
      </c>
      <c r="E51" s="4" t="s">
        <v>2286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2407</v>
      </c>
      <c r="J51" s="11" t="s">
        <v>2288</v>
      </c>
    </row>
    <row r="52" customFormat="false" ht="15" hidden="false" customHeight="false" outlineLevel="0" collapsed="false">
      <c r="A52" s="4" t="s">
        <v>2408</v>
      </c>
      <c r="B52" s="4" t="s">
        <v>2405</v>
      </c>
      <c r="C52" s="3" t="s">
        <v>2406</v>
      </c>
      <c r="D52" s="11" t="s">
        <v>2285</v>
      </c>
      <c r="E52" s="4" t="s">
        <v>2290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2409</v>
      </c>
      <c r="J52" s="11" t="s">
        <v>2288</v>
      </c>
    </row>
    <row r="53" customFormat="false" ht="15" hidden="false" customHeight="false" outlineLevel="0" collapsed="false">
      <c r="A53" s="4" t="s">
        <v>2410</v>
      </c>
      <c r="B53" s="4" t="s">
        <v>2405</v>
      </c>
      <c r="C53" s="3" t="s">
        <v>2406</v>
      </c>
      <c r="D53" s="11" t="s">
        <v>2285</v>
      </c>
      <c r="E53" s="4" t="s">
        <v>2293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2411</v>
      </c>
      <c r="J53" s="11" t="s">
        <v>2288</v>
      </c>
    </row>
    <row r="54" customFormat="false" ht="15" hidden="false" customHeight="false" outlineLevel="0" collapsed="false">
      <c r="A54" s="4" t="s">
        <v>2412</v>
      </c>
      <c r="B54" s="4" t="s">
        <v>2405</v>
      </c>
      <c r="C54" s="3" t="s">
        <v>2406</v>
      </c>
      <c r="D54" s="11" t="s">
        <v>2285</v>
      </c>
      <c r="E54" s="4" t="s">
        <v>2296</v>
      </c>
      <c r="F54" s="114" t="n">
        <v>1.25230776533791</v>
      </c>
      <c r="G54" s="114" t="n">
        <v>2.09349554831403</v>
      </c>
      <c r="H54" s="114" t="n">
        <v>3.08819917750912</v>
      </c>
      <c r="I54" s="11" t="s">
        <v>2413</v>
      </c>
      <c r="J54" s="11" t="s">
        <v>2288</v>
      </c>
    </row>
    <row r="55" customFormat="false" ht="15" hidden="false" customHeight="false" outlineLevel="0" collapsed="false">
      <c r="A55" s="4" t="s">
        <v>2414</v>
      </c>
      <c r="B55" s="4" t="s">
        <v>2405</v>
      </c>
      <c r="C55" s="3" t="s">
        <v>2406</v>
      </c>
      <c r="D55" s="11" t="s">
        <v>2285</v>
      </c>
      <c r="E55" s="4" t="s">
        <v>2299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2415</v>
      </c>
      <c r="J55" s="11" t="s">
        <v>2288</v>
      </c>
    </row>
    <row r="56" customFormat="false" ht="15" hidden="false" customHeight="false" outlineLevel="0" collapsed="false">
      <c r="A56" s="4" t="s">
        <v>2416</v>
      </c>
      <c r="B56" s="4" t="s">
        <v>2417</v>
      </c>
      <c r="C56" s="3" t="s">
        <v>557</v>
      </c>
      <c r="D56" s="11" t="s">
        <v>2418</v>
      </c>
      <c r="E56" s="4" t="s">
        <v>2286</v>
      </c>
      <c r="F56" s="114" t="n">
        <v>0.06</v>
      </c>
      <c r="G56" s="114" t="n">
        <v>0.08</v>
      </c>
      <c r="H56" s="114" t="n">
        <v>0.1</v>
      </c>
      <c r="I56" s="11" t="s">
        <v>2419</v>
      </c>
      <c r="J56" s="11" t="s">
        <v>2288</v>
      </c>
    </row>
    <row r="57" customFormat="false" ht="15" hidden="false" customHeight="false" outlineLevel="0" collapsed="false">
      <c r="A57" s="4" t="s">
        <v>2420</v>
      </c>
      <c r="B57" s="4" t="s">
        <v>2417</v>
      </c>
      <c r="C57" s="3" t="s">
        <v>557</v>
      </c>
      <c r="D57" s="11" t="s">
        <v>2418</v>
      </c>
      <c r="E57" s="4" t="s">
        <v>2290</v>
      </c>
      <c r="F57" s="114" t="n">
        <v>0.06</v>
      </c>
      <c r="G57" s="114" t="n">
        <v>0.08</v>
      </c>
      <c r="H57" s="114" t="n">
        <v>0.1</v>
      </c>
      <c r="I57" s="11" t="s">
        <v>2421</v>
      </c>
      <c r="J57" s="11" t="s">
        <v>2288</v>
      </c>
    </row>
    <row r="58" customFormat="false" ht="15" hidden="false" customHeight="false" outlineLevel="0" collapsed="false">
      <c r="A58" s="4" t="s">
        <v>2422</v>
      </c>
      <c r="B58" s="4" t="s">
        <v>2417</v>
      </c>
      <c r="C58" s="3" t="s">
        <v>557</v>
      </c>
      <c r="D58" s="11" t="s">
        <v>2418</v>
      </c>
      <c r="E58" s="4" t="s">
        <v>2293</v>
      </c>
      <c r="F58" s="114" t="n">
        <v>0.06</v>
      </c>
      <c r="G58" s="114" t="n">
        <v>0.08</v>
      </c>
      <c r="H58" s="114" t="n">
        <v>0.1</v>
      </c>
      <c r="I58" s="11" t="s">
        <v>2423</v>
      </c>
      <c r="J58" s="11" t="s">
        <v>2288</v>
      </c>
    </row>
    <row r="59" customFormat="false" ht="15" hidden="false" customHeight="false" outlineLevel="0" collapsed="false">
      <c r="A59" s="4" t="s">
        <v>2424</v>
      </c>
      <c r="B59" s="4" t="s">
        <v>2417</v>
      </c>
      <c r="C59" s="3" t="s">
        <v>557</v>
      </c>
      <c r="D59" s="11" t="s">
        <v>2418</v>
      </c>
      <c r="E59" s="4" t="s">
        <v>2296</v>
      </c>
      <c r="F59" s="114" t="n">
        <v>0.06</v>
      </c>
      <c r="G59" s="114" t="n">
        <v>0.08</v>
      </c>
      <c r="H59" s="114" t="n">
        <v>0.1</v>
      </c>
      <c r="I59" s="11" t="s">
        <v>2425</v>
      </c>
      <c r="J59" s="11" t="s">
        <v>2288</v>
      </c>
    </row>
    <row r="60" customFormat="false" ht="15" hidden="false" customHeight="false" outlineLevel="0" collapsed="false">
      <c r="A60" s="4" t="s">
        <v>2426</v>
      </c>
      <c r="B60" s="4" t="s">
        <v>2417</v>
      </c>
      <c r="C60" s="3" t="s">
        <v>557</v>
      </c>
      <c r="D60" s="11" t="s">
        <v>2418</v>
      </c>
      <c r="E60" s="4" t="s">
        <v>2299</v>
      </c>
      <c r="F60" s="114" t="n">
        <v>0.06</v>
      </c>
      <c r="G60" s="114" t="n">
        <v>0.08</v>
      </c>
      <c r="H60" s="114" t="n">
        <v>0.1</v>
      </c>
      <c r="I60" s="11" t="s">
        <v>2427</v>
      </c>
      <c r="J60" s="11" t="s">
        <v>2288</v>
      </c>
    </row>
    <row r="61" customFormat="false" ht="15" hidden="false" customHeight="false" outlineLevel="0" collapsed="false">
      <c r="A61" s="4" t="s">
        <v>2428</v>
      </c>
      <c r="B61" s="4" t="s">
        <v>2429</v>
      </c>
      <c r="C61" s="3" t="s">
        <v>2430</v>
      </c>
      <c r="D61" s="11" t="s">
        <v>2285</v>
      </c>
      <c r="E61" s="4" t="s">
        <v>2286</v>
      </c>
      <c r="F61" s="114" t="n">
        <v>0.404712</v>
      </c>
      <c r="G61" s="114" t="n">
        <v>0.672768</v>
      </c>
      <c r="H61" s="114" t="n">
        <v>1.02492</v>
      </c>
      <c r="I61" s="11" t="s">
        <v>2431</v>
      </c>
      <c r="J61" s="11" t="s">
        <v>2288</v>
      </c>
    </row>
    <row r="62" customFormat="false" ht="15" hidden="false" customHeight="false" outlineLevel="0" collapsed="false">
      <c r="A62" s="4" t="s">
        <v>2432</v>
      </c>
      <c r="B62" s="4" t="s">
        <v>2429</v>
      </c>
      <c r="C62" s="3" t="s">
        <v>2430</v>
      </c>
      <c r="D62" s="11" t="s">
        <v>2285</v>
      </c>
      <c r="E62" s="4" t="s">
        <v>2290</v>
      </c>
      <c r="F62" s="114" t="n">
        <v>0.404712</v>
      </c>
      <c r="G62" s="114" t="n">
        <v>0.672768</v>
      </c>
      <c r="H62" s="114" t="n">
        <v>1.02492</v>
      </c>
      <c r="I62" s="11" t="s">
        <v>2433</v>
      </c>
      <c r="J62" s="11" t="s">
        <v>2288</v>
      </c>
    </row>
    <row r="63" customFormat="false" ht="15" hidden="false" customHeight="false" outlineLevel="0" collapsed="false">
      <c r="A63" s="4" t="s">
        <v>2434</v>
      </c>
      <c r="B63" s="4" t="s">
        <v>2429</v>
      </c>
      <c r="C63" s="3" t="s">
        <v>2430</v>
      </c>
      <c r="D63" s="11" t="s">
        <v>2285</v>
      </c>
      <c r="E63" s="4" t="s">
        <v>2293</v>
      </c>
      <c r="F63" s="114" t="n">
        <v>0.404712</v>
      </c>
      <c r="G63" s="114" t="n">
        <v>0.672768</v>
      </c>
      <c r="H63" s="114" t="n">
        <v>1.02492</v>
      </c>
      <c r="I63" s="11" t="s">
        <v>2435</v>
      </c>
      <c r="J63" s="11" t="s">
        <v>2288</v>
      </c>
    </row>
    <row r="64" customFormat="false" ht="15" hidden="false" customHeight="false" outlineLevel="0" collapsed="false">
      <c r="A64" s="4" t="s">
        <v>2436</v>
      </c>
      <c r="B64" s="4" t="s">
        <v>2429</v>
      </c>
      <c r="C64" s="3" t="s">
        <v>2430</v>
      </c>
      <c r="D64" s="11" t="s">
        <v>2285</v>
      </c>
      <c r="E64" s="4" t="s">
        <v>2296</v>
      </c>
      <c r="F64" s="114" t="n">
        <v>0.404712</v>
      </c>
      <c r="G64" s="114" t="n">
        <v>0.672768</v>
      </c>
      <c r="H64" s="114" t="n">
        <v>1.02492</v>
      </c>
      <c r="I64" s="11" t="s">
        <v>2437</v>
      </c>
      <c r="J64" s="11" t="s">
        <v>2288</v>
      </c>
    </row>
    <row r="65" customFormat="false" ht="15" hidden="false" customHeight="false" outlineLevel="0" collapsed="false">
      <c r="A65" s="4" t="s">
        <v>2438</v>
      </c>
      <c r="B65" s="4" t="s">
        <v>2429</v>
      </c>
      <c r="C65" s="3" t="s">
        <v>2430</v>
      </c>
      <c r="D65" s="11" t="s">
        <v>2285</v>
      </c>
      <c r="E65" s="4" t="s">
        <v>2299</v>
      </c>
      <c r="F65" s="114" t="n">
        <v>0.404712</v>
      </c>
      <c r="G65" s="114" t="n">
        <v>0.672768</v>
      </c>
      <c r="H65" s="114" t="n">
        <v>1.02492</v>
      </c>
      <c r="I65" s="11" t="s">
        <v>2439</v>
      </c>
      <c r="J65" s="11" t="s">
        <v>2288</v>
      </c>
    </row>
    <row r="66" customFormat="false" ht="15" hidden="false" customHeight="false" outlineLevel="0" collapsed="false">
      <c r="A66" s="4" t="s">
        <v>2440</v>
      </c>
      <c r="B66" s="4" t="s">
        <v>2441</v>
      </c>
      <c r="C66" s="3" t="s">
        <v>2442</v>
      </c>
      <c r="D66" s="11" t="s">
        <v>2285</v>
      </c>
      <c r="E66" s="4" t="s">
        <v>2286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2443</v>
      </c>
      <c r="J66" s="11" t="s">
        <v>2288</v>
      </c>
    </row>
    <row r="67" customFormat="false" ht="15" hidden="false" customHeight="false" outlineLevel="0" collapsed="false">
      <c r="A67" s="4" t="s">
        <v>2444</v>
      </c>
      <c r="B67" s="4" t="s">
        <v>2441</v>
      </c>
      <c r="C67" s="3" t="s">
        <v>2442</v>
      </c>
      <c r="D67" s="11" t="s">
        <v>2285</v>
      </c>
      <c r="E67" s="4" t="s">
        <v>2290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2445</v>
      </c>
      <c r="J67" s="11" t="s">
        <v>2288</v>
      </c>
    </row>
    <row r="68" customFormat="false" ht="15" hidden="false" customHeight="false" outlineLevel="0" collapsed="false">
      <c r="A68" s="4" t="s">
        <v>2446</v>
      </c>
      <c r="B68" s="4" t="s">
        <v>2441</v>
      </c>
      <c r="C68" s="3" t="s">
        <v>2442</v>
      </c>
      <c r="D68" s="11" t="s">
        <v>2285</v>
      </c>
      <c r="E68" s="4" t="s">
        <v>2293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2447</v>
      </c>
      <c r="J68" s="11" t="s">
        <v>2288</v>
      </c>
    </row>
    <row r="69" customFormat="false" ht="15" hidden="false" customHeight="false" outlineLevel="0" collapsed="false">
      <c r="A69" s="4" t="s">
        <v>2448</v>
      </c>
      <c r="B69" s="4" t="s">
        <v>2441</v>
      </c>
      <c r="C69" s="3" t="s">
        <v>2442</v>
      </c>
      <c r="D69" s="11" t="s">
        <v>2285</v>
      </c>
      <c r="E69" s="4" t="s">
        <v>2296</v>
      </c>
      <c r="F69" s="114" t="n">
        <v>0.327788695737907</v>
      </c>
      <c r="G69" s="114" t="n">
        <v>0.591045788314028</v>
      </c>
      <c r="H69" s="114" t="n">
        <v>0.778040575909124</v>
      </c>
      <c r="I69" s="11" t="s">
        <v>2449</v>
      </c>
      <c r="J69" s="11" t="s">
        <v>2288</v>
      </c>
    </row>
    <row r="70" customFormat="false" ht="15" hidden="false" customHeight="false" outlineLevel="0" collapsed="false">
      <c r="A70" s="4" t="s">
        <v>2450</v>
      </c>
      <c r="B70" s="4" t="s">
        <v>2441</v>
      </c>
      <c r="C70" s="3" t="s">
        <v>2442</v>
      </c>
      <c r="D70" s="11" t="s">
        <v>2285</v>
      </c>
      <c r="E70" s="4" t="s">
        <v>2299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2451</v>
      </c>
      <c r="J70" s="11" t="s">
        <v>2288</v>
      </c>
    </row>
    <row r="71" customFormat="false" ht="15" hidden="false" customHeight="false" outlineLevel="0" collapsed="false">
      <c r="A71" s="4" t="s">
        <v>2452</v>
      </c>
      <c r="B71" s="4" t="s">
        <v>2453</v>
      </c>
      <c r="C71" s="3" t="s">
        <v>2454</v>
      </c>
      <c r="D71" s="11" t="s">
        <v>2285</v>
      </c>
      <c r="E71" s="4" t="s">
        <v>2286</v>
      </c>
      <c r="F71" s="114" t="n">
        <v>0.15318</v>
      </c>
      <c r="G71" s="114" t="n">
        <v>0.2534</v>
      </c>
      <c r="H71" s="114" t="n">
        <v>0.40465</v>
      </c>
      <c r="I71" s="11" t="s">
        <v>2455</v>
      </c>
      <c r="J71" s="11" t="s">
        <v>2288</v>
      </c>
    </row>
    <row r="72" customFormat="false" ht="15" hidden="false" customHeight="false" outlineLevel="0" collapsed="false">
      <c r="A72" s="4" t="s">
        <v>2456</v>
      </c>
      <c r="B72" s="4" t="s">
        <v>2453</v>
      </c>
      <c r="C72" s="3" t="s">
        <v>2454</v>
      </c>
      <c r="D72" s="11" t="s">
        <v>2285</v>
      </c>
      <c r="E72" s="4" t="s">
        <v>2290</v>
      </c>
      <c r="F72" s="114" t="n">
        <v>0.15318</v>
      </c>
      <c r="G72" s="114" t="n">
        <v>0.2534</v>
      </c>
      <c r="H72" s="114" t="n">
        <v>0.40465</v>
      </c>
      <c r="I72" s="11" t="s">
        <v>2457</v>
      </c>
      <c r="J72" s="11" t="s">
        <v>2288</v>
      </c>
    </row>
    <row r="73" customFormat="false" ht="15" hidden="false" customHeight="false" outlineLevel="0" collapsed="false">
      <c r="A73" s="4" t="s">
        <v>2458</v>
      </c>
      <c r="B73" s="4" t="s">
        <v>2453</v>
      </c>
      <c r="C73" s="3" t="s">
        <v>2454</v>
      </c>
      <c r="D73" s="11" t="s">
        <v>2285</v>
      </c>
      <c r="E73" s="4" t="s">
        <v>2293</v>
      </c>
      <c r="F73" s="114" t="n">
        <v>0.15318</v>
      </c>
      <c r="G73" s="114" t="n">
        <v>0.2534</v>
      </c>
      <c r="H73" s="114" t="n">
        <v>0.40465</v>
      </c>
      <c r="I73" s="11" t="s">
        <v>2459</v>
      </c>
      <c r="J73" s="11" t="s">
        <v>2288</v>
      </c>
    </row>
    <row r="74" customFormat="false" ht="15" hidden="false" customHeight="false" outlineLevel="0" collapsed="false">
      <c r="A74" s="4" t="s">
        <v>2460</v>
      </c>
      <c r="B74" s="4" t="s">
        <v>2453</v>
      </c>
      <c r="C74" s="3" t="s">
        <v>2454</v>
      </c>
      <c r="D74" s="11" t="s">
        <v>2285</v>
      </c>
      <c r="E74" s="4" t="s">
        <v>2296</v>
      </c>
      <c r="F74" s="114" t="n">
        <v>0.15318</v>
      </c>
      <c r="G74" s="114" t="n">
        <v>0.2534</v>
      </c>
      <c r="H74" s="114" t="n">
        <v>0.40465</v>
      </c>
      <c r="I74" s="11" t="s">
        <v>2461</v>
      </c>
      <c r="J74" s="11" t="s">
        <v>2288</v>
      </c>
    </row>
    <row r="75" customFormat="false" ht="15" hidden="false" customHeight="false" outlineLevel="0" collapsed="false">
      <c r="A75" s="4" t="s">
        <v>2462</v>
      </c>
      <c r="B75" s="4" t="s">
        <v>2453</v>
      </c>
      <c r="C75" s="3" t="s">
        <v>2454</v>
      </c>
      <c r="D75" s="11" t="s">
        <v>2285</v>
      </c>
      <c r="E75" s="4" t="s">
        <v>2299</v>
      </c>
      <c r="F75" s="114" t="n">
        <v>0.15318</v>
      </c>
      <c r="G75" s="114" t="n">
        <v>0.2534</v>
      </c>
      <c r="H75" s="114" t="n">
        <v>0.40465</v>
      </c>
      <c r="I75" s="11" t="s">
        <v>2463</v>
      </c>
      <c r="J75" s="11" t="s">
        <v>2288</v>
      </c>
    </row>
    <row r="76" customFormat="false" ht="15" hidden="false" customHeight="false" outlineLevel="0" collapsed="false">
      <c r="A76" s="4" t="s">
        <v>2464</v>
      </c>
      <c r="B76" s="4" t="s">
        <v>2465</v>
      </c>
      <c r="C76" s="3" t="s">
        <v>2466</v>
      </c>
      <c r="D76" s="11" t="s">
        <v>2285</v>
      </c>
      <c r="E76" s="4" t="s">
        <v>2286</v>
      </c>
      <c r="F76" s="114" t="n">
        <v>0.24</v>
      </c>
      <c r="G76" s="114" t="n">
        <v>0.325</v>
      </c>
      <c r="H76" s="114" t="n">
        <v>0.41</v>
      </c>
      <c r="I76" s="11" t="s">
        <v>2467</v>
      </c>
      <c r="J76" s="11" t="s">
        <v>2288</v>
      </c>
    </row>
    <row r="77" customFormat="false" ht="15" hidden="false" customHeight="false" outlineLevel="0" collapsed="false">
      <c r="A77" s="4" t="s">
        <v>2468</v>
      </c>
      <c r="B77" s="4" t="s">
        <v>2465</v>
      </c>
      <c r="C77" s="3" t="s">
        <v>2466</v>
      </c>
      <c r="D77" s="11" t="s">
        <v>2285</v>
      </c>
      <c r="E77" s="4" t="s">
        <v>2290</v>
      </c>
      <c r="F77" s="114" t="n">
        <v>0.24</v>
      </c>
      <c r="G77" s="114" t="n">
        <v>0.325</v>
      </c>
      <c r="H77" s="114" t="n">
        <v>0.41</v>
      </c>
      <c r="I77" s="11" t="s">
        <v>2469</v>
      </c>
      <c r="J77" s="11" t="s">
        <v>2288</v>
      </c>
    </row>
    <row r="78" customFormat="false" ht="15" hidden="false" customHeight="false" outlineLevel="0" collapsed="false">
      <c r="A78" s="4" t="s">
        <v>2470</v>
      </c>
      <c r="B78" s="4" t="s">
        <v>2465</v>
      </c>
      <c r="C78" s="3" t="s">
        <v>2466</v>
      </c>
      <c r="D78" s="11" t="s">
        <v>2285</v>
      </c>
      <c r="E78" s="4" t="s">
        <v>2293</v>
      </c>
      <c r="F78" s="114" t="n">
        <v>0.24</v>
      </c>
      <c r="G78" s="114" t="n">
        <v>0.325</v>
      </c>
      <c r="H78" s="114" t="n">
        <v>0.41</v>
      </c>
      <c r="I78" s="11" t="s">
        <v>2471</v>
      </c>
      <c r="J78" s="11" t="s">
        <v>2288</v>
      </c>
    </row>
    <row r="79" customFormat="false" ht="15" hidden="false" customHeight="false" outlineLevel="0" collapsed="false">
      <c r="A79" s="4" t="s">
        <v>2472</v>
      </c>
      <c r="B79" s="4" t="s">
        <v>2465</v>
      </c>
      <c r="C79" s="3" t="s">
        <v>2466</v>
      </c>
      <c r="D79" s="11" t="s">
        <v>2285</v>
      </c>
      <c r="E79" s="4" t="s">
        <v>2296</v>
      </c>
      <c r="F79" s="114" t="n">
        <v>0.24</v>
      </c>
      <c r="G79" s="114" t="n">
        <v>0.325</v>
      </c>
      <c r="H79" s="114" t="n">
        <v>0.41</v>
      </c>
      <c r="I79" s="11" t="s">
        <v>2473</v>
      </c>
      <c r="J79" s="11" t="s">
        <v>2288</v>
      </c>
    </row>
    <row r="80" customFormat="false" ht="15" hidden="false" customHeight="false" outlineLevel="0" collapsed="false">
      <c r="A80" s="4" t="s">
        <v>2474</v>
      </c>
      <c r="B80" s="4" t="s">
        <v>2465</v>
      </c>
      <c r="C80" s="3" t="s">
        <v>2466</v>
      </c>
      <c r="D80" s="11" t="s">
        <v>2285</v>
      </c>
      <c r="E80" s="4" t="s">
        <v>2299</v>
      </c>
      <c r="F80" s="114" t="n">
        <v>0.24</v>
      </c>
      <c r="G80" s="114" t="n">
        <v>0.325</v>
      </c>
      <c r="H80" s="114" t="n">
        <v>0.41</v>
      </c>
      <c r="I80" s="11" t="s">
        <v>2475</v>
      </c>
      <c r="J80" s="11" t="s">
        <v>2288</v>
      </c>
    </row>
    <row r="81" customFormat="false" ht="15" hidden="false" customHeight="false" outlineLevel="0" collapsed="false">
      <c r="A81" s="4" t="s">
        <v>2476</v>
      </c>
      <c r="B81" s="4" t="s">
        <v>2477</v>
      </c>
      <c r="C81" s="3" t="s">
        <v>2478</v>
      </c>
      <c r="D81" s="11" t="s">
        <v>2285</v>
      </c>
      <c r="E81" s="4" t="s">
        <v>2286</v>
      </c>
      <c r="F81" s="114" t="n">
        <v>0.0948968082</v>
      </c>
      <c r="G81" s="114" t="n">
        <v>0.20090107</v>
      </c>
      <c r="H81" s="114" t="n">
        <v>0.4024539472</v>
      </c>
      <c r="I81" s="11" t="s">
        <v>2479</v>
      </c>
      <c r="J81" s="11" t="s">
        <v>2288</v>
      </c>
    </row>
    <row r="82" customFormat="false" ht="15" hidden="false" customHeight="false" outlineLevel="0" collapsed="false">
      <c r="A82" s="4" t="s">
        <v>2480</v>
      </c>
      <c r="B82" s="4" t="s">
        <v>2477</v>
      </c>
      <c r="C82" s="3" t="s">
        <v>2478</v>
      </c>
      <c r="D82" s="11" t="s">
        <v>2285</v>
      </c>
      <c r="E82" s="4" t="s">
        <v>2290</v>
      </c>
      <c r="F82" s="114" t="n">
        <v>0.0925541712</v>
      </c>
      <c r="G82" s="114" t="n">
        <v>0.18342587</v>
      </c>
      <c r="H82" s="114" t="n">
        <v>0.3506896352</v>
      </c>
      <c r="I82" s="11" t="s">
        <v>2481</v>
      </c>
      <c r="J82" s="11" t="s">
        <v>2288</v>
      </c>
    </row>
    <row r="83" customFormat="false" ht="15" hidden="false" customHeight="false" outlineLevel="0" collapsed="false">
      <c r="A83" s="4" t="s">
        <v>2482</v>
      </c>
      <c r="B83" s="4" t="s">
        <v>2477</v>
      </c>
      <c r="C83" s="3" t="s">
        <v>2478</v>
      </c>
      <c r="D83" s="11" t="s">
        <v>2285</v>
      </c>
      <c r="E83" s="4" t="s">
        <v>2293</v>
      </c>
      <c r="F83" s="114" t="n">
        <v>0.1163007072</v>
      </c>
      <c r="G83" s="114" t="n">
        <v>0.22453612</v>
      </c>
      <c r="H83" s="114" t="n">
        <v>0.4437488512</v>
      </c>
      <c r="I83" s="11" t="s">
        <v>2483</v>
      </c>
      <c r="J83" s="11" t="s">
        <v>2288</v>
      </c>
    </row>
    <row r="84" customFormat="false" ht="15" hidden="false" customHeight="false" outlineLevel="0" collapsed="false">
      <c r="A84" s="4" t="s">
        <v>2484</v>
      </c>
      <c r="B84" s="4" t="s">
        <v>2477</v>
      </c>
      <c r="C84" s="3" t="s">
        <v>2478</v>
      </c>
      <c r="D84" s="11" t="s">
        <v>2285</v>
      </c>
      <c r="E84" s="4" t="s">
        <v>2296</v>
      </c>
      <c r="F84" s="114" t="n">
        <v>0.1266270696</v>
      </c>
      <c r="G84" s="114" t="n">
        <v>0.25128176</v>
      </c>
      <c r="H84" s="114" t="n">
        <v>0.4705886016</v>
      </c>
      <c r="I84" s="11" t="s">
        <v>2485</v>
      </c>
      <c r="J84" s="11" t="s">
        <v>2288</v>
      </c>
    </row>
    <row r="85" customFormat="false" ht="15" hidden="false" customHeight="false" outlineLevel="0" collapsed="false">
      <c r="A85" s="4" t="s">
        <v>2486</v>
      </c>
      <c r="B85" s="4" t="s">
        <v>2477</v>
      </c>
      <c r="C85" s="3" t="s">
        <v>2478</v>
      </c>
      <c r="D85" s="11" t="s">
        <v>2285</v>
      </c>
      <c r="E85" s="4" t="s">
        <v>2299</v>
      </c>
      <c r="F85" s="114" t="n">
        <v>0.138172734</v>
      </c>
      <c r="G85" s="114" t="n">
        <v>0.3137789</v>
      </c>
      <c r="H85" s="114" t="n">
        <v>0.653340464</v>
      </c>
      <c r="I85" s="11" t="s">
        <v>2487</v>
      </c>
      <c r="J85" s="11" t="s">
        <v>2288</v>
      </c>
    </row>
    <row r="86" customFormat="false" ht="15" hidden="false" customHeight="false" outlineLevel="0" collapsed="false">
      <c r="A86" s="4" t="s">
        <v>2488</v>
      </c>
      <c r="B86" s="4" t="s">
        <v>2489</v>
      </c>
      <c r="C86" s="3" t="s">
        <v>2490</v>
      </c>
      <c r="D86" s="11" t="s">
        <v>42</v>
      </c>
      <c r="E86" s="4" t="s">
        <v>2286</v>
      </c>
      <c r="F86" s="23" t="n">
        <v>0.7</v>
      </c>
      <c r="G86" s="23" t="n">
        <v>0.8</v>
      </c>
      <c r="H86" s="23" t="n">
        <v>0.9</v>
      </c>
      <c r="I86" s="11" t="s">
        <v>2491</v>
      </c>
      <c r="J86" s="11" t="s">
        <v>2288</v>
      </c>
    </row>
    <row r="87" customFormat="false" ht="15" hidden="false" customHeight="false" outlineLevel="0" collapsed="false">
      <c r="A87" s="4" t="s">
        <v>2492</v>
      </c>
      <c r="B87" s="4" t="s">
        <v>2489</v>
      </c>
      <c r="C87" s="3" t="s">
        <v>2490</v>
      </c>
      <c r="D87" s="11" t="s">
        <v>42</v>
      </c>
      <c r="E87" s="4" t="s">
        <v>2290</v>
      </c>
      <c r="F87" s="23" t="n">
        <v>0.7</v>
      </c>
      <c r="G87" s="23" t="n">
        <v>0.8</v>
      </c>
      <c r="H87" s="23" t="n">
        <v>0.9</v>
      </c>
      <c r="I87" s="11" t="s">
        <v>2493</v>
      </c>
      <c r="J87" s="11" t="s">
        <v>2288</v>
      </c>
    </row>
    <row r="88" customFormat="false" ht="15" hidden="false" customHeight="false" outlineLevel="0" collapsed="false">
      <c r="A88" s="4" t="s">
        <v>2494</v>
      </c>
      <c r="B88" s="4" t="s">
        <v>2489</v>
      </c>
      <c r="C88" s="3" t="s">
        <v>2490</v>
      </c>
      <c r="D88" s="11" t="s">
        <v>42</v>
      </c>
      <c r="E88" s="4" t="s">
        <v>2293</v>
      </c>
      <c r="F88" s="23" t="n">
        <v>0.7</v>
      </c>
      <c r="G88" s="23" t="n">
        <v>0.8</v>
      </c>
      <c r="H88" s="23" t="n">
        <v>0.9</v>
      </c>
      <c r="I88" s="11" t="s">
        <v>2495</v>
      </c>
      <c r="J88" s="11" t="s">
        <v>2288</v>
      </c>
    </row>
    <row r="89" customFormat="false" ht="15" hidden="false" customHeight="false" outlineLevel="0" collapsed="false">
      <c r="A89" s="4" t="s">
        <v>2496</v>
      </c>
      <c r="B89" s="4" t="s">
        <v>2489</v>
      </c>
      <c r="C89" s="3" t="s">
        <v>2490</v>
      </c>
      <c r="D89" s="11" t="s">
        <v>42</v>
      </c>
      <c r="E89" s="4" t="s">
        <v>2296</v>
      </c>
      <c r="F89" s="23" t="n">
        <v>0.7</v>
      </c>
      <c r="G89" s="23" t="n">
        <v>0.8</v>
      </c>
      <c r="H89" s="23" t="n">
        <v>0.9</v>
      </c>
      <c r="I89" s="11" t="s">
        <v>2497</v>
      </c>
      <c r="J89" s="11" t="s">
        <v>2288</v>
      </c>
    </row>
    <row r="90" customFormat="false" ht="15" hidden="false" customHeight="false" outlineLevel="0" collapsed="false">
      <c r="A90" s="4" t="s">
        <v>2498</v>
      </c>
      <c r="B90" s="4" t="s">
        <v>2489</v>
      </c>
      <c r="C90" s="3" t="s">
        <v>2490</v>
      </c>
      <c r="D90" s="11" t="s">
        <v>42</v>
      </c>
      <c r="E90" s="4" t="s">
        <v>2299</v>
      </c>
      <c r="F90" s="23" t="n">
        <v>0.7</v>
      </c>
      <c r="G90" s="23" t="n">
        <v>0.8</v>
      </c>
      <c r="H90" s="23" t="n">
        <v>0.9</v>
      </c>
      <c r="I90" s="11" t="s">
        <v>2499</v>
      </c>
      <c r="J90" s="11" t="s">
        <v>2288</v>
      </c>
    </row>
    <row r="91" customFormat="false" ht="15" hidden="false" customHeight="false" outlineLevel="0" collapsed="false">
      <c r="A91" s="4" t="s">
        <v>2500</v>
      </c>
      <c r="B91" s="4" t="s">
        <v>2501</v>
      </c>
      <c r="C91" s="3" t="s">
        <v>2502</v>
      </c>
      <c r="D91" s="11" t="s">
        <v>2503</v>
      </c>
      <c r="E91" s="4" t="s">
        <v>2286</v>
      </c>
      <c r="F91" s="114" t="n">
        <v>1.1</v>
      </c>
      <c r="G91" s="114" t="n">
        <v>1.2</v>
      </c>
      <c r="H91" s="114" t="n">
        <v>1.3</v>
      </c>
      <c r="I91" s="11" t="s">
        <v>2504</v>
      </c>
      <c r="J91" s="11" t="s">
        <v>2288</v>
      </c>
    </row>
    <row r="92" customFormat="false" ht="15" hidden="false" customHeight="false" outlineLevel="0" collapsed="false">
      <c r="A92" s="4" t="s">
        <v>2505</v>
      </c>
      <c r="B92" s="4" t="s">
        <v>2501</v>
      </c>
      <c r="C92" s="3" t="s">
        <v>2502</v>
      </c>
      <c r="D92" s="11" t="s">
        <v>2503</v>
      </c>
      <c r="E92" s="4" t="s">
        <v>2290</v>
      </c>
      <c r="F92" s="114" t="n">
        <v>1.1</v>
      </c>
      <c r="G92" s="114" t="n">
        <v>1.2</v>
      </c>
      <c r="H92" s="114" t="n">
        <v>1.3</v>
      </c>
      <c r="I92" s="11" t="s">
        <v>2506</v>
      </c>
      <c r="J92" s="11" t="s">
        <v>2288</v>
      </c>
    </row>
    <row r="93" customFormat="false" ht="15" hidden="false" customHeight="false" outlineLevel="0" collapsed="false">
      <c r="A93" s="4" t="s">
        <v>2507</v>
      </c>
      <c r="B93" s="4" t="s">
        <v>2501</v>
      </c>
      <c r="C93" s="3" t="s">
        <v>2502</v>
      </c>
      <c r="D93" s="11" t="s">
        <v>2503</v>
      </c>
      <c r="E93" s="4" t="s">
        <v>2293</v>
      </c>
      <c r="F93" s="114" t="n">
        <v>1.1</v>
      </c>
      <c r="G93" s="114" t="n">
        <v>1.2</v>
      </c>
      <c r="H93" s="114" t="n">
        <v>1.3</v>
      </c>
      <c r="I93" s="11" t="s">
        <v>2508</v>
      </c>
      <c r="J93" s="11" t="s">
        <v>2288</v>
      </c>
    </row>
    <row r="94" customFormat="false" ht="15" hidden="false" customHeight="false" outlineLevel="0" collapsed="false">
      <c r="A94" s="4" t="s">
        <v>2509</v>
      </c>
      <c r="B94" s="4" t="s">
        <v>2501</v>
      </c>
      <c r="C94" s="3" t="s">
        <v>2502</v>
      </c>
      <c r="D94" s="11" t="s">
        <v>2503</v>
      </c>
      <c r="E94" s="4" t="s">
        <v>2296</v>
      </c>
      <c r="F94" s="114" t="n">
        <v>1.1</v>
      </c>
      <c r="G94" s="114" t="n">
        <v>1.2</v>
      </c>
      <c r="H94" s="114" t="n">
        <v>1.3</v>
      </c>
      <c r="I94" s="11" t="s">
        <v>2510</v>
      </c>
      <c r="J94" s="11" t="s">
        <v>2288</v>
      </c>
    </row>
    <row r="95" customFormat="false" ht="15" hidden="false" customHeight="false" outlineLevel="0" collapsed="false">
      <c r="A95" s="4" t="s">
        <v>2511</v>
      </c>
      <c r="B95" s="4" t="s">
        <v>2501</v>
      </c>
      <c r="C95" s="3" t="s">
        <v>2502</v>
      </c>
      <c r="D95" s="11" t="s">
        <v>2503</v>
      </c>
      <c r="E95" s="4" t="s">
        <v>2299</v>
      </c>
      <c r="F95" s="114" t="n">
        <v>1.1</v>
      </c>
      <c r="G95" s="114" t="n">
        <v>1.2</v>
      </c>
      <c r="H95" s="114" t="n">
        <v>1.3</v>
      </c>
      <c r="I95" s="11" t="s">
        <v>2512</v>
      </c>
      <c r="J95" s="11" t="s">
        <v>2288</v>
      </c>
    </row>
    <row r="96" customFormat="false" ht="15" hidden="false" customHeight="false" outlineLevel="0" collapsed="false">
      <c r="A96" s="4" t="s">
        <v>2513</v>
      </c>
      <c r="B96" s="4" t="s">
        <v>2514</v>
      </c>
      <c r="C96" s="3" t="s">
        <v>2515</v>
      </c>
      <c r="D96" s="6" t="s">
        <v>2516</v>
      </c>
      <c r="E96" s="4" t="s">
        <v>2286</v>
      </c>
      <c r="F96" s="21" t="n">
        <v>718048</v>
      </c>
      <c r="G96" s="21" t="n">
        <v>718048</v>
      </c>
      <c r="H96" s="21" t="n">
        <v>718048</v>
      </c>
      <c r="I96" s="11" t="s">
        <v>2517</v>
      </c>
      <c r="J96" s="11" t="s">
        <v>2288</v>
      </c>
    </row>
    <row r="97" customFormat="false" ht="15" hidden="false" customHeight="false" outlineLevel="0" collapsed="false">
      <c r="A97" s="4" t="s">
        <v>2518</v>
      </c>
      <c r="B97" s="4" t="s">
        <v>2514</v>
      </c>
      <c r="C97" s="3" t="s">
        <v>2515</v>
      </c>
      <c r="D97" s="6" t="s">
        <v>2516</v>
      </c>
      <c r="E97" s="4" t="s">
        <v>2290</v>
      </c>
      <c r="F97" s="21" t="n">
        <v>501768</v>
      </c>
      <c r="G97" s="21" t="n">
        <v>501768</v>
      </c>
      <c r="H97" s="21" t="n">
        <v>501768</v>
      </c>
      <c r="I97" s="11" t="s">
        <v>2519</v>
      </c>
      <c r="J97" s="11" t="s">
        <v>2288</v>
      </c>
    </row>
    <row r="98" customFormat="false" ht="15" hidden="false" customHeight="false" outlineLevel="0" collapsed="false">
      <c r="A98" s="4" t="s">
        <v>2520</v>
      </c>
      <c r="B98" s="4" t="s">
        <v>2514</v>
      </c>
      <c r="C98" s="3" t="s">
        <v>2515</v>
      </c>
      <c r="D98" s="6" t="s">
        <v>2516</v>
      </c>
      <c r="E98" s="4" t="s">
        <v>2293</v>
      </c>
      <c r="F98" s="21" t="n">
        <v>487008</v>
      </c>
      <c r="G98" s="21" t="n">
        <v>487008</v>
      </c>
      <c r="H98" s="21" t="n">
        <v>487008</v>
      </c>
      <c r="I98" s="11" t="s">
        <v>2521</v>
      </c>
      <c r="J98" s="11" t="s">
        <v>2288</v>
      </c>
    </row>
    <row r="99" customFormat="false" ht="15" hidden="false" customHeight="false" outlineLevel="0" collapsed="false">
      <c r="A99" s="4" t="s">
        <v>2522</v>
      </c>
      <c r="B99" s="4" t="s">
        <v>2514</v>
      </c>
      <c r="C99" s="3" t="s">
        <v>2515</v>
      </c>
      <c r="D99" s="6" t="s">
        <v>2516</v>
      </c>
      <c r="E99" s="4" t="s">
        <v>2296</v>
      </c>
      <c r="F99" s="21" t="n">
        <v>291744</v>
      </c>
      <c r="G99" s="21" t="n">
        <v>291744</v>
      </c>
      <c r="H99" s="21" t="n">
        <v>291744</v>
      </c>
      <c r="I99" s="11" t="s">
        <v>2523</v>
      </c>
      <c r="J99" s="11" t="s">
        <v>2288</v>
      </c>
    </row>
    <row r="100" customFormat="false" ht="15" hidden="false" customHeight="false" outlineLevel="0" collapsed="false">
      <c r="A100" s="4" t="s">
        <v>2524</v>
      </c>
      <c r="B100" s="4" t="s">
        <v>2514</v>
      </c>
      <c r="C100" s="3" t="s">
        <v>2515</v>
      </c>
      <c r="D100" s="6" t="s">
        <v>2516</v>
      </c>
      <c r="E100" s="4" t="s">
        <v>2299</v>
      </c>
      <c r="F100" s="21" t="n">
        <v>194760</v>
      </c>
      <c r="G100" s="21" t="n">
        <v>194760</v>
      </c>
      <c r="H100" s="21" t="n">
        <v>194760</v>
      </c>
      <c r="I100" s="11" t="s">
        <v>2525</v>
      </c>
      <c r="J100" s="11" t="s">
        <v>2288</v>
      </c>
    </row>
    <row r="101" customFormat="false" ht="15" hidden="false" customHeight="false" outlineLevel="0" collapsed="false">
      <c r="A101" s="4" t="s">
        <v>2526</v>
      </c>
      <c r="B101" s="4" t="s">
        <v>2527</v>
      </c>
      <c r="C101" s="3" t="s">
        <v>2528</v>
      </c>
      <c r="D101" s="6" t="s">
        <v>2529</v>
      </c>
      <c r="E101" s="4" t="s">
        <v>2286</v>
      </c>
      <c r="F101" s="21" t="n">
        <v>22439</v>
      </c>
      <c r="G101" s="21" t="n">
        <v>22439</v>
      </c>
      <c r="H101" s="21" t="n">
        <v>22439</v>
      </c>
      <c r="I101" s="11" t="s">
        <v>2530</v>
      </c>
      <c r="J101" s="11" t="s">
        <v>2288</v>
      </c>
    </row>
    <row r="102" customFormat="false" ht="15" hidden="false" customHeight="false" outlineLevel="0" collapsed="false">
      <c r="A102" s="4" t="s">
        <v>2531</v>
      </c>
      <c r="B102" s="4" t="s">
        <v>2527</v>
      </c>
      <c r="C102" s="3" t="s">
        <v>2528</v>
      </c>
      <c r="D102" s="6" t="s">
        <v>2529</v>
      </c>
      <c r="E102" s="4" t="s">
        <v>2290</v>
      </c>
      <c r="F102" s="21" t="n">
        <v>6969</v>
      </c>
      <c r="G102" s="21" t="n">
        <v>6969</v>
      </c>
      <c r="H102" s="21" t="n">
        <v>6969</v>
      </c>
      <c r="I102" s="11" t="s">
        <v>2532</v>
      </c>
      <c r="J102" s="11" t="s">
        <v>2288</v>
      </c>
    </row>
    <row r="103" customFormat="false" ht="15" hidden="false" customHeight="false" outlineLevel="0" collapsed="false">
      <c r="A103" s="4" t="s">
        <v>2533</v>
      </c>
      <c r="B103" s="4" t="s">
        <v>2527</v>
      </c>
      <c r="C103" s="3" t="s">
        <v>2528</v>
      </c>
      <c r="D103" s="6" t="s">
        <v>2529</v>
      </c>
      <c r="E103" s="4" t="s">
        <v>2293</v>
      </c>
      <c r="F103" s="21" t="n">
        <v>6764</v>
      </c>
      <c r="G103" s="21" t="n">
        <v>6764</v>
      </c>
      <c r="H103" s="21" t="n">
        <v>6764</v>
      </c>
      <c r="I103" s="11" t="s">
        <v>2534</v>
      </c>
      <c r="J103" s="11" t="s">
        <v>2288</v>
      </c>
    </row>
    <row r="104" customFormat="false" ht="15" hidden="false" customHeight="false" outlineLevel="0" collapsed="false">
      <c r="A104" s="4" t="s">
        <v>2535</v>
      </c>
      <c r="B104" s="4" t="s">
        <v>2527</v>
      </c>
      <c r="C104" s="3" t="s">
        <v>2528</v>
      </c>
      <c r="D104" s="6" t="s">
        <v>2529</v>
      </c>
      <c r="E104" s="4" t="s">
        <v>2296</v>
      </c>
      <c r="F104" s="21" t="n">
        <v>4052</v>
      </c>
      <c r="G104" s="21" t="n">
        <v>4052</v>
      </c>
      <c r="H104" s="21" t="n">
        <v>4052</v>
      </c>
      <c r="I104" s="11" t="s">
        <v>2536</v>
      </c>
      <c r="J104" s="11" t="s">
        <v>2288</v>
      </c>
    </row>
    <row r="105" customFormat="false" ht="15" hidden="false" customHeight="false" outlineLevel="0" collapsed="false">
      <c r="A105" s="4" t="s">
        <v>2537</v>
      </c>
      <c r="B105" s="4" t="s">
        <v>2527</v>
      </c>
      <c r="C105" s="3" t="s">
        <v>2528</v>
      </c>
      <c r="D105" s="6" t="s">
        <v>2529</v>
      </c>
      <c r="E105" s="4" t="s">
        <v>2299</v>
      </c>
      <c r="F105" s="21" t="n">
        <v>2705</v>
      </c>
      <c r="G105" s="21" t="n">
        <v>2705</v>
      </c>
      <c r="H105" s="21" t="n">
        <v>2705</v>
      </c>
      <c r="I105" s="11" t="s">
        <v>2538</v>
      </c>
      <c r="J105" s="11" t="s">
        <v>2288</v>
      </c>
    </row>
    <row r="106" customFormat="false" ht="15" hidden="false" customHeight="false" outlineLevel="0" collapsed="false">
      <c r="A106" s="4" t="s">
        <v>2539</v>
      </c>
      <c r="B106" s="4" t="s">
        <v>2540</v>
      </c>
      <c r="C106" s="3" t="s">
        <v>2541</v>
      </c>
      <c r="D106" s="11" t="s">
        <v>42</v>
      </c>
      <c r="E106" s="4" t="s">
        <v>1562</v>
      </c>
      <c r="F106" s="115"/>
      <c r="G106" s="23" t="n">
        <v>0.6</v>
      </c>
      <c r="H106" s="115"/>
      <c r="I106" s="11" t="s">
        <v>2542</v>
      </c>
      <c r="J106" s="11" t="s">
        <v>2288</v>
      </c>
    </row>
    <row r="107" customFormat="false" ht="15" hidden="false" customHeight="false" outlineLevel="0" collapsed="false">
      <c r="A107" s="4" t="s">
        <v>2543</v>
      </c>
      <c r="B107" s="4" t="s">
        <v>2544</v>
      </c>
      <c r="C107" s="3" t="s">
        <v>2545</v>
      </c>
      <c r="D107" s="11" t="s">
        <v>2285</v>
      </c>
      <c r="E107" s="4" t="s">
        <v>2286</v>
      </c>
      <c r="F107" s="114" t="n">
        <v>6.71554695343303</v>
      </c>
      <c r="G107" s="114" t="n">
        <v>6.71554695343303</v>
      </c>
      <c r="H107" s="114" t="n">
        <v>6.71554695343303</v>
      </c>
      <c r="I107" s="11" t="s">
        <v>2546</v>
      </c>
      <c r="J107" s="11" t="s">
        <v>2288</v>
      </c>
    </row>
    <row r="108" customFormat="false" ht="15" hidden="false" customHeight="false" outlineLevel="0" collapsed="false">
      <c r="A108" s="4" t="s">
        <v>2547</v>
      </c>
      <c r="B108" s="4" t="s">
        <v>2544</v>
      </c>
      <c r="C108" s="3" t="s">
        <v>2545</v>
      </c>
      <c r="D108" s="11" t="s">
        <v>2285</v>
      </c>
      <c r="E108" s="4" t="s">
        <v>2290</v>
      </c>
      <c r="F108" s="114" t="n">
        <v>33.0426250546846</v>
      </c>
      <c r="G108" s="114" t="n">
        <v>33.0426250546846</v>
      </c>
      <c r="H108" s="114" t="n">
        <v>33.0426250546846</v>
      </c>
      <c r="I108" s="11" t="s">
        <v>2548</v>
      </c>
      <c r="J108" s="11" t="s">
        <v>2288</v>
      </c>
    </row>
    <row r="109" customFormat="false" ht="15" hidden="false" customHeight="false" outlineLevel="0" collapsed="false">
      <c r="A109" s="4" t="s">
        <v>2549</v>
      </c>
      <c r="B109" s="4" t="s">
        <v>2544</v>
      </c>
      <c r="C109" s="3" t="s">
        <v>2545</v>
      </c>
      <c r="D109" s="11" t="s">
        <v>2285</v>
      </c>
      <c r="E109" s="4" t="s">
        <v>2293</v>
      </c>
      <c r="F109" s="114" t="n">
        <v>40.2705941922573</v>
      </c>
      <c r="G109" s="114" t="n">
        <v>40.2705941922573</v>
      </c>
      <c r="H109" s="114" t="n">
        <v>40.2705941922573</v>
      </c>
      <c r="I109" s="11" t="s">
        <v>2550</v>
      </c>
      <c r="J109" s="11" t="s">
        <v>2288</v>
      </c>
    </row>
    <row r="110" customFormat="false" ht="15" hidden="false" customHeight="false" outlineLevel="0" collapsed="false">
      <c r="A110" s="4" t="s">
        <v>2551</v>
      </c>
      <c r="B110" s="4" t="s">
        <v>2544</v>
      </c>
      <c r="C110" s="3" t="s">
        <v>2545</v>
      </c>
      <c r="D110" s="11" t="s">
        <v>2285</v>
      </c>
      <c r="E110" s="4" t="s">
        <v>2296</v>
      </c>
      <c r="F110" s="114" t="n">
        <v>66.3455197420479</v>
      </c>
      <c r="G110" s="114" t="n">
        <v>66.3455197420479</v>
      </c>
      <c r="H110" s="114" t="n">
        <v>66.3455197420479</v>
      </c>
      <c r="I110" s="11" t="s">
        <v>2552</v>
      </c>
      <c r="J110" s="11" t="s">
        <v>2288</v>
      </c>
    </row>
    <row r="111" customFormat="false" ht="15" hidden="false" customHeight="false" outlineLevel="0" collapsed="false">
      <c r="A111" s="4" t="s">
        <v>2553</v>
      </c>
      <c r="B111" s="4" t="s">
        <v>2544</v>
      </c>
      <c r="C111" s="3" t="s">
        <v>2545</v>
      </c>
      <c r="D111" s="11" t="s">
        <v>2285</v>
      </c>
      <c r="E111" s="4" t="s">
        <v>2299</v>
      </c>
      <c r="F111" s="114" t="n">
        <v>92.1797618980232</v>
      </c>
      <c r="G111" s="114" t="n">
        <v>92.1797618980232</v>
      </c>
      <c r="H111" s="114" t="n">
        <v>92.1797618980232</v>
      </c>
      <c r="I111" s="11" t="s">
        <v>2554</v>
      </c>
      <c r="J111" s="11" t="s">
        <v>2288</v>
      </c>
    </row>
    <row r="112" customFormat="false" ht="15" hidden="false" customHeight="false" outlineLevel="0" collapsed="false">
      <c r="A112" s="4" t="s">
        <v>2555</v>
      </c>
      <c r="B112" s="4" t="s">
        <v>2556</v>
      </c>
      <c r="C112" s="3" t="s">
        <v>2557</v>
      </c>
      <c r="D112" s="11" t="s">
        <v>2316</v>
      </c>
      <c r="E112" s="4" t="s">
        <v>1562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2558</v>
      </c>
      <c r="J112" s="11" t="s">
        <v>2288</v>
      </c>
    </row>
    <row r="113" customFormat="false" ht="15" hidden="false" customHeight="false" outlineLevel="0" collapsed="false">
      <c r="A113" s="4" t="s">
        <v>2559</v>
      </c>
      <c r="B113" s="4" t="s">
        <v>2560</v>
      </c>
      <c r="C113" s="3" t="s">
        <v>2561</v>
      </c>
      <c r="D113" s="11" t="s">
        <v>2316</v>
      </c>
      <c r="E113" s="4" t="s">
        <v>1562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2562</v>
      </c>
      <c r="J113" s="11" t="s">
        <v>2288</v>
      </c>
    </row>
    <row r="114" customFormat="false" ht="15" hidden="false" customHeight="false" outlineLevel="0" collapsed="false">
      <c r="A114" s="4" t="s">
        <v>2563</v>
      </c>
      <c r="B114" s="4" t="s">
        <v>2564</v>
      </c>
      <c r="C114" s="3" t="s">
        <v>2565</v>
      </c>
      <c r="D114" s="11" t="s">
        <v>2316</v>
      </c>
      <c r="E114" s="4" t="s">
        <v>1562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2566</v>
      </c>
      <c r="J114" s="11" t="s">
        <v>2288</v>
      </c>
    </row>
    <row r="115" customFormat="false" ht="15" hidden="false" customHeight="false" outlineLevel="0" collapsed="false">
      <c r="A115" s="4" t="s">
        <v>2567</v>
      </c>
      <c r="B115" s="4" t="s">
        <v>2568</v>
      </c>
      <c r="C115" s="3" t="s">
        <v>2569</v>
      </c>
      <c r="D115" s="11" t="s">
        <v>2316</v>
      </c>
      <c r="E115" s="4" t="s">
        <v>1562</v>
      </c>
      <c r="F115" s="114" t="n">
        <v>3.60729070051029</v>
      </c>
      <c r="G115" s="114" t="n">
        <v>4.78365180724219</v>
      </c>
      <c r="H115" s="114" t="n">
        <v>7.72813762813851</v>
      </c>
      <c r="I115" s="11" t="s">
        <v>2570</v>
      </c>
      <c r="J115" s="11" t="s">
        <v>2288</v>
      </c>
    </row>
    <row r="116" customFormat="false" ht="15" hidden="false" customHeight="false" outlineLevel="0" collapsed="false">
      <c r="A116" s="4" t="s">
        <v>2571</v>
      </c>
      <c r="B116" s="4" t="s">
        <v>2572</v>
      </c>
      <c r="C116" s="3" t="s">
        <v>2573</v>
      </c>
      <c r="D116" s="11" t="s">
        <v>2574</v>
      </c>
      <c r="E116" s="4" t="s">
        <v>1562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2575</v>
      </c>
      <c r="J116" s="11" t="s">
        <v>2288</v>
      </c>
    </row>
    <row r="117" customFormat="false" ht="15" hidden="false" customHeight="false" outlineLevel="0" collapsed="false">
      <c r="A117" s="4" t="s">
        <v>2576</v>
      </c>
      <c r="B117" s="4" t="s">
        <v>2577</v>
      </c>
      <c r="C117" s="3" t="s">
        <v>2578</v>
      </c>
      <c r="D117" s="11" t="s">
        <v>2574</v>
      </c>
      <c r="E117" s="4" t="s">
        <v>1562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2579</v>
      </c>
      <c r="J117" s="11" t="s">
        <v>2288</v>
      </c>
    </row>
    <row r="118" customFormat="false" ht="15" hidden="false" customHeight="false" outlineLevel="0" collapsed="false">
      <c r="A118" s="4" t="s">
        <v>2580</v>
      </c>
      <c r="B118" s="4" t="s">
        <v>2581</v>
      </c>
      <c r="C118" s="3" t="s">
        <v>2582</v>
      </c>
      <c r="D118" s="11" t="s">
        <v>2574</v>
      </c>
      <c r="E118" s="4" t="s">
        <v>1562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2583</v>
      </c>
      <c r="J118" s="11" t="s">
        <v>2288</v>
      </c>
    </row>
    <row r="119" customFormat="false" ht="15" hidden="false" customHeight="false" outlineLevel="0" collapsed="false">
      <c r="A119" s="4" t="s">
        <v>2584</v>
      </c>
      <c r="B119" s="4" t="s">
        <v>2585</v>
      </c>
      <c r="C119" s="3" t="s">
        <v>2586</v>
      </c>
      <c r="D119" s="11" t="s">
        <v>2574</v>
      </c>
      <c r="E119" s="4" t="s">
        <v>1562</v>
      </c>
      <c r="F119" s="114" t="n">
        <v>9.21907146281596</v>
      </c>
      <c r="G119" s="114" t="n">
        <v>12.2254710045841</v>
      </c>
      <c r="H119" s="114" t="n">
        <v>19.7506269894487</v>
      </c>
      <c r="I119" s="11" t="s">
        <v>2587</v>
      </c>
      <c r="J119" s="11" t="s">
        <v>2288</v>
      </c>
    </row>
    <row r="120" customFormat="false" ht="15" hidden="false" customHeight="false" outlineLevel="0" collapsed="false">
      <c r="A120" s="4" t="s">
        <v>2588</v>
      </c>
      <c r="B120" s="4" t="s">
        <v>2589</v>
      </c>
      <c r="C120" s="3" t="s">
        <v>2590</v>
      </c>
      <c r="D120" s="11" t="s">
        <v>2591</v>
      </c>
      <c r="E120" s="4" t="s">
        <v>1562</v>
      </c>
      <c r="F120" s="114" t="n">
        <v>30.39</v>
      </c>
      <c r="G120" s="114" t="n">
        <v>34.0368</v>
      </c>
      <c r="H120" s="114" t="n">
        <v>36.8732</v>
      </c>
      <c r="I120" s="11" t="s">
        <v>2592</v>
      </c>
      <c r="J120" s="11" t="s">
        <v>2288</v>
      </c>
    </row>
    <row r="121" customFormat="false" ht="15" hidden="false" customHeight="false" outlineLevel="0" collapsed="false">
      <c r="A121" s="4" t="s">
        <v>2593</v>
      </c>
      <c r="B121" s="4" t="s">
        <v>2594</v>
      </c>
      <c r="C121" s="4" t="s">
        <v>2595</v>
      </c>
      <c r="D121" s="6" t="s">
        <v>2596</v>
      </c>
      <c r="E121" s="4" t="s">
        <v>1562</v>
      </c>
      <c r="F121" s="114" t="n">
        <v>0.6</v>
      </c>
      <c r="G121" s="114" t="n">
        <v>0.8</v>
      </c>
      <c r="H121" s="114" t="n">
        <v>1.1</v>
      </c>
      <c r="I121" s="11" t="s">
        <v>2597</v>
      </c>
      <c r="J121" s="11" t="s">
        <v>2288</v>
      </c>
    </row>
    <row r="122" customFormat="false" ht="15" hidden="false" customHeight="false" outlineLevel="0" collapsed="false">
      <c r="A122" s="4" t="s">
        <v>2598</v>
      </c>
      <c r="B122" s="4" t="s">
        <v>2599</v>
      </c>
      <c r="C122" s="4" t="s">
        <v>2600</v>
      </c>
      <c r="D122" s="6" t="s">
        <v>2596</v>
      </c>
      <c r="E122" s="4" t="s">
        <v>1562</v>
      </c>
      <c r="F122" s="114" t="n">
        <v>0.7</v>
      </c>
      <c r="G122" s="114" t="n">
        <v>0.8</v>
      </c>
      <c r="H122" s="114" t="n">
        <v>1</v>
      </c>
      <c r="I122" s="11" t="s">
        <v>2601</v>
      </c>
      <c r="J122" s="11" t="s">
        <v>2288</v>
      </c>
    </row>
    <row r="123" customFormat="false" ht="15" hidden="false" customHeight="false" outlineLevel="0" collapsed="false">
      <c r="A123" s="4" t="s">
        <v>2602</v>
      </c>
      <c r="B123" s="4" t="s">
        <v>2603</v>
      </c>
      <c r="C123" s="3" t="s">
        <v>2604</v>
      </c>
      <c r="D123" s="11" t="s">
        <v>2285</v>
      </c>
      <c r="E123" s="4" t="s">
        <v>2286</v>
      </c>
      <c r="F123" s="114" t="n">
        <v>11.1925782557217</v>
      </c>
      <c r="G123" s="114" t="n">
        <v>11.1925782557217</v>
      </c>
      <c r="H123" s="114" t="n">
        <v>11.1925782557217</v>
      </c>
      <c r="I123" s="11" t="s">
        <v>2605</v>
      </c>
      <c r="J123" s="11" t="s">
        <v>2288</v>
      </c>
    </row>
    <row r="124" customFormat="false" ht="15" hidden="false" customHeight="false" outlineLevel="0" collapsed="false">
      <c r="A124" s="4" t="s">
        <v>2606</v>
      </c>
      <c r="B124" s="4" t="s">
        <v>2603</v>
      </c>
      <c r="C124" s="3" t="s">
        <v>2604</v>
      </c>
      <c r="D124" s="11" t="s">
        <v>2285</v>
      </c>
      <c r="E124" s="4" t="s">
        <v>2290</v>
      </c>
      <c r="F124" s="114" t="n">
        <v>55.0710417578077</v>
      </c>
      <c r="G124" s="114" t="n">
        <v>55.0710417578077</v>
      </c>
      <c r="H124" s="114" t="n">
        <v>55.0710417578077</v>
      </c>
      <c r="I124" s="11" t="s">
        <v>2607</v>
      </c>
      <c r="J124" s="11" t="s">
        <v>2288</v>
      </c>
    </row>
    <row r="125" customFormat="false" ht="15" hidden="false" customHeight="false" outlineLevel="0" collapsed="false">
      <c r="A125" s="4" t="s">
        <v>2608</v>
      </c>
      <c r="B125" s="4" t="s">
        <v>2603</v>
      </c>
      <c r="C125" s="3" t="s">
        <v>2604</v>
      </c>
      <c r="D125" s="11" t="s">
        <v>2285</v>
      </c>
      <c r="E125" s="4" t="s">
        <v>2293</v>
      </c>
      <c r="F125" s="114" t="n">
        <v>67.1176569870955</v>
      </c>
      <c r="G125" s="114" t="n">
        <v>67.1176569870955</v>
      </c>
      <c r="H125" s="114" t="n">
        <v>67.1176569870955</v>
      </c>
      <c r="I125" s="11" t="s">
        <v>2609</v>
      </c>
      <c r="J125" s="11" t="s">
        <v>2288</v>
      </c>
    </row>
    <row r="126" customFormat="false" ht="15" hidden="false" customHeight="false" outlineLevel="0" collapsed="false">
      <c r="A126" s="4" t="s">
        <v>2610</v>
      </c>
      <c r="B126" s="4" t="s">
        <v>2603</v>
      </c>
      <c r="C126" s="3" t="s">
        <v>2604</v>
      </c>
      <c r="D126" s="11" t="s">
        <v>2285</v>
      </c>
      <c r="E126" s="4" t="s">
        <v>2296</v>
      </c>
      <c r="F126" s="114" t="n">
        <v>110.575866236747</v>
      </c>
      <c r="G126" s="114" t="n">
        <v>110.575866236747</v>
      </c>
      <c r="H126" s="114" t="n">
        <v>110.575866236747</v>
      </c>
      <c r="I126" s="11" t="s">
        <v>2611</v>
      </c>
      <c r="J126" s="11" t="s">
        <v>2288</v>
      </c>
    </row>
    <row r="127" customFormat="false" ht="15" hidden="false" customHeight="false" outlineLevel="0" collapsed="false">
      <c r="A127" s="4" t="s">
        <v>2612</v>
      </c>
      <c r="B127" s="4" t="s">
        <v>2603</v>
      </c>
      <c r="C127" s="3" t="s">
        <v>2604</v>
      </c>
      <c r="D127" s="11" t="s">
        <v>2285</v>
      </c>
      <c r="E127" s="4" t="s">
        <v>2299</v>
      </c>
      <c r="F127" s="114" t="n">
        <v>153.632936496705</v>
      </c>
      <c r="G127" s="114" t="n">
        <v>153.632936496705</v>
      </c>
      <c r="H127" s="114" t="n">
        <v>153.632936496705</v>
      </c>
      <c r="I127" s="11" t="s">
        <v>2613</v>
      </c>
      <c r="J127" s="11" t="s">
        <v>2288</v>
      </c>
    </row>
    <row r="128" customFormat="false" ht="15" hidden="false" customHeight="false" outlineLevel="0" collapsed="false">
      <c r="A128" s="4" t="s">
        <v>2614</v>
      </c>
      <c r="B128" s="4" t="s">
        <v>2615</v>
      </c>
      <c r="C128" s="3" t="s">
        <v>2616</v>
      </c>
      <c r="D128" s="11" t="s">
        <v>2285</v>
      </c>
      <c r="E128" s="4" t="s">
        <v>2286</v>
      </c>
      <c r="F128" s="114" t="n">
        <v>6.71554695343303</v>
      </c>
      <c r="G128" s="114" t="n">
        <v>6.71554695343303</v>
      </c>
      <c r="H128" s="114" t="n">
        <v>6.71554695343303</v>
      </c>
      <c r="I128" s="11" t="s">
        <v>2617</v>
      </c>
      <c r="J128" s="11" t="s">
        <v>2288</v>
      </c>
    </row>
    <row r="129" customFormat="false" ht="15" hidden="false" customHeight="false" outlineLevel="0" collapsed="false">
      <c r="A129" s="4" t="s">
        <v>2618</v>
      </c>
      <c r="B129" s="4" t="s">
        <v>2615</v>
      </c>
      <c r="C129" s="3" t="s">
        <v>2616</v>
      </c>
      <c r="D129" s="11" t="s">
        <v>2285</v>
      </c>
      <c r="E129" s="4" t="s">
        <v>2290</v>
      </c>
      <c r="F129" s="114" t="n">
        <v>33.0426250546846</v>
      </c>
      <c r="G129" s="114" t="n">
        <v>33.0426250546846</v>
      </c>
      <c r="H129" s="114" t="n">
        <v>33.0426250546846</v>
      </c>
      <c r="I129" s="11" t="s">
        <v>2619</v>
      </c>
      <c r="J129" s="11" t="s">
        <v>2288</v>
      </c>
    </row>
    <row r="130" customFormat="false" ht="15" hidden="false" customHeight="false" outlineLevel="0" collapsed="false">
      <c r="A130" s="4" t="s">
        <v>2620</v>
      </c>
      <c r="B130" s="4" t="s">
        <v>2615</v>
      </c>
      <c r="C130" s="3" t="s">
        <v>2616</v>
      </c>
      <c r="D130" s="11" t="s">
        <v>2285</v>
      </c>
      <c r="E130" s="4" t="s">
        <v>2293</v>
      </c>
      <c r="F130" s="114" t="n">
        <v>40.2705941922573</v>
      </c>
      <c r="G130" s="114" t="n">
        <v>40.2705941922573</v>
      </c>
      <c r="H130" s="114" t="n">
        <v>40.2705941922573</v>
      </c>
      <c r="I130" s="11" t="s">
        <v>2621</v>
      </c>
      <c r="J130" s="11" t="s">
        <v>2288</v>
      </c>
    </row>
    <row r="131" customFormat="false" ht="15" hidden="false" customHeight="false" outlineLevel="0" collapsed="false">
      <c r="A131" s="4" t="s">
        <v>2622</v>
      </c>
      <c r="B131" s="4" t="s">
        <v>2615</v>
      </c>
      <c r="C131" s="3" t="s">
        <v>2616</v>
      </c>
      <c r="D131" s="11" t="s">
        <v>2285</v>
      </c>
      <c r="E131" s="4" t="s">
        <v>2296</v>
      </c>
      <c r="F131" s="114" t="n">
        <v>66.3455197420479</v>
      </c>
      <c r="G131" s="114" t="n">
        <v>66.3455197420479</v>
      </c>
      <c r="H131" s="114" t="n">
        <v>66.3455197420479</v>
      </c>
      <c r="I131" s="11" t="s">
        <v>2623</v>
      </c>
      <c r="J131" s="11" t="s">
        <v>2288</v>
      </c>
    </row>
    <row r="132" customFormat="false" ht="15" hidden="false" customHeight="false" outlineLevel="0" collapsed="false">
      <c r="A132" s="4" t="s">
        <v>2624</v>
      </c>
      <c r="B132" s="4" t="s">
        <v>2615</v>
      </c>
      <c r="C132" s="3" t="s">
        <v>2616</v>
      </c>
      <c r="D132" s="11" t="s">
        <v>2285</v>
      </c>
      <c r="E132" s="4" t="s">
        <v>2299</v>
      </c>
      <c r="F132" s="114" t="n">
        <v>92.1797618980232</v>
      </c>
      <c r="G132" s="114" t="n">
        <v>92.1797618980232</v>
      </c>
      <c r="H132" s="114" t="n">
        <v>92.1797618980232</v>
      </c>
      <c r="I132" s="11" t="s">
        <v>2625</v>
      </c>
      <c r="J132" s="11" t="s">
        <v>2288</v>
      </c>
    </row>
    <row r="133" customFormat="false" ht="15" hidden="false" customHeight="false" outlineLevel="0" collapsed="false">
      <c r="A133" s="4" t="s">
        <v>2626</v>
      </c>
      <c r="B133" s="4" t="s">
        <v>2627</v>
      </c>
      <c r="C133" s="3" t="s">
        <v>2628</v>
      </c>
      <c r="D133" s="11" t="s">
        <v>2285</v>
      </c>
      <c r="E133" s="4" t="s">
        <v>2286</v>
      </c>
      <c r="F133" s="114" t="n">
        <v>5.04124770296105</v>
      </c>
      <c r="G133" s="114" t="n">
        <v>5.04124770296105</v>
      </c>
      <c r="H133" s="114" t="n">
        <v>5.04124770296105</v>
      </c>
      <c r="I133" s="11" t="s">
        <v>2629</v>
      </c>
      <c r="J133" s="11" t="s">
        <v>2288</v>
      </c>
    </row>
    <row r="134" customFormat="false" ht="15" hidden="false" customHeight="false" outlineLevel="0" collapsed="false">
      <c r="A134" s="4" t="s">
        <v>2630</v>
      </c>
      <c r="B134" s="4" t="s">
        <v>2627</v>
      </c>
      <c r="C134" s="3" t="s">
        <v>2628</v>
      </c>
      <c r="D134" s="11" t="s">
        <v>2285</v>
      </c>
      <c r="E134" s="4" t="s">
        <v>2290</v>
      </c>
      <c r="F134" s="114" t="n">
        <v>26.3995837309476</v>
      </c>
      <c r="G134" s="114" t="n">
        <v>26.3995837309476</v>
      </c>
      <c r="H134" s="114" t="n">
        <v>26.3995837309476</v>
      </c>
      <c r="I134" s="11" t="s">
        <v>2631</v>
      </c>
      <c r="J134" s="11" t="s">
        <v>2288</v>
      </c>
    </row>
    <row r="135" customFormat="false" ht="15" hidden="false" customHeight="false" outlineLevel="0" collapsed="false">
      <c r="A135" s="4" t="s">
        <v>2632</v>
      </c>
      <c r="B135" s="4" t="s">
        <v>2627</v>
      </c>
      <c r="C135" s="3" t="s">
        <v>2628</v>
      </c>
      <c r="D135" s="11" t="s">
        <v>2285</v>
      </c>
      <c r="E135" s="4" t="s">
        <v>2293</v>
      </c>
      <c r="F135" s="114" t="n">
        <v>31.8934876254392</v>
      </c>
      <c r="G135" s="114" t="n">
        <v>31.8934876254392</v>
      </c>
      <c r="H135" s="114" t="n">
        <v>31.8934876254392</v>
      </c>
      <c r="I135" s="11" t="s">
        <v>2633</v>
      </c>
      <c r="J135" s="11" t="s">
        <v>2288</v>
      </c>
    </row>
    <row r="136" customFormat="false" ht="15" hidden="false" customHeight="false" outlineLevel="0" collapsed="false">
      <c r="A136" s="4" t="s">
        <v>2634</v>
      </c>
      <c r="B136" s="4" t="s">
        <v>2627</v>
      </c>
      <c r="C136" s="3" t="s">
        <v>2628</v>
      </c>
      <c r="D136" s="11" t="s">
        <v>2285</v>
      </c>
      <c r="E136" s="4" t="s">
        <v>2296</v>
      </c>
      <c r="F136" s="114" t="n">
        <v>53.4609176401029</v>
      </c>
      <c r="G136" s="114" t="n">
        <v>53.4609176401029</v>
      </c>
      <c r="H136" s="114" t="n">
        <v>53.4609176401029</v>
      </c>
      <c r="I136" s="11" t="s">
        <v>2635</v>
      </c>
      <c r="J136" s="11" t="s">
        <v>2288</v>
      </c>
    </row>
    <row r="137" customFormat="false" ht="15" hidden="false" customHeight="false" outlineLevel="0" collapsed="false">
      <c r="A137" s="4" t="s">
        <v>2636</v>
      </c>
      <c r="B137" s="4" t="s">
        <v>2627</v>
      </c>
      <c r="C137" s="3" t="s">
        <v>2628</v>
      </c>
      <c r="D137" s="11" t="s">
        <v>2285</v>
      </c>
      <c r="E137" s="4" t="s">
        <v>2299</v>
      </c>
      <c r="F137" s="114" t="n">
        <v>74.5340299306534</v>
      </c>
      <c r="G137" s="114" t="n">
        <v>74.5340299306534</v>
      </c>
      <c r="H137" s="114" t="n">
        <v>74.5340299306534</v>
      </c>
      <c r="I137" s="11" t="s">
        <v>2637</v>
      </c>
      <c r="J137" s="11" t="s">
        <v>2288</v>
      </c>
    </row>
    <row r="138" customFormat="false" ht="15" hidden="false" customHeight="false" outlineLevel="0" collapsed="false">
      <c r="A138" s="4" t="s">
        <v>2638</v>
      </c>
      <c r="B138" s="4" t="s">
        <v>2639</v>
      </c>
      <c r="C138" s="3" t="s">
        <v>2640</v>
      </c>
      <c r="D138" s="11" t="s">
        <v>2285</v>
      </c>
      <c r="E138" s="4" t="s">
        <v>2286</v>
      </c>
      <c r="F138" s="114" t="n">
        <v>5.04124770296105</v>
      </c>
      <c r="G138" s="114" t="n">
        <v>5.04124770296105</v>
      </c>
      <c r="H138" s="114" t="n">
        <v>5.04124770296105</v>
      </c>
      <c r="I138" s="11" t="s">
        <v>2641</v>
      </c>
      <c r="J138" s="11" t="s">
        <v>2288</v>
      </c>
    </row>
    <row r="139" customFormat="false" ht="15" hidden="false" customHeight="false" outlineLevel="0" collapsed="false">
      <c r="A139" s="4" t="s">
        <v>2642</v>
      </c>
      <c r="B139" s="4" t="s">
        <v>2639</v>
      </c>
      <c r="C139" s="3" t="s">
        <v>2640</v>
      </c>
      <c r="D139" s="11" t="s">
        <v>2285</v>
      </c>
      <c r="E139" s="4" t="s">
        <v>2290</v>
      </c>
      <c r="F139" s="114" t="n">
        <v>26.3995837309476</v>
      </c>
      <c r="G139" s="114" t="n">
        <v>26.3995837309476</v>
      </c>
      <c r="H139" s="114" t="n">
        <v>26.3995837309476</v>
      </c>
      <c r="I139" s="11" t="s">
        <v>2643</v>
      </c>
      <c r="J139" s="11" t="s">
        <v>2288</v>
      </c>
    </row>
    <row r="140" customFormat="false" ht="15" hidden="false" customHeight="false" outlineLevel="0" collapsed="false">
      <c r="A140" s="4" t="s">
        <v>2644</v>
      </c>
      <c r="B140" s="4" t="s">
        <v>2639</v>
      </c>
      <c r="C140" s="3" t="s">
        <v>2640</v>
      </c>
      <c r="D140" s="11" t="s">
        <v>2285</v>
      </c>
      <c r="E140" s="4" t="s">
        <v>2293</v>
      </c>
      <c r="F140" s="114" t="n">
        <v>31.8934876254392</v>
      </c>
      <c r="G140" s="114" t="n">
        <v>31.8934876254392</v>
      </c>
      <c r="H140" s="114" t="n">
        <v>31.8934876254392</v>
      </c>
      <c r="I140" s="11" t="s">
        <v>2645</v>
      </c>
      <c r="J140" s="11" t="s">
        <v>2288</v>
      </c>
    </row>
    <row r="141" customFormat="false" ht="15" hidden="false" customHeight="false" outlineLevel="0" collapsed="false">
      <c r="A141" s="4" t="s">
        <v>2646</v>
      </c>
      <c r="B141" s="4" t="s">
        <v>2639</v>
      </c>
      <c r="C141" s="3" t="s">
        <v>2640</v>
      </c>
      <c r="D141" s="11" t="s">
        <v>2285</v>
      </c>
      <c r="E141" s="4" t="s">
        <v>2296</v>
      </c>
      <c r="F141" s="114" t="n">
        <v>53.4609176401029</v>
      </c>
      <c r="G141" s="114" t="n">
        <v>53.4609176401029</v>
      </c>
      <c r="H141" s="114" t="n">
        <v>53.4609176401029</v>
      </c>
      <c r="I141" s="11" t="s">
        <v>2647</v>
      </c>
      <c r="J141" s="11" t="s">
        <v>2288</v>
      </c>
    </row>
    <row r="142" customFormat="false" ht="15" hidden="false" customHeight="false" outlineLevel="0" collapsed="false">
      <c r="A142" s="4" t="s">
        <v>2648</v>
      </c>
      <c r="B142" s="4" t="s">
        <v>2639</v>
      </c>
      <c r="C142" s="3" t="s">
        <v>2640</v>
      </c>
      <c r="D142" s="11" t="s">
        <v>2285</v>
      </c>
      <c r="E142" s="4" t="s">
        <v>2299</v>
      </c>
      <c r="F142" s="114" t="n">
        <v>74.5340299306534</v>
      </c>
      <c r="G142" s="114" t="n">
        <v>74.5340299306534</v>
      </c>
      <c r="H142" s="114" t="n">
        <v>74.5340299306534</v>
      </c>
      <c r="I142" s="11" t="s">
        <v>2649</v>
      </c>
      <c r="J142" s="11" t="s">
        <v>2288</v>
      </c>
    </row>
    <row r="143" customFormat="false" ht="15" hidden="false" customHeight="false" outlineLevel="0" collapsed="false">
      <c r="A143" s="4" t="s">
        <v>2650</v>
      </c>
      <c r="B143" s="4" t="s">
        <v>2283</v>
      </c>
      <c r="C143" s="4" t="s">
        <v>2651</v>
      </c>
      <c r="D143" s="6"/>
      <c r="E143" s="4" t="s">
        <v>1562</v>
      </c>
      <c r="F143" s="115"/>
      <c r="G143" s="116" t="s">
        <v>2652</v>
      </c>
      <c r="H143" s="116"/>
      <c r="I143" s="11" t="s">
        <v>2653</v>
      </c>
      <c r="J143" s="11" t="s">
        <v>2288</v>
      </c>
    </row>
    <row r="144" customFormat="false" ht="15" hidden="false" customHeight="false" outlineLevel="0" collapsed="false">
      <c r="A144" s="4" t="s">
        <v>2654</v>
      </c>
      <c r="B144" s="4" t="s">
        <v>2302</v>
      </c>
      <c r="C144" s="4" t="s">
        <v>2651</v>
      </c>
      <c r="D144" s="6"/>
      <c r="E144" s="4" t="s">
        <v>1562</v>
      </c>
      <c r="F144" s="116"/>
      <c r="G144" s="116" t="s">
        <v>2652</v>
      </c>
      <c r="H144" s="116"/>
      <c r="I144" s="11" t="s">
        <v>2653</v>
      </c>
      <c r="J144" s="11" t="s">
        <v>2288</v>
      </c>
    </row>
    <row r="145" customFormat="false" ht="15" hidden="false" customHeight="false" outlineLevel="0" collapsed="false">
      <c r="A145" s="4" t="s">
        <v>2655</v>
      </c>
      <c r="B145" s="4" t="s">
        <v>2314</v>
      </c>
      <c r="C145" s="4" t="s">
        <v>2651</v>
      </c>
      <c r="D145" s="6"/>
      <c r="E145" s="4" t="s">
        <v>1562</v>
      </c>
      <c r="F145" s="116"/>
      <c r="G145" s="116" t="s">
        <v>2652</v>
      </c>
      <c r="H145" s="116"/>
      <c r="I145" s="11" t="s">
        <v>2653</v>
      </c>
      <c r="J145" s="11" t="s">
        <v>2288</v>
      </c>
    </row>
    <row r="146" customFormat="false" ht="15" hidden="false" customHeight="false" outlineLevel="0" collapsed="false">
      <c r="A146" s="4" t="s">
        <v>2656</v>
      </c>
      <c r="B146" s="4" t="s">
        <v>2327</v>
      </c>
      <c r="C146" s="4" t="s">
        <v>2651</v>
      </c>
      <c r="D146" s="6"/>
      <c r="E146" s="4" t="s">
        <v>1562</v>
      </c>
      <c r="F146" s="116"/>
      <c r="G146" s="116" t="s">
        <v>2652</v>
      </c>
      <c r="H146" s="116"/>
      <c r="I146" s="11" t="s">
        <v>2653</v>
      </c>
      <c r="J146" s="11" t="s">
        <v>2288</v>
      </c>
    </row>
    <row r="147" customFormat="false" ht="15" hidden="false" customHeight="false" outlineLevel="0" collapsed="false">
      <c r="A147" s="4" t="s">
        <v>2657</v>
      </c>
      <c r="B147" s="4" t="s">
        <v>2340</v>
      </c>
      <c r="C147" s="4" t="s">
        <v>2651</v>
      </c>
      <c r="D147" s="6"/>
      <c r="E147" s="4" t="s">
        <v>1562</v>
      </c>
      <c r="F147" s="116"/>
      <c r="G147" s="116" t="s">
        <v>2658</v>
      </c>
      <c r="H147" s="116"/>
      <c r="I147" s="11" t="s">
        <v>2653</v>
      </c>
      <c r="J147" s="11" t="s">
        <v>2288</v>
      </c>
    </row>
    <row r="148" customFormat="false" ht="15" hidden="false" customHeight="false" outlineLevel="0" collapsed="false">
      <c r="A148" s="4" t="s">
        <v>2659</v>
      </c>
      <c r="B148" s="4" t="s">
        <v>2352</v>
      </c>
      <c r="C148" s="4" t="s">
        <v>2651</v>
      </c>
      <c r="D148" s="6"/>
      <c r="E148" s="4" t="s">
        <v>1562</v>
      </c>
      <c r="F148" s="116"/>
      <c r="G148" s="116" t="s">
        <v>2652</v>
      </c>
      <c r="H148" s="116"/>
      <c r="I148" s="11" t="s">
        <v>2653</v>
      </c>
      <c r="J148" s="11" t="s">
        <v>2288</v>
      </c>
    </row>
    <row r="149" customFormat="false" ht="15" hidden="false" customHeight="false" outlineLevel="0" collapsed="false">
      <c r="A149" s="4" t="s">
        <v>2660</v>
      </c>
      <c r="B149" s="4" t="s">
        <v>2369</v>
      </c>
      <c r="C149" s="4" t="s">
        <v>2651</v>
      </c>
      <c r="D149" s="6"/>
      <c r="E149" s="4" t="s">
        <v>1562</v>
      </c>
      <c r="F149" s="116"/>
      <c r="G149" s="116" t="s">
        <v>2652</v>
      </c>
      <c r="H149" s="116"/>
      <c r="I149" s="11" t="s">
        <v>2653</v>
      </c>
      <c r="J149" s="11" t="s">
        <v>2288</v>
      </c>
    </row>
    <row r="150" customFormat="false" ht="15" hidden="false" customHeight="false" outlineLevel="0" collapsed="false">
      <c r="A150" s="4" t="s">
        <v>2661</v>
      </c>
      <c r="B150" s="4" t="s">
        <v>2381</v>
      </c>
      <c r="C150" s="4" t="s">
        <v>2651</v>
      </c>
      <c r="D150" s="6"/>
      <c r="E150" s="4" t="s">
        <v>1562</v>
      </c>
      <c r="F150" s="116"/>
      <c r="G150" s="116" t="s">
        <v>2652</v>
      </c>
      <c r="H150" s="116"/>
      <c r="I150" s="11" t="s">
        <v>2653</v>
      </c>
      <c r="J150" s="11" t="s">
        <v>2288</v>
      </c>
    </row>
    <row r="151" customFormat="false" ht="15" hidden="false" customHeight="false" outlineLevel="0" collapsed="false">
      <c r="A151" s="4" t="s">
        <v>2662</v>
      </c>
      <c r="B151" s="4" t="s">
        <v>2393</v>
      </c>
      <c r="C151" s="4" t="s">
        <v>2651</v>
      </c>
      <c r="D151" s="6"/>
      <c r="E151" s="4" t="s">
        <v>1562</v>
      </c>
      <c r="F151" s="116"/>
      <c r="G151" s="116" t="s">
        <v>2658</v>
      </c>
      <c r="H151" s="116"/>
      <c r="I151" s="11" t="s">
        <v>2653</v>
      </c>
      <c r="J151" s="11" t="s">
        <v>2288</v>
      </c>
    </row>
    <row r="152" customFormat="false" ht="15" hidden="false" customHeight="false" outlineLevel="0" collapsed="false">
      <c r="A152" s="4" t="s">
        <v>2663</v>
      </c>
      <c r="B152" s="4" t="s">
        <v>2405</v>
      </c>
      <c r="C152" s="4" t="s">
        <v>2651</v>
      </c>
      <c r="D152" s="6"/>
      <c r="E152" s="4" t="s">
        <v>1562</v>
      </c>
      <c r="F152" s="116"/>
      <c r="G152" s="116" t="s">
        <v>2652</v>
      </c>
      <c r="H152" s="116"/>
      <c r="I152" s="11" t="s">
        <v>2653</v>
      </c>
      <c r="J152" s="11" t="s">
        <v>2288</v>
      </c>
    </row>
    <row r="153" customFormat="false" ht="15" hidden="false" customHeight="false" outlineLevel="0" collapsed="false">
      <c r="A153" s="4" t="s">
        <v>2664</v>
      </c>
      <c r="B153" s="4" t="s">
        <v>2417</v>
      </c>
      <c r="C153" s="4" t="s">
        <v>2651</v>
      </c>
      <c r="D153" s="6"/>
      <c r="E153" s="4" t="s">
        <v>1562</v>
      </c>
      <c r="F153" s="116"/>
      <c r="G153" s="116" t="s">
        <v>2658</v>
      </c>
      <c r="H153" s="116"/>
      <c r="I153" s="11" t="s">
        <v>2653</v>
      </c>
      <c r="J153" s="11" t="s">
        <v>2288</v>
      </c>
    </row>
    <row r="154" customFormat="false" ht="15" hidden="false" customHeight="false" outlineLevel="0" collapsed="false">
      <c r="A154" s="4" t="s">
        <v>2665</v>
      </c>
      <c r="B154" s="4" t="s">
        <v>2429</v>
      </c>
      <c r="C154" s="4" t="s">
        <v>2651</v>
      </c>
      <c r="D154" s="6"/>
      <c r="E154" s="4" t="s">
        <v>1562</v>
      </c>
      <c r="F154" s="116"/>
      <c r="G154" s="116" t="s">
        <v>2658</v>
      </c>
      <c r="H154" s="116"/>
      <c r="I154" s="11" t="s">
        <v>2653</v>
      </c>
      <c r="J154" s="11" t="s">
        <v>2288</v>
      </c>
    </row>
    <row r="155" customFormat="false" ht="15" hidden="false" customHeight="false" outlineLevel="0" collapsed="false">
      <c r="A155" s="4" t="s">
        <v>2666</v>
      </c>
      <c r="B155" s="4" t="s">
        <v>2441</v>
      </c>
      <c r="C155" s="4" t="s">
        <v>2651</v>
      </c>
      <c r="D155" s="6"/>
      <c r="E155" s="4" t="s">
        <v>1562</v>
      </c>
      <c r="F155" s="116"/>
      <c r="G155" s="116" t="s">
        <v>2652</v>
      </c>
      <c r="H155" s="116"/>
      <c r="I155" s="11" t="s">
        <v>2653</v>
      </c>
      <c r="J155" s="11" t="s">
        <v>2288</v>
      </c>
    </row>
    <row r="156" customFormat="false" ht="15" hidden="false" customHeight="false" outlineLevel="0" collapsed="false">
      <c r="A156" s="4" t="s">
        <v>2667</v>
      </c>
      <c r="B156" s="4" t="s">
        <v>2453</v>
      </c>
      <c r="C156" s="4" t="s">
        <v>2651</v>
      </c>
      <c r="D156" s="6"/>
      <c r="E156" s="4" t="s">
        <v>1562</v>
      </c>
      <c r="F156" s="116"/>
      <c r="G156" s="116" t="s">
        <v>2658</v>
      </c>
      <c r="H156" s="116"/>
      <c r="I156" s="11" t="s">
        <v>2653</v>
      </c>
      <c r="J156" s="11" t="s">
        <v>2288</v>
      </c>
    </row>
    <row r="157" customFormat="false" ht="15" hidden="false" customHeight="false" outlineLevel="0" collapsed="false">
      <c r="A157" s="4" t="s">
        <v>2668</v>
      </c>
      <c r="B157" s="4" t="s">
        <v>2465</v>
      </c>
      <c r="C157" s="4" t="s">
        <v>2651</v>
      </c>
      <c r="D157" s="6"/>
      <c r="E157" s="4" t="s">
        <v>1562</v>
      </c>
      <c r="F157" s="116"/>
      <c r="G157" s="116" t="s">
        <v>2658</v>
      </c>
      <c r="H157" s="116"/>
      <c r="I157" s="11" t="s">
        <v>2653</v>
      </c>
      <c r="J157" s="11" t="s">
        <v>2288</v>
      </c>
    </row>
    <row r="158" customFormat="false" ht="15" hidden="false" customHeight="false" outlineLevel="0" collapsed="false">
      <c r="A158" s="4" t="s">
        <v>2669</v>
      </c>
      <c r="B158" s="4" t="s">
        <v>2477</v>
      </c>
      <c r="C158" s="4" t="s">
        <v>2651</v>
      </c>
      <c r="D158" s="6"/>
      <c r="E158" s="4" t="s">
        <v>1562</v>
      </c>
      <c r="F158" s="116"/>
      <c r="G158" s="116" t="s">
        <v>2652</v>
      </c>
      <c r="H158" s="116"/>
      <c r="I158" s="11" t="s">
        <v>2653</v>
      </c>
      <c r="J158" s="11" t="s">
        <v>2288</v>
      </c>
    </row>
    <row r="159" customFormat="false" ht="15" hidden="false" customHeight="false" outlineLevel="0" collapsed="false">
      <c r="A159" s="4" t="s">
        <v>2670</v>
      </c>
      <c r="B159" s="4" t="s">
        <v>2489</v>
      </c>
      <c r="C159" s="4" t="s">
        <v>2651</v>
      </c>
      <c r="D159" s="6"/>
      <c r="E159" s="4" t="s">
        <v>1562</v>
      </c>
      <c r="F159" s="116"/>
      <c r="G159" s="116" t="s">
        <v>2658</v>
      </c>
      <c r="H159" s="116"/>
      <c r="I159" s="11" t="s">
        <v>2653</v>
      </c>
      <c r="J159" s="11" t="s">
        <v>2288</v>
      </c>
    </row>
    <row r="160" customFormat="false" ht="15" hidden="false" customHeight="false" outlineLevel="0" collapsed="false">
      <c r="A160" s="4" t="s">
        <v>2671</v>
      </c>
      <c r="B160" s="4" t="s">
        <v>2501</v>
      </c>
      <c r="C160" s="4" t="s">
        <v>2651</v>
      </c>
      <c r="D160" s="6"/>
      <c r="E160" s="4" t="s">
        <v>1562</v>
      </c>
      <c r="F160" s="116"/>
      <c r="G160" s="116" t="s">
        <v>2658</v>
      </c>
      <c r="H160" s="116"/>
      <c r="I160" s="11" t="s">
        <v>2653</v>
      </c>
      <c r="J160" s="11" t="s">
        <v>2288</v>
      </c>
    </row>
    <row r="161" customFormat="false" ht="15" hidden="false" customHeight="false" outlineLevel="0" collapsed="false">
      <c r="A161" s="4" t="s">
        <v>2672</v>
      </c>
      <c r="B161" s="4" t="s">
        <v>2514</v>
      </c>
      <c r="C161" s="4" t="s">
        <v>2651</v>
      </c>
      <c r="D161" s="6"/>
      <c r="E161" s="4" t="s">
        <v>1562</v>
      </c>
      <c r="F161" s="116"/>
      <c r="G161" s="116" t="s">
        <v>2652</v>
      </c>
      <c r="H161" s="116"/>
      <c r="I161" s="11" t="s">
        <v>2653</v>
      </c>
      <c r="J161" s="11" t="s">
        <v>2288</v>
      </c>
    </row>
    <row r="162" customFormat="false" ht="15" hidden="false" customHeight="false" outlineLevel="0" collapsed="false">
      <c r="A162" s="4" t="s">
        <v>2673</v>
      </c>
      <c r="B162" s="4" t="s">
        <v>2527</v>
      </c>
      <c r="C162" s="4" t="s">
        <v>2651</v>
      </c>
      <c r="D162" s="6"/>
      <c r="E162" s="4" t="s">
        <v>1562</v>
      </c>
      <c r="F162" s="116"/>
      <c r="G162" s="116" t="s">
        <v>2652</v>
      </c>
      <c r="H162" s="116"/>
      <c r="I162" s="11" t="s">
        <v>2653</v>
      </c>
      <c r="J162" s="11" t="s">
        <v>2288</v>
      </c>
    </row>
    <row r="163" customFormat="false" ht="15" hidden="false" customHeight="false" outlineLevel="0" collapsed="false">
      <c r="A163" s="4" t="s">
        <v>2674</v>
      </c>
      <c r="B163" s="4" t="s">
        <v>2540</v>
      </c>
      <c r="C163" s="4" t="s">
        <v>2651</v>
      </c>
      <c r="D163" s="6"/>
      <c r="E163" s="4" t="s">
        <v>1562</v>
      </c>
      <c r="F163" s="116"/>
      <c r="G163" s="116" t="s">
        <v>2652</v>
      </c>
      <c r="H163" s="116"/>
      <c r="I163" s="11" t="s">
        <v>2653</v>
      </c>
      <c r="J163" s="11" t="s">
        <v>2288</v>
      </c>
    </row>
    <row r="164" customFormat="false" ht="15" hidden="false" customHeight="false" outlineLevel="0" collapsed="false">
      <c r="A164" s="4" t="s">
        <v>2675</v>
      </c>
      <c r="B164" s="4" t="s">
        <v>2544</v>
      </c>
      <c r="C164" s="4" t="s">
        <v>2651</v>
      </c>
      <c r="D164" s="6"/>
      <c r="E164" s="4" t="s">
        <v>1562</v>
      </c>
      <c r="F164" s="116"/>
      <c r="G164" s="116" t="s">
        <v>2676</v>
      </c>
      <c r="H164" s="116"/>
      <c r="I164" s="11" t="s">
        <v>2653</v>
      </c>
      <c r="J164" s="11" t="s">
        <v>2288</v>
      </c>
    </row>
    <row r="165" customFormat="false" ht="15" hidden="false" customHeight="false" outlineLevel="0" collapsed="false">
      <c r="A165" s="4" t="s">
        <v>2677</v>
      </c>
      <c r="B165" s="4" t="s">
        <v>2594</v>
      </c>
      <c r="C165" s="4" t="s">
        <v>2651</v>
      </c>
      <c r="D165" s="6"/>
      <c r="E165" s="4" t="s">
        <v>1562</v>
      </c>
      <c r="F165" s="116"/>
      <c r="G165" s="116" t="s">
        <v>2658</v>
      </c>
      <c r="H165" s="116"/>
      <c r="I165" s="11" t="s">
        <v>2653</v>
      </c>
      <c r="J165" s="11" t="s">
        <v>2288</v>
      </c>
    </row>
    <row r="166" customFormat="false" ht="15" hidden="false" customHeight="false" outlineLevel="0" collapsed="false">
      <c r="A166" s="4" t="s">
        <v>2678</v>
      </c>
      <c r="B166" s="4" t="s">
        <v>2599</v>
      </c>
      <c r="C166" s="4" t="s">
        <v>2651</v>
      </c>
      <c r="D166" s="6"/>
      <c r="E166" s="4" t="s">
        <v>1562</v>
      </c>
      <c r="F166" s="116"/>
      <c r="G166" s="116" t="s">
        <v>2658</v>
      </c>
      <c r="H166" s="116"/>
      <c r="I166" s="11" t="s">
        <v>2653</v>
      </c>
      <c r="J166" s="11" t="s">
        <v>2288</v>
      </c>
    </row>
    <row r="167" customFormat="false" ht="15" hidden="false" customHeight="false" outlineLevel="0" collapsed="false">
      <c r="A167" s="4" t="s">
        <v>2679</v>
      </c>
      <c r="B167" s="4" t="s">
        <v>2603</v>
      </c>
      <c r="C167" s="4" t="s">
        <v>2651</v>
      </c>
      <c r="D167" s="6"/>
      <c r="E167" s="4" t="s">
        <v>1562</v>
      </c>
      <c r="F167" s="116"/>
      <c r="G167" s="116" t="s">
        <v>2676</v>
      </c>
      <c r="H167" s="116"/>
      <c r="I167" s="11" t="s">
        <v>2653</v>
      </c>
      <c r="J167" s="11" t="s">
        <v>2288</v>
      </c>
    </row>
    <row r="168" customFormat="false" ht="15" hidden="false" customHeight="false" outlineLevel="0" collapsed="false">
      <c r="A168" s="4" t="s">
        <v>2680</v>
      </c>
      <c r="B168" s="4" t="s">
        <v>2615</v>
      </c>
      <c r="C168" s="4" t="s">
        <v>2651</v>
      </c>
      <c r="D168" s="6"/>
      <c r="E168" s="4" t="s">
        <v>1562</v>
      </c>
      <c r="F168" s="116"/>
      <c r="G168" s="116" t="s">
        <v>2676</v>
      </c>
      <c r="H168" s="116"/>
      <c r="I168" s="11" t="s">
        <v>2653</v>
      </c>
      <c r="J168" s="11" t="s">
        <v>2288</v>
      </c>
    </row>
    <row r="169" customFormat="false" ht="15" hidden="false" customHeight="false" outlineLevel="0" collapsed="false">
      <c r="A169" s="4" t="s">
        <v>2681</v>
      </c>
      <c r="B169" s="4" t="s">
        <v>2627</v>
      </c>
      <c r="C169" s="4" t="s">
        <v>2651</v>
      </c>
      <c r="D169" s="6"/>
      <c r="E169" s="4" t="s">
        <v>1562</v>
      </c>
      <c r="F169" s="116"/>
      <c r="G169" s="116" t="s">
        <v>2676</v>
      </c>
      <c r="H169" s="116"/>
      <c r="I169" s="11" t="s">
        <v>2653</v>
      </c>
      <c r="J169" s="11" t="s">
        <v>2288</v>
      </c>
    </row>
    <row r="170" customFormat="false" ht="15" hidden="false" customHeight="false" outlineLevel="0" collapsed="false">
      <c r="A170" s="4" t="s">
        <v>2682</v>
      </c>
      <c r="B170" s="4" t="s">
        <v>2639</v>
      </c>
      <c r="C170" s="4" t="s">
        <v>2651</v>
      </c>
      <c r="D170" s="6"/>
      <c r="E170" s="4" t="s">
        <v>1562</v>
      </c>
      <c r="F170" s="116"/>
      <c r="G170" s="116" t="s">
        <v>2676</v>
      </c>
      <c r="H170" s="116"/>
      <c r="I170" s="11" t="s">
        <v>2653</v>
      </c>
      <c r="J170" s="11" t="s">
        <v>2288</v>
      </c>
    </row>
    <row r="171" customFormat="false" ht="15" hidden="false" customHeight="false" outlineLevel="0" collapsed="false">
      <c r="A171" s="4" t="s">
        <v>2683</v>
      </c>
      <c r="B171" s="4" t="s">
        <v>2684</v>
      </c>
      <c r="C171" s="4" t="s">
        <v>2685</v>
      </c>
      <c r="D171" s="11" t="s">
        <v>2574</v>
      </c>
      <c r="E171" s="4" t="s">
        <v>1562</v>
      </c>
      <c r="F171" s="114" t="n">
        <v>36.2295980753679</v>
      </c>
      <c r="G171" s="114" t="n">
        <v>49.5137840363362</v>
      </c>
      <c r="H171" s="114" t="n">
        <v>78.4974624966305</v>
      </c>
      <c r="I171" s="11" t="s">
        <v>2686</v>
      </c>
      <c r="J171" s="11" t="s">
        <v>2288</v>
      </c>
    </row>
    <row r="172" customFormat="false" ht="15" hidden="false" customHeight="false" outlineLevel="0" collapsed="false">
      <c r="A172" s="4" t="s">
        <v>2687</v>
      </c>
      <c r="B172" s="4" t="s">
        <v>2688</v>
      </c>
      <c r="C172" s="4" t="s">
        <v>2685</v>
      </c>
      <c r="D172" s="11" t="s">
        <v>2574</v>
      </c>
      <c r="E172" s="4" t="s">
        <v>1562</v>
      </c>
      <c r="F172" s="114" t="n">
        <v>36.2295980753679</v>
      </c>
      <c r="G172" s="114" t="n">
        <v>36.2295980753679</v>
      </c>
      <c r="H172" s="114" t="n">
        <v>78.4974624966305</v>
      </c>
      <c r="I172" s="11" t="s">
        <v>2689</v>
      </c>
      <c r="J172" s="11" t="s">
        <v>2288</v>
      </c>
    </row>
    <row r="173" customFormat="false" ht="15" hidden="false" customHeight="false" outlineLevel="0" collapsed="false">
      <c r="A173" s="4" t="s">
        <v>2690</v>
      </c>
      <c r="B173" s="4" t="s">
        <v>2691</v>
      </c>
      <c r="C173" s="4" t="s">
        <v>2685</v>
      </c>
      <c r="D173" s="11" t="s">
        <v>2574</v>
      </c>
      <c r="E173" s="4" t="s">
        <v>1562</v>
      </c>
      <c r="F173" s="114" t="n">
        <v>36.2295980753679</v>
      </c>
      <c r="G173" s="114" t="n">
        <v>78.4974624966305</v>
      </c>
      <c r="H173" s="114" t="n">
        <v>78.4974624966305</v>
      </c>
      <c r="I173" s="11" t="s">
        <v>2692</v>
      </c>
      <c r="J173" s="11" t="s">
        <v>2288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2026-10-25T02:11:23Z</dcterms:created>
  <dc:creator>openpyxl</dc:creator>
  <dc:description/>
  <dc:language>en-US</dc:language>
  <cp:lastModifiedBy/>
  <dcterms:modified xsi:type="dcterms:W3CDTF">2026-10-25T02:11:23Z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