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9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導覽" sheetId="1" state="visible" r:id="rId3"/>
    <sheet name="摘要" sheetId="2" state="visible" r:id="rId4"/>
    <sheet name="輸入與假設" sheetId="3" state="visible" r:id="rId5"/>
    <sheet name="各期收支" sheetId="4" state="visible" r:id="rId6"/>
    <sheet name="季度追蹤" sheetId="5" state="visible" r:id="rId7"/>
    <sheet name="運營_產能與收入" sheetId="6" state="visible" r:id="rId8"/>
    <sheet name="運營_站點" sheetId="7" state="visible" r:id="rId9"/>
    <sheet name="資產負債_既有債務" sheetId="8" state="visible" r:id="rId10"/>
    <sheet name="資產負債_新債與新股" sheetId="9" state="visible" r:id="rId11"/>
    <sheet name="資產負債_租賃承諾" sheetId="10" state="visible" r:id="rId12"/>
    <sheet name="損益" sheetId="11" state="visible" r:id="rId13"/>
    <sheet name="評價_DCF與目標價" sheetId="12" state="visible" r:id="rId14"/>
    <sheet name="評價_反向DCF" sheetId="13" state="visible" r:id="rId15"/>
    <sheet name="評價_可比公司" sheetId="14" state="visible" r:id="rId16"/>
    <sheet name="AI增量報酬" sheetId="15" state="visible" r:id="rId17"/>
    <sheet name="檢查_連動" sheetId="16" state="visible" r:id="rId18"/>
    <sheet name="檢查_版本紀錄" sheetId="17" state="visible" r:id="rId19"/>
    <sheet name="來源" sheetId="18" state="visible" r:id="rId20"/>
    <sheet name="Tokenomics_取數" sheetId="19" state="visible" r:id="rId21"/>
  </sheets>
  <definedNames>
    <definedName function="false" hidden="false" name="TK_AvgDraw_GB200" vbProcedure="false">Tokenomics_取數!$G$87</definedName>
    <definedName function="false" hidden="false" name="TK_AvgDraw_GB300" vbProcedure="false">Tokenomics_取數!$G$88</definedName>
    <definedName function="false" hidden="false" name="TK_AvgDraw_H100" vbProcedure="false">Tokenomics_取數!$G$86</definedName>
    <definedName function="false" hidden="false" name="TK_AvgDraw_RU" vbProcedure="false">Tokenomics_取數!$G$90</definedName>
    <definedName function="false" hidden="false" name="TK_AvgDraw_VR200" vbProcedure="false">Tokenomics_取數!$G$89</definedName>
    <definedName function="false" hidden="false" name="TK_CapexFacility_GB200" vbProcedure="false">Tokenomics_取數!$G$26</definedName>
    <definedName function="false" hidden="false" name="TK_CapexFacility_GB300" vbProcedure="false">Tokenomics_取數!$G$27</definedName>
    <definedName function="false" hidden="false" name="TK_CapexFacility_H100" vbProcedure="false">Tokenomics_取數!$G$25</definedName>
    <definedName function="false" hidden="false" name="TK_CapexFacility_RU" vbProcedure="false">Tokenomics_取數!$G$29</definedName>
    <definedName function="false" hidden="false" name="TK_CapexFacility_VR200" vbProcedure="false">Tokenomics_取數!$G$28</definedName>
    <definedName function="false" hidden="false" name="TK_CapexIT_GB200" vbProcedure="false">Tokenomics_取數!$G$21</definedName>
    <definedName function="false" hidden="false" name="TK_CapexIT_GB300" vbProcedure="false">Tokenomics_取數!$G$22</definedName>
    <definedName function="false" hidden="false" name="TK_CapexIT_H100" vbProcedure="false">Tokenomics_取數!$G$20</definedName>
    <definedName function="false" hidden="false" name="TK_CapexIT_RU" vbProcedure="false">Tokenomics_取數!$G$24</definedName>
    <definedName function="false" hidden="false" name="TK_CapexIT_VR200" vbProcedure="false">Tokenomics_取數!$G$23</definedName>
    <definedName function="false" hidden="false" name="TK_CapexTotal_GB200" vbProcedure="false">Tokenomics_取數!$G$31</definedName>
    <definedName function="false" hidden="false" name="TK_CapexTotal_GB300" vbProcedure="false">Tokenomics_取數!$G$32</definedName>
    <definedName function="false" hidden="false" name="TK_CapexTotal_H100" vbProcedure="false">Tokenomics_取數!$G$30</definedName>
    <definedName function="false" hidden="false" name="TK_CapexTotal_RU" vbProcedure="false">Tokenomics_取數!$G$34</definedName>
    <definedName function="false" hidden="false" name="TK_CapexTotal_VR200" vbProcedure="false">Tokenomics_取數!$G$33</definedName>
    <definedName function="false" hidden="false" name="TK_DeprFac_GB200" vbProcedure="false">Tokenomics_取數!$G$47</definedName>
    <definedName function="false" hidden="false" name="TK_DeprFac_GB300" vbProcedure="false">Tokenomics_取數!$G$48</definedName>
    <definedName function="false" hidden="false" name="TK_DeprFac_H100" vbProcedure="false">Tokenomics_取數!$G$46</definedName>
    <definedName function="false" hidden="false" name="TK_DeprFac_RU" vbProcedure="false">Tokenomics_取數!$G$50</definedName>
    <definedName function="false" hidden="false" name="TK_DeprFac_VR200" vbProcedure="false">Tokenomics_取數!$G$49</definedName>
    <definedName function="false" hidden="false" name="TK_DeprIT_GB200" vbProcedure="false">Tokenomics_取數!$G$42</definedName>
    <definedName function="false" hidden="false" name="TK_DeprIT_GB300" vbProcedure="false">Tokenomics_取數!$G$43</definedName>
    <definedName function="false" hidden="false" name="TK_DeprIT_H100" vbProcedure="false">Tokenomics_取數!$G$41</definedName>
    <definedName function="false" hidden="false" name="TK_DeprIT_RU" vbProcedure="false">Tokenomics_取數!$G$45</definedName>
    <definedName function="false" hidden="false" name="TK_DeprIT_VR200" vbProcedure="false">Tokenomics_取數!$G$44</definedName>
    <definedName function="false" hidden="false" name="TK_DeprLifeIT_GB200" vbProcedure="false">Tokenomics_取數!$G$37</definedName>
    <definedName function="false" hidden="false" name="TK_DeprLifeIT_GB300" vbProcedure="false">Tokenomics_取數!$G$38</definedName>
    <definedName function="false" hidden="false" name="TK_DeprLifeIT_H100" vbProcedure="false">Tokenomics_取數!$G$36</definedName>
    <definedName function="false" hidden="false" name="TK_DeprLifeIT_RU" vbProcedure="false">Tokenomics_取數!$G$40</definedName>
    <definedName function="false" hidden="false" name="TK_DeprLifeIT_VR200" vbProcedure="false">Tokenomics_取數!$G$39</definedName>
    <definedName function="false" hidden="false" name="TK_FacCapexMW" vbProcedure="false">Tokenomics_取數!$G$35</definedName>
    <definedName function="false" hidden="false" name="TK_FacilityGW_GB200" vbProcedure="false">Tokenomics_取數!$G$92</definedName>
    <definedName function="false" hidden="false" name="TK_FacilityGW_GB300" vbProcedure="false">Tokenomics_取數!$G$93</definedName>
    <definedName function="false" hidden="false" name="TK_FacilityGW_H100" vbProcedure="false">Tokenomics_取數!$G$91</definedName>
    <definedName function="false" hidden="false" name="TK_FacilityGW_RU" vbProcedure="false">Tokenomics_取數!$G$95</definedName>
    <definedName function="false" hidden="false" name="TK_FacilityGW_VR200" vbProcedure="false">Tokenomics_取數!$G$94</definedName>
    <definedName function="false" hidden="false" name="TK_GPUhrEcon_GB200" vbProcedure="false">Tokenomics_取數!$G$16</definedName>
    <definedName function="false" hidden="false" name="TK_GPUhrEcon_GB300" vbProcedure="false">Tokenomics_取數!$G$17</definedName>
    <definedName function="false" hidden="false" name="TK_GPUhrEcon_H100" vbProcedure="false">Tokenomics_取數!$G$15</definedName>
    <definedName function="false" hidden="false" name="TK_GPUhrEcon_RU" vbProcedure="false">Tokenomics_取數!$G$19</definedName>
    <definedName function="false" hidden="false" name="TK_GPUhrEcon_VR200" vbProcedure="false">Tokenomics_取數!$G$18</definedName>
    <definedName function="false" hidden="false" name="TK_GPUhr_GB200" vbProcedure="false">Tokenomics_取數!$G$113</definedName>
    <definedName function="false" hidden="false" name="TK_GPUhr_GB300" vbProcedure="false">Tokenomics_取數!$G$114</definedName>
    <definedName function="false" hidden="false" name="TK_GPUhr_Hopper" vbProcedure="false">Tokenomics_取數!$G$112</definedName>
    <definedName function="false" hidden="false" name="TK_GPUhr_VR200" vbProcedure="false">Tokenomics_取數!$G$115</definedName>
    <definedName function="false" hidden="false" name="TK_GPUsPerGW_GB200" vbProcedure="false">Tokenomics_取數!$G$97</definedName>
    <definedName function="false" hidden="false" name="TK_GPUsPerGW_GB300" vbProcedure="false">Tokenomics_取數!$G$98</definedName>
    <definedName function="false" hidden="false" name="TK_GPUsPerGW_H100" vbProcedure="false">Tokenomics_取數!$G$96</definedName>
    <definedName function="false" hidden="false" name="TK_GPUsPerGW_RU" vbProcedure="false">Tokenomics_取數!$G$100</definedName>
    <definedName function="false" hidden="false" name="TK_GPUsPerGW_VR200" vbProcedure="false">Tokenomics_取數!$G$99</definedName>
    <definedName function="false" hidden="false" name="TK_HoldAcct_GB200" vbProcedure="false">Tokenomics_取數!$G$11</definedName>
    <definedName function="false" hidden="false" name="TK_HoldAcct_GB300" vbProcedure="false">Tokenomics_取數!$G$12</definedName>
    <definedName function="false" hidden="false" name="TK_HoldAcct_H100" vbProcedure="false">Tokenomics_取數!$G$10</definedName>
    <definedName function="false" hidden="false" name="TK_HoldAcct_RU" vbProcedure="false">Tokenomics_取數!$G$14</definedName>
    <definedName function="false" hidden="false" name="TK_HoldAcct_VR200" vbProcedure="false">Tokenomics_取數!$G$13</definedName>
    <definedName function="false" hidden="false" name="TK_HoldEconGW_GB200" vbProcedure="false">Tokenomics_取數!$G$117</definedName>
    <definedName function="false" hidden="false" name="TK_HoldEconGW_GB300" vbProcedure="false">Tokenomics_取數!$G$118</definedName>
    <definedName function="false" hidden="false" name="TK_HoldEconGW_Hopper" vbProcedure="false">Tokenomics_取數!$G$116</definedName>
    <definedName function="false" hidden="false" name="TK_HoldEconGW_VR200" vbProcedure="false">Tokenomics_取數!$G$119</definedName>
    <definedName function="false" hidden="false" name="TK_HoldEcon_GB200" vbProcedure="false">Tokenomics_取數!$G$6</definedName>
    <definedName function="false" hidden="false" name="TK_HoldEcon_GB300" vbProcedure="false">Tokenomics_取數!$G$7</definedName>
    <definedName function="false" hidden="false" name="TK_HoldEcon_H100" vbProcedure="false">Tokenomics_取數!$G$5</definedName>
    <definedName function="false" hidden="false" name="TK_HoldEcon_RU" vbProcedure="false">Tokenomics_取數!$G$9</definedName>
    <definedName function="false" hidden="false" name="TK_HoldEcon_VR200" vbProcedure="false">Tokenomics_取數!$G$8</definedName>
    <definedName function="false" hidden="false" name="TK_MaintFac_GB200" vbProcedure="false">Tokenomics_取數!$G$72</definedName>
    <definedName function="false" hidden="false" name="TK_MaintFac_GB300" vbProcedure="false">Tokenomics_取數!$G$73</definedName>
    <definedName function="false" hidden="false" name="TK_MaintFac_H100" vbProcedure="false">Tokenomics_取數!$G$71</definedName>
    <definedName function="false" hidden="false" name="TK_MaintFac_RU" vbProcedure="false">Tokenomics_取數!$G$75</definedName>
    <definedName function="false" hidden="false" name="TK_MaintFac_VR200" vbProcedure="false">Tokenomics_取數!$G$74</definedName>
    <definedName function="false" hidden="false" name="TK_MaintIT_GB200" vbProcedure="false">Tokenomics_取數!$G$67</definedName>
    <definedName function="false" hidden="false" name="TK_MaintIT_GB300" vbProcedure="false">Tokenomics_取數!$G$68</definedName>
    <definedName function="false" hidden="false" name="TK_MaintIT_H100" vbProcedure="false">Tokenomics_取數!$G$66</definedName>
    <definedName function="false" hidden="false" name="TK_MaintIT_RU" vbProcedure="false">Tokenomics_取數!$G$70</definedName>
    <definedName function="false" hidden="false" name="TK_MaintIT_VR200" vbProcedure="false">Tokenomics_取數!$G$69</definedName>
    <definedName function="false" hidden="false" name="TK_NvContentGW_VR200" vbProcedure="false">Tokenomics_取數!$G$120</definedName>
    <definedName function="false" hidden="false" name="TK_OpexGW_GB200" vbProcedure="false">Tokenomics_取數!$G$52</definedName>
    <definedName function="false" hidden="false" name="TK_OpexGW_GB300" vbProcedure="false">Tokenomics_取數!$G$53</definedName>
    <definedName function="false" hidden="false" name="TK_OpexGW_H100" vbProcedure="false">Tokenomics_取數!$G$51</definedName>
    <definedName function="false" hidden="false" name="TK_OpexGW_RU" vbProcedure="false">Tokenomics_取數!$G$55</definedName>
    <definedName function="false" hidden="false" name="TK_OpexGW_VR200" vbProcedure="false">Tokenomics_取數!$G$54</definedName>
    <definedName function="false" hidden="false" name="TK_PowerCost_GB200" vbProcedure="false">Tokenomics_取數!$G$62</definedName>
    <definedName function="false" hidden="false" name="TK_PowerCost_GB300" vbProcedure="false">Tokenomics_取數!$G$63</definedName>
    <definedName function="false" hidden="false" name="TK_PowerCost_H100" vbProcedure="false">Tokenomics_取數!$G$61</definedName>
    <definedName function="false" hidden="false" name="TK_PowerCost_RU" vbProcedure="false">Tokenomics_取數!$G$65</definedName>
    <definedName function="false" hidden="false" name="TK_PowerCost_VR200" vbProcedure="false">Tokenomics_取數!$G$64</definedName>
    <definedName function="false" hidden="false" name="TK_PowerPrice_GB200" vbProcedure="false">Tokenomics_取數!$G$57</definedName>
    <definedName function="false" hidden="false" name="TK_PowerPrice_GB300" vbProcedure="false">Tokenomics_取數!$G$58</definedName>
    <definedName function="false" hidden="false" name="TK_PowerPrice_H100" vbProcedure="false">Tokenomics_取數!$G$56</definedName>
    <definedName function="false" hidden="false" name="TK_PowerPrice_RU" vbProcedure="false">Tokenomics_取數!$G$60</definedName>
    <definedName function="false" hidden="false" name="TK_PowerPrice_VR200" vbProcedure="false">Tokenomics_取數!$G$59</definedName>
    <definedName function="false" hidden="false" name="TK_RacksPerGW_GB200" vbProcedure="false">Tokenomics_取數!$G$102</definedName>
    <definedName function="false" hidden="false" name="TK_RacksPerGW_GB300" vbProcedure="false">Tokenomics_取數!$G$103</definedName>
    <definedName function="false" hidden="false" name="TK_RacksPerGW_H100" vbProcedure="false">Tokenomics_取數!$G$101</definedName>
    <definedName function="false" hidden="false" name="TK_RacksPerGW_RU" vbProcedure="false">Tokenomics_取數!$G$105</definedName>
    <definedName function="false" hidden="false" name="TK_RacksPerGW_VR200" vbProcedure="false">Tokenomics_取數!$G$104</definedName>
    <definedName function="false" hidden="false" name="TK_RevGWFleet_GB200" vbProcedure="false">Tokenomics_取數!$G$108</definedName>
    <definedName function="false" hidden="false" name="TK_RevGWFleet_GB300" vbProcedure="false">Tokenomics_取數!$G$109</definedName>
    <definedName function="false" hidden="false" name="TK_RevGWFleet_H100" vbProcedure="false">Tokenomics_取數!$G$107</definedName>
    <definedName function="false" hidden="false" name="TK_RevGWFleet_RU" vbProcedure="false">Tokenomics_取數!$G$111</definedName>
    <definedName function="false" hidden="false" name="TK_RevGWFleet_VR200" vbProcedure="false">Tokenomics_取數!$G$110</definedName>
    <definedName function="false" hidden="false" name="TK_StaffSW_GB200" vbProcedure="false">Tokenomics_取數!$G$77</definedName>
    <definedName function="false" hidden="false" name="TK_StaffSW_GB300" vbProcedure="false">Tokenomics_取數!$G$78</definedName>
    <definedName function="false" hidden="false" name="TK_StaffSW_H100" vbProcedure="false">Tokenomics_取數!$G$76</definedName>
    <definedName function="false" hidden="false" name="TK_StaffSW_RU" vbProcedure="false">Tokenomics_取數!$G$80</definedName>
    <definedName function="false" hidden="false" name="TK_StaffSW_VR200" vbProcedure="false">Tokenomics_取數!$G$79</definedName>
    <definedName function="false" hidden="false" name="TK_TaxIns_GB200" vbProcedure="false">Tokenomics_取數!$G$82</definedName>
    <definedName function="false" hidden="false" name="TK_TaxIns_GB300" vbProcedure="false">Tokenomics_取數!$G$83</definedName>
    <definedName function="false" hidden="false" name="TK_TaxIns_H100" vbProcedure="false">Tokenomics_取數!$G$81</definedName>
    <definedName function="false" hidden="false" name="TK_TaxIns_RU" vbProcedure="false">Tokenomics_取數!$G$85</definedName>
    <definedName function="false" hidden="false" name="TK_TaxIns_VR200" vbProcedure="false">Tokenomics_取數!$G$84</definedName>
    <definedName function="false" hidden="false" name="TK_Util" vbProcedure="false">Tokenomics_取數!$G$106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<sst xmlns="http://schemas.openxmlformats.org/spreadsheetml/2006/main" count="4503" uniqueCount="2527">
  <si>
    <r>
      <rPr>
        <b val="true"/>
        <sz val="14"/>
        <rFont val="Arial"/>
        <family val="0"/>
        <charset val="1"/>
      </rPr>
      <t xml:space="preserve">Alphabet </t>
    </r>
    <r>
      <rPr>
        <b val="true"/>
        <sz val="14"/>
        <rFont val="Noto Sans CJK SC"/>
        <family val="2"/>
      </rPr>
      <t xml:space="preserve">收支與評價模型 — </t>
    </r>
    <r>
      <rPr>
        <b val="true"/>
        <sz val="14"/>
        <rFont val="Arial"/>
        <family val="0"/>
        <charset val="1"/>
      </rPr>
      <t xml:space="preserve">Excel </t>
    </r>
    <r>
      <rPr>
        <b val="true"/>
        <sz val="14"/>
        <rFont val="Noto Sans CJK SC"/>
        <family val="2"/>
      </rPr>
      <t xml:space="preserve">版 </t>
    </r>
    <r>
      <rPr>
        <b val="true"/>
        <sz val="14"/>
        <rFont val="Arial"/>
        <family val="0"/>
        <charset val="1"/>
      </rPr>
      <t xml:space="preserve">v0.1</t>
    </r>
    <r>
      <rPr>
        <b val="true"/>
        <sz val="14"/>
        <rFont val="Noto Sans CJK SC"/>
        <family val="2"/>
      </rPr>
      <t xml:space="preserve">（更新 </t>
    </r>
    <r>
      <rPr>
        <b val="true"/>
        <sz val="14"/>
        <rFont val="Arial"/>
        <family val="0"/>
        <charset val="1"/>
      </rPr>
      <t xml:space="preserve">2026-10-09</t>
    </r>
    <r>
      <rPr>
        <b val="true"/>
        <sz val="14"/>
        <rFont val="Noto Sans CJK SC"/>
        <family val="2"/>
      </rPr>
      <t xml:space="preserve">；與 </t>
    </r>
    <r>
      <rPr>
        <b val="true"/>
        <sz val="14"/>
        <rFont val="Arial"/>
        <family val="0"/>
        <charset val="1"/>
      </rPr>
      <t xml:space="preserve">HTML v0.1 </t>
    </r>
    <r>
      <rPr>
        <b val="true"/>
        <sz val="14"/>
        <rFont val="Noto Sans CJK SC"/>
        <family val="2"/>
      </rPr>
      <t xml:space="preserve">同步；市價截至 </t>
    </r>
    <r>
      <rPr>
        <b val="true"/>
        <sz val="14"/>
        <rFont val="Arial"/>
        <family val="0"/>
        <charset val="1"/>
      </rPr>
      <t xml:space="preserve">2026-10-07 </t>
    </r>
    <r>
      <rPr>
        <b val="true"/>
        <sz val="14"/>
        <rFont val="Noto Sans CJK SC"/>
        <family val="2"/>
      </rPr>
      <t xml:space="preserve">收盤）</t>
    </r>
  </si>
  <si>
    <t xml:space="preserve">這個活頁簿在回答什麼</t>
  </si>
  <si>
    <r>
      <rPr>
        <sz val="10"/>
        <rFont val="Noto Sans CJK SC"/>
        <family val="2"/>
      </rPr>
      <t xml:space="preserve">一句話：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資本支出有沒有賺到資金成本：每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收入能否覆蓋每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全成本——</t>
    </r>
    <r>
      <rPr>
        <sz val="10"/>
        <rFont val="Arial"/>
        <family val="0"/>
        <charset val="1"/>
      </rPr>
      <t xml:space="preserve">Alphabet </t>
    </r>
    <r>
      <rPr>
        <sz val="10"/>
        <rFont val="Noto Sans CJK SC"/>
        <family val="2"/>
      </rPr>
      <t xml:space="preserve">用客戶預付款支應多少擴張資本支出，剩下的缺口要靠多少債務與新股。</t>
    </r>
  </si>
  <si>
    <t xml:space="preserve">所有分頁用同一組數字，改任何一個輸入，後面全部會跟著動。</t>
  </si>
  <si>
    <t xml:space="preserve">分頁結構（依模組分組，分頁標籤顏色相同者為同一模組）</t>
  </si>
  <si>
    <t xml:space="preserve">摘要            一頁摘要：結論、與市場共識的差異、現價隱含什麼、驗證點（全部活公式）。</t>
  </si>
  <si>
    <r>
      <rPr>
        <sz val="10"/>
        <rFont val="Noto Sans CJK SC"/>
        <family val="2"/>
      </rPr>
      <t xml:space="preserve">輸入與假設      所有可調參數（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情境 → 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產能與收入 → </t>
    </r>
    <r>
      <rPr>
        <sz val="10"/>
        <rFont val="Arial"/>
        <family val="0"/>
        <charset val="1"/>
      </rPr>
      <t xml:space="preserve">C </t>
    </r>
    <r>
      <rPr>
        <sz val="10"/>
        <rFont val="Noto Sans CJK SC"/>
        <family val="2"/>
      </rPr>
      <t xml:space="preserve">利潤率 → </t>
    </r>
    <r>
      <rPr>
        <sz val="10"/>
        <rFont val="Arial"/>
        <family val="0"/>
        <charset val="1"/>
      </rPr>
      <t xml:space="preserve">D </t>
    </r>
    <r>
      <rPr>
        <sz val="10"/>
        <rFont val="Noto Sans CJK SC"/>
        <family val="2"/>
      </rPr>
      <t xml:space="preserve">支出 → </t>
    </r>
    <r>
      <rPr>
        <sz val="10"/>
        <rFont val="Arial"/>
        <family val="0"/>
        <charset val="1"/>
      </rPr>
      <t xml:space="preserve">E </t>
    </r>
    <r>
      <rPr>
        <sz val="10"/>
        <rFont val="Noto Sans CJK SC"/>
        <family val="2"/>
      </rPr>
      <t xml:space="preserve">融資 → </t>
    </r>
    <r>
      <rPr>
        <sz val="10"/>
        <rFont val="Arial"/>
        <family val="0"/>
        <charset val="1"/>
      </rPr>
      <t xml:space="preserve">F </t>
    </r>
    <r>
      <rPr>
        <sz val="10"/>
        <rFont val="Noto Sans CJK SC"/>
        <family val="2"/>
      </rPr>
      <t xml:space="preserve">評價 → </t>
    </r>
    <r>
      <rPr>
        <sz val="10"/>
        <rFont val="Arial"/>
        <family val="0"/>
        <charset val="1"/>
      </rPr>
      <t xml:space="preserve">G 1H </t>
    </r>
    <r>
      <rPr>
        <sz val="10"/>
        <rFont val="Noto Sans CJK SC"/>
        <family val="2"/>
      </rPr>
      <t xml:space="preserve">實際 → </t>
    </r>
    <r>
      <rPr>
        <sz val="10"/>
        <rFont val="Arial"/>
        <family val="0"/>
        <charset val="1"/>
      </rPr>
      <t xml:space="preserve">H </t>
    </r>
    <r>
      <rPr>
        <sz val="10"/>
        <rFont val="Noto Sans CJK SC"/>
        <family val="2"/>
      </rPr>
      <t xml:space="preserve">情境區間運算表 → </t>
    </r>
    <r>
      <rPr>
        <sz val="10"/>
        <rFont val="Arial"/>
        <family val="0"/>
        <charset val="1"/>
      </rPr>
      <t xml:space="preserve">I </t>
    </r>
    <r>
      <rPr>
        <sz val="10"/>
        <rFont val="Noto Sans CJK SC"/>
        <family val="2"/>
      </rPr>
      <t xml:space="preserve">市場共識 → 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季度追蹤輸入）。</t>
    </r>
  </si>
  <si>
    <t xml:space="preserve">各期收支        類現金流量：來源（含客戶預付）、用途、融資前缺口、期前融資瀑布。</t>
  </si>
  <si>
    <r>
      <rPr>
        <sz val="10"/>
        <rFont val="Noto Sans CJK SC"/>
        <family val="2"/>
      </rPr>
      <t xml:space="preserve">季度追蹤        焦點季的模型／共識／指引／實際與差距（由年度模型拆分，只用於追蹤；實際數填在輸入與假設 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區）。</t>
    </r>
  </si>
  <si>
    <r>
      <rPr>
        <sz val="10"/>
        <rFont val="Noto Sans CJK SC"/>
        <family val="2"/>
      </rPr>
      <t xml:space="preserve">運營</t>
    </r>
    <r>
      <rPr>
        <sz val="10"/>
        <rFont val="Arial"/>
        <family val="0"/>
        <charset val="1"/>
      </rPr>
      <t xml:space="preserve">_</t>
    </r>
    <r>
      <rPr>
        <sz val="10"/>
        <rFont val="Noto Sans CJK SC"/>
        <family val="2"/>
      </rPr>
      <t xml:space="preserve">產能與收入  已連網 </t>
    </r>
    <r>
      <rPr>
        <sz val="10"/>
        <rFont val="Arial"/>
        <family val="0"/>
        <charset val="1"/>
      </rPr>
      <t xml:space="preserve">MW → </t>
    </r>
    <r>
      <rPr>
        <sz val="10"/>
        <rFont val="Noto Sans CJK SC"/>
        <family val="2"/>
      </rPr>
      <t xml:space="preserve">在役 </t>
    </r>
    <r>
      <rPr>
        <sz val="10"/>
        <rFont val="Arial"/>
        <family val="0"/>
        <charset val="1"/>
      </rPr>
      <t xml:space="preserve">MW → </t>
    </r>
    <r>
      <rPr>
        <sz val="10"/>
        <rFont val="Noto Sans CJK SC"/>
        <family val="2"/>
      </rPr>
      <t xml:space="preserve">營收（</t>
    </r>
    <r>
      <rPr>
        <sz val="10"/>
        <rFont val="Arial"/>
        <family val="0"/>
        <charset val="1"/>
      </rPr>
      <t xml:space="preserve">MW ×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利用率）；</t>
    </r>
    <r>
      <rPr>
        <sz val="10"/>
        <rFont val="Arial"/>
        <family val="0"/>
        <charset val="1"/>
      </rPr>
      <t xml:space="preserve">RPO </t>
    </r>
    <r>
      <rPr>
        <sz val="10"/>
        <rFont val="Noto Sans CJK SC"/>
        <family val="2"/>
      </rPr>
      <t xml:space="preserve">排程只作對照與產能瓶頸旗標。</t>
    </r>
  </si>
  <si>
    <r>
      <rPr>
        <sz val="10"/>
        <rFont val="Noto Sans CJK SC"/>
        <family val="2"/>
      </rPr>
      <t xml:space="preserve">資產負債</t>
    </r>
    <r>
      <rPr>
        <sz val="10"/>
        <rFont val="Arial"/>
        <family val="0"/>
        <charset val="1"/>
      </rPr>
      <t xml:space="preserve">_</t>
    </r>
    <r>
      <rPr>
        <sz val="10"/>
        <rFont val="Noto Sans CJK SC"/>
        <family val="2"/>
      </rPr>
      <t xml:space="preserve">既有債務／新債與新股／租賃承諾  類資產負債表：季報債務明細、每期現金與總債務與股數、租賃承諾。</t>
    </r>
  </si>
  <si>
    <r>
      <rPr>
        <sz val="10"/>
        <rFont val="Noto Sans CJK SC"/>
        <family val="2"/>
      </rPr>
      <t xml:space="preserve">損益            類損益表（</t>
    </r>
    <r>
      <rPr>
        <sz val="10"/>
        <rFont val="Arial"/>
        <family val="0"/>
        <charset val="1"/>
      </rPr>
      <t xml:space="preserve">2026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實際＋下半年模型）。</t>
    </r>
  </si>
  <si>
    <r>
      <rPr>
        <sz val="10"/>
        <rFont val="Noto Sans CJK SC"/>
        <family val="2"/>
      </rPr>
      <t xml:space="preserve">評價</t>
    </r>
    <r>
      <rPr>
        <sz val="10"/>
        <rFont val="Arial"/>
        <family val="0"/>
        <charset val="1"/>
      </rPr>
      <t xml:space="preserve">_DCF</t>
    </r>
    <r>
      <rPr>
        <sz val="10"/>
        <rFont val="Noto Sans CJK SC"/>
        <family val="2"/>
      </rPr>
      <t xml:space="preserve">與目標價／評價</t>
    </r>
    <r>
      <rPr>
        <sz val="10"/>
        <rFont val="Arial"/>
        <family val="0"/>
        <charset val="1"/>
      </rPr>
      <t xml:space="preserve">_</t>
    </r>
    <r>
      <rPr>
        <sz val="10"/>
        <rFont val="Noto Sans CJK SC"/>
        <family val="2"/>
      </rPr>
      <t xml:space="preserve">可比公司  </t>
    </r>
    <r>
      <rPr>
        <sz val="10"/>
        <rFont val="Arial"/>
        <family val="0"/>
        <charset val="1"/>
      </rPr>
      <t xml:space="preserve">DCF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EV/EBITDA</t>
    </r>
    <r>
      <rPr>
        <sz val="10"/>
        <rFont val="Noto Sans CJK SC"/>
        <family val="2"/>
      </rPr>
      <t xml:space="preserve">、加權目標價；同業 </t>
    </r>
    <r>
      <rPr>
        <sz val="10"/>
        <rFont val="Arial"/>
        <family val="0"/>
        <charset val="1"/>
      </rPr>
      <t xml:space="preserve">EV/Sales </t>
    </r>
    <r>
      <rPr>
        <sz val="10"/>
        <rFont val="Noto Sans CJK SC"/>
        <family val="2"/>
      </rPr>
      <t xml:space="preserve">比較。</t>
    </r>
  </si>
  <si>
    <r>
      <rPr>
        <sz val="10"/>
        <rFont val="Noto Sans CJK SC"/>
        <family val="2"/>
      </rPr>
      <t xml:space="preserve">評價</t>
    </r>
    <r>
      <rPr>
        <sz val="10"/>
        <rFont val="Arial"/>
        <family val="0"/>
        <charset val="1"/>
      </rPr>
      <t xml:space="preserve">_</t>
    </r>
    <r>
      <rPr>
        <sz val="10"/>
        <rFont val="Noto Sans CJK SC"/>
        <family val="2"/>
      </rPr>
      <t xml:space="preserve">反向</t>
    </r>
    <r>
      <rPr>
        <sz val="10"/>
        <rFont val="Arial"/>
        <family val="0"/>
        <charset val="1"/>
      </rPr>
      <t xml:space="preserve">DCF    </t>
    </r>
    <r>
      <rPr>
        <sz val="10"/>
        <rFont val="Noto Sans CJK SC"/>
        <family val="2"/>
      </rPr>
      <t xml:space="preserve">現價隱含的收入與成本。</t>
    </r>
  </si>
  <si>
    <r>
      <rPr>
        <sz val="10"/>
        <rFont val="Noto Sans CJK SC"/>
        <family val="2"/>
      </rPr>
      <t xml:space="preserve">檢查</t>
    </r>
    <r>
      <rPr>
        <sz val="10"/>
        <rFont val="Arial"/>
        <family val="0"/>
        <charset val="1"/>
      </rPr>
      <t xml:space="preserve">_</t>
    </r>
    <r>
      <rPr>
        <sz val="10"/>
        <rFont val="Noto Sans CJK SC"/>
        <family val="2"/>
      </rPr>
      <t xml:space="preserve">連動／檢查</t>
    </r>
    <r>
      <rPr>
        <sz val="10"/>
        <rFont val="Arial"/>
        <family val="0"/>
        <charset val="1"/>
      </rPr>
      <t xml:space="preserve">_</t>
    </r>
    <r>
      <rPr>
        <sz val="10"/>
        <rFont val="Noto Sans CJK SC"/>
        <family val="2"/>
      </rPr>
      <t xml:space="preserve">版本紀錄  恆等式與口徑檢查；版本紀錄；來源：每個硬編碼數字的出處。</t>
    </r>
  </si>
  <si>
    <t xml:space="preserve">註：『各期收支』『資產與負債』『損益』並非會計準則的正式三表，而是對應公司實際運營的類三表呈現。</t>
  </si>
  <si>
    <t xml:space="preserve">顏色規則</t>
  </si>
  <si>
    <r>
      <rPr>
        <sz val="10"/>
        <rFont val="Noto Sans CJK SC"/>
        <family val="2"/>
      </rPr>
      <t xml:space="preserve">藍字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手動輸入值（可改）｜黑字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本頁公式｜綠字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跨頁連結｜黃底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關鍵假設｜灰字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說明與來源</t>
    </r>
  </si>
  <si>
    <r>
      <rPr>
        <b val="true"/>
        <sz val="10"/>
        <rFont val="Noto Sans CJK SC"/>
        <family val="2"/>
      </rPr>
      <t xml:space="preserve">■ 營收主軸：</t>
    </r>
    <r>
      <rPr>
        <b val="true"/>
        <sz val="10"/>
        <rFont val="Arial"/>
        <family val="0"/>
        <charset val="1"/>
      </rPr>
      <t xml:space="preserve">MW × </t>
    </r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Noto Sans CJK SC"/>
        <family val="2"/>
      </rPr>
      <t xml:space="preserve">年收入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利用率</t>
    </r>
  </si>
  <si>
    <r>
      <rPr>
        <sz val="10"/>
        <rFont val="Noto Sans CJK SC"/>
        <family val="2"/>
      </rPr>
      <t xml:space="preserve">  已連網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（情境路徑，口徑不明者 </t>
    </r>
    <r>
      <rPr>
        <sz val="10"/>
        <rFont val="Arial"/>
        <family val="0"/>
        <charset val="1"/>
      </rPr>
      <t xml:space="preserve">÷ PUE 1.2 </t>
    </r>
    <r>
      <rPr>
        <sz val="10"/>
        <rFont val="Noto Sans CJK SC"/>
        <family val="2"/>
      </rPr>
      <t xml:space="preserve">換成 </t>
    </r>
    <r>
      <rPr>
        <sz val="10"/>
        <rFont val="Arial"/>
        <family val="0"/>
        <charset val="1"/>
      </rPr>
      <t xml:space="preserve">MW-IT</t>
    </r>
    <r>
      <rPr>
        <sz val="10"/>
        <rFont val="Noto Sans CJK SC"/>
        <family val="2"/>
      </rPr>
      <t xml:space="preserve">）→ 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在役比例）→ 平均在役 </t>
    </r>
    <r>
      <rPr>
        <sz val="10"/>
        <rFont val="Arial"/>
        <family val="0"/>
        <charset val="1"/>
      </rPr>
      <t xml:space="preserve">MW ×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利用率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期間長度＝營收。</t>
    </r>
  </si>
  <si>
    <r>
      <rPr>
        <sz val="10"/>
        <rFont val="Noto Sans CJK SC"/>
        <family val="2"/>
      </rPr>
      <t xml:space="preserve">  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年收入＝</t>
    </r>
    <r>
      <rPr>
        <sz val="10"/>
        <rFont val="Arial"/>
        <family val="0"/>
        <charset val="1"/>
      </rPr>
      <t xml:space="preserve">Σ </t>
    </r>
    <r>
      <rPr>
        <sz val="10"/>
        <rFont val="Noto Sans CJK SC"/>
        <family val="2"/>
      </rPr>
      <t xml:space="preserve">在役世代占比 </t>
    </r>
    <r>
      <rPr>
        <sz val="10"/>
        <rFont val="Arial"/>
        <family val="0"/>
        <charset val="1"/>
      </rPr>
      <t xml:space="preserve">× Tokenomics </t>
    </r>
    <r>
      <rPr>
        <sz val="10"/>
        <rFont val="Noto Sans CJK SC"/>
        <family val="2"/>
      </rPr>
      <t xml:space="preserve">持有成本（</t>
    </r>
    <r>
      <rPr>
        <sz val="10"/>
        <rFont val="Arial"/>
        <family val="0"/>
        <charset val="1"/>
      </rPr>
      <t xml:space="preserve">IF_HoldEcon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晶片係數 </t>
    </r>
    <r>
      <rPr>
        <sz val="10"/>
        <rFont val="Arial"/>
        <family val="0"/>
        <charset val="1"/>
      </rPr>
      <t xml:space="preserve">× k</t>
    </r>
    <r>
      <rPr>
        <sz val="10"/>
        <rFont val="Noto Sans CJK SC"/>
        <family val="2"/>
      </rPr>
      <t xml:space="preserve">（輸入與假設 </t>
    </r>
    <r>
      <rPr>
        <sz val="10"/>
        <rFont val="Arial"/>
        <family val="0"/>
        <charset val="1"/>
      </rPr>
      <t xml:space="preserve">B0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k </t>
    </r>
    <r>
      <rPr>
        <sz val="10"/>
        <rFont val="Noto Sans CJK SC"/>
        <family val="2"/>
      </rPr>
      <t xml:space="preserve">依價格軸）；不以公司營收、</t>
    </r>
    <r>
      <rPr>
        <sz val="10"/>
        <rFont val="Arial"/>
        <family val="0"/>
        <charset val="1"/>
      </rPr>
      <t xml:space="preserve">RPO </t>
    </r>
    <r>
      <rPr>
        <sz val="10"/>
        <rFont val="Noto Sans CJK SC"/>
        <family val="2"/>
      </rPr>
      <t xml:space="preserve">或 </t>
    </r>
    <r>
      <rPr>
        <sz val="10"/>
        <rFont val="Arial"/>
        <family val="0"/>
        <charset val="1"/>
      </rPr>
      <t xml:space="preserve">run-rate </t>
    </r>
    <r>
      <rPr>
        <sz val="10"/>
        <rFont val="Noto Sans CJK SC"/>
        <family val="2"/>
      </rPr>
      <t xml:space="preserve">反推；按 </t>
    </r>
    <r>
      <rPr>
        <sz val="10"/>
        <rFont val="Arial"/>
        <family val="0"/>
        <charset val="1"/>
      </rPr>
      <t xml:space="preserve">MW-year </t>
    </r>
    <r>
      <rPr>
        <sz val="10"/>
        <rFont val="Noto Sans CJK SC"/>
        <family val="2"/>
      </rPr>
      <t xml:space="preserve">計價，利用率 </t>
    </r>
    <r>
      <rPr>
        <sz val="10"/>
        <rFont val="Arial"/>
        <family val="0"/>
        <charset val="1"/>
      </rPr>
      <t xml:space="preserve">100%</t>
    </r>
    <r>
      <rPr>
        <sz val="10"/>
        <rFont val="Noto Sans CJK SC"/>
        <family val="2"/>
      </rPr>
      <t xml:space="preserve">（收入端不乘 </t>
    </r>
    <r>
      <rPr>
        <sz val="10"/>
        <rFont val="Arial"/>
        <family val="0"/>
        <charset val="1"/>
      </rPr>
      <t xml:space="preserve">IF_Util</t>
    </r>
    <r>
      <rPr>
        <sz val="10"/>
        <rFont val="Noto Sans CJK SC"/>
        <family val="2"/>
      </rPr>
      <t xml:space="preserve">）。</t>
    </r>
  </si>
  <si>
    <r>
      <rPr>
        <sz val="10"/>
        <rFont val="Arial"/>
        <family val="0"/>
        <charset val="1"/>
      </rPr>
      <t xml:space="preserve">  RPO </t>
    </r>
    <r>
      <rPr>
        <sz val="10"/>
        <rFont val="Noto Sans CJK SC"/>
        <family val="2"/>
      </rPr>
      <t xml:space="preserve">排程（季報桶分攤）只作對照：排程 </t>
    </r>
    <r>
      <rPr>
        <sz val="10"/>
        <rFont val="Arial"/>
        <family val="0"/>
        <charset val="1"/>
      </rPr>
      <t xml:space="preserve">&gt; </t>
    </r>
    <r>
      <rPr>
        <sz val="10"/>
        <rFont val="Noto Sans CJK SC"/>
        <family val="2"/>
      </rPr>
      <t xml:space="preserve">容量的部分顯示為『產能瓶頸』旗標。</t>
    </r>
  </si>
  <si>
    <t xml:space="preserve">■ 收入之後的折扣</t>
  </si>
  <si>
    <r>
      <rPr>
        <sz val="10"/>
        <rFont val="Noto Sans CJK SC"/>
        <family val="2"/>
      </rPr>
      <t xml:space="preserve">  收入 → 扣信用損失（違約率 </t>
    </r>
    <r>
      <rPr>
        <sz val="10"/>
        <rFont val="Arial"/>
        <family val="0"/>
        <charset val="1"/>
      </rPr>
      <t xml:space="preserve">× (1−</t>
    </r>
    <r>
      <rPr>
        <sz val="10"/>
        <rFont val="Noto Sans CJK SC"/>
        <family val="2"/>
      </rPr>
      <t xml:space="preserve">回收率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）→ 乘『</t>
    </r>
    <r>
      <rPr>
        <sz val="10"/>
        <rFont val="Arial"/>
        <family val="0"/>
        <charset val="1"/>
      </rPr>
      <t xml:space="preserve">EBITDAR </t>
    </r>
    <r>
      <rPr>
        <sz val="10"/>
        <rFont val="Noto Sans CJK SC"/>
        <family val="2"/>
      </rPr>
      <t xml:space="preserve">率』→ 營運現金；客戶預付另列為來源。</t>
    </r>
  </si>
  <si>
    <r>
      <rPr>
        <sz val="10"/>
        <rFont val="Arial"/>
        <family val="0"/>
        <charset val="1"/>
      </rPr>
      <t xml:space="preserve">  EBITDA </t>
    </r>
    <r>
      <rPr>
        <sz val="10"/>
        <rFont val="Noto Sans CJK SC"/>
        <family val="2"/>
      </rPr>
      <t xml:space="preserve">率路徑取可觀察 </t>
    </r>
    <r>
      <rPr>
        <sz val="10"/>
        <rFont val="Arial"/>
        <family val="0"/>
        <charset val="1"/>
      </rPr>
      <t xml:space="preserve">neocloud </t>
    </r>
    <r>
      <rPr>
        <sz val="10"/>
        <rFont val="Noto Sans CJK SC"/>
        <family val="2"/>
      </rPr>
      <t xml:space="preserve">區間（</t>
    </r>
    <r>
      <rPr>
        <sz val="10"/>
        <rFont val="Arial"/>
        <family val="0"/>
        <charset val="1"/>
      </rPr>
      <t xml:space="preserve">IREN </t>
    </r>
    <r>
      <rPr>
        <sz val="10"/>
        <rFont val="Noto Sans CJK SC"/>
        <family val="2"/>
      </rPr>
      <t xml:space="preserve">約 </t>
    </r>
    <r>
      <rPr>
        <sz val="10"/>
        <rFont val="Arial"/>
        <family val="0"/>
        <charset val="1"/>
      </rPr>
      <t xml:space="preserve">35%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CRWV </t>
    </r>
    <r>
      <rPr>
        <sz val="10"/>
        <rFont val="Noto Sans CJK SC"/>
        <family val="2"/>
      </rPr>
      <t xml:space="preserve">約 </t>
    </r>
    <r>
      <rPr>
        <sz val="10"/>
        <rFont val="Arial"/>
        <family val="0"/>
        <charset val="1"/>
      </rPr>
      <t xml:space="preserve">59%</t>
    </r>
    <r>
      <rPr>
        <sz val="10"/>
        <rFont val="Noto Sans CJK SC"/>
        <family val="2"/>
      </rPr>
      <t xml:space="preserve">），不取自每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推導的加成。</t>
    </r>
  </si>
  <si>
    <r>
      <rPr>
        <b val="true"/>
        <sz val="10"/>
        <rFont val="Noto Sans CJK SC"/>
        <family val="2"/>
      </rPr>
      <t xml:space="preserve">■ 期別口徑：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＝ </t>
    </r>
    <r>
      <rPr>
        <b val="true"/>
        <sz val="10"/>
        <rFont val="Arial"/>
        <family val="0"/>
        <charset val="1"/>
      </rPr>
      <t xml:space="preserve">1H </t>
    </r>
    <r>
      <rPr>
        <b val="true"/>
        <sz val="10"/>
        <rFont val="Noto Sans CJK SC"/>
        <family val="2"/>
      </rPr>
      <t xml:space="preserve">實際 ＋ </t>
    </r>
    <r>
      <rPr>
        <b val="true"/>
        <sz val="10"/>
        <rFont val="Arial"/>
        <family val="0"/>
        <charset val="1"/>
      </rPr>
      <t xml:space="preserve">2H </t>
    </r>
    <r>
      <rPr>
        <b val="true"/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</si>
  <si>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  支出與資金頁與損益頁的 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欄，年初至今部分直接採用季報現金流量表的實際值，模型期才是模型推算，因此 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欄可直接對照公司全年指引。</t>
    </r>
  </si>
  <si>
    <r>
      <rPr>
        <sz val="10"/>
        <rFont val="Noto Sans CJK SC"/>
        <family val="2"/>
      </rPr>
      <t xml:space="preserve">  年初至今的利息與租金已包含在實際 </t>
    </r>
    <r>
      <rPr>
        <sz val="10"/>
        <rFont val="Arial"/>
        <family val="0"/>
        <charset val="1"/>
      </rPr>
      <t xml:space="preserve">CFO </t>
    </r>
    <r>
      <rPr>
        <sz val="10"/>
        <rFont val="Noto Sans CJK SC"/>
        <family val="2"/>
      </rPr>
      <t xml:space="preserve">內，所以支出頁那兩列的 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欄只有模型期金額；全年數字見「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全年備忘」區。</t>
    </r>
  </si>
  <si>
    <t xml:space="preserve">■ 現金橋（支出與資金頁最下方）</t>
  </si>
  <si>
    <t xml:space="preserve">  上年底現金 ＋ 營運缺口 ＋ 股權／可轉債 ＋ 年初至今實際借款 − 排程還本 ＋ 調節 ＋ 瀑布融資 ＝ 期末現金</t>
  </si>
  <si>
    <t xml:space="preserve">  營運缺口＝營運來源 −（用途 − 排程還本）。股權、可轉債、資產擔保融資都不算營運來源，這是刻意的：它們回答的是「誰來補」，不是「本業能不能自給」。</t>
  </si>
  <si>
    <t xml:space="preserve">■ 期前融資瀑布</t>
  </si>
  <si>
    <r>
      <rPr>
        <sz val="10"/>
        <rFont val="Noto Sans CJK SC"/>
        <family val="2"/>
      </rPr>
      <t xml:space="preserve">  缺口在需要前一期先融好，使每期末現金不低於最低現金。順序：客戶預付（營運來源）→ 現金（高於最低現金的部分）→ 未動用額度（資產擔保融資）→ 新債（總債務 ≤ 債務／</t>
    </r>
    <r>
      <rPr>
        <sz val="10"/>
        <rFont val="Arial"/>
        <family val="0"/>
        <charset val="1"/>
      </rPr>
      <t xml:space="preserve">backlog </t>
    </r>
    <r>
      <rPr>
        <sz val="10"/>
        <rFont val="Noto Sans CJK SC"/>
        <family val="2"/>
      </rPr>
      <t xml:space="preserve">上限）→ 股權（現價折價發行、每年上限）→ 高息債（溢出）。</t>
    </r>
  </si>
  <si>
    <r>
      <rPr>
        <sz val="10"/>
        <rFont val="Arial"/>
        <family val="0"/>
        <charset val="1"/>
      </rPr>
      <t xml:space="preserve">  DCF </t>
    </r>
    <r>
      <rPr>
        <sz val="10"/>
        <rFont val="Noto Sans CJK SC"/>
        <family val="2"/>
      </rPr>
      <t xml:space="preserve">以融資後股數計每股，並加回新股募得現金的現值；</t>
    </r>
    <r>
      <rPr>
        <sz val="10"/>
        <rFont val="Arial"/>
        <family val="0"/>
        <charset val="1"/>
      </rPr>
      <t xml:space="preserve">EV/EBITDA </t>
    </r>
    <r>
      <rPr>
        <sz val="10"/>
        <rFont val="Noto Sans CJK SC"/>
        <family val="2"/>
      </rPr>
      <t xml:space="preserve">用錨定年末淨負債與錨定年末股數。</t>
    </r>
  </si>
  <si>
    <t xml:space="preserve">一頁摘要 — 結論、與市場的差異、現價隱含什麼、驗證點（全部依輸入連動）</t>
  </si>
  <si>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｜結論</t>
    </r>
  </si>
  <si>
    <r>
      <rPr>
        <sz val="10"/>
        <rFont val="Noto Sans CJK SC"/>
        <family val="2"/>
      </rPr>
      <t xml:space="preserve">結論｜評等代碼（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＝買進、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＝中立、−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＝賣出）</t>
    </r>
  </si>
  <si>
    <t xml:space="preserve">結論｜評等</t>
  </si>
  <si>
    <t xml:space="preserve">結論｜點位（加權目標價）</t>
  </si>
  <si>
    <t xml:space="preserve">US$</t>
  </si>
  <si>
    <t xml:space="preserve">結論｜現價</t>
  </si>
  <si>
    <t xml:space="preserve">結論｜空間</t>
  </si>
  <si>
    <t xml:space="preserve">%</t>
  </si>
  <si>
    <t xml:space="preserve">結論｜情境區間（下緣／上緣）</t>
  </si>
  <si>
    <t xml:space="preserve">結論｜方法區間（下緣／上緣）</t>
  </si>
  <si>
    <t xml:space="preserve">結論｜賣出門檻價</t>
  </si>
  <si>
    <t xml:space="preserve">結論｜點位 − 賣出門檻</t>
  </si>
  <si>
    <t xml:space="preserve">結論｜結論句</t>
  </si>
  <si>
    <t xml:space="preserve">結論｜情境判斷句</t>
  </si>
  <si>
    <t xml:space="preserve">結論｜投資級句</t>
  </si>
  <si>
    <t xml:space="preserve">結論｜調整後槓桿句</t>
  </si>
  <si>
    <t xml:space="preserve">結論｜兩種讀法句</t>
  </si>
  <si>
    <t xml:space="preserve">結論｜對外比例句</t>
  </si>
  <si>
    <t xml:space="preserve">結論｜主命題句</t>
  </si>
  <si>
    <r>
      <rPr>
        <b val="true"/>
        <sz val="10"/>
        <rFont val="Noto Sans CJK SC"/>
        <family val="2"/>
      </rPr>
      <t xml:space="preserve">結論｜股東回饋與 </t>
    </r>
    <r>
      <rPr>
        <b val="true"/>
        <sz val="10"/>
        <rFont val="Arial"/>
        <family val="0"/>
        <charset val="1"/>
      </rPr>
      <t xml:space="preserve">FCF </t>
    </r>
    <r>
      <rPr>
        <b val="true"/>
        <sz val="10"/>
        <rFont val="Noto Sans CJK SC"/>
        <family val="2"/>
      </rPr>
      <t xml:space="preserve">句</t>
    </r>
  </si>
  <si>
    <t xml:space="preserve">結論｜延誤句</t>
  </si>
  <si>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Noto Sans CJK SC"/>
        <family val="2"/>
      </rPr>
      <t xml:space="preserve">｜與市場的差異（模型：目前情境 </t>
    </r>
    <r>
      <rPr>
        <b val="true"/>
        <sz val="10"/>
        <rFont val="Arial"/>
        <family val="0"/>
        <charset val="1"/>
      </rPr>
      <t xml:space="preserve">vs </t>
    </r>
    <r>
      <rPr>
        <b val="true"/>
        <sz val="10"/>
        <rFont val="Noto Sans CJK SC"/>
        <family val="2"/>
      </rPr>
      <t xml:space="preserve">共識；</t>
    </r>
    <r>
      <rPr>
        <b val="true"/>
        <sz val="10"/>
        <rFont val="Arial"/>
        <family val="0"/>
        <charset val="1"/>
      </rPr>
      <t xml:space="preserve">2026–2028</t>
    </r>
    <r>
      <rPr>
        <b val="true"/>
        <sz val="10"/>
        <rFont val="Noto Sans CJK SC"/>
        <family val="2"/>
      </rPr>
      <t xml:space="preserve">）</t>
    </r>
  </si>
  <si>
    <t xml:space="preserve">項目</t>
  </si>
  <si>
    <t xml:space="preserve">單位</t>
  </si>
  <si>
    <t xml:space="preserve">2026</t>
  </si>
  <si>
    <t xml:space="preserve">2027</t>
  </si>
  <si>
    <t xml:space="preserve">2028</t>
  </si>
  <si>
    <t xml:space="preserve">差異｜營收｜模型</t>
  </si>
  <si>
    <t xml:space="preserve">US$bn</t>
  </si>
  <si>
    <t xml:space="preserve">差異｜營收｜共識</t>
  </si>
  <si>
    <t xml:space="preserve">差異｜營收｜差距</t>
  </si>
  <si>
    <r>
      <rPr>
        <sz val="10"/>
        <rFont val="Noto Sans CJK SC"/>
        <family val="2"/>
      </rPr>
      <t xml:space="preserve">差異｜調整後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｜模型</t>
    </r>
  </si>
  <si>
    <r>
      <rPr>
        <sz val="10"/>
        <rFont val="Noto Sans CJK SC"/>
        <family val="2"/>
      </rPr>
      <t xml:space="preserve">差異｜調整後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｜共識</t>
    </r>
  </si>
  <si>
    <r>
      <rPr>
        <sz val="10"/>
        <rFont val="Noto Sans CJK SC"/>
        <family val="2"/>
      </rPr>
      <t xml:space="preserve">差異｜調整後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｜差距</t>
    </r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</si>
  <si>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模型＝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實際調整後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Noto Sans CJK SC"/>
        <family val="2"/>
      </rPr>
      <t xml:space="preserve">（輸入與假設 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區，報導轉述 </t>
    </r>
    <r>
      <rPr>
        <sz val="9"/>
        <color rgb="FF595959"/>
        <rFont val="Arial"/>
        <family val="0"/>
        <charset val="1"/>
      </rPr>
      <t xml:space="preserve">[Verified]</t>
    </r>
    <r>
      <rPr>
        <sz val="9"/>
        <color rgb="FF595959"/>
        <rFont val="Noto Sans CJK SC"/>
        <family val="2"/>
      </rPr>
      <t xml:space="preserve">）＋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</si>
  <si>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差異｜調整後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｜差距（金額）</t>
    </r>
  </si>
  <si>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HTML </t>
    </r>
    <r>
      <rPr>
        <sz val="9"/>
        <color rgb="FF595959"/>
        <rFont val="Noto Sans CJK SC"/>
        <family val="2"/>
      </rPr>
      <t xml:space="preserve">一頁摘要、市場共識分頁同一呈現；判斷門檻仍用上一列比例</t>
    </r>
  </si>
  <si>
    <r>
      <rPr>
        <sz val="10"/>
        <rFont val="Noto Sans CJK SC"/>
        <family val="2"/>
      </rPr>
      <t xml:space="preserve">差異｜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率｜模型</t>
    </r>
  </si>
  <si>
    <r>
      <rPr>
        <sz val="10"/>
        <rFont val="Noto Sans CJK SC"/>
        <family val="2"/>
      </rPr>
      <t xml:space="preserve">差異｜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率｜共識</t>
    </r>
  </si>
  <si>
    <r>
      <rPr>
        <sz val="10"/>
        <rFont val="Noto Sans CJK SC"/>
        <family val="2"/>
      </rPr>
      <t xml:space="preserve">差異｜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率｜差距（百分點）</t>
    </r>
  </si>
  <si>
    <t xml:space="preserve">pt</t>
  </si>
  <si>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率以百分點列差距，不納入判斷</t>
    </r>
  </si>
  <si>
    <r>
      <rPr>
        <sz val="10"/>
        <rFont val="Noto Sans CJK SC"/>
        <family val="2"/>
      </rPr>
      <t xml:space="preserve">差異｜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（毛額）｜模型</t>
    </r>
  </si>
  <si>
    <r>
      <rPr>
        <sz val="10"/>
        <rFont val="Noto Sans CJK SC"/>
        <family val="2"/>
      </rPr>
      <t xml:space="preserve">差異｜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（毛額）｜共識</t>
    </r>
  </si>
  <si>
    <r>
      <rPr>
        <sz val="10"/>
        <rFont val="Noto Sans CJK SC"/>
        <family val="2"/>
      </rPr>
      <t xml:space="preserve">差異｜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（毛額）｜差距</t>
    </r>
  </si>
  <si>
    <r>
      <rPr>
        <sz val="9"/>
        <color rgb="FF595959"/>
        <rFont val="Noto Sans CJK SC"/>
        <family val="2"/>
      </rPr>
      <t xml:space="preserve">共識 </t>
    </r>
    <r>
      <rPr>
        <sz val="9"/>
        <color rgb="FF595959"/>
        <rFont val="Arial"/>
        <family val="0"/>
        <charset val="1"/>
      </rPr>
      <t xml:space="preserve">CapEx </t>
    </r>
    <r>
      <rPr>
        <sz val="9"/>
        <color rgb="FF595959"/>
        <rFont val="Noto Sans CJK SC"/>
        <family val="2"/>
      </rPr>
      <t xml:space="preserve">口徑未揭露；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實際毛額＋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Noto Sans CJK SC"/>
        <family val="2"/>
      </rPr>
      <t xml:space="preserve">模型毛額</t>
    </r>
  </si>
  <si>
    <t xml:space="preserve">差異｜淨負債｜模型</t>
  </si>
  <si>
    <t xml:space="preserve">差異｜淨負債｜共識</t>
  </si>
  <si>
    <t xml:space="preserve">差異｜淨負債｜差距</t>
  </si>
  <si>
    <t xml:space="preserve">共識淨負債不含租賃、口徑未揭露：只列不判斷</t>
  </si>
  <si>
    <t xml:space="preserve">差異｜淨負債｜差距（金額）</t>
  </si>
  <si>
    <t xml:space="preserve">差異｜分歧項目（超過門檻者）</t>
  </si>
  <si>
    <r>
      <rPr>
        <sz val="9"/>
        <color rgb="FF595959"/>
        <rFont val="Noto Sans CJK SC"/>
        <family val="2"/>
      </rPr>
      <t xml:space="preserve">營收、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CapEx </t>
    </r>
    <r>
      <rPr>
        <sz val="9"/>
        <color rgb="FF595959"/>
        <rFont val="Noto Sans CJK SC"/>
        <family val="2"/>
      </rPr>
      <t xml:space="preserve">任一項差距絕對值超過門檻即列出（與 </t>
    </r>
    <r>
      <rPr>
        <sz val="9"/>
        <color rgb="FF595959"/>
        <rFont val="Arial"/>
        <family val="0"/>
        <charset val="1"/>
      </rPr>
      <t xml:space="preserve">HTML </t>
    </r>
    <r>
      <rPr>
        <sz val="9"/>
        <color rgb="FF595959"/>
        <rFont val="Noto Sans CJK SC"/>
        <family val="2"/>
      </rPr>
      <t xml:space="preserve">判斷句同一規則）</t>
    </r>
  </si>
  <si>
    <r>
      <rPr>
        <sz val="10"/>
        <rFont val="Noto Sans CJK SC"/>
        <family val="2"/>
      </rPr>
      <t xml:space="preserve">差異｜分歧起始年（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2026…3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2028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＝無）</t>
    </r>
  </si>
  <si>
    <t xml:space="preserve">差異｜判斷句</t>
  </si>
  <si>
    <r>
      <rPr>
        <sz val="10"/>
        <rFont val="Noto Sans CJK SC"/>
        <family val="2"/>
      </rPr>
      <t xml:space="preserve">差異原因｜</t>
    </r>
    <r>
      <rPr>
        <sz val="10"/>
        <rFont val="Arial"/>
        <family val="0"/>
        <charset val="1"/>
      </rPr>
      <t xml:space="preserve">2026</t>
    </r>
    <r>
      <rPr>
        <sz val="10"/>
        <rFont val="Noto Sans CJK SC"/>
        <family val="2"/>
      </rPr>
      <t xml:space="preserve">｜營收</t>
    </r>
  </si>
  <si>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＝類型、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＝原因（需附原因時顯示；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以利潤率差、其餘以比例門檻判斷）</t>
    </r>
  </si>
  <si>
    <r>
      <rPr>
        <sz val="10"/>
        <rFont val="Noto Sans CJK SC"/>
        <family val="2"/>
      </rPr>
      <t xml:space="preserve">差異原因｜</t>
    </r>
    <r>
      <rPr>
        <sz val="10"/>
        <rFont val="Arial"/>
        <family val="0"/>
        <charset val="1"/>
      </rPr>
      <t xml:space="preserve">2026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</si>
  <si>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Noto Sans CJK SC"/>
        <family val="2"/>
      </rPr>
      <t xml:space="preserve">差異原因｜</t>
    </r>
    <r>
      <rPr>
        <sz val="10"/>
        <rFont val="Arial"/>
        <family val="0"/>
        <charset val="1"/>
      </rPr>
      <t xml:space="preserve">2026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CapEx</t>
    </r>
  </si>
  <si>
    <r>
      <rPr>
        <sz val="10"/>
        <rFont val="Noto Sans CJK SC"/>
        <family val="2"/>
      </rPr>
      <t xml:space="preserve">差異原因｜</t>
    </r>
    <r>
      <rPr>
        <sz val="10"/>
        <rFont val="Arial"/>
        <family val="0"/>
        <charset val="1"/>
      </rPr>
      <t xml:space="preserve">2026</t>
    </r>
    <r>
      <rPr>
        <sz val="10"/>
        <rFont val="Noto Sans CJK SC"/>
        <family val="2"/>
      </rPr>
      <t xml:space="preserve">｜淨負債</t>
    </r>
  </si>
  <si>
    <r>
      <rPr>
        <sz val="10"/>
        <rFont val="Noto Sans CJK SC"/>
        <family val="2"/>
      </rPr>
      <t xml:space="preserve">差異原因｜</t>
    </r>
    <r>
      <rPr>
        <sz val="10"/>
        <rFont val="Arial"/>
        <family val="0"/>
        <charset val="1"/>
      </rPr>
      <t xml:space="preserve">2027</t>
    </r>
    <r>
      <rPr>
        <sz val="10"/>
        <rFont val="Noto Sans CJK SC"/>
        <family val="2"/>
      </rPr>
      <t xml:space="preserve">｜營收</t>
    </r>
  </si>
  <si>
    <r>
      <rPr>
        <sz val="10"/>
        <rFont val="Noto Sans CJK SC"/>
        <family val="2"/>
      </rPr>
      <t xml:space="preserve">差異原因｜</t>
    </r>
    <r>
      <rPr>
        <sz val="10"/>
        <rFont val="Arial"/>
        <family val="0"/>
        <charset val="1"/>
      </rPr>
      <t xml:space="preserve">2027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</si>
  <si>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Noto Sans CJK SC"/>
        <family val="2"/>
      </rPr>
      <t xml:space="preserve">差異原因｜</t>
    </r>
    <r>
      <rPr>
        <sz val="10"/>
        <rFont val="Arial"/>
        <family val="0"/>
        <charset val="1"/>
      </rPr>
      <t xml:space="preserve">2027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CapEx</t>
    </r>
  </si>
  <si>
    <r>
      <rPr>
        <sz val="10"/>
        <rFont val="Noto Sans CJK SC"/>
        <family val="2"/>
      </rPr>
      <t xml:space="preserve">差異原因｜</t>
    </r>
    <r>
      <rPr>
        <sz val="10"/>
        <rFont val="Arial"/>
        <family val="0"/>
        <charset val="1"/>
      </rPr>
      <t xml:space="preserve">2027</t>
    </r>
    <r>
      <rPr>
        <sz val="10"/>
        <rFont val="Noto Sans CJK SC"/>
        <family val="2"/>
      </rPr>
      <t xml:space="preserve">｜淨負債</t>
    </r>
  </si>
  <si>
    <r>
      <rPr>
        <sz val="10"/>
        <rFont val="Noto Sans CJK SC"/>
        <family val="2"/>
      </rPr>
      <t xml:space="preserve">差異原因｜</t>
    </r>
    <r>
      <rPr>
        <sz val="10"/>
        <rFont val="Arial"/>
        <family val="0"/>
        <charset val="1"/>
      </rPr>
      <t xml:space="preserve">2028</t>
    </r>
    <r>
      <rPr>
        <sz val="10"/>
        <rFont val="Noto Sans CJK SC"/>
        <family val="2"/>
      </rPr>
      <t xml:space="preserve">｜營收</t>
    </r>
  </si>
  <si>
    <r>
      <rPr>
        <sz val="10"/>
        <rFont val="Noto Sans CJK SC"/>
        <family val="2"/>
      </rPr>
      <t xml:space="preserve">差異原因｜</t>
    </r>
    <r>
      <rPr>
        <sz val="10"/>
        <rFont val="Arial"/>
        <family val="0"/>
        <charset val="1"/>
      </rPr>
      <t xml:space="preserve">2028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</si>
  <si>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Noto Sans CJK SC"/>
        <family val="2"/>
      </rPr>
      <t xml:space="preserve">差異原因｜</t>
    </r>
    <r>
      <rPr>
        <sz val="10"/>
        <rFont val="Arial"/>
        <family val="0"/>
        <charset val="1"/>
      </rPr>
      <t xml:space="preserve">2028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CapEx</t>
    </r>
  </si>
  <si>
    <r>
      <rPr>
        <sz val="10"/>
        <rFont val="Noto Sans CJK SC"/>
        <family val="2"/>
      </rPr>
      <t xml:space="preserve">差異原因｜</t>
    </r>
    <r>
      <rPr>
        <sz val="10"/>
        <rFont val="Arial"/>
        <family val="0"/>
        <charset val="1"/>
      </rPr>
      <t xml:space="preserve">2028</t>
    </r>
    <r>
      <rPr>
        <sz val="10"/>
        <rFont val="Noto Sans CJK SC"/>
        <family val="2"/>
      </rPr>
      <t xml:space="preserve">｜淨負債</t>
    </r>
  </si>
  <si>
    <t xml:space="preserve">差異｜需附原因項數</t>
  </si>
  <si>
    <r>
      <rPr>
        <sz val="9"/>
        <color rgb="FF595959"/>
        <rFont val="Noto Sans CJK SC"/>
        <family val="2"/>
      </rPr>
      <t xml:space="preserve">營收、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Noto Sans CJK SC"/>
        <family val="2"/>
      </rPr>
      <t xml:space="preserve">（利潤率差）、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Noto Sans CJK SC"/>
        <family val="2"/>
      </rPr>
      <t xml:space="preserve">、淨負債 </t>
    </r>
    <r>
      <rPr>
        <sz val="9"/>
        <color rgb="FF595959"/>
        <rFont val="Arial"/>
        <family val="0"/>
        <charset val="1"/>
      </rPr>
      <t xml:space="preserve">× 2026–2028</t>
    </r>
  </si>
  <si>
    <t xml:space="preserve">差異｜差異原因摘要</t>
  </si>
  <si>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HTML </t>
    </r>
    <r>
      <rPr>
        <sz val="9"/>
        <color rgb="FF595959"/>
        <rFont val="Noto Sans CJK SC"/>
        <family val="2"/>
      </rPr>
      <t xml:space="preserve">一頁摘要同一句</t>
    </r>
  </si>
  <si>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Noto Sans CJK SC"/>
        <family val="2"/>
      </rPr>
      <t xml:space="preserve">｜現價隱含什麼</t>
    </r>
  </si>
  <si>
    <r>
      <rPr>
        <sz val="10"/>
        <rFont val="Noto Sans CJK SC"/>
        <family val="2"/>
      </rPr>
      <t xml:space="preserve">隱含｜共識平均目標價隱含 </t>
    </r>
    <r>
      <rPr>
        <sz val="10"/>
        <rFont val="Arial"/>
        <family val="0"/>
        <charset val="1"/>
      </rPr>
      <t xml:space="preserve">2028 EV/EBITDA</t>
    </r>
  </si>
  <si>
    <t xml:space="preserve">x</t>
  </si>
  <si>
    <r>
      <rPr>
        <sz val="9"/>
        <color rgb="FF595959"/>
        <rFont val="Noto Sans CJK SC"/>
        <family val="2"/>
      </rPr>
      <t xml:space="preserve">＝（共識平均目標價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股數＋共識 </t>
    </r>
    <r>
      <rPr>
        <sz val="9"/>
        <color rgb="FF595959"/>
        <rFont val="Arial"/>
        <family val="0"/>
        <charset val="1"/>
      </rPr>
      <t xml:space="preserve">2028 </t>
    </r>
    <r>
      <rPr>
        <sz val="9"/>
        <color rgb="FF595959"/>
        <rFont val="Noto Sans CJK SC"/>
        <family val="2"/>
      </rPr>
      <t xml:space="preserve">淨負債）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共識 </t>
    </r>
    <r>
      <rPr>
        <sz val="9"/>
        <color rgb="FF595959"/>
        <rFont val="Arial"/>
        <family val="0"/>
        <charset val="1"/>
      </rPr>
      <t xml:space="preserve">2028 </t>
    </r>
    <r>
      <rPr>
        <sz val="9"/>
        <color rgb="FF595959"/>
        <rFont val="Noto Sans CJK SC"/>
        <family val="2"/>
      </rPr>
      <t xml:space="preserve">調整後 </t>
    </r>
    <r>
      <rPr>
        <sz val="9"/>
        <color rgb="FF595959"/>
        <rFont val="Arial"/>
        <family val="0"/>
        <charset val="1"/>
      </rPr>
      <t xml:space="preserve">EBITDA</t>
    </r>
  </si>
  <si>
    <r>
      <rPr>
        <sz val="10"/>
        <rFont val="Noto Sans CJK SC"/>
        <family val="2"/>
      </rPr>
      <t xml:space="preserve">隱含｜現價隱含 </t>
    </r>
    <r>
      <rPr>
        <sz val="10"/>
        <rFont val="Arial"/>
        <family val="0"/>
        <charset val="1"/>
      </rPr>
      <t xml:space="preserve">2028 EV/EBITDA</t>
    </r>
  </si>
  <si>
    <r>
      <rPr>
        <sz val="9"/>
        <color rgb="FF595959"/>
        <rFont val="Noto Sans CJK SC"/>
        <family val="2"/>
      </rPr>
      <t xml:space="preserve">同一共識 </t>
    </r>
    <r>
      <rPr>
        <sz val="9"/>
        <color rgb="FF595959"/>
        <rFont val="Arial"/>
        <family val="0"/>
        <charset val="1"/>
      </rPr>
      <t xml:space="preserve">2028 </t>
    </r>
    <r>
      <rPr>
        <sz val="9"/>
        <color rgb="FF595959"/>
        <rFont val="Noto Sans CJK SC"/>
        <family val="2"/>
      </rPr>
      <t xml:space="preserve">數字，價格換成現價</t>
    </r>
  </si>
  <si>
    <t xml:space="preserve">隱含｜模型方法區間上緣</t>
  </si>
  <si>
    <r>
      <rPr>
        <sz val="9"/>
        <color rgb="FF595959"/>
        <rFont val="Noto Sans CJK SC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Noto Sans CJK SC"/>
        <family val="2"/>
      </rPr>
      <t xml:space="preserve">腿（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雲端 倍數）錨定 </t>
    </r>
    <r>
      <rPr>
        <sz val="9"/>
        <color rgb="FF595959"/>
        <rFont val="Arial"/>
        <family val="0"/>
        <charset val="1"/>
      </rPr>
      <t xml:space="preserve">2029 </t>
    </r>
    <r>
      <rPr>
        <sz val="9"/>
        <color rgb="FF595959"/>
        <rFont val="Noto Sans CJK SC"/>
        <family val="2"/>
      </rPr>
      <t xml:space="preserve">並折回 </t>
    </r>
    <r>
      <rPr>
        <sz val="9"/>
        <color rgb="FF595959"/>
        <rFont val="Arial"/>
        <family val="0"/>
        <charset val="1"/>
      </rPr>
      <t xml:space="preserve">2027-06-30</t>
    </r>
    <r>
      <rPr>
        <sz val="9"/>
        <color rgb="FF595959"/>
        <rFont val="Noto Sans CJK SC"/>
        <family val="2"/>
      </rPr>
      <t xml:space="preserve">，錨定年度與此不同</t>
    </r>
  </si>
  <si>
    <r>
      <rPr>
        <sz val="10"/>
        <rFont val="Noto Sans CJK SC"/>
        <family val="2"/>
      </rPr>
      <t xml:space="preserve">隱含｜模型 </t>
    </r>
    <r>
      <rPr>
        <sz val="10"/>
        <rFont val="Arial"/>
        <family val="0"/>
        <charset val="1"/>
      </rPr>
      <t xml:space="preserve">2028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 </t>
    </r>
    <r>
      <rPr>
        <sz val="10"/>
        <rFont val="Arial"/>
        <family val="0"/>
        <charset val="1"/>
      </rPr>
      <t xml:space="preserve">EBITDA</t>
    </r>
  </si>
  <si>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事業 </t>
    </r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Noto Sans CJK SC"/>
        <family val="2"/>
      </rPr>
      <t xml:space="preserve">倍數，自共識隱含 </t>
    </r>
    <r>
      <rPr>
        <sz val="9"/>
        <color rgb="FF595959"/>
        <rFont val="Arial"/>
        <family val="0"/>
        <charset val="1"/>
      </rPr>
      <t xml:space="preserve">EV </t>
    </r>
    <r>
      <rPr>
        <sz val="9"/>
        <color rgb="FF595959"/>
        <rFont val="Noto Sans CJK SC"/>
        <family val="2"/>
      </rPr>
      <t xml:space="preserve">扣除</t>
    </r>
  </si>
  <si>
    <r>
      <rPr>
        <sz val="10"/>
        <rFont val="Noto Sans CJK SC"/>
        <family val="2"/>
      </rPr>
      <t xml:space="preserve">隱含｜共識平均目標價隱含 </t>
    </r>
    <r>
      <rPr>
        <sz val="10"/>
        <rFont val="Arial"/>
        <family val="0"/>
        <charset val="1"/>
      </rPr>
      <t xml:space="preserve">2028 AI </t>
    </r>
    <r>
      <rPr>
        <sz val="10"/>
        <rFont val="Noto Sans CJK SC"/>
        <family val="2"/>
      </rPr>
      <t xml:space="preserve">雲端 </t>
    </r>
    <r>
      <rPr>
        <sz val="10"/>
        <rFont val="Arial"/>
        <family val="0"/>
        <charset val="1"/>
      </rPr>
      <t xml:space="preserve">EV/EBITDA</t>
    </r>
  </si>
  <si>
    <r>
      <rPr>
        <sz val="9"/>
        <color rgb="FF595959"/>
        <rFont val="Noto Sans CJK SC"/>
        <family val="2"/>
      </rPr>
      <t xml:space="preserve">＝（隱含 </t>
    </r>
    <r>
      <rPr>
        <sz val="9"/>
        <color rgb="FF595959"/>
        <rFont val="Arial"/>
        <family val="0"/>
        <charset val="1"/>
      </rPr>
      <t xml:space="preserve">EV − </t>
    </r>
    <r>
      <rPr>
        <sz val="9"/>
        <color rgb="FF595959"/>
        <rFont val="Noto Sans CJK SC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事業 </t>
    </r>
    <r>
      <rPr>
        <sz val="9"/>
        <color rgb="FF595959"/>
        <rFont val="Arial"/>
        <family val="0"/>
        <charset val="1"/>
      </rPr>
      <t xml:space="preserve">EBITDA × </t>
    </r>
    <r>
      <rPr>
        <sz val="9"/>
        <color rgb="FF595959"/>
        <rFont val="Noto Sans CJK SC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事業倍數）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（共識 </t>
    </r>
    <r>
      <rPr>
        <sz val="9"/>
        <color rgb="FF595959"/>
        <rFont val="Arial"/>
        <family val="0"/>
        <charset val="1"/>
      </rPr>
      <t xml:space="preserve">EBITDA − </t>
    </r>
    <r>
      <rPr>
        <sz val="9"/>
        <color rgb="FF595959"/>
        <rFont val="Noto Sans CJK SC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事業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</si>
  <si>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隱含｜現價隱含 </t>
    </r>
    <r>
      <rPr>
        <sz val="10"/>
        <rFont val="Arial"/>
        <family val="0"/>
        <charset val="1"/>
      </rPr>
      <t xml:space="preserve">2028 AI </t>
    </r>
    <r>
      <rPr>
        <sz val="10"/>
        <rFont val="Noto Sans CJK SC"/>
        <family val="2"/>
      </rPr>
      <t xml:space="preserve">雲端 </t>
    </r>
    <r>
      <rPr>
        <sz val="10"/>
        <rFont val="Arial"/>
        <family val="0"/>
        <charset val="1"/>
      </rPr>
      <t xml:space="preserve">EV/EBITDA</t>
    </r>
  </si>
  <si>
    <t xml:space="preserve">同上，價格換成現價</t>
  </si>
  <si>
    <t xml:space="preserve">隱含｜隱含倍數句</t>
  </si>
  <si>
    <r>
      <rPr>
        <sz val="10"/>
        <rFont val="Noto Sans CJK SC"/>
        <family val="2"/>
      </rPr>
      <t xml:space="preserve">反向 </t>
    </r>
    <r>
      <rPr>
        <sz val="10"/>
        <rFont val="Arial"/>
        <family val="0"/>
        <charset val="1"/>
      </rPr>
      <t xml:space="preserve">DCF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2030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年收入（目前／隱含／變動）</t>
    </r>
  </si>
  <si>
    <r>
      <rPr>
        <sz val="9"/>
        <color rgb="FF595959"/>
        <rFont val="Noto Sans CJK SC"/>
        <family val="2"/>
      </rPr>
      <t xml:space="preserve">快照（預設輸入）：見『評價</t>
    </r>
    <r>
      <rPr>
        <sz val="9"/>
        <color rgb="FF595959"/>
        <rFont val="Arial"/>
        <family val="0"/>
        <charset val="1"/>
      </rPr>
      <t xml:space="preserve">_</t>
    </r>
    <r>
      <rPr>
        <sz val="9"/>
        <color rgb="FF595959"/>
        <rFont val="Noto Sans CJK SC"/>
        <family val="2"/>
      </rPr>
      <t xml:space="preserve">反向</t>
    </r>
    <r>
      <rPr>
        <sz val="9"/>
        <color rgb="FF595959"/>
        <rFont val="Arial"/>
        <family val="0"/>
        <charset val="1"/>
      </rPr>
      <t xml:space="preserve">DCF</t>
    </r>
    <r>
      <rPr>
        <sz val="9"/>
        <color rgb="FF595959"/>
        <rFont val="Noto Sans CJK SC"/>
        <family val="2"/>
      </rPr>
      <t xml:space="preserve">』；改輸入後請以目標搜尋重算</t>
    </r>
  </si>
  <si>
    <r>
      <rPr>
        <sz val="10"/>
        <rFont val="Noto Sans CJK SC"/>
        <family val="2"/>
      </rPr>
      <t xml:space="preserve">反向 </t>
    </r>
    <r>
      <rPr>
        <sz val="10"/>
        <rFont val="Arial"/>
        <family val="0"/>
        <charset val="1"/>
      </rPr>
      <t xml:space="preserve">DCF</t>
    </r>
    <r>
      <rPr>
        <sz val="10"/>
        <rFont val="Noto Sans CJK SC"/>
        <family val="2"/>
      </rPr>
      <t xml:space="preserve">｜每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建置成本（目前／隱含／變動）</t>
    </r>
  </si>
  <si>
    <r>
      <rPr>
        <sz val="10"/>
        <rFont val="Noto Sans CJK SC"/>
        <family val="2"/>
      </rPr>
      <t xml:space="preserve">反向 </t>
    </r>
    <r>
      <rPr>
        <sz val="10"/>
        <rFont val="Arial"/>
        <family val="0"/>
        <charset val="1"/>
      </rPr>
      <t xml:space="preserve">DCF</t>
    </r>
    <r>
      <rPr>
        <sz val="10"/>
        <rFont val="Noto Sans CJK SC"/>
        <family val="2"/>
      </rPr>
      <t xml:space="preserve">｜穩態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率（目前／隱含／變動 </t>
    </r>
    <r>
      <rPr>
        <sz val="10"/>
        <rFont val="Arial"/>
        <family val="0"/>
        <charset val="1"/>
      </rPr>
      <t xml:space="preserve">pt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</si>
  <si>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反向 </t>
    </r>
    <r>
      <rPr>
        <sz val="10"/>
        <rFont val="Arial"/>
        <family val="0"/>
        <charset val="1"/>
      </rPr>
      <t xml:space="preserve">DCF</t>
    </r>
    <r>
      <rPr>
        <sz val="10"/>
        <rFont val="Noto Sans CJK SC"/>
        <family val="2"/>
      </rPr>
      <t xml:space="preserve">｜加權目標價＝現價所需每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年收入（目前／隱含／變動）</t>
    </r>
  </si>
  <si>
    <r>
      <rPr>
        <b val="true"/>
        <sz val="10"/>
        <rFont val="Arial"/>
        <family val="0"/>
        <charset val="1"/>
      </rPr>
      <t xml:space="preserve">4</t>
    </r>
    <r>
      <rPr>
        <b val="true"/>
        <sz val="10"/>
        <rFont val="Noto Sans CJK SC"/>
        <family val="2"/>
      </rPr>
      <t xml:space="preserve">｜驗證點與市場看法（賣方與管理層數字標記 </t>
    </r>
    <r>
      <rPr>
        <b val="true"/>
        <sz val="10"/>
        <rFont val="Arial"/>
        <family val="0"/>
        <charset val="1"/>
      </rPr>
      <t xml:space="preserve">Interested-party</t>
    </r>
    <r>
      <rPr>
        <b val="true"/>
        <sz val="10"/>
        <rFont val="Noto Sans CJK SC"/>
        <family val="2"/>
      </rPr>
      <t xml:space="preserve">）</t>
    </r>
  </si>
  <si>
    <t xml:space="preserve">驗證｜焦點季</t>
  </si>
  <si>
    <r>
      <rPr>
        <sz val="9"/>
        <color rgb="FF595959"/>
        <rFont val="Noto Sans CJK SC"/>
        <family val="2"/>
      </rPr>
      <t xml:space="preserve">『輸入與假設』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區選擇；季度層由年度模型拆分，只用於追蹤</t>
    </r>
  </si>
  <si>
    <t xml:space="preserve">驗證｜營收（模型／共識／指引低／指引高／實際）</t>
  </si>
  <si>
    <r>
      <rPr>
        <sz val="9"/>
        <color rgb="FF595959"/>
        <rFont val="Noto Sans CJK SC"/>
        <family val="2"/>
      </rPr>
      <t xml:space="preserve">共識、指引為 </t>
    </r>
    <r>
      <rPr>
        <sz val="9"/>
        <color rgb="FF595959"/>
        <rFont val="Arial"/>
        <family val="0"/>
        <charset val="1"/>
      </rPr>
      <t xml:space="preserve">Interested-party</t>
    </r>
  </si>
  <si>
    <t xml:space="preserve">驗證｜營收｜句</t>
  </si>
  <si>
    <t xml:space="preserve">驗證｜調整後營業利益（模型／共識／指引低／指引高／實際）</t>
  </si>
  <si>
    <t xml:space="preserve">驗證｜調整後營業利益｜句</t>
  </si>
  <si>
    <r>
      <rPr>
        <sz val="10"/>
        <rFont val="Noto Sans CJK SC"/>
        <family val="2"/>
      </rPr>
      <t xml:space="preserve">驗證｜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（毛額）（模型／共識／指引低／指引高／實際）</t>
    </r>
  </si>
  <si>
    <r>
      <rPr>
        <b val="true"/>
        <sz val="10"/>
        <rFont val="Noto Sans CJK SC"/>
        <family val="2"/>
      </rPr>
      <t xml:space="preserve">驗證｜</t>
    </r>
    <r>
      <rPr>
        <b val="true"/>
        <sz val="10"/>
        <rFont val="Arial"/>
        <family val="0"/>
        <charset val="1"/>
      </rPr>
      <t xml:space="preserve">CapEx</t>
    </r>
    <r>
      <rPr>
        <b val="true"/>
        <sz val="10"/>
        <rFont val="Noto Sans CJK SC"/>
        <family val="2"/>
      </rPr>
      <t xml:space="preserve">（毛額）｜句</t>
    </r>
  </si>
  <si>
    <t xml:space="preserve">驗證｜評等分布（強力買進／買進／持有／賣出／強力賣出）</t>
  </si>
  <si>
    <t xml:space="preserve">家</t>
  </si>
  <si>
    <r>
      <rPr>
        <sz val="9"/>
        <color rgb="FF595959"/>
        <rFont val="Arial"/>
        <family val="0"/>
        <charset val="1"/>
      </rPr>
      <t xml:space="preserve">2026-10</t>
    </r>
    <r>
      <rPr>
        <sz val="9"/>
        <color rgb="FF595959"/>
        <rFont val="Noto Sans CJK SC"/>
        <family val="2"/>
      </rPr>
      <t xml:space="preserve">，合計 </t>
    </r>
    <r>
      <rPr>
        <sz val="9"/>
        <color rgb="FF595959"/>
        <rFont val="Arial"/>
        <family val="0"/>
        <charset val="1"/>
      </rPr>
      <t xml:space="preserve">61 </t>
    </r>
    <r>
      <rPr>
        <sz val="9"/>
        <color rgb="FF595959"/>
        <rFont val="Noto Sans CJK SC"/>
        <family val="2"/>
      </rPr>
      <t xml:space="preserve">家 </t>
    </r>
    <r>
      <rPr>
        <sz val="9"/>
        <color rgb="FF595959"/>
        <rFont val="Arial"/>
        <family val="0"/>
        <charset val="1"/>
      </rPr>
      <t xml:space="preserve">[Interested-party]</t>
    </r>
  </si>
  <si>
    <t xml:space="preserve">驗證｜目標價（平均／中位數／最低／最高）</t>
  </si>
  <si>
    <r>
      <rPr>
        <sz val="9"/>
        <color rgb="FF595959"/>
        <rFont val="Arial"/>
        <family val="0"/>
        <charset val="1"/>
      </rPr>
      <t xml:space="preserve">61 </t>
    </r>
    <r>
      <rPr>
        <sz val="9"/>
        <color rgb="FF595959"/>
        <rFont val="Noto Sans CJK SC"/>
        <family val="2"/>
      </rPr>
      <t xml:space="preserve">家；</t>
    </r>
    <r>
      <rPr>
        <sz val="9"/>
        <color rgb="FF595959"/>
        <rFont val="Arial"/>
        <family val="0"/>
        <charset val="1"/>
      </rPr>
      <t xml:space="preserve">S&amp;P Global Market Intelligence</t>
    </r>
    <r>
      <rPr>
        <sz val="9"/>
        <color rgb="FF595959"/>
        <rFont val="Noto Sans CJK SC"/>
        <family val="2"/>
      </rPr>
      <t xml:space="preserve">（經 </t>
    </r>
    <r>
      <rPr>
        <sz val="9"/>
        <color rgb="FF595959"/>
        <rFont val="Arial"/>
        <family val="0"/>
        <charset val="1"/>
      </rPr>
      <t xml:space="preserve">StockAnalysis.com</t>
    </r>
    <r>
      <rPr>
        <sz val="9"/>
        <color rgb="FF595959"/>
        <rFont val="Noto Sans CJK SC"/>
        <family val="2"/>
      </rPr>
      <t xml:space="preserve">），擷取 </t>
    </r>
    <r>
      <rPr>
        <sz val="9"/>
        <color rgb="FF595959"/>
        <rFont val="Arial"/>
        <family val="0"/>
        <charset val="1"/>
      </rPr>
      <t xml:space="preserve">2026-10-08 [Interested-party]</t>
    </r>
  </si>
  <si>
    <r>
      <rPr>
        <sz val="9"/>
        <color rgb="FF595959"/>
        <rFont val="Noto Sans CJK SC"/>
        <family val="2"/>
      </rPr>
      <t xml:space="preserve">來源獨立性：</t>
    </r>
    <r>
      <rPr>
        <sz val="9"/>
        <color rgb="FF595959"/>
        <rFont val="Arial"/>
        <family val="0"/>
        <charset val="1"/>
      </rPr>
      <t xml:space="preserve">StockAnalysis.com </t>
    </r>
    <r>
      <rPr>
        <sz val="9"/>
        <color rgb="FF595959"/>
        <rFont val="Noto Sans CJK SC"/>
        <family val="2"/>
      </rPr>
      <t xml:space="preserve">的目標價、評等、營收與 </t>
    </r>
    <r>
      <rPr>
        <sz val="9"/>
        <color rgb="FF595959"/>
        <rFont val="Arial"/>
        <family val="0"/>
        <charset val="1"/>
      </rPr>
      <t xml:space="preserve">EPS </t>
    </r>
    <r>
      <rPr>
        <sz val="9"/>
        <color rgb="FF595959"/>
        <rFont val="Noto Sans CJK SC"/>
        <family val="2"/>
      </rPr>
      <t xml:space="preserve">引用 </t>
    </r>
    <r>
      <rPr>
        <sz val="9"/>
        <color rgb="FF595959"/>
        <rFont val="Arial"/>
        <family val="0"/>
        <charset val="1"/>
      </rPr>
      <t xml:space="preserve">S&amp;P Global Market Intelligence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MarketScreener </t>
    </r>
    <r>
      <rPr>
        <sz val="9"/>
        <color rgb="FF595959"/>
        <rFont val="Noto Sans CJK SC"/>
        <family val="2"/>
      </rPr>
      <t xml:space="preserve">的年度預估一般屬 </t>
    </r>
    <r>
      <rPr>
        <sz val="9"/>
        <color rgb="FF595959"/>
        <rFont val="Arial"/>
        <family val="0"/>
        <charset val="1"/>
      </rPr>
      <t xml:space="preserve">S&amp;P Capital IQ </t>
    </r>
    <r>
      <rPr>
        <sz val="9"/>
        <color rgb="FF595959"/>
        <rFont val="Noto Sans CJK SC"/>
        <family val="2"/>
      </rPr>
      <t xml:space="preserve">系；</t>
    </r>
    <r>
      <rPr>
        <sz val="9"/>
        <color rgb="FF595959"/>
        <rFont val="Arial"/>
        <family val="0"/>
        <charset val="1"/>
      </rPr>
      <t xml:space="preserve">Yahoo Finance </t>
    </r>
    <r>
      <rPr>
        <sz val="9"/>
        <color rgb="FF595959"/>
        <rFont val="Noto Sans CJK SC"/>
        <family val="2"/>
      </rPr>
      <t xml:space="preserve">分析頁 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498.69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615.04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MarketScreener 498.690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615.038 </t>
    </r>
    <r>
      <rPr>
        <sz val="9"/>
        <color rgb="FF595959"/>
        <rFont val="Noto Sans CJK SC"/>
        <family val="2"/>
      </rPr>
      <t xml:space="preserve">完全相同、與 </t>
    </r>
    <r>
      <rPr>
        <sz val="9"/>
        <color rgb="FF595959"/>
        <rFont val="Arial"/>
        <family val="0"/>
        <charset val="1"/>
      </rPr>
      <t xml:space="preserve">StockAnalysis 498.74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614.95 </t>
    </r>
    <r>
      <rPr>
        <sz val="9"/>
        <color rgb="FF595959"/>
        <rFont val="Noto Sans CJK SC"/>
        <family val="2"/>
      </rPr>
      <t xml:space="preserve">略異，三者視為同一或高度重疊的底層來源，不算獨立交叉驗證。</t>
    </r>
    <r>
      <rPr>
        <sz val="9"/>
        <color rgb="FF595959"/>
        <rFont val="Arial"/>
        <family val="0"/>
        <charset val="1"/>
      </rPr>
      <t xml:space="preserve">MarketBeat </t>
    </r>
    <r>
      <rPr>
        <sz val="9"/>
        <color rgb="FF595959"/>
        <rFont val="Noto Sans CJK SC"/>
        <family val="2"/>
      </rPr>
      <t xml:space="preserve">目標價與評等為自行彙整（獨立於 </t>
    </r>
    <r>
      <rPr>
        <sz val="9"/>
        <color rgb="FF595959"/>
        <rFont val="Arial"/>
        <family val="0"/>
        <charset val="1"/>
      </rPr>
      <t xml:space="preserve">S&amp;P</t>
    </r>
    <r>
      <rPr>
        <sz val="9"/>
        <color rgb="FF595959"/>
        <rFont val="Noto Sans CJK SC"/>
        <family val="2"/>
      </rPr>
      <t xml:space="preserve">），可作目標價的獨立交叉；</t>
    </r>
    <r>
      <rPr>
        <sz val="9"/>
        <color rgb="FF595959"/>
        <rFont val="Arial"/>
        <family val="0"/>
        <charset val="1"/>
      </rPr>
      <t xml:space="preserve">Yahoo </t>
    </r>
    <r>
      <rPr>
        <sz val="9"/>
        <color rgb="FF595959"/>
        <rFont val="Noto Sans CJK SC"/>
        <family val="2"/>
      </rPr>
      <t xml:space="preserve">目標價 </t>
    </r>
    <r>
      <rPr>
        <sz val="9"/>
        <color rgb="FF595959"/>
        <rFont val="Arial"/>
        <family val="0"/>
        <charset val="1"/>
      </rPr>
      <t xml:space="preserve">429.47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S&amp;P </t>
    </r>
    <r>
      <rPr>
        <sz val="9"/>
        <color rgb="FF595959"/>
        <rFont val="Noto Sans CJK SC"/>
        <family val="2"/>
      </rPr>
      <t xml:space="preserve">完全相同，推測同源。</t>
    </r>
  </si>
  <si>
    <r>
      <rPr>
        <sz val="9"/>
        <color rgb="FF595959"/>
        <rFont val="Noto Sans CJK SC"/>
        <family val="2"/>
      </rPr>
      <t xml:space="preserve">共識來源：</t>
    </r>
    <r>
      <rPr>
        <sz val="9"/>
        <color rgb="FF595959"/>
        <rFont val="Arial"/>
        <family val="0"/>
        <charset val="1"/>
      </rPr>
      <t xml:space="preserve">MarketScreener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S&amp;P Capital IQ </t>
    </r>
    <r>
      <rPr>
        <sz val="9"/>
        <color rgb="FF595959"/>
        <rFont val="Noto Sans CJK SC"/>
        <family val="2"/>
      </rPr>
      <t xml:space="preserve">系共識）、</t>
    </r>
    <r>
      <rPr>
        <sz val="9"/>
        <color rgb="FF595959"/>
        <rFont val="Arial"/>
        <family val="0"/>
        <charset val="1"/>
      </rPr>
      <t xml:space="preserve">S&amp;P Global Market Intelligence</t>
    </r>
    <r>
      <rPr>
        <sz val="9"/>
        <color rgb="FF595959"/>
        <rFont val="Noto Sans CJK SC"/>
        <family val="2"/>
      </rPr>
      <t xml:space="preserve">（經 </t>
    </r>
    <r>
      <rPr>
        <sz val="9"/>
        <color rgb="FF595959"/>
        <rFont val="Arial"/>
        <family val="0"/>
        <charset val="1"/>
      </rPr>
      <t xml:space="preserve">StockAnalysis.com</t>
    </r>
    <r>
      <rPr>
        <sz val="9"/>
        <color rgb="FF595959"/>
        <rFont val="Noto Sans CJK SC"/>
        <family val="2"/>
      </rPr>
      <t xml:space="preserve">）；擷取 </t>
    </r>
    <r>
      <rPr>
        <sz val="9"/>
        <color rgb="FF595959"/>
        <rFont val="Arial"/>
        <family val="0"/>
        <charset val="1"/>
      </rPr>
      <t xml:space="preserve">2026-10-08</t>
    </r>
    <r>
      <rPr>
        <sz val="9"/>
        <color rgb="FF595959"/>
        <rFont val="Noto Sans CJK SC"/>
        <family val="2"/>
      </rPr>
      <t xml:space="preserve">。逐筆來源、日期與標記見『輸入與假設』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區。</t>
    </r>
  </si>
  <si>
    <t xml:space="preserve">輸入（依類別排序；點左側 ＋／− 展開或收合。藍字可改；黃底為最關鍵假設）</t>
  </si>
  <si>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情境 → 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產能與收入 →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利潤率 →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支出（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Noto Sans CJK SC"/>
        <family val="2"/>
      </rPr>
      <t xml:space="preserve">／折舊／租賃／</t>
    </r>
    <r>
      <rPr>
        <sz val="9"/>
        <color rgb="FF595959"/>
        <rFont val="Arial"/>
        <family val="0"/>
        <charset val="1"/>
      </rPr>
      <t xml:space="preserve">JV</t>
    </r>
    <r>
      <rPr>
        <sz val="9"/>
        <color rgb="FF595959"/>
        <rFont val="Noto Sans CJK SC"/>
        <family val="2"/>
      </rPr>
      <t xml:space="preserve">）→ 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融資 → 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評價 → 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參考：</t>
    </r>
    <r>
      <rPr>
        <sz val="9"/>
        <color rgb="FF595959"/>
        <rFont val="Arial"/>
        <family val="0"/>
        <charset val="1"/>
      </rPr>
      <t xml:space="preserve">1H26 </t>
    </r>
    <r>
      <rPr>
        <sz val="9"/>
        <color rgb="FF595959"/>
        <rFont val="Noto Sans CJK SC"/>
        <family val="2"/>
      </rPr>
      <t xml:space="preserve">實際 → </t>
    </r>
    <r>
      <rPr>
        <sz val="9"/>
        <color rgb="FF595959"/>
        <rFont val="Arial"/>
        <family val="0"/>
        <charset val="1"/>
      </rPr>
      <t xml:space="preserve">H </t>
    </r>
    <r>
      <rPr>
        <sz val="9"/>
        <color rgb="FF595959"/>
        <rFont val="Noto Sans CJK SC"/>
        <family val="2"/>
      </rPr>
      <t xml:space="preserve">情境區間運算表 → 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市場共識 → 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季度追蹤輸入。灰底『▸』為明細子區，預設收合</t>
    </r>
  </si>
  <si>
    <r>
      <rPr>
        <b val="true"/>
        <sz val="10"/>
        <rFont val="Arial"/>
        <family val="0"/>
        <charset val="1"/>
      </rPr>
      <t xml:space="preserve">A</t>
    </r>
    <r>
      <rPr>
        <b val="true"/>
        <sz val="10"/>
        <rFont val="Noto Sans CJK SC"/>
        <family val="2"/>
      </rPr>
      <t xml:space="preserve">｜情境與規模（管理層擴張力道）</t>
    </r>
  </si>
  <si>
    <r>
      <rPr>
        <b val="true"/>
        <sz val="10"/>
        <rFont val="Noto Sans CJK SC"/>
        <family val="2"/>
      </rPr>
      <t xml:space="preserve">情境選擇（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＝保守 已交付＋已公開在建、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Noto Sans CJK SC"/>
        <family val="2"/>
      </rPr>
      <t xml:space="preserve">＝基準 依資本支出指引、</t>
    </r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Noto Sans CJK SC"/>
        <family val="2"/>
      </rPr>
      <t xml:space="preserve">＝積極 依 </t>
    </r>
    <r>
      <rPr>
        <b val="true"/>
        <sz val="10"/>
        <rFont val="Arial"/>
        <family val="0"/>
        <charset val="1"/>
      </rPr>
      <t xml:space="preserve">2027 </t>
    </r>
    <r>
      <rPr>
        <b val="true"/>
        <sz val="10"/>
        <rFont val="Noto Sans CJK SC"/>
        <family val="2"/>
      </rPr>
      <t xml:space="preserve">擴張幅度）</t>
    </r>
  </si>
  <si>
    <r>
      <rPr>
        <sz val="9"/>
        <color rgb="FF595959"/>
        <rFont val="Noto Sans CJK SC"/>
        <family val="2"/>
      </rPr>
      <t xml:space="preserve">三情境只改容量軸（對外 </t>
    </r>
    <r>
      <rPr>
        <sz val="9"/>
        <color rgb="FF595959"/>
        <rFont val="Arial"/>
        <family val="0"/>
        <charset val="1"/>
      </rPr>
      <t xml:space="preserve">AI MW </t>
    </r>
    <r>
      <rPr>
        <sz val="9"/>
        <color rgb="FF595959"/>
        <rFont val="Noto Sans CJK SC"/>
        <family val="2"/>
      </rPr>
      <t xml:space="preserve">路徑；世代組合隨新增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改變每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年收入）；價格軸另見 </t>
    </r>
    <r>
      <rPr>
        <sz val="9"/>
        <color rgb="FF595959"/>
        <rFont val="Arial"/>
        <family val="0"/>
        <charset val="1"/>
      </rPr>
      <t xml:space="preserve">B0</t>
    </r>
    <r>
      <rPr>
        <sz val="9"/>
        <color rgb="FF595959"/>
        <rFont val="Noto Sans CJK SC"/>
        <family val="2"/>
      </rPr>
      <t xml:space="preserve">（對照表 </t>
    </r>
    <r>
      <rPr>
        <sz val="9"/>
        <color rgb="FF595959"/>
        <rFont val="Arial"/>
        <family val="0"/>
        <charset val="1"/>
      </rPr>
      <t xml:space="preserve">r1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節第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條）</t>
    </r>
  </si>
  <si>
    <r>
      <rPr>
        <b val="true"/>
        <sz val="10"/>
        <color rgb="FF1F3864"/>
        <rFont val="Noto Sans CJK SC"/>
        <family val="2"/>
      </rPr>
      <t xml:space="preserve">▸ 情境路徑明細（已連網 </t>
    </r>
    <r>
      <rPr>
        <b val="true"/>
        <sz val="10"/>
        <color rgb="FF1F3864"/>
        <rFont val="Arial"/>
        <family val="0"/>
        <charset val="1"/>
      </rPr>
      <t xml:space="preserve">MW</t>
    </r>
    <r>
      <rPr>
        <b val="true"/>
        <sz val="10"/>
        <color rgb="FF1F3864"/>
        <rFont val="Noto Sans CJK SC"/>
        <family val="2"/>
      </rPr>
      <t xml:space="preserve">、在役比例、表外租金基準）</t>
    </r>
  </si>
  <si>
    <r>
      <rPr>
        <b val="true"/>
        <sz val="11"/>
        <color rgb="FFFFFFFF"/>
        <rFont val="Noto Sans CJK SC"/>
        <family val="2"/>
      </rPr>
      <t xml:space="preserve">已連網 </t>
    </r>
    <r>
      <rPr>
        <b val="true"/>
        <sz val="11"/>
        <color rgb="FFFFFFFF"/>
        <rFont val="Arial"/>
        <family val="0"/>
        <charset val="1"/>
      </rPr>
      <t xml:space="preserve">MW </t>
    </r>
    <r>
      <rPr>
        <b val="true"/>
        <sz val="11"/>
        <color rgb="FFFFFFFF"/>
        <rFont val="Noto Sans CJK SC"/>
        <family val="2"/>
      </rPr>
      <t xml:space="preserve">路徑</t>
    </r>
  </si>
  <si>
    <t xml:space="preserve">2029</t>
  </si>
  <si>
    <t xml:space="preserve">2030</t>
  </si>
  <si>
    <r>
      <rPr>
        <b val="true"/>
        <sz val="11"/>
        <color rgb="FFFFFFFF"/>
        <rFont val="Arial"/>
        <family val="0"/>
        <charset val="1"/>
      </rPr>
      <t xml:space="preserve">2031 </t>
    </r>
    <r>
      <rPr>
        <b val="true"/>
        <sz val="11"/>
        <color rgb="FFFFFFFF"/>
        <rFont val="Noto Sans CJK SC"/>
        <family val="2"/>
      </rPr>
      <t xml:space="preserve">新增 </t>
    </r>
    <r>
      <rPr>
        <b val="true"/>
        <sz val="11"/>
        <color rgb="FFFFFFFF"/>
        <rFont val="Arial"/>
        <family val="0"/>
        <charset val="1"/>
      </rPr>
      <t xml:space="preserve">MW</t>
    </r>
  </si>
  <si>
    <r>
      <rPr>
        <sz val="10"/>
        <rFont val="Noto Sans CJK SC"/>
        <family val="2"/>
      </rPr>
      <t xml:space="preserve">評價日在役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（期初計費，三情境共用）</t>
    </r>
  </si>
  <si>
    <t xml:space="preserve">MW</t>
  </si>
  <si>
    <r>
      <rPr>
        <sz val="9"/>
        <color rgb="FF595959"/>
        <rFont val="Arial"/>
        <family val="0"/>
        <charset val="1"/>
      </rPr>
      <t xml:space="preserve">company.json → defaults.billableOpen</t>
    </r>
    <r>
      <rPr>
        <sz val="9"/>
        <color rgb="FF595959"/>
        <rFont val="Noto Sans CJK SC"/>
        <family val="2"/>
      </rPr>
      <t xml:space="preserve">；來源見 </t>
    </r>
    <r>
      <rPr>
        <sz val="9"/>
        <color rgb="FF595959"/>
        <rFont val="Arial"/>
        <family val="0"/>
        <charset val="1"/>
      </rPr>
      <t xml:space="preserve">scenarios.mwPath.note</t>
    </r>
    <r>
      <rPr>
        <sz val="9"/>
        <color rgb="FF595959"/>
        <rFont val="Noto Sans CJK SC"/>
        <family val="2"/>
      </rPr>
      <t xml:space="preserve">（第三方估計，不以營收校準）</t>
    </r>
    <r>
      <rPr>
        <sz val="9"/>
        <color rgb="FF595959"/>
        <rFont val="Arial"/>
        <family val="0"/>
        <charset val="1"/>
      </rPr>
      <t xml:space="preserve">[Derived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Assumed]</t>
    </r>
  </si>
  <si>
    <r>
      <rPr>
        <sz val="10"/>
        <rFont val="Noto Sans CJK SC"/>
        <family val="2"/>
      </rPr>
      <t xml:space="preserve">保守 已交付＋已公開在建｜合約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上限</t>
    </r>
  </si>
  <si>
    <t xml:space="preserve">company.json → scenarios.mwPath.contracted</t>
  </si>
  <si>
    <t xml:space="preserve">保守 已交付＋已公開在建｜併網速度</t>
  </si>
  <si>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／年</t>
    </r>
  </si>
  <si>
    <t xml:space="preserve">company.json → scenarios.mwPath.pace</t>
  </si>
  <si>
    <t xml:space="preserve">保守 已交付＋已公開在建</t>
  </si>
  <si>
    <r>
      <rPr>
        <sz val="9"/>
        <color rgb="FF595959"/>
        <rFont val="Noto Sans CJK SC"/>
        <family val="2"/>
      </rPr>
      <t xml:space="preserve">對外 </t>
    </r>
    <r>
      <rPr>
        <sz val="9"/>
        <color rgb="FF595959"/>
        <rFont val="Arial"/>
        <family val="0"/>
        <charset val="1"/>
      </rPr>
      <t xml:space="preserve">AI MW-IT </t>
    </r>
    <r>
      <rPr>
        <sz val="9"/>
        <color rgb="FF595959"/>
        <rFont val="Noto Sans CJK SC"/>
        <family val="2"/>
      </rPr>
      <t xml:space="preserve">只加已公開在建：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於 </t>
    </r>
    <r>
      <rPr>
        <sz val="9"/>
        <color rgb="FF595959"/>
        <rFont val="Arial"/>
        <family val="0"/>
        <charset val="1"/>
      </rPr>
      <t xml:space="preserve">Google Cloud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TPU </t>
    </r>
    <r>
      <rPr>
        <sz val="9"/>
        <color rgb="FF595959"/>
        <rFont val="Noto Sans CJK SC"/>
        <family val="2"/>
      </rPr>
      <t xml:space="preserve">由約 </t>
    </r>
    <r>
      <rPr>
        <sz val="9"/>
        <color rgb="FF595959"/>
        <rFont val="Arial"/>
        <family val="0"/>
        <charset val="1"/>
      </rPr>
      <t xml:space="preserve">0.77 GW </t>
    </r>
    <r>
      <rPr>
        <sz val="9"/>
        <color rgb="FF595959"/>
        <rFont val="Noto Sans CJK SC"/>
        <family val="2"/>
      </rPr>
      <t xml:space="preserve">擴到 </t>
    </r>
    <r>
      <rPr>
        <sz val="9"/>
        <color rgb="FF595959"/>
        <rFont val="Arial"/>
        <family val="0"/>
        <charset val="1"/>
      </rPr>
      <t xml:space="preserve">1.54 GW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anthropic/ </t>
    </r>
    <r>
      <rPr>
        <sz val="9"/>
        <color rgb="FF595959"/>
        <rFont val="Noto Sans CJK SC"/>
        <family val="2"/>
      </rPr>
      <t xml:space="preserve">模型供給路徑）＋</t>
    </r>
    <r>
      <rPr>
        <sz val="9"/>
        <color rgb="FF595959"/>
        <rFont val="Arial"/>
        <family val="0"/>
        <charset val="1"/>
      </rPr>
      <t xml:space="preserve">Google–Blackstone TPU </t>
    </r>
    <r>
      <rPr>
        <sz val="9"/>
        <color rgb="FF595959"/>
        <rFont val="Noto Sans CJK SC"/>
        <family val="2"/>
      </rPr>
      <t xml:space="preserve">合資 </t>
    </r>
    <r>
      <rPr>
        <sz val="9"/>
        <color rgb="FF595959"/>
        <rFont val="Arial"/>
        <family val="0"/>
        <charset val="1"/>
      </rPr>
      <t xml:space="preserve">0.5 GW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2027</t>
    </r>
    <r>
      <rPr>
        <sz val="9"/>
        <color rgb="FF595959"/>
        <rFont val="Noto Sans CJK SC"/>
        <family val="2"/>
      </rPr>
      <t xml:space="preserve">）＝</t>
    </r>
    <r>
      <rPr>
        <sz val="9"/>
        <color rgb="FF595959"/>
        <rFont val="Arial"/>
        <family val="0"/>
        <charset val="1"/>
      </rPr>
      <t xml:space="preserve">+1,270</t>
    </r>
    <r>
      <rPr>
        <sz val="9"/>
        <color rgb="FF595959"/>
        <rFont val="Noto Sans CJK SC"/>
        <family val="2"/>
      </rPr>
      <t xml:space="preserve">，每年 </t>
    </r>
    <r>
      <rPr>
        <sz val="9"/>
        <color rgb="FF595959"/>
        <rFont val="Arial"/>
        <family val="0"/>
        <charset val="1"/>
      </rPr>
      <t xml:space="preserve">+850</t>
    </r>
    <r>
      <rPr>
        <sz val="9"/>
        <color rgb="FF595959"/>
        <rFont val="Noto Sans CJK SC"/>
        <family val="2"/>
      </rPr>
      <t xml:space="preserve">、上限 </t>
    </r>
    <r>
      <rPr>
        <sz val="9"/>
        <color rgb="FF595959"/>
        <rFont val="Arial"/>
        <family val="0"/>
        <charset val="1"/>
      </rPr>
      <t xml:space="preserve">3,171 [Derived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Interested-party]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2031 </t>
    </r>
    <r>
      <rPr>
        <sz val="9"/>
        <color rgb="FF595959"/>
        <rFont val="Noto Sans CJK SC"/>
        <family val="2"/>
      </rPr>
      <t xml:space="preserve">新增 </t>
    </r>
    <r>
      <rPr>
        <sz val="9"/>
        <color rgb="FF595959"/>
        <rFont val="Arial"/>
        <family val="0"/>
        <charset val="1"/>
      </rPr>
      <t xml:space="preserve">MW</t>
    </r>
  </si>
  <si>
    <r>
      <rPr>
        <sz val="10"/>
        <rFont val="Noto Sans CJK SC"/>
        <family val="2"/>
      </rPr>
      <t xml:space="preserve">基準 依資本支出指引｜合約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上限</t>
    </r>
  </si>
  <si>
    <t xml:space="preserve">基準 依資本支出指引｜併網速度</t>
  </si>
  <si>
    <t xml:space="preserve">基準 依資本支出指引</t>
  </si>
  <si>
    <r>
      <rPr>
        <sz val="9"/>
        <color rgb="FF595959"/>
        <rFont val="Noto Sans CJK SC"/>
        <family val="2"/>
      </rPr>
      <t xml:space="preserve">對外 </t>
    </r>
    <r>
      <rPr>
        <sz val="9"/>
        <color rgb="FF595959"/>
        <rFont val="Arial"/>
        <family val="0"/>
        <charset val="1"/>
      </rPr>
      <t xml:space="preserve">AI MW </t>
    </r>
    <r>
      <rPr>
        <sz val="9"/>
        <color rgb="FF595959"/>
        <rFont val="Noto Sans CJK SC"/>
        <family val="2"/>
      </rPr>
      <t xml:space="preserve">新增速度＝近端資本支出隱含的建置量：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全年指引中點 </t>
    </r>
    <r>
      <rPr>
        <sz val="9"/>
        <color rgb="FF595959"/>
        <rFont val="Arial"/>
        <family val="0"/>
        <charset val="1"/>
      </rPr>
      <t xml:space="preserve">$200bn −</t>
    </r>
    <r>
      <rPr>
        <sz val="9"/>
        <color rgb="FF595959"/>
        <rFont val="Noto Sans CJK SC"/>
        <family val="2"/>
      </rPr>
      <t xml:space="preserve">（非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公式值＋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汰換）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全成本（</t>
    </r>
    <r>
      <rPr>
        <sz val="9"/>
        <color rgb="FF595959"/>
        <rFont val="Arial"/>
        <family val="0"/>
        <charset val="1"/>
      </rPr>
      <t xml:space="preserve">Tokenomics IT</t>
    </r>
    <r>
      <rPr>
        <sz val="9"/>
        <color rgb="FF595959"/>
        <rFont val="Noto Sans CJK SC"/>
        <family val="2"/>
      </rPr>
      <t xml:space="preserve">＋自建 </t>
    </r>
    <r>
      <rPr>
        <sz val="9"/>
        <color rgb="FF595959"/>
        <rFont val="Arial"/>
        <family val="0"/>
        <charset val="1"/>
      </rPr>
      <t xml:space="preserve">85% × </t>
    </r>
    <r>
      <rPr>
        <sz val="9"/>
        <color rgb="FF595959"/>
        <rFont val="Noto Sans CJK SC"/>
        <family val="2"/>
      </rPr>
      <t xml:space="preserve">設施）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對外 </t>
    </r>
    <r>
      <rPr>
        <sz val="9"/>
        <color rgb="FF595959"/>
        <rFont val="Arial"/>
        <family val="0"/>
        <charset val="1"/>
      </rPr>
      <t xml:space="preserve">30%</t>
    </r>
    <r>
      <rPr>
        <sz val="9"/>
        <color rgb="FF595959"/>
        <rFont val="Noto Sans CJK SC"/>
        <family val="2"/>
      </rPr>
      <t xml:space="preserve">，依 </t>
    </r>
    <r>
      <rPr>
        <sz val="9"/>
        <color rgb="FF595959"/>
        <rFont val="Arial"/>
        <family val="0"/>
        <charset val="1"/>
      </rPr>
      <t xml:space="preserve">λ </t>
    </r>
    <r>
      <rPr>
        <sz val="9"/>
        <color rgb="FF595959"/>
        <rFont val="Noto Sans CJK SC"/>
        <family val="2"/>
      </rPr>
      <t xml:space="preserve">遞延上線（</t>
    </r>
    <r>
      <rPr>
        <sz val="9"/>
        <color rgb="FF595959"/>
        <rFont val="Arial"/>
        <family val="0"/>
        <charset val="1"/>
      </rPr>
      <t xml:space="preserve">scripts/calib_pace.js </t>
    </r>
    <r>
      <rPr>
        <sz val="9"/>
        <color rgb="FF595959"/>
        <rFont val="Noto Sans CJK SC"/>
        <family val="2"/>
      </rPr>
      <t xml:space="preserve">解，對帳落差＝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）；之後各年資本支出＝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路徑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成本（同一套數字）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2031 </t>
    </r>
    <r>
      <rPr>
        <sz val="9"/>
        <color rgb="FF595959"/>
        <rFont val="Noto Sans CJK SC"/>
        <family val="2"/>
      </rPr>
      <t xml:space="preserve">新增 </t>
    </r>
    <r>
      <rPr>
        <sz val="9"/>
        <color rgb="FF595959"/>
        <rFont val="Arial"/>
        <family val="0"/>
        <charset val="1"/>
      </rPr>
      <t xml:space="preserve">MW</t>
    </r>
  </si>
  <si>
    <r>
      <rPr>
        <sz val="10"/>
        <rFont val="Noto Sans CJK SC"/>
        <family val="2"/>
      </rPr>
      <t xml:space="preserve">積極 依 </t>
    </r>
    <r>
      <rPr>
        <sz val="10"/>
        <rFont val="Arial"/>
        <family val="0"/>
        <charset val="1"/>
      </rPr>
      <t xml:space="preserve">2027 </t>
    </r>
    <r>
      <rPr>
        <sz val="10"/>
        <rFont val="Noto Sans CJK SC"/>
        <family val="2"/>
      </rPr>
      <t xml:space="preserve">擴張幅度｜合約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上限</t>
    </r>
  </si>
  <si>
    <r>
      <rPr>
        <sz val="10"/>
        <rFont val="Noto Sans CJK SC"/>
        <family val="2"/>
      </rPr>
      <t xml:space="preserve">積極 依 </t>
    </r>
    <r>
      <rPr>
        <sz val="10"/>
        <rFont val="Arial"/>
        <family val="0"/>
        <charset val="1"/>
      </rPr>
      <t xml:space="preserve">2027 </t>
    </r>
    <r>
      <rPr>
        <sz val="10"/>
        <rFont val="Noto Sans CJK SC"/>
        <family val="2"/>
      </rPr>
      <t xml:space="preserve">擴張幅度｜併網速度</t>
    </r>
  </si>
  <si>
    <r>
      <rPr>
        <sz val="10"/>
        <rFont val="Noto Sans CJK SC"/>
        <family val="2"/>
      </rPr>
      <t xml:space="preserve">積極 依 </t>
    </r>
    <r>
      <rPr>
        <sz val="10"/>
        <rFont val="Arial"/>
        <family val="0"/>
        <charset val="1"/>
      </rPr>
      <t xml:space="preserve">2027 </t>
    </r>
    <r>
      <rPr>
        <sz val="10"/>
        <rFont val="Noto Sans CJK SC"/>
        <family val="2"/>
      </rPr>
      <t xml:space="preserve">擴張幅度</t>
    </r>
  </si>
  <si>
    <r>
      <rPr>
        <sz val="9"/>
        <color rgb="FF595959"/>
        <rFont val="Noto Sans CJK SC"/>
        <family val="2"/>
      </rPr>
      <t xml:space="preserve">公司無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目標（只有「</t>
    </r>
    <r>
      <rPr>
        <sz val="9"/>
        <color rgb="FF595959"/>
        <rFont val="Arial"/>
        <family val="0"/>
        <charset val="1"/>
      </rPr>
      <t xml:space="preserve">serving </t>
    </r>
    <r>
      <rPr>
        <sz val="9"/>
        <color rgb="FF595959"/>
        <rFont val="Noto Sans CJK SC"/>
        <family val="2"/>
      </rPr>
      <t xml:space="preserve">容量每 </t>
    </r>
    <r>
      <rPr>
        <sz val="9"/>
        <color rgb="FF595959"/>
        <rFont val="Arial"/>
        <family val="0"/>
        <charset val="1"/>
      </rPr>
      <t xml:space="preserve">6 </t>
    </r>
    <r>
      <rPr>
        <sz val="9"/>
        <color rgb="FF595959"/>
        <rFont val="Noto Sans CJK SC"/>
        <family val="2"/>
      </rPr>
      <t xml:space="preserve">個月倍增」的內部說法）→ 以 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擴張幅度代替：共識資本支出 </t>
    </r>
    <r>
      <rPr>
        <sz val="9"/>
        <color rgb="FF595959"/>
        <rFont val="Arial"/>
        <family val="0"/>
        <charset val="1"/>
      </rPr>
      <t xml:space="preserve">2027 ÷ 2026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Morgan Stanley TPU </t>
    </r>
    <r>
      <rPr>
        <sz val="9"/>
        <color rgb="FF595959"/>
        <rFont val="Noto Sans CJK SC"/>
        <family val="2"/>
      </rPr>
      <t xml:space="preserve">產量 </t>
    </r>
    <r>
      <rPr>
        <sz val="9"/>
        <color rgb="FF595959"/>
        <rFont val="Arial"/>
        <family val="0"/>
        <charset val="1"/>
      </rPr>
      <t xml:space="preserve">2027 ÷ 2026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1.56</t>
    </r>
    <r>
      <rPr>
        <sz val="9"/>
        <color rgb="FF595959"/>
        <rFont val="Noto Sans CJK SC"/>
        <family val="2"/>
      </rPr>
      <t xml:space="preserve">，取 </t>
    </r>
    <r>
      <rPr>
        <sz val="9"/>
        <color rgb="FF595959"/>
        <rFont val="Arial"/>
        <family val="0"/>
        <charset val="1"/>
      </rPr>
      <t xml:space="preserve">1.5 × </t>
    </r>
    <r>
      <rPr>
        <sz val="9"/>
        <color rgb="FF595959"/>
        <rFont val="Noto Sans CJK SC"/>
        <family val="2"/>
      </rPr>
      <t xml:space="preserve">基準速度 </t>
    </r>
    <r>
      <rPr>
        <sz val="9"/>
        <color rgb="FF595959"/>
        <rFont val="Arial"/>
        <family val="0"/>
        <charset val="1"/>
      </rPr>
      <t xml:space="preserve">[Derived</t>
    </r>
    <r>
      <rPr>
        <sz val="9"/>
        <color rgb="FF595959"/>
        <rFont val="Noto Sans CJK SC"/>
        <family val="2"/>
      </rPr>
      <t xml:space="preserve">；共識與賣方為 </t>
    </r>
    <r>
      <rPr>
        <sz val="9"/>
        <color rgb="FF595959"/>
        <rFont val="Arial"/>
        <family val="0"/>
        <charset val="1"/>
      </rPr>
      <t xml:space="preserve">Interested-party]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2031 </t>
    </r>
    <r>
      <rPr>
        <sz val="9"/>
        <color rgb="FF595959"/>
        <rFont val="Noto Sans CJK SC"/>
        <family val="2"/>
      </rPr>
      <t xml:space="preserve">新增 </t>
    </r>
    <r>
      <rPr>
        <sz val="9"/>
        <color rgb="FF595959"/>
        <rFont val="Arial"/>
        <family val="0"/>
        <charset val="1"/>
      </rPr>
      <t xml:space="preserve">MW</t>
    </r>
  </si>
  <si>
    <t xml:space="preserve">在役／已連網比例</t>
  </si>
  <si>
    <r>
      <rPr>
        <sz val="9"/>
        <color rgb="FF595959"/>
        <rFont val="Noto Sans CJK SC"/>
        <family val="2"/>
      </rPr>
      <t xml:space="preserve">對外 </t>
    </r>
    <r>
      <rPr>
        <sz val="9"/>
        <color rgb="FF595959"/>
        <rFont val="Arial"/>
        <family val="0"/>
        <charset val="1"/>
      </rPr>
      <t xml:space="preserve">AI MW </t>
    </r>
    <r>
      <rPr>
        <sz val="9"/>
        <color rgb="FF595959"/>
        <rFont val="Noto Sans CJK SC"/>
        <family val="2"/>
      </rPr>
      <t xml:space="preserve">依 </t>
    </r>
    <r>
      <rPr>
        <sz val="9"/>
        <color rgb="FF595959"/>
        <rFont val="Arial"/>
        <family val="0"/>
        <charset val="1"/>
      </rPr>
      <t xml:space="preserve">MW-year </t>
    </r>
    <r>
      <rPr>
        <sz val="9"/>
        <color rgb="FF595959"/>
        <rFont val="Noto Sans CJK SC"/>
        <family val="2"/>
      </rPr>
      <t xml:space="preserve">計價：已連網即計費（在役比例 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Noto Sans CJK SC"/>
        <family val="2"/>
      </rPr>
      <t xml:space="preserve">）；期初計費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＝第三方估計 </t>
    </r>
    <r>
      <rPr>
        <sz val="9"/>
        <color rgb="FF595959"/>
        <rFont val="Arial"/>
        <family val="0"/>
        <charset val="1"/>
      </rPr>
      <t xml:space="preserve">1,901</t>
    </r>
    <r>
      <rPr>
        <sz val="9"/>
        <color rgb="FF595959"/>
        <rFont val="Noto Sans CJK SC"/>
        <family val="2"/>
      </rPr>
      <t xml:space="preserve">，不以 </t>
    </r>
    <r>
      <rPr>
        <sz val="9"/>
        <color rgb="FF595959"/>
        <rFont val="Arial"/>
        <family val="0"/>
        <charset val="1"/>
      </rPr>
      <t xml:space="preserve">Google Cloud </t>
    </r>
    <r>
      <rPr>
        <sz val="9"/>
        <color rgb="FF595959"/>
        <rFont val="Noto Sans CJK SC"/>
        <family val="2"/>
      </rPr>
      <t xml:space="preserve">營收校準（</t>
    </r>
    <r>
      <rPr>
        <sz val="9"/>
        <color rgb="FF595959"/>
        <rFont val="Arial"/>
        <family val="0"/>
        <charset val="1"/>
      </rPr>
      <t xml:space="preserve">Cloud </t>
    </r>
    <r>
      <rPr>
        <sz val="9"/>
        <color rgb="FF595959"/>
        <rFont val="Noto Sans CJK SC"/>
        <family val="2"/>
      </rPr>
      <t xml:space="preserve">營收含非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Workspace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[Assumed]</t>
    </r>
  </si>
  <si>
    <t xml:space="preserve">未起租租賃總額（未折現）</t>
  </si>
  <si>
    <r>
      <rPr>
        <sz val="9"/>
        <color rgb="FF595959"/>
        <rFont val="Noto Sans CJK SC"/>
        <family val="2"/>
      </rPr>
      <t xml:space="preserve">季報附註已簽約未起租租賃（</t>
    </r>
    <r>
      <rPr>
        <sz val="9"/>
        <color rgb="FF595959"/>
        <rFont val="Arial"/>
        <family val="0"/>
        <charset val="1"/>
      </rPr>
      <t xml:space="preserve">company.json → leases.facts.notCommenced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</si>
  <si>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Noto Sans CJK SC"/>
        <family val="2"/>
      </rPr>
      <t xml:space="preserve">未起租：評價日後第幾季開始起租（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＝首期第一季）</t>
    </r>
  </si>
  <si>
    <t xml:space="preserve">季</t>
  </si>
  <si>
    <t xml:space="preserve">company.json → leases.uncommenced.startQ</t>
  </si>
  <si>
    <t xml:space="preserve">未起租：平均分攤起租的季數</t>
  </si>
  <si>
    <r>
      <rPr>
        <sz val="9"/>
        <color rgb="FF595959"/>
        <rFont val="Arial"/>
        <family val="0"/>
        <charset val="1"/>
      </rPr>
      <t xml:space="preserve">company.json → leases.uncommenced.quarters</t>
    </r>
    <r>
      <rPr>
        <sz val="9"/>
        <color rgb="FF595959"/>
        <rFont val="Noto Sans CJK SC"/>
        <family val="2"/>
      </rPr>
      <t xml:space="preserve">（起租時程見該欄說明）</t>
    </r>
    <r>
      <rPr>
        <sz val="9"/>
        <color rgb="FF595959"/>
        <rFont val="Arial"/>
        <family val="0"/>
        <charset val="1"/>
      </rPr>
      <t xml:space="preserve">[Assumed]</t>
    </r>
  </si>
  <si>
    <t xml:space="preserve">未起租：每筆租期</t>
  </si>
  <si>
    <t xml:space="preserve">年</t>
  </si>
  <si>
    <r>
      <rPr>
        <sz val="9"/>
        <color rgb="FF595959"/>
        <rFont val="Noto Sans CJK SC"/>
        <family val="2"/>
      </rPr>
      <t xml:space="preserve">季報 </t>
    </r>
    <r>
      <rPr>
        <sz val="9"/>
        <color rgb="FF595959"/>
        <rFont val="Arial"/>
        <family val="0"/>
        <charset val="1"/>
      </rPr>
      <t xml:space="preserve">15–19 </t>
    </r>
    <r>
      <rPr>
        <sz val="9"/>
        <color rgb="FF595959"/>
        <rFont val="Noto Sans CJK SC"/>
        <family val="2"/>
      </rPr>
      <t xml:space="preserve">年取中點；敏感度 </t>
    </r>
    <r>
      <rPr>
        <sz val="9"/>
        <color rgb="FF595959"/>
        <rFont val="Arial"/>
        <family val="0"/>
        <charset val="1"/>
      </rPr>
      <t xml:space="preserve">15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19 </t>
    </r>
    <r>
      <rPr>
        <sz val="9"/>
        <color rgb="FF595959"/>
        <rFont val="Noto Sans CJK SC"/>
        <family val="2"/>
      </rPr>
      <t xml:space="preserve">年見報告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</si>
  <si>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b val="true"/>
        <sz val="10"/>
        <rFont val="Arial"/>
        <family val="0"/>
        <charset val="1"/>
      </rPr>
      <t xml:space="preserve">B</t>
    </r>
    <r>
      <rPr>
        <b val="true"/>
        <sz val="10"/>
        <rFont val="Noto Sans CJK SC"/>
        <family val="2"/>
      </rPr>
      <t xml:space="preserve">｜產能與收入（</t>
    </r>
    <r>
      <rPr>
        <b val="true"/>
        <sz val="10"/>
        <rFont val="Arial"/>
        <family val="0"/>
        <charset val="1"/>
      </rPr>
      <t xml:space="preserve">MW</t>
    </r>
    <r>
      <rPr>
        <b val="true"/>
        <sz val="10"/>
        <rFont val="Noto Sans CJK SC"/>
        <family val="2"/>
      </rPr>
      <t xml:space="preserve">、每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Noto Sans CJK SC"/>
        <family val="2"/>
      </rPr>
      <t xml:space="preserve">年收入、利用率、信用；</t>
    </r>
    <r>
      <rPr>
        <b val="true"/>
        <sz val="10"/>
        <rFont val="Arial"/>
        <family val="0"/>
        <charset val="1"/>
      </rPr>
      <t xml:space="preserve">RPO </t>
    </r>
    <r>
      <rPr>
        <b val="true"/>
        <sz val="10"/>
        <rFont val="Noto Sans CJK SC"/>
        <family val="2"/>
      </rPr>
      <t xml:space="preserve">只作對照）</t>
    </r>
  </si>
  <si>
    <t xml:space="preserve">6/30 RPO</t>
  </si>
  <si>
    <r>
      <rPr>
        <sz val="9"/>
        <color rgb="FF595959"/>
        <rFont val="Noto Sans CJK SC"/>
        <family val="2"/>
      </rPr>
      <t xml:space="preserve">季報 </t>
    </r>
    <r>
      <rPr>
        <sz val="9"/>
        <color rgb="FF595959"/>
        <rFont val="Arial"/>
        <family val="0"/>
        <charset val="1"/>
      </rPr>
      <t xml:space="preserve">RPO 519.5</t>
    </r>
    <r>
      <rPr>
        <sz val="9"/>
        <color rgb="FF595959"/>
        <rFont val="Noto Sans CJK SC"/>
        <family val="2"/>
      </rPr>
      <t xml:space="preserve">（只作對照與債務上限的 </t>
    </r>
    <r>
      <rPr>
        <sz val="9"/>
        <color rgb="FF595959"/>
        <rFont val="Arial"/>
        <family val="0"/>
        <charset val="1"/>
      </rPr>
      <t xml:space="preserve">backlog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</si>
  <si>
    <t xml:space="preserve">評價日後新增承諾</t>
  </si>
  <si>
    <r>
      <rPr>
        <sz val="9"/>
        <color rgb="FF595959"/>
        <rFont val="Noto Sans CJK SC"/>
        <family val="2"/>
      </rPr>
      <t xml:space="preserve">評價日後新簽、尚未進 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Noto Sans CJK SC"/>
        <family val="2"/>
      </rPr>
      <t xml:space="preserve">的承諾；未揭露，取 </t>
    </r>
    <r>
      <rPr>
        <sz val="9"/>
        <color rgb="FF595959"/>
        <rFont val="Arial"/>
        <family val="0"/>
        <charset val="1"/>
      </rPr>
      <t xml:space="preserve">0 [Assumed]</t>
    </r>
  </si>
  <si>
    <r>
      <rPr>
        <sz val="10"/>
        <rFont val="Noto Sans CJK SC"/>
        <family val="2"/>
      </rPr>
      <t xml:space="preserve">五期認列比例（至 </t>
    </r>
    <r>
      <rPr>
        <sz val="10"/>
        <rFont val="Arial"/>
        <family val="0"/>
        <charset val="1"/>
      </rPr>
      <t xml:space="preserve">2030 </t>
    </r>
    <r>
      <rPr>
        <sz val="10"/>
        <rFont val="Noto Sans CJK SC"/>
        <family val="2"/>
      </rPr>
      <t xml:space="preserve">末）</t>
    </r>
  </si>
  <si>
    <r>
      <rPr>
        <sz val="9"/>
        <color rgb="FF595959"/>
        <rFont val="Noto Sans CJK SC"/>
        <family val="2"/>
      </rPr>
      <t xml:space="preserve">季報 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Noto Sans CJK SC"/>
        <family val="2"/>
      </rPr>
      <t xml:space="preserve">桶線性分攤後五期合計 </t>
    </r>
    <r>
      <rPr>
        <sz val="9"/>
        <color rgb="FF595959"/>
        <rFont val="Arial"/>
        <family val="0"/>
        <charset val="1"/>
      </rPr>
      <t xml:space="preserve">0% [Derived]</t>
    </r>
  </si>
  <si>
    <r>
      <rPr>
        <sz val="10"/>
        <rFont val="Arial"/>
        <family val="0"/>
        <charset val="1"/>
      </rPr>
      <t xml:space="preserve">RPO </t>
    </r>
    <r>
      <rPr>
        <sz val="10"/>
        <rFont val="Noto Sans CJK SC"/>
        <family val="2"/>
      </rPr>
      <t xml:space="preserve">桶權重合計</t>
    </r>
  </si>
  <si>
    <t xml:space="preserve">下方權重列的合計，用於歸一化</t>
  </si>
  <si>
    <r>
      <rPr>
        <sz val="10"/>
        <rFont val="Arial"/>
        <family val="0"/>
        <charset val="1"/>
      </rPr>
      <t xml:space="preserve">2025-12-31 </t>
    </r>
    <r>
      <rPr>
        <sz val="10"/>
        <rFont val="Noto Sans CJK SC"/>
        <family val="2"/>
      </rPr>
      <t xml:space="preserve">主動電力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</si>
  <si>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年底對外 </t>
    </r>
    <r>
      <rPr>
        <sz val="9"/>
        <color rgb="FF595959"/>
        <rFont val="Arial"/>
        <family val="0"/>
        <charset val="1"/>
      </rPr>
      <t xml:space="preserve">AI MW-IT </t>
    </r>
    <r>
      <rPr>
        <sz val="9"/>
        <color rgb="FF595959"/>
        <rFont val="Noto Sans CJK SC"/>
        <family val="2"/>
      </rPr>
      <t xml:space="preserve">估 </t>
    </r>
    <r>
      <rPr>
        <sz val="9"/>
        <color rgb="FF595959"/>
        <rFont val="Arial"/>
        <family val="0"/>
        <charset val="1"/>
      </rPr>
      <t xml:space="preserve">1462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Epoch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TPU 2,223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NVIDIA 730 MW TDP × 1.65 × 30%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在役 </t>
    </r>
    <r>
      <rPr>
        <sz val="9"/>
        <color rgb="FF595959"/>
        <rFont val="Arial"/>
        <family val="0"/>
        <charset val="1"/>
      </rPr>
      <t xml:space="preserve">4,873 × 30%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[Derived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Assumed]</t>
    </r>
    <r>
      <rPr>
        <sz val="9"/>
        <color rgb="FF595959"/>
        <rFont val="Noto Sans CJK SC"/>
        <family val="2"/>
      </rPr>
      <t xml:space="preserve">）</t>
    </r>
  </si>
  <si>
    <t xml:space="preserve">6/30 Billable MW</t>
  </si>
  <si>
    <r>
      <rPr>
        <sz val="9"/>
        <color rgb="FF595959"/>
        <rFont val="Noto Sans CJK SC"/>
        <family val="2"/>
      </rPr>
      <t xml:space="preserve">季末在役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未揭露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</si>
  <si>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收入用平均在役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1=</t>
    </r>
    <r>
      <rPr>
        <sz val="10"/>
        <rFont val="Noto Sans CJK SC"/>
        <family val="2"/>
      </rPr>
      <t xml:space="preserve">是）</t>
    </r>
  </si>
  <si>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＝用期末存量全期化；建議 </t>
    </r>
    <r>
      <rPr>
        <sz val="9"/>
        <color rgb="FF595959"/>
        <rFont val="Arial"/>
        <family val="0"/>
        <charset val="1"/>
      </rPr>
      <t xml:space="preserve">1</t>
    </r>
  </si>
  <si>
    <r>
      <rPr>
        <sz val="10"/>
        <rFont val="Noto Sans CJK SC"/>
        <family val="2"/>
      </rPr>
      <t xml:space="preserve">營收驅動（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MW ×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年收入；</t>
    </r>
    <r>
      <rPr>
        <sz val="10"/>
        <rFont val="Arial"/>
        <family val="0"/>
        <charset val="1"/>
      </rPr>
      <t xml:space="preserve">rpo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RPO </t>
    </r>
    <r>
      <rPr>
        <sz val="10"/>
        <rFont val="Noto Sans CJK SC"/>
        <family val="2"/>
      </rPr>
      <t xml:space="preserve">排程）</t>
    </r>
  </si>
  <si>
    <t xml:space="preserve">mw</t>
  </si>
  <si>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：新產能簽約率固定 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Noto Sans CJK SC"/>
        <family val="2"/>
      </rPr>
      <t xml:space="preserve">，營收＝容量上限；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Noto Sans CJK SC"/>
        <family val="2"/>
      </rPr>
      <t xml:space="preserve">只作對照與產能瓶頸旗標（</t>
    </r>
    <r>
      <rPr>
        <sz val="9"/>
        <color rgb="FF595959"/>
        <rFont val="Arial"/>
        <family val="0"/>
        <charset val="1"/>
      </rPr>
      <t xml:space="preserve">company.json → defaults.revenueDriver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</si>
  <si>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年收入倍數（整體）</t>
    </r>
  </si>
  <si>
    <r>
      <rPr>
        <sz val="9"/>
        <color rgb="FF595959"/>
        <rFont val="Noto Sans CJK SC"/>
        <family val="2"/>
      </rPr>
      <t xml:space="preserve">反向 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與壓力測試用；預設 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Noto Sans CJK SC"/>
        <family val="2"/>
      </rPr>
      <t xml:space="preserve">。以『目標搜尋』調整此格即可反解市價隱含單價</t>
    </r>
  </si>
  <si>
    <t xml:space="preserve">來源／標籤</t>
  </si>
  <si>
    <t xml:space="preserve">模型期長度（年）</t>
  </si>
  <si>
    <r>
      <rPr>
        <sz val="9"/>
        <color rgb="FF595959"/>
        <rFont val="Noto Sans CJK SC"/>
        <family val="2"/>
      </rPr>
      <t xml:space="preserve">勿改。由 </t>
    </r>
    <r>
      <rPr>
        <sz val="9"/>
        <color rgb="FF595959"/>
        <rFont val="Arial"/>
        <family val="0"/>
        <charset val="1"/>
      </rPr>
      <t xml:space="preserve">calendar_q.py </t>
    </r>
    <r>
      <rPr>
        <sz val="9"/>
        <color rgb="FF595959"/>
        <rFont val="Noto Sans CJK SC"/>
        <family val="2"/>
      </rPr>
      <t xml:space="preserve">推算；只用於容量上限、電力、維護等年率換算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</si>
  <si>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RPO </t>
    </r>
    <r>
      <rPr>
        <sz val="10"/>
        <rFont val="Noto Sans CJK SC"/>
        <family val="2"/>
      </rPr>
      <t xml:space="preserve">桶權重</t>
    </r>
  </si>
  <si>
    <r>
      <rPr>
        <sz val="9"/>
        <color rgb="FF595959"/>
        <rFont val="Noto Sans CJK SC"/>
        <family val="2"/>
      </rPr>
      <t xml:space="preserve">季報 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Noto Sans CJK SC"/>
        <family val="2"/>
      </rPr>
      <t xml:space="preserve">桶（</t>
    </r>
    <r>
      <rPr>
        <sz val="9"/>
        <color rgb="FF595959"/>
        <rFont val="Arial"/>
        <family val="0"/>
        <charset val="1"/>
      </rPr>
      <t xml:space="preserve">RPO 519.5B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Cloud 513.9B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24 </t>
    </r>
    <r>
      <rPr>
        <sz val="9"/>
        <color rgb="FF595959"/>
        <rFont val="Noto Sans CJK SC"/>
        <family val="2"/>
      </rPr>
      <t xml:space="preserve">個月內略多於 </t>
    </r>
    <r>
      <rPr>
        <sz val="9"/>
        <color rgb="FF595959"/>
        <rFont val="Arial"/>
        <family val="0"/>
        <charset val="1"/>
      </rPr>
      <t xml:space="preserve">50%</t>
    </r>
    <r>
      <rPr>
        <sz val="9"/>
        <color rgb="FF595959"/>
        <rFont val="Noto Sans CJK SC"/>
        <family val="2"/>
      </rPr>
      <t xml:space="preserve">，其後未分桶）含 </t>
    </r>
    <r>
      <rPr>
        <sz val="9"/>
        <color rgb="FF595959"/>
        <rFont val="Arial"/>
        <family val="0"/>
        <charset val="1"/>
      </rPr>
      <t xml:space="preserve">Cloud </t>
    </r>
    <r>
      <rPr>
        <sz val="9"/>
        <color rgb="FF595959"/>
        <rFont val="Noto Sans CJK SC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Workspace</t>
    </r>
    <r>
      <rPr>
        <sz val="9"/>
        <color rgb="FF595959"/>
        <rFont val="Noto Sans CJK SC"/>
        <family val="2"/>
      </rPr>
      <t xml:space="preserve">，只作對照（模型排程歸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雲端收入＝</t>
    </r>
    <r>
      <rPr>
        <sz val="9"/>
        <color rgb="FF595959"/>
        <rFont val="Arial"/>
        <family val="0"/>
        <charset val="1"/>
      </rPr>
      <t xml:space="preserve">MW ×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））桶內線性分攤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</si>
  <si>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Accepted MW</t>
    </r>
    <r>
      <rPr>
        <sz val="10"/>
        <rFont val="Noto Sans CJK SC"/>
        <family val="2"/>
      </rPr>
      <t xml:space="preserve">（期末主動電力）</t>
    </r>
  </si>
  <si>
    <r>
      <rPr>
        <sz val="9"/>
        <color rgb="FF595959"/>
        <rFont val="Noto Sans CJK SC"/>
        <family val="2"/>
      </rPr>
      <t xml:space="preserve">＝依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區情境選擇器（已連網 </t>
    </r>
    <r>
      <rPr>
        <sz val="9"/>
        <color rgb="FF595959"/>
        <rFont val="Arial"/>
        <family val="0"/>
        <charset val="1"/>
      </rPr>
      <t xml:space="preserve">MW-IT</t>
    </r>
    <r>
      <rPr>
        <sz val="9"/>
        <color rgb="FF595959"/>
        <rFont val="Noto Sans CJK SC"/>
        <family val="2"/>
      </rPr>
      <t xml:space="preserve">）</t>
    </r>
  </si>
  <si>
    <t xml:space="preserve">Billable MW</t>
  </si>
  <si>
    <r>
      <rPr>
        <sz val="9"/>
        <color rgb="FF595959"/>
        <rFont val="Noto Sans CJK SC"/>
        <family val="2"/>
      </rPr>
      <t xml:space="preserve">＝已連網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在役比例（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區）</t>
    </r>
  </si>
  <si>
    <t xml:space="preserve">利用率</t>
  </si>
  <si>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Noto Sans CJK SC"/>
        <family val="2"/>
      </rPr>
      <t xml:space="preserve">：按 </t>
    </r>
    <r>
      <rPr>
        <sz val="9"/>
        <color rgb="FF595959"/>
        <rFont val="Arial"/>
        <family val="0"/>
        <charset val="1"/>
      </rPr>
      <t xml:space="preserve">MW-year </t>
    </r>
    <r>
      <rPr>
        <sz val="9"/>
        <color rgb="FF595959"/>
        <rFont val="Noto Sans CJK SC"/>
        <family val="2"/>
      </rPr>
      <t xml:space="preserve">計價，收入端不乘 </t>
    </r>
    <r>
      <rPr>
        <sz val="9"/>
        <color rgb="FF595959"/>
        <rFont val="Arial"/>
        <family val="0"/>
        <charset val="1"/>
      </rPr>
      <t xml:space="preserve">IF_Util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下游契約第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條）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</si>
  <si>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</t>
    </r>
  </si>
  <si>
    <t xml:space="preserve">US$bn/MW</t>
  </si>
  <si>
    <r>
      <rPr>
        <sz val="9"/>
        <color rgb="FF595959"/>
        <rFont val="Noto Sans CJK SC"/>
        <family val="2"/>
      </rPr>
      <t xml:space="preserve">＝加權每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年持有成本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採用 </t>
    </r>
    <r>
      <rPr>
        <sz val="9"/>
        <color rgb="FF595959"/>
        <rFont val="Arial"/>
        <family val="0"/>
        <charset val="1"/>
      </rPr>
      <t xml:space="preserve">k ÷ 1000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B0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Tokenomics × k</t>
    </r>
    <r>
      <rPr>
        <sz val="9"/>
        <color rgb="FF595959"/>
        <rFont val="Noto Sans CJK SC"/>
        <family val="2"/>
      </rPr>
      <t xml:space="preserve">，不以公司營收反推）</t>
    </r>
  </si>
  <si>
    <t xml:space="preserve">新產能簽約率</t>
  </si>
  <si>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驅動：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Noto Sans CJK SC"/>
        <family val="2"/>
      </rPr>
      <t xml:space="preserve">只作對照）</t>
    </r>
  </si>
  <si>
    <t xml:space="preserve">客戶違約率</t>
  </si>
  <si>
    <r>
      <rPr>
        <sz val="9"/>
        <color rgb="FF595959"/>
        <rFont val="Noto Sans CJK SC"/>
        <family val="2"/>
      </rPr>
      <t xml:space="preserve">前三大客戶約 </t>
    </r>
    <r>
      <rPr>
        <sz val="9"/>
        <color rgb="FF595959"/>
        <rFont val="Arial"/>
        <family val="0"/>
        <charset val="1"/>
      </rPr>
      <t xml:space="preserve">59% </t>
    </r>
    <r>
      <rPr>
        <sz val="9"/>
        <color rgb="FF595959"/>
        <rFont val="Noto Sans CJK SC"/>
        <family val="2"/>
      </rPr>
      <t xml:space="preserve">營收的定價，非預測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</si>
  <si>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回收率</t>
  </si>
  <si>
    <t xml:space="preserve">[Assumed]</t>
  </si>
  <si>
    <t xml:space="preserve">非算力服務營收</t>
  </si>
  <si>
    <r>
      <rPr>
        <sz val="9"/>
        <color rgb="FF595959"/>
        <rFont val="Noto Sans CJK SC"/>
        <family val="2"/>
      </rPr>
      <t xml:space="preserve">預設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AI cloud </t>
    </r>
    <r>
      <rPr>
        <sz val="9"/>
        <color rgb="FF595959"/>
        <rFont val="Noto Sans CJK SC"/>
        <family val="2"/>
      </rPr>
      <t xml:space="preserve">軟體已含在每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年收入；其他事業另列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</si>
  <si>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Noto Sans CJK SC"/>
        <family val="2"/>
      </rPr>
      <t xml:space="preserve">其他事業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（輸入）</t>
    </r>
  </si>
  <si>
    <r>
      <rPr>
        <sz val="9"/>
        <color rgb="FF595959"/>
        <rFont val="Noto Sans CJK SC"/>
        <family val="2"/>
      </rPr>
      <t xml:space="preserve">未分攤公司層費用改列 </t>
    </r>
    <r>
      <rPr>
        <sz val="9"/>
        <color rgb="FF595959"/>
        <rFont val="Arial"/>
        <family val="0"/>
        <charset val="1"/>
      </rPr>
      <t xml:space="preserve">legacyBiz</t>
    </r>
    <r>
      <rPr>
        <sz val="9"/>
        <color rgb="FF595959"/>
        <rFont val="Noto Sans CJK SC"/>
        <family val="2"/>
      </rPr>
      <t xml:space="preserve">「</t>
    </r>
    <r>
      <rPr>
        <sz val="9"/>
        <color rgb="FF595959"/>
        <rFont val="Arial"/>
        <family val="0"/>
        <charset val="1"/>
      </rPr>
      <t xml:space="preserve">Alphabet </t>
    </r>
    <r>
      <rPr>
        <sz val="9"/>
        <color rgb="FF595959"/>
        <rFont val="Noto Sans CJK SC"/>
        <family val="2"/>
      </rPr>
      <t xml:space="preserve">層級費用」一線（</t>
    </r>
    <r>
      <rPr>
        <sz val="9"/>
        <color rgb="FF595959"/>
        <rFont val="Arial"/>
        <family val="0"/>
        <charset val="1"/>
      </rPr>
      <t xml:space="preserve">C8 a</t>
    </r>
    <r>
      <rPr>
        <sz val="9"/>
        <color rgb="FF595959"/>
        <rFont val="Noto Sans CJK SC"/>
        <family val="2"/>
      </rPr>
      <t xml:space="preserve">）；此欄 </t>
    </r>
    <r>
      <rPr>
        <sz val="9"/>
        <color rgb="FF595959"/>
        <rFont val="Arial"/>
        <family val="0"/>
        <charset val="1"/>
      </rPr>
      <t xml:space="preserve">0</t>
    </r>
  </si>
  <si>
    <r>
      <rPr>
        <sz val="10"/>
        <rFont val="Noto Sans CJK SC"/>
        <family val="2"/>
      </rPr>
      <t xml:space="preserve">租用算力｜</t>
    </r>
    <r>
      <rPr>
        <sz val="10"/>
        <rFont val="Arial"/>
        <family val="0"/>
        <charset val="1"/>
      </rPr>
      <t xml:space="preserve">SpaceX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xAI Colossus</t>
    </r>
    <r>
      <rPr>
        <sz val="10"/>
        <rFont val="Noto Sans CJK SC"/>
        <family val="2"/>
      </rPr>
      <t xml:space="preserve">）雲端服務合約：約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萬顆 </t>
    </r>
    <r>
      <rPr>
        <sz val="10"/>
        <rFont val="Arial"/>
        <family val="0"/>
        <charset val="1"/>
      </rPr>
      <t xml:space="preserve">NVIDIA GPU</t>
    </r>
    <r>
      <rPr>
        <sz val="10"/>
        <rFont val="Noto Sans CJK SC"/>
        <family val="2"/>
      </rPr>
      <t xml:space="preserve">｜年租金</t>
    </r>
  </si>
  <si>
    <r>
      <rPr>
        <sz val="9"/>
        <color rgb="FF595959"/>
        <rFont val="Arial"/>
        <family val="0"/>
        <charset val="1"/>
      </rPr>
      <t xml:space="preserve">US$bn</t>
    </r>
    <r>
      <rPr>
        <sz val="9"/>
        <color rgb="FF595959"/>
        <rFont val="Noto Sans CJK SC"/>
        <family val="2"/>
      </rPr>
      <t xml:space="preserve">／年</t>
    </r>
  </si>
  <si>
    <r>
      <rPr>
        <sz val="9"/>
        <color rgb="FF595959"/>
        <rFont val="Noto Sans CJK SC"/>
        <family val="2"/>
      </rPr>
      <t xml:space="preserve">起租 </t>
    </r>
    <r>
      <rPr>
        <sz val="9"/>
        <color rgb="FF595959"/>
        <rFont val="Arial"/>
        <family val="0"/>
        <charset val="1"/>
      </rPr>
      <t xml:space="preserve">2026-10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2.75 </t>
    </r>
    <r>
      <rPr>
        <sz val="9"/>
        <color rgb="FF595959"/>
        <rFont val="Noto Sans CJK SC"/>
        <family val="2"/>
      </rPr>
      <t xml:space="preserve">年、</t>
    </r>
    <r>
      <rPr>
        <sz val="9"/>
        <color rgb="FF595959"/>
        <rFont val="Arial"/>
        <family val="0"/>
        <charset val="1"/>
      </rPr>
      <t xml:space="preserve">219 MW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internal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company.json → leases.rentedCompute</t>
    </r>
  </si>
  <si>
    <r>
      <rPr>
        <sz val="10"/>
        <rFont val="Noto Sans CJK SC"/>
        <family val="2"/>
      </rPr>
      <t xml:space="preserve">租用算力｜</t>
    </r>
    <r>
      <rPr>
        <sz val="10"/>
        <rFont val="Arial"/>
        <family val="0"/>
        <charset val="1"/>
      </rPr>
      <t xml:space="preserve">SpaceX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xAI Colossus</t>
    </r>
    <r>
      <rPr>
        <sz val="10"/>
        <rFont val="Noto Sans CJK SC"/>
        <family val="2"/>
      </rPr>
      <t xml:space="preserve">）雲端服務合約：約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萬顆 </t>
    </r>
    <r>
      <rPr>
        <sz val="10"/>
        <rFont val="Arial"/>
        <family val="0"/>
        <charset val="1"/>
      </rPr>
      <t xml:space="preserve">NVIDIA GPU</t>
    </r>
    <r>
      <rPr>
        <sz val="10"/>
        <rFont val="Noto Sans CJK SC"/>
        <family val="2"/>
      </rPr>
      <t xml:space="preserve">｜在租年數</t>
    </r>
  </si>
  <si>
    <r>
      <rPr>
        <sz val="9"/>
        <color rgb="FF595959"/>
        <rFont val="Noto Sans CJK SC"/>
        <family val="2"/>
      </rPr>
      <t xml:space="preserve">＝各期與租約期間重疊的月數 </t>
    </r>
    <r>
      <rPr>
        <sz val="9"/>
        <color rgb="FF595959"/>
        <rFont val="Arial"/>
        <family val="0"/>
        <charset val="1"/>
      </rPr>
      <t xml:space="preserve">÷ 12</t>
    </r>
    <r>
      <rPr>
        <sz val="9"/>
        <color rgb="FF595959"/>
        <rFont val="Noto Sans CJK SC"/>
        <family val="2"/>
      </rPr>
      <t xml:space="preserve">（建置時由日曆推算）</t>
    </r>
  </si>
  <si>
    <t xml:space="preserve">租用算力租金（營運成本）</t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</si>
  <si>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年租金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在租年數（扣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與營運現金；不是資本支出）</t>
    </r>
  </si>
  <si>
    <r>
      <rPr>
        <sz val="10"/>
        <rFont val="Noto Sans CJK SC"/>
        <family val="2"/>
      </rPr>
      <t xml:space="preserve">其他事業 </t>
    </r>
    <r>
      <rPr>
        <sz val="10"/>
        <rFont val="Arial"/>
        <family val="0"/>
        <charset val="1"/>
      </rPr>
      <t xml:space="preserve">EBITDA</t>
    </r>
  </si>
  <si>
    <t xml:space="preserve">＝輸入 − 租用算力租金（下游引用此列）</t>
  </si>
  <si>
    <r>
      <rPr>
        <sz val="10"/>
        <rFont val="Noto Sans CJK SC"/>
        <family val="2"/>
      </rPr>
      <t xml:space="preserve">股權報酬占營收（</t>
    </r>
    <r>
      <rPr>
        <sz val="10"/>
        <rFont val="Arial"/>
        <family val="0"/>
        <charset val="1"/>
      </rPr>
      <t xml:space="preserve">SBC</t>
    </r>
    <r>
      <rPr>
        <sz val="10"/>
        <rFont val="Noto Sans CJK SC"/>
        <family val="2"/>
      </rPr>
      <t xml:space="preserve">，非現金加回）</t>
    </r>
  </si>
  <si>
    <r>
      <rPr>
        <sz val="9"/>
        <color rgb="FF595959"/>
        <rFont val="Noto Sans CJK SC"/>
        <family val="2"/>
      </rPr>
      <t xml:space="preserve">股權報酬（</t>
    </r>
    <r>
      <rPr>
        <sz val="9"/>
        <color rgb="FF595959"/>
        <rFont val="Arial"/>
        <family val="0"/>
        <charset val="1"/>
      </rPr>
      <t xml:space="preserve">SBC</t>
    </r>
    <r>
      <rPr>
        <sz val="9"/>
        <color rgb="FF595959"/>
        <rFont val="Noto Sans CJK SC"/>
        <family val="2"/>
      </rPr>
      <t xml:space="preserve">）為非現金費用：分部營業利益已扣除，營運現金加回＝</t>
    </r>
    <r>
      <rPr>
        <sz val="9"/>
        <color rgb="FF595959"/>
        <rFont val="Arial"/>
        <family val="0"/>
        <charset val="1"/>
      </rPr>
      <t xml:space="preserve">SBC </t>
    </r>
    <r>
      <rPr>
        <sz val="9"/>
        <color rgb="FF595959"/>
        <rFont val="Noto Sans CJK SC"/>
        <family val="2"/>
      </rPr>
      <t xml:space="preserve">占營收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模型期總營收；近四季 </t>
    </r>
    <r>
      <rPr>
        <sz val="9"/>
        <color rgb="FF595959"/>
        <rFont val="Arial"/>
        <family val="0"/>
        <charset val="1"/>
      </rPr>
      <t xml:space="preserve">SBC 28.147 ÷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445.866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6.31%</t>
    </r>
    <r>
      <rPr>
        <sz val="9"/>
        <color rgb="FF595959"/>
        <rFont val="Noto Sans CJK SC"/>
        <family val="2"/>
      </rPr>
      <t xml:space="preserve">（現金流量表；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Noto Sans CJK SC"/>
        <family val="2"/>
      </rPr>
      <t xml:space="preserve">）。股權獎酬代扣稅款（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上半年 </t>
    </r>
    <r>
      <rPr>
        <sz val="9"/>
        <color rgb="FF595959"/>
        <rFont val="Arial"/>
        <family val="0"/>
        <charset val="1"/>
      </rPr>
      <t xml:space="preserve">12.1B</t>
    </r>
    <r>
      <rPr>
        <sz val="9"/>
        <color rgb="FF595959"/>
        <rFont val="Noto Sans CJK SC"/>
        <family val="2"/>
      </rPr>
      <t xml:space="preserve">，融資活動）由 </t>
    </r>
    <r>
      <rPr>
        <sz val="9"/>
        <color rgb="FF595959"/>
        <rFont val="Arial"/>
        <family val="0"/>
        <charset val="1"/>
      </rPr>
      <t xml:space="preserve">ATM </t>
    </r>
    <r>
      <rPr>
        <sz val="9"/>
        <color rgb="FF595959"/>
        <rFont val="Noto Sans CJK SC"/>
        <family val="2"/>
      </rPr>
      <t xml:space="preserve">增發支應（公司稱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30B</t>
    </r>
    <r>
      <rPr>
        <sz val="9"/>
        <color rgb="FF595959"/>
        <rFont val="Noto Sans CJK SC"/>
        <family val="2"/>
      </rPr>
      <t xml:space="preserve">），兩者都不建模（現金與股數影響大致相抵）。股數稀釋沿用模板每年 </t>
    </r>
    <r>
      <rPr>
        <sz val="9"/>
        <color rgb="FF595959"/>
        <rFont val="Arial"/>
        <family val="0"/>
        <charset val="1"/>
      </rPr>
      <t xml:space="preserve">1%</t>
    </r>
  </si>
  <si>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剩餘季度營運資金變動（上年同期實際，流入為正）</t>
    </r>
  </si>
  <si>
    <r>
      <rPr>
        <sz val="9"/>
        <color rgb="FF595959"/>
        <rFont val="Noto Sans CJK SC"/>
        <family val="2"/>
      </rPr>
      <t xml:space="preserve">首期剩餘季度（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下半年）營運資金變動＝上一年度同期實際：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全年「資產與負債變動」合計 </t>
    </r>
    <r>
      <rPr>
        <sz val="9"/>
        <color rgb="FF595959"/>
        <rFont val="Arial"/>
        <family val="0"/>
        <charset val="1"/>
      </rPr>
      <t xml:space="preserve">+618</t>
    </r>
    <r>
      <rPr>
        <sz val="9"/>
        <color rgb="FF595959"/>
        <rFont val="Noto Sans CJK SC"/>
        <family val="2"/>
      </rPr>
      <t xml:space="preserve">（應收 −</t>
    </r>
    <r>
      <rPr>
        <sz val="9"/>
        <color rgb="FF595959"/>
        <rFont val="Arial"/>
        <family val="0"/>
        <charset val="1"/>
      </rPr>
      <t xml:space="preserve">8,779</t>
    </r>
    <r>
      <rPr>
        <sz val="9"/>
        <color rgb="FF595959"/>
        <rFont val="Noto Sans CJK SC"/>
        <family val="2"/>
      </rPr>
      <t xml:space="preserve">、所得稅 −</t>
    </r>
    <r>
      <rPr>
        <sz val="9"/>
        <color rgb="FF595959"/>
        <rFont val="Arial"/>
        <family val="0"/>
        <charset val="1"/>
      </rPr>
      <t xml:space="preserve">3,226</t>
    </r>
    <r>
      <rPr>
        <sz val="9"/>
        <color rgb="FF595959"/>
        <rFont val="Noto Sans CJK SC"/>
        <family val="2"/>
      </rPr>
      <t xml:space="preserve">、其他資產 −</t>
    </r>
    <r>
      <rPr>
        <sz val="9"/>
        <color rgb="FF595959"/>
        <rFont val="Arial"/>
        <family val="0"/>
        <charset val="1"/>
      </rPr>
      <t xml:space="preserve">4,542</t>
    </r>
    <r>
      <rPr>
        <sz val="9"/>
        <color rgb="FF595959"/>
        <rFont val="Noto Sans CJK SC"/>
        <family val="2"/>
      </rPr>
      <t xml:space="preserve">、應付 </t>
    </r>
    <r>
      <rPr>
        <sz val="9"/>
        <color rgb="FF595959"/>
        <rFont val="Arial"/>
        <family val="0"/>
        <charset val="1"/>
      </rPr>
      <t xml:space="preserve">+907</t>
    </r>
    <r>
      <rPr>
        <sz val="9"/>
        <color rgb="FF595959"/>
        <rFont val="Noto Sans CJK SC"/>
        <family val="2"/>
      </rPr>
      <t xml:space="preserve">、應計 </t>
    </r>
    <r>
      <rPr>
        <sz val="9"/>
        <color rgb="FF595959"/>
        <rFont val="Arial"/>
        <family val="0"/>
        <charset val="1"/>
      </rPr>
      <t xml:space="preserve">+12,939</t>
    </r>
    <r>
      <rPr>
        <sz val="9"/>
        <color rgb="FF595959"/>
        <rFont val="Noto Sans CJK SC"/>
        <family val="2"/>
      </rPr>
      <t xml:space="preserve">、應計分潤 </t>
    </r>
    <r>
      <rPr>
        <sz val="9"/>
        <color rgb="FF595959"/>
        <rFont val="Arial"/>
        <family val="0"/>
        <charset val="1"/>
      </rPr>
      <t xml:space="preserve">+899</t>
    </r>
    <r>
      <rPr>
        <sz val="9"/>
        <color rgb="FF595959"/>
        <rFont val="Noto Sans CJK SC"/>
        <family val="2"/>
      </rPr>
      <t xml:space="preserve">、遞延收入 </t>
    </r>
    <r>
      <rPr>
        <sz val="9"/>
        <color rgb="FF595959"/>
        <rFont val="Arial"/>
        <family val="0"/>
        <charset val="1"/>
      </rPr>
      <t xml:space="preserve">+2,420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10-K</t>
    </r>
    <r>
      <rPr>
        <sz val="9"/>
        <color rgb="FF595959"/>
        <rFont val="Noto Sans CJK SC"/>
        <family val="2"/>
      </rPr>
      <t xml:space="preserve">）−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上半年 −</t>
    </r>
    <r>
      <rPr>
        <sz val="9"/>
        <color rgb="FF595959"/>
        <rFont val="Arial"/>
        <family val="0"/>
        <charset val="1"/>
      </rPr>
      <t xml:space="preserve">7,872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2026Q2 10-Q </t>
    </r>
    <r>
      <rPr>
        <sz val="9"/>
        <color rgb="FF595959"/>
        <rFont val="Noto Sans CJK SC"/>
        <family val="2"/>
      </rPr>
      <t xml:space="preserve">比較欄：應收 −</t>
    </r>
    <r>
      <rPr>
        <sz val="9"/>
        <color rgb="FF595959"/>
        <rFont val="Arial"/>
        <family val="0"/>
        <charset val="1"/>
      </rPr>
      <t xml:space="preserve">1,201</t>
    </r>
    <r>
      <rPr>
        <sz val="9"/>
        <color rgb="FF595959"/>
        <rFont val="Noto Sans CJK SC"/>
        <family val="2"/>
      </rPr>
      <t xml:space="preserve">、存貨 −</t>
    </r>
    <r>
      <rPr>
        <sz val="9"/>
        <color rgb="FF595959"/>
        <rFont val="Arial"/>
        <family val="0"/>
        <charset val="1"/>
      </rPr>
      <t xml:space="preserve">628</t>
    </r>
    <r>
      <rPr>
        <sz val="9"/>
        <color rgb="FF595959"/>
        <rFont val="Noto Sans CJK SC"/>
        <family val="2"/>
      </rPr>
      <t xml:space="preserve">、所得稅 −</t>
    </r>
    <r>
      <rPr>
        <sz val="9"/>
        <color rgb="FF595959"/>
        <rFont val="Arial"/>
        <family val="0"/>
        <charset val="1"/>
      </rPr>
      <t xml:space="preserve">2,434</t>
    </r>
    <r>
      <rPr>
        <sz val="9"/>
        <color rgb="FF595959"/>
        <rFont val="Noto Sans CJK SC"/>
        <family val="2"/>
      </rPr>
      <t xml:space="preserve">、其他資產 −</t>
    </r>
    <r>
      <rPr>
        <sz val="9"/>
        <color rgb="FF595959"/>
        <rFont val="Arial"/>
        <family val="0"/>
        <charset val="1"/>
      </rPr>
      <t xml:space="preserve">2,139</t>
    </r>
    <r>
      <rPr>
        <sz val="9"/>
        <color rgb="FF595959"/>
        <rFont val="Noto Sans CJK SC"/>
        <family val="2"/>
      </rPr>
      <t xml:space="preserve">、應付 −</t>
    </r>
    <r>
      <rPr>
        <sz val="9"/>
        <color rgb="FF595959"/>
        <rFont val="Arial"/>
        <family val="0"/>
        <charset val="1"/>
      </rPr>
      <t xml:space="preserve">327</t>
    </r>
    <r>
      <rPr>
        <sz val="9"/>
        <color rgb="FF595959"/>
        <rFont val="Noto Sans CJK SC"/>
        <family val="2"/>
      </rPr>
      <t xml:space="preserve">、應計 −</t>
    </r>
    <r>
      <rPr>
        <sz val="9"/>
        <color rgb="FF595959"/>
        <rFont val="Arial"/>
        <family val="0"/>
        <charset val="1"/>
      </rPr>
      <t xml:space="preserve">1,779</t>
    </r>
    <r>
      <rPr>
        <sz val="9"/>
        <color rgb="FF595959"/>
        <rFont val="Noto Sans CJK SC"/>
        <family val="2"/>
      </rPr>
      <t xml:space="preserve">、遞延收入 </t>
    </r>
    <r>
      <rPr>
        <sz val="9"/>
        <color rgb="FF595959"/>
        <rFont val="Arial"/>
        <family val="0"/>
        <charset val="1"/>
      </rPr>
      <t xml:space="preserve">+636</t>
    </r>
    <r>
      <rPr>
        <sz val="9"/>
        <color rgb="FF595959"/>
        <rFont val="Noto Sans CJK SC"/>
        <family val="2"/>
      </rPr>
      <t xml:space="preserve">）＝</t>
    </r>
    <r>
      <rPr>
        <sz val="9"/>
        <color rgb="FF595959"/>
        <rFont val="Arial"/>
        <family val="0"/>
        <charset val="1"/>
      </rPr>
      <t xml:space="preserve">+8.490</t>
    </r>
    <r>
      <rPr>
        <sz val="9"/>
        <color rgb="FF595959"/>
        <rFont val="Noto Sans CJK SC"/>
        <family val="2"/>
      </rPr>
      <t xml:space="preserve">（流入）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Noto Sans CJK SC"/>
        <family val="2"/>
      </rPr>
      <t xml:space="preserve">；之後年度沿用營收增量比例（</t>
    </r>
    <r>
      <rPr>
        <sz val="9"/>
        <color rgb="FF595959"/>
        <rFont val="Arial"/>
        <family val="0"/>
        <charset val="1"/>
      </rPr>
      <t xml:space="preserve">MAG </t>
    </r>
    <r>
      <rPr>
        <sz val="9"/>
        <color rgb="FF595959"/>
        <rFont val="Noto Sans CJK SC"/>
        <family val="2"/>
      </rPr>
      <t xml:space="preserve">對照表 </t>
    </r>
    <r>
      <rPr>
        <sz val="9"/>
        <color rgb="FF595959"/>
        <rFont val="Arial"/>
        <family val="0"/>
        <charset val="1"/>
      </rPr>
      <t xml:space="preserve">r1 C14</t>
    </r>
    <r>
      <rPr>
        <sz val="9"/>
        <color rgb="FF595959"/>
        <rFont val="Noto Sans CJK SC"/>
        <family val="2"/>
      </rPr>
      <t xml:space="preserve">；已實現的季節模式，非預測）</t>
    </r>
  </si>
  <si>
    <r>
      <rPr>
        <b val="true"/>
        <sz val="10"/>
        <color rgb="FF1F3864"/>
        <rFont val="Arial"/>
        <family val="0"/>
        <charset val="1"/>
      </rPr>
      <t xml:space="preserve">▸ B0</t>
    </r>
    <r>
      <rPr>
        <b val="true"/>
        <sz val="10"/>
        <color rgb="FF1F3864"/>
        <rFont val="Noto Sans CJK SC"/>
        <family val="2"/>
      </rPr>
      <t xml:space="preserve">｜對外 </t>
    </r>
    <r>
      <rPr>
        <b val="true"/>
        <sz val="10"/>
        <color rgb="FF1F3864"/>
        <rFont val="Arial"/>
        <family val="0"/>
        <charset val="1"/>
      </rPr>
      <t xml:space="preserve">AI </t>
    </r>
    <r>
      <rPr>
        <b val="true"/>
        <sz val="10"/>
        <color rgb="FF1F3864"/>
        <rFont val="Noto Sans CJK SC"/>
        <family val="2"/>
      </rPr>
      <t xml:space="preserve">雲端定價：每 </t>
    </r>
    <r>
      <rPr>
        <b val="true"/>
        <sz val="10"/>
        <color rgb="FF1F3864"/>
        <rFont val="Arial"/>
        <family val="0"/>
        <charset val="1"/>
      </rPr>
      <t xml:space="preserve">MW </t>
    </r>
    <r>
      <rPr>
        <b val="true"/>
        <sz val="10"/>
        <color rgb="FF1F3864"/>
        <rFont val="Noto Sans CJK SC"/>
        <family val="2"/>
      </rPr>
      <t xml:space="preserve">年收入＝</t>
    </r>
    <r>
      <rPr>
        <b val="true"/>
        <sz val="10"/>
        <color rgb="FF1F3864"/>
        <rFont val="Arial"/>
        <family val="0"/>
        <charset val="1"/>
      </rPr>
      <t xml:space="preserve">Σ </t>
    </r>
    <r>
      <rPr>
        <b val="true"/>
        <sz val="10"/>
        <color rgb="FF1F3864"/>
        <rFont val="Noto Sans CJK SC"/>
        <family val="2"/>
      </rPr>
      <t xml:space="preserve">在役世代占比 </t>
    </r>
    <r>
      <rPr>
        <b val="true"/>
        <sz val="10"/>
        <color rgb="FF1F3864"/>
        <rFont val="Arial"/>
        <family val="0"/>
        <charset val="1"/>
      </rPr>
      <t xml:space="preserve">× Tokenomics </t>
    </r>
    <r>
      <rPr>
        <b val="true"/>
        <sz val="10"/>
        <color rgb="FF1F3864"/>
        <rFont val="Noto Sans CJK SC"/>
        <family val="2"/>
      </rPr>
      <t xml:space="preserve">持有成本 </t>
    </r>
    <r>
      <rPr>
        <b val="true"/>
        <sz val="10"/>
        <color rgb="FF1F3864"/>
        <rFont val="Arial"/>
        <family val="0"/>
        <charset val="1"/>
      </rPr>
      <t xml:space="preserve">× </t>
    </r>
    <r>
      <rPr>
        <b val="true"/>
        <sz val="10"/>
        <color rgb="FF1F3864"/>
        <rFont val="Noto Sans CJK SC"/>
        <family val="2"/>
      </rPr>
      <t xml:space="preserve">晶片係數 </t>
    </r>
    <r>
      <rPr>
        <b val="true"/>
        <sz val="10"/>
        <color rgb="FF1F3864"/>
        <rFont val="Arial"/>
        <family val="0"/>
        <charset val="1"/>
      </rPr>
      <t xml:space="preserve">× k</t>
    </r>
    <r>
      <rPr>
        <b val="true"/>
        <sz val="10"/>
        <color rgb="FF1F3864"/>
        <rFont val="Noto Sans CJK SC"/>
        <family val="2"/>
      </rPr>
      <t xml:space="preserve">（收入端不乘 </t>
    </r>
    <r>
      <rPr>
        <b val="true"/>
        <sz val="10"/>
        <color rgb="FF1F3864"/>
        <rFont val="Arial"/>
        <family val="0"/>
        <charset val="1"/>
      </rPr>
      <t xml:space="preserve">IF_Util</t>
    </r>
    <r>
      <rPr>
        <b val="true"/>
        <sz val="10"/>
        <color rgb="FF1F3864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</si>
  <si>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價格軸選擇（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＝低 長約下緣、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Noto Sans CJK SC"/>
        <family val="2"/>
      </rPr>
      <t xml:space="preserve">＝基準 </t>
    </r>
    <r>
      <rPr>
        <b val="true"/>
        <sz val="10"/>
        <rFont val="Arial"/>
        <family val="0"/>
        <charset val="1"/>
      </rPr>
      <t xml:space="preserve">C1 </t>
    </r>
    <r>
      <rPr>
        <b val="true"/>
        <sz val="10"/>
        <rFont val="Noto Sans CJK SC"/>
        <family val="2"/>
      </rPr>
      <t xml:space="preserve">混合、</t>
    </r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Noto Sans CJK SC"/>
        <family val="2"/>
      </rPr>
      <t xml:space="preserve">＝高 現貨改用 </t>
    </r>
    <r>
      <rPr>
        <b val="true"/>
        <sz val="10"/>
        <rFont val="Arial"/>
        <family val="0"/>
        <charset val="1"/>
      </rPr>
      <t xml:space="preserve">GCP </t>
    </r>
    <r>
      <rPr>
        <b val="true"/>
        <sz val="10"/>
        <rFont val="Noto Sans CJK SC"/>
        <family val="2"/>
      </rPr>
      <t xml:space="preserve">牌價）</t>
    </r>
  </si>
  <si>
    <r>
      <rPr>
        <sz val="9"/>
        <color rgb="FF595959"/>
        <rFont val="Noto Sans CJK SC"/>
        <family val="2"/>
      </rPr>
      <t xml:space="preserve">價格軸與容量軸（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區情境）分離；三容量情境預設都用基準 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3 × 3 </t>
    </r>
    <r>
      <rPr>
        <sz val="9"/>
        <color rgb="FF595959"/>
        <rFont val="Noto Sans CJK SC"/>
        <family val="2"/>
      </rPr>
      <t xml:space="preserve">目標價矩陣見「評價</t>
    </r>
    <r>
      <rPr>
        <sz val="9"/>
        <color rgb="FF595959"/>
        <rFont val="Arial"/>
        <family val="0"/>
        <charset val="1"/>
      </rPr>
      <t xml:space="preserve">_DCF</t>
    </r>
    <r>
      <rPr>
        <sz val="9"/>
        <color rgb="FF595959"/>
        <rFont val="Noto Sans CJK SC"/>
        <family val="2"/>
      </rPr>
      <t xml:space="preserve">與目標價」（對照表 </t>
    </r>
    <r>
      <rPr>
        <sz val="9"/>
        <color rgb="FF595959"/>
        <rFont val="Arial"/>
        <family val="0"/>
        <charset val="1"/>
      </rPr>
      <t xml:space="preserve">r1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節第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條）</t>
    </r>
  </si>
  <si>
    <r>
      <rPr>
        <b val="true"/>
        <sz val="11"/>
        <color rgb="FFFFFFFF"/>
        <rFont val="Arial"/>
        <family val="0"/>
        <charset val="1"/>
      </rPr>
      <t xml:space="preserve">k </t>
    </r>
    <r>
      <rPr>
        <b val="true"/>
        <sz val="11"/>
        <color rgb="FFFFFFFF"/>
        <rFont val="Noto Sans CJK SC"/>
        <family val="2"/>
      </rPr>
      <t xml:space="preserve">組成（價格軸）</t>
    </r>
  </si>
  <si>
    <t xml:space="preserve">低</t>
  </si>
  <si>
    <t xml:space="preserve">基準</t>
  </si>
  <si>
    <t xml:space="preserve">高</t>
  </si>
  <si>
    <r>
      <rPr>
        <sz val="10"/>
        <rFont val="Arial"/>
        <family val="0"/>
        <charset val="1"/>
      </rPr>
      <t xml:space="preserve">k</t>
    </r>
    <r>
      <rPr>
        <sz val="10"/>
        <rFont val="Noto Sans CJK SC"/>
        <family val="2"/>
      </rPr>
      <t xml:space="preserve">｜長約</t>
    </r>
  </si>
  <si>
    <t xml:space="preserve">倍</t>
  </si>
  <si>
    <r>
      <rPr>
        <sz val="9"/>
        <color rgb="FF595959"/>
        <rFont val="Noto Sans CJK SC"/>
        <family val="2"/>
      </rPr>
      <t xml:space="preserve">長約 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Anthropic–Google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Broadcom TPU 0.63–0.75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Anthropic–Google Cloud 0.78–1.20</t>
    </r>
    <r>
      <rPr>
        <sz val="9"/>
        <color rgb="FF595959"/>
        <rFont val="Noto Sans CJK SC"/>
        <family val="2"/>
      </rPr>
      <t xml:space="preserve">（容量 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IREN–Microsoft 0.76 →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0.75</t>
    </r>
    <r>
      <rPr>
        <sz val="9"/>
        <color rgb="FF595959"/>
        <rFont val="Noto Sans CJK SC"/>
        <family val="2"/>
      </rPr>
      <t xml:space="preserve">（對照表 </t>
    </r>
    <r>
      <rPr>
        <sz val="9"/>
        <color rgb="FF595959"/>
        <rFont val="Arial"/>
        <family val="0"/>
        <charset val="1"/>
      </rPr>
      <t xml:space="preserve">r1 C1</t>
    </r>
    <r>
      <rPr>
        <sz val="9"/>
        <color rgb="FF595959"/>
        <rFont val="Noto Sans CJK SC"/>
        <family val="2"/>
      </rPr>
      <t xml:space="preserve">）；低＝</t>
    </r>
    <r>
      <rPr>
        <sz val="9"/>
        <color rgb="FF595959"/>
        <rFont val="Arial"/>
        <family val="0"/>
        <charset val="1"/>
      </rPr>
      <t xml:space="preserve">v0.1a </t>
    </r>
    <r>
      <rPr>
        <sz val="9"/>
        <color rgb="FF595959"/>
        <rFont val="Noto Sans CJK SC"/>
        <family val="2"/>
      </rPr>
      <t xml:space="preserve">區間下緣 </t>
    </r>
    <r>
      <rPr>
        <sz val="9"/>
        <color rgb="FF595959"/>
        <rFont val="Arial"/>
        <family val="0"/>
        <charset val="1"/>
      </rPr>
      <t xml:space="preserve">0.6 [Analogy]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kevidence k.lt.*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</si>
  <si>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k</t>
    </r>
    <r>
      <rPr>
        <sz val="10"/>
        <rFont val="Noto Sans CJK SC"/>
        <family val="2"/>
      </rPr>
      <t xml:space="preserve">｜現貨</t>
    </r>
  </si>
  <si>
    <r>
      <rPr>
        <sz val="9"/>
        <color rgb="FF595959"/>
        <rFont val="Noto Sans CJK SC"/>
        <family val="2"/>
      </rPr>
      <t xml:space="preserve">現貨 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：基準 </t>
    </r>
    <r>
      <rPr>
        <sz val="9"/>
        <color rgb="FF595959"/>
        <rFont val="Arial"/>
        <family val="0"/>
        <charset val="1"/>
      </rPr>
      <t xml:space="preserve">1.76</t>
    </r>
    <r>
      <rPr>
        <sz val="9"/>
        <color rgb="FF595959"/>
        <rFont val="Noto Sans CJK SC"/>
        <family val="2"/>
      </rPr>
      <t xml:space="preserve">＝與 </t>
    </r>
    <r>
      <rPr>
        <sz val="9"/>
        <color rgb="FF595959"/>
        <rFont val="Arial"/>
        <family val="0"/>
        <charset val="1"/>
      </rPr>
      <t xml:space="preserve">Nebius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Noto Sans CJK SC"/>
        <family val="2"/>
      </rPr>
      <t xml:space="preserve">同一市場現貨指數（對照表 </t>
    </r>
    <r>
      <rPr>
        <sz val="9"/>
        <color rgb="FF595959"/>
        <rFont val="Arial"/>
        <family val="0"/>
        <charset val="1"/>
      </rPr>
      <t xml:space="preserve">r1 C1</t>
    </r>
    <r>
      <rPr>
        <sz val="9"/>
        <color rgb="FF595959"/>
        <rFont val="Noto Sans CJK SC"/>
        <family val="2"/>
      </rPr>
      <t xml:space="preserve">）；高＝</t>
    </r>
    <r>
      <rPr>
        <sz val="9"/>
        <color rgb="FF595959"/>
        <rFont val="Arial"/>
        <family val="0"/>
        <charset val="1"/>
      </rPr>
      <t xml:space="preserve">GCP </t>
    </r>
    <r>
      <rPr>
        <sz val="9"/>
        <color rgb="FF595959"/>
        <rFont val="Noto Sans CJK SC"/>
        <family val="2"/>
      </rPr>
      <t xml:space="preserve">牌價換算：</t>
    </r>
    <r>
      <rPr>
        <sz val="9"/>
        <color rgb="FF595959"/>
        <rFont val="Arial"/>
        <family val="0"/>
        <charset val="1"/>
      </rPr>
      <t xml:space="preserve">H100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a3-highgpu-8g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年預留 </t>
    </r>
    <r>
      <rPr>
        <sz val="9"/>
        <color rgb="FF595959"/>
        <rFont val="Arial"/>
        <family val="0"/>
        <charset val="1"/>
      </rPr>
      <t xml:space="preserve">4.86 ÷ IF_GPUhrEcon Hopper 1.605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3.03</t>
    </r>
    <r>
      <rPr>
        <sz val="9"/>
        <color rgb="FF595959"/>
        <rFont val="Noto Sans CJK SC"/>
        <family val="2"/>
      </rPr>
      <t xml:space="preserve">（牌價最低層；隨需 </t>
    </r>
    <r>
      <rPr>
        <sz val="9"/>
        <color rgb="FF595959"/>
        <rFont val="Arial"/>
        <family val="0"/>
        <charset val="1"/>
      </rPr>
      <t xml:space="preserve">6.89 </t>
    </r>
    <r>
      <rPr>
        <sz val="9"/>
        <color rgb="FF595959"/>
        <rFont val="Noto Sans CJK SC"/>
        <family val="2"/>
      </rPr>
      <t xml:space="preserve">為替代，</t>
    </r>
    <r>
      <rPr>
        <sz val="9"/>
        <color rgb="FF595959"/>
        <rFont val="Arial"/>
        <family val="0"/>
        <charset val="1"/>
      </rPr>
      <t xml:space="preserve">kevidence k.gcp.a3-highgpu-8g.cud3y</t>
    </r>
    <r>
      <rPr>
        <sz val="9"/>
        <color rgb="FF595959"/>
        <rFont val="Noto Sans CJK SC"/>
        <family val="2"/>
      </rPr>
      <t xml:space="preserve">）</t>
    </r>
  </si>
  <si>
    <t xml:space="preserve">長約占比</t>
  </si>
  <si>
    <r>
      <rPr>
        <sz val="9"/>
        <color rgb="FF595959"/>
        <rFont val="Noto Sans CJK SC"/>
        <family val="2"/>
      </rPr>
      <t xml:space="preserve">長約占比 </t>
    </r>
    <r>
      <rPr>
        <sz val="9"/>
        <color rgb="FF595959"/>
        <rFont val="Arial"/>
        <family val="0"/>
        <charset val="1"/>
      </rPr>
      <t xml:space="preserve">60%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40%–80%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Cloud </t>
    </r>
    <r>
      <rPr>
        <sz val="9"/>
        <color rgb="FF595959"/>
        <rFont val="Noto Sans CJK SC"/>
        <family val="2"/>
      </rPr>
      <t xml:space="preserve">積壓以多年期大客戶為主，</t>
    </r>
    <r>
      <rPr>
        <sz val="9"/>
        <color rgb="FF595959"/>
        <rFont val="Arial"/>
        <family val="0"/>
        <charset val="1"/>
      </rPr>
      <t xml:space="preserve">Anthropic ≥111.1B ≈ </t>
    </r>
    <r>
      <rPr>
        <sz val="9"/>
        <color rgb="FF595959"/>
        <rFont val="Noto Sans CJK SC"/>
        <family val="2"/>
      </rPr>
      <t xml:space="preserve">積壓 </t>
    </r>
    <r>
      <rPr>
        <sz val="9"/>
        <color rgb="FF595959"/>
        <rFont val="Arial"/>
        <family val="0"/>
        <charset val="1"/>
      </rPr>
      <t xml:space="preserve">21%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</si>
  <si>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混合 </t>
    </r>
    <r>
      <rPr>
        <sz val="10"/>
        <rFont val="Arial"/>
        <family val="0"/>
        <charset val="1"/>
      </rPr>
      <t xml:space="preserve">k</t>
    </r>
  </si>
  <si>
    <r>
      <rPr>
        <sz val="9"/>
        <color rgb="FF595959"/>
        <rFont val="Noto Sans CJK SC"/>
        <family val="2"/>
      </rPr>
      <t xml:space="preserve">＝長約占比 </t>
    </r>
    <r>
      <rPr>
        <sz val="9"/>
        <color rgb="FF595959"/>
        <rFont val="Arial"/>
        <family val="0"/>
        <charset val="1"/>
      </rPr>
      <t xml:space="preserve">× k_</t>
    </r>
    <r>
      <rPr>
        <sz val="9"/>
        <color rgb="FF595959"/>
        <rFont val="Noto Sans CJK SC"/>
        <family val="2"/>
      </rPr>
      <t xml:space="preserve">長約＋</t>
    </r>
    <r>
      <rPr>
        <sz val="9"/>
        <color rgb="FF595959"/>
        <rFont val="Arial"/>
        <family val="0"/>
        <charset val="1"/>
      </rPr>
      <t xml:space="preserve">(1 − </t>
    </r>
    <r>
      <rPr>
        <sz val="9"/>
        <color rgb="FF595959"/>
        <rFont val="Noto Sans CJK SC"/>
        <family val="2"/>
      </rPr>
      <t xml:space="preserve">長約占比</t>
    </r>
    <r>
      <rPr>
        <sz val="9"/>
        <color rgb="FF595959"/>
        <rFont val="Arial"/>
        <family val="0"/>
        <charset val="1"/>
      </rPr>
      <t xml:space="preserve">) × k_</t>
    </r>
    <r>
      <rPr>
        <sz val="9"/>
        <color rgb="FF595959"/>
        <rFont val="Noto Sans CJK SC"/>
        <family val="2"/>
      </rPr>
      <t xml:space="preserve">現貨</t>
    </r>
  </si>
  <si>
    <r>
      <rPr>
        <sz val="10"/>
        <rFont val="Noto Sans CJK SC"/>
        <family val="2"/>
      </rPr>
      <t xml:space="preserve">採用 </t>
    </r>
    <r>
      <rPr>
        <sz val="10"/>
        <rFont val="Arial"/>
        <family val="0"/>
        <charset val="1"/>
      </rPr>
      <t xml:space="preserve">k</t>
    </r>
    <r>
      <rPr>
        <sz val="10"/>
        <rFont val="Noto Sans CJK SC"/>
        <family val="2"/>
      </rPr>
      <t xml:space="preserve">（依價格軸）</t>
    </r>
  </si>
  <si>
    <t xml:space="preserve">＝依上方價格軸選擇</t>
  </si>
  <si>
    <t xml:space="preserve">自研晶片持有成本係數</t>
  </si>
  <si>
    <r>
      <rPr>
        <sz val="9"/>
        <color rgb="FF595959"/>
        <rFont val="Noto Sans CJK SC"/>
        <family val="2"/>
      </rPr>
      <t xml:space="preserve">自研晶片（</t>
    </r>
    <r>
      <rPr>
        <sz val="9"/>
        <color rgb="FF595959"/>
        <rFont val="Arial"/>
        <family val="0"/>
        <charset val="1"/>
      </rPr>
      <t xml:space="preserve">TPU</t>
    </r>
    <r>
      <rPr>
        <sz val="9"/>
        <color rgb="FF595959"/>
        <rFont val="Noto Sans CJK SC"/>
        <family val="2"/>
      </rPr>
      <t xml:space="preserve">）每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錨＝同期 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世代 </t>
    </r>
    <r>
      <rPr>
        <sz val="9"/>
        <color rgb="FF595959"/>
        <rFont val="Arial"/>
        <family val="0"/>
        <charset val="1"/>
      </rPr>
      <t xml:space="preserve">IF_HoldEcon × 1.0</t>
    </r>
    <r>
      <rPr>
        <sz val="9"/>
        <color rgb="FF595959"/>
        <rFont val="Noto Sans CJK SC"/>
        <family val="2"/>
      </rPr>
      <t xml:space="preserve">（對照表 </t>
    </r>
    <r>
      <rPr>
        <sz val="9"/>
        <color rgb="FF595959"/>
        <rFont val="Arial"/>
        <family val="0"/>
        <charset val="1"/>
      </rPr>
      <t xml:space="preserve">r1 C2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TPU v4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v5e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v5p → Hopper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Trillium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v6e</t>
    </r>
    <r>
      <rPr>
        <sz val="9"/>
        <color rgb="FF595959"/>
        <rFont val="Noto Sans CJK SC"/>
        <family val="2"/>
      </rPr>
      <t xml:space="preserve">）→ 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Ironwood → GB300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Ironwood </t>
    </r>
    <r>
      <rPr>
        <sz val="9"/>
        <color rgb="FF595959"/>
        <rFont val="Noto Sans CJK SC"/>
        <family val="2"/>
      </rPr>
      <t xml:space="preserve">之後世代 → </t>
    </r>
    <r>
      <rPr>
        <sz val="9"/>
        <color rgb="FF595959"/>
        <rFont val="Arial"/>
        <family val="0"/>
        <charset val="1"/>
      </rPr>
      <t xml:space="preserve">VR200 [Assumed]</t>
    </r>
    <r>
      <rPr>
        <sz val="9"/>
        <color rgb="FF595959"/>
        <rFont val="Noto Sans CJK SC"/>
        <family val="2"/>
      </rPr>
      <t xml:space="preserve">）；敏感度 </t>
    </r>
    <r>
      <rPr>
        <sz val="9"/>
        <color rgb="FF595959"/>
        <rFont val="Arial"/>
        <family val="0"/>
        <charset val="1"/>
      </rPr>
      <t xml:space="preserve">× 0.7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C2 </t>
    </r>
    <r>
      <rPr>
        <sz val="9"/>
        <color rgb="FF595959"/>
        <rFont val="Noto Sans CJK SC"/>
        <family val="2"/>
      </rPr>
      <t xml:space="preserve">原文「</t>
    </r>
    <r>
      <rPr>
        <sz val="9"/>
        <color rgb="FF595959"/>
        <rFont val="Arial"/>
        <family val="0"/>
        <charset val="1"/>
      </rPr>
      <t xml:space="preserve">TPU v6e → Hopper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Trillium → GB200</t>
    </r>
    <r>
      <rPr>
        <sz val="9"/>
        <color rgb="FF595959"/>
        <rFont val="Noto Sans CJK SC"/>
        <family val="2"/>
      </rPr>
      <t xml:space="preserve">」中 </t>
    </r>
    <r>
      <rPr>
        <sz val="9"/>
        <color rgb="FF595959"/>
        <rFont val="Arial"/>
        <family val="0"/>
        <charset val="1"/>
      </rPr>
      <t xml:space="preserve">v6e </t>
    </r>
    <r>
      <rPr>
        <sz val="9"/>
        <color rgb="FF595959"/>
        <rFont val="Noto Sans CJK SC"/>
        <family val="2"/>
      </rPr>
      <t xml:space="preserve">即 </t>
    </r>
    <r>
      <rPr>
        <sz val="9"/>
        <color rgb="FF595959"/>
        <rFont val="Arial"/>
        <family val="0"/>
        <charset val="1"/>
      </rPr>
      <t xml:space="preserve">Trillium</t>
    </r>
    <r>
      <rPr>
        <sz val="9"/>
        <color rgb="FF595959"/>
        <rFont val="Noto Sans CJK SC"/>
        <family val="2"/>
      </rPr>
      <t xml:space="preserve">，本模型以「</t>
    </r>
    <r>
      <rPr>
        <sz val="9"/>
        <color rgb="FF595959"/>
        <rFont val="Arial"/>
        <family val="0"/>
        <charset val="1"/>
      </rPr>
      <t xml:space="preserve">v6e </t>
    </r>
    <r>
      <rPr>
        <sz val="9"/>
        <color rgb="FF595959"/>
        <rFont val="Noto Sans CJK SC"/>
        <family val="2"/>
      </rPr>
      <t xml:space="preserve">之前世代 → </t>
    </r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Noto Sans CJK SC"/>
        <family val="2"/>
      </rPr>
      <t xml:space="preserve">」解讀（見報告已套用的預設）。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無 </t>
    </r>
    <r>
      <rPr>
        <sz val="9"/>
        <color rgb="FF595959"/>
        <rFont val="Arial"/>
        <family val="0"/>
        <charset val="1"/>
      </rPr>
      <t xml:space="preserve">NonNV </t>
    </r>
    <r>
      <rPr>
        <sz val="9"/>
        <color rgb="FF595959"/>
        <rFont val="Noto Sans CJK SC"/>
        <family val="2"/>
      </rPr>
      <t xml:space="preserve">具名範圍（</t>
    </r>
    <r>
      <rPr>
        <sz val="9"/>
        <color rgb="FF595959"/>
        <rFont val="Arial"/>
        <family val="0"/>
        <charset val="1"/>
      </rPr>
      <t xml:space="preserve">IF_NonNVRatio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IF_NonNVCostRatio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missing</t>
    </r>
    <r>
      <rPr>
        <sz val="9"/>
        <color rgb="FF595959"/>
        <rFont val="Noto Sans CJK SC"/>
        <family val="2"/>
      </rPr>
      <t xml:space="preserve">），已列缺口回報。</t>
    </r>
  </si>
  <si>
    <r>
      <rPr>
        <sz val="10"/>
        <rFont val="Noto Sans CJK SC"/>
        <family val="2"/>
      </rPr>
      <t xml:space="preserve">上限檢查門檻（每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參考付費營收）</t>
    </r>
  </si>
  <si>
    <r>
      <rPr>
        <sz val="9"/>
        <color rgb="FF595959"/>
        <rFont val="Noto Sans CJK SC"/>
        <family val="2"/>
      </rPr>
      <t xml:space="preserve">上限檢查：每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年收入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世代占比 </t>
    </r>
    <r>
      <rPr>
        <sz val="9"/>
        <color rgb="FF595959"/>
        <rFont val="Arial"/>
        <family val="0"/>
        <charset val="1"/>
      </rPr>
      <t xml:space="preserve">× IF_RevGWFleet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1000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&gt; 50% </t>
    </r>
    <r>
      <rPr>
        <sz val="9"/>
        <color rgb="FF595959"/>
        <rFont val="Noto Sans CJK SC"/>
        <family val="2"/>
      </rPr>
      <t xml:space="preserve">時示警（工作單 </t>
    </r>
    <r>
      <rPr>
        <sz val="9"/>
        <color rgb="FF595959"/>
        <rFont val="Arial"/>
        <family val="0"/>
        <charset val="1"/>
      </rPr>
      <t xml:space="preserve">v0.1b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步）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</si>
  <si>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TPU v4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v5e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v5p</t>
    </r>
    <r>
      <rPr>
        <sz val="10"/>
        <rFont val="Noto Sans CJK SC"/>
        <family val="2"/>
      </rPr>
      <t xml:space="preserve">｜每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年持有成本</t>
    </r>
  </si>
  <si>
    <t xml:space="preserve">US$m/MW</t>
  </si>
  <si>
    <r>
      <rPr>
        <sz val="9"/>
        <color rgb="FF595959"/>
        <rFont val="Arial"/>
        <family val="0"/>
        <charset val="1"/>
      </rPr>
      <t xml:space="preserve">Tokenomics IF_HoldEcon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H100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自研晶片係數（對照表 </t>
    </r>
    <r>
      <rPr>
        <sz val="9"/>
        <color rgb="FF595959"/>
        <rFont val="Arial"/>
        <family val="0"/>
        <charset val="1"/>
      </rPr>
      <t xml:space="preserve">r1 C2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US$B/GW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US$m/MW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</si>
  <si>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TPU v4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v5e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v5p</t>
    </r>
    <r>
      <rPr>
        <sz val="10"/>
        <rFont val="Noto Sans CJK SC"/>
        <family val="2"/>
      </rPr>
      <t xml:space="preserve">｜每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年營運成本</t>
    </r>
  </si>
  <si>
    <r>
      <rPr>
        <sz val="9"/>
        <color rgb="FF595959"/>
        <rFont val="Arial"/>
        <family val="0"/>
        <charset val="1"/>
      </rPr>
      <t xml:space="preserve">Tokenomics IF_OpexGW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H100</t>
    </r>
    <r>
      <rPr>
        <sz val="9"/>
        <color rgb="FF595959"/>
        <rFont val="Noto Sans CJK SC"/>
        <family val="2"/>
      </rPr>
      <t xml:space="preserve">；不含折舊，含電費）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</si>
  <si>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TPU v4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v5e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v5p</t>
    </r>
    <r>
      <rPr>
        <sz val="10"/>
        <rFont val="Noto Sans CJK SC"/>
        <family val="2"/>
      </rPr>
      <t xml:space="preserve">｜每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參考付費營收</t>
    </r>
  </si>
  <si>
    <r>
      <rPr>
        <sz val="9"/>
        <color rgb="FF595959"/>
        <rFont val="Arial"/>
        <family val="0"/>
        <charset val="1"/>
      </rPr>
      <t xml:space="preserve">Tokenomics IF_RevGWFleet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H100</t>
    </r>
    <r>
      <rPr>
        <sz val="9"/>
        <color rgb="FF595959"/>
        <rFont val="Noto Sans CJK SC"/>
        <family val="2"/>
      </rPr>
      <t xml:space="preserve">；理論上限，只作檢查）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</si>
  <si>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TPU v4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v5e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v5p</t>
    </r>
    <r>
      <rPr>
        <sz val="10"/>
        <rFont val="Noto Sans CJK SC"/>
        <family val="2"/>
      </rPr>
      <t xml:space="preserve">｜期初在役占比</t>
    </r>
  </si>
  <si>
    <r>
      <rPr>
        <sz val="9"/>
        <color rgb="FF595959"/>
        <rFont val="Noto Sans CJK SC"/>
        <family val="2"/>
      </rPr>
      <t xml:space="preserve">期初在役（評價日，對外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TPU v4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v5 15%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Hopper GPU 10%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Trillium 35%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B200 10%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Ironwood 30% [Assumed]——</t>
    </r>
    <r>
      <rPr>
        <sz val="9"/>
        <color rgb="FF595959"/>
        <rFont val="Noto Sans CJK SC"/>
        <family val="2"/>
      </rPr>
      <t xml:space="preserve">依 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晶片功耗：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約占 </t>
    </r>
    <r>
      <rPr>
        <sz val="9"/>
        <color rgb="FF595959"/>
        <rFont val="Arial"/>
        <family val="0"/>
        <charset val="1"/>
      </rPr>
      <t xml:space="preserve">21%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2024 </t>
    </r>
    <r>
      <rPr>
        <sz val="9"/>
        <color rgb="FF595959"/>
        <rFont val="Noto Sans CJK SC"/>
        <family val="2"/>
      </rPr>
      <t xml:space="preserve">年底前 </t>
    </r>
    <r>
      <rPr>
        <sz val="9"/>
        <color rgb="FF595959"/>
        <rFont val="Arial"/>
        <family val="0"/>
        <charset val="1"/>
      </rPr>
      <t xml:space="preserve">TPU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 </t>
    </r>
    <r>
      <rPr>
        <sz val="9"/>
        <color rgb="FF595959"/>
        <rFont val="Noto Sans CJK SC"/>
        <family val="2"/>
      </rPr>
      <t xml:space="preserve">為主）</t>
    </r>
    <r>
      <rPr>
        <sz val="9"/>
        <color rgb="FF595959"/>
        <rFont val="Arial"/>
        <family val="0"/>
        <charset val="1"/>
      </rPr>
      <t xml:space="preserve">991 MW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年新增 </t>
    </r>
    <r>
      <rPr>
        <sz val="9"/>
        <color rgb="FF595959"/>
        <rFont val="Arial"/>
        <family val="0"/>
        <charset val="1"/>
      </rPr>
      <t xml:space="preserve">1,232 MW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Trillium </t>
    </r>
    <r>
      <rPr>
        <sz val="9"/>
        <color rgb="FF595959"/>
        <rFont val="Noto Sans CJK SC"/>
        <family val="2"/>
      </rPr>
      <t xml:space="preserve">為主、</t>
    </r>
    <r>
      <rPr>
        <sz val="9"/>
        <color rgb="FF595959"/>
        <rFont val="Arial"/>
        <family val="0"/>
        <charset val="1"/>
      </rPr>
      <t xml:space="preserve">Q4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Ironwood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上半年 </t>
    </r>
    <r>
      <rPr>
        <sz val="9"/>
        <color rgb="FF595959"/>
        <rFont val="Arial"/>
        <family val="0"/>
        <charset val="1"/>
      </rPr>
      <t xml:space="preserve">Ironwood </t>
    </r>
    <r>
      <rPr>
        <sz val="9"/>
        <color rgb="FF595959"/>
        <rFont val="Noto Sans CJK SC"/>
        <family val="2"/>
      </rPr>
      <t xml:space="preserve">為主；對外客戶（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等）以新世代為主。新增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TPU 75%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NVIDIA 25%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Epoch 2025 </t>
    </r>
    <r>
      <rPr>
        <sz val="9"/>
        <color rgb="FF595959"/>
        <rFont val="Noto Sans CJK SC"/>
        <family val="2"/>
      </rPr>
      <t xml:space="preserve">年新增功耗 </t>
    </r>
    <r>
      <rPr>
        <sz val="9"/>
        <color rgb="FF595959"/>
        <rFont val="Arial"/>
        <family val="0"/>
        <charset val="1"/>
      </rPr>
      <t xml:space="preserve">TPU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77%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TPU 2026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Ironwood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2027 Ironwood</t>
    </r>
    <r>
      <rPr>
        <sz val="9"/>
        <color rgb="FF595959"/>
        <rFont val="Noto Sans CJK SC"/>
        <family val="2"/>
      </rPr>
      <t xml:space="preserve">／下一代各半、</t>
    </r>
    <r>
      <rPr>
        <sz val="9"/>
        <color rgb="FF595959"/>
        <rFont val="Arial"/>
        <family val="0"/>
        <charset val="1"/>
      </rPr>
      <t xml:space="preserve">2028 </t>
    </r>
    <r>
      <rPr>
        <sz val="9"/>
        <color rgb="FF595959"/>
        <rFont val="Noto Sans CJK SC"/>
        <family val="2"/>
      </rPr>
      <t xml:space="preserve">起下一代；</t>
    </r>
    <r>
      <rPr>
        <sz val="9"/>
        <color rgb="FF595959"/>
        <rFont val="Arial"/>
        <family val="0"/>
        <charset val="1"/>
      </rPr>
      <t xml:space="preserve">NVIDIA 2026 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2027 GB300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2028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VR200 [Assumed]</t>
    </r>
    <r>
      <rPr>
        <sz val="9"/>
        <color rgb="FF595959"/>
        <rFont val="Noto Sans CJK SC"/>
        <family val="2"/>
      </rPr>
      <t xml:space="preserve">。在役占比＝各世代累計 </t>
    </r>
    <r>
      <rPr>
        <sz val="9"/>
        <color rgb="FF595959"/>
        <rFont val="Arial"/>
        <family val="0"/>
        <charset val="1"/>
      </rPr>
      <t xml:space="preserve">MW ÷ </t>
    </r>
    <r>
      <rPr>
        <sz val="9"/>
        <color rgb="FF595959"/>
        <rFont val="Noto Sans CJK SC"/>
        <family val="2"/>
      </rPr>
      <t xml:space="preserve">對外 </t>
    </r>
    <r>
      <rPr>
        <sz val="9"/>
        <color rgb="FF595959"/>
        <rFont val="Arial"/>
        <family val="0"/>
        <charset val="1"/>
      </rPr>
      <t xml:space="preserve">AI MW</t>
    </r>
    <r>
      <rPr>
        <sz val="9"/>
        <color rgb="FF595959"/>
        <rFont val="Noto Sans CJK SC"/>
        <family val="2"/>
      </rPr>
      <t xml:space="preserve">（不建模退役後的世代替換）。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</si>
  <si>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TPU v4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v5e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v5p</t>
    </r>
    <r>
      <rPr>
        <sz val="10"/>
        <rFont val="Noto Sans CJK SC"/>
        <family val="2"/>
      </rPr>
      <t xml:space="preserve">｜新增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占比</t>
    </r>
  </si>
  <si>
    <r>
      <rPr>
        <sz val="9"/>
        <color rgb="FF595959"/>
        <rFont val="Noto Sans CJK SC"/>
        <family val="2"/>
      </rPr>
      <t xml:space="preserve">各期新增在役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的世代組合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</si>
  <si>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TPU v4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v5e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v5p</t>
    </r>
    <r>
      <rPr>
        <sz val="10"/>
        <rFont val="Noto Sans CJK SC"/>
        <family val="2"/>
      </rPr>
      <t xml:space="preserve">｜在役 </t>
    </r>
    <r>
      <rPr>
        <sz val="10"/>
        <rFont val="Arial"/>
        <family val="0"/>
        <charset val="1"/>
      </rPr>
      <t xml:space="preserve">MW</t>
    </r>
  </si>
  <si>
    <r>
      <rPr>
        <sz val="9"/>
        <color rgb="FF595959"/>
        <rFont val="Noto Sans CJK SC"/>
        <family val="2"/>
      </rPr>
      <t xml:space="preserve">＝前期＋本期新增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新增占比（首期＝評價日在役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期初占比＋新增）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</si>
  <si>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Hopper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H100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H200</t>
    </r>
    <r>
      <rPr>
        <sz val="10"/>
        <rFont val="Noto Sans CJK SC"/>
        <family val="2"/>
      </rPr>
      <t xml:space="preserve">）｜每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年持有成本</t>
    </r>
  </si>
  <si>
    <r>
      <rPr>
        <sz val="9"/>
        <color rgb="FF595959"/>
        <rFont val="Arial"/>
        <family val="0"/>
        <charset val="1"/>
      </rPr>
      <t xml:space="preserve">Tokenomics IF_HoldEcon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H100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US$B/GW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US$m/MW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</si>
  <si>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Hopper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H100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H200</t>
    </r>
    <r>
      <rPr>
        <sz val="10"/>
        <rFont val="Noto Sans CJK SC"/>
        <family val="2"/>
      </rPr>
      <t xml:space="preserve">）｜每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年營運成本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</si>
  <si>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Hopper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H100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H200</t>
    </r>
    <r>
      <rPr>
        <sz val="10"/>
        <rFont val="Noto Sans CJK SC"/>
        <family val="2"/>
      </rPr>
      <t xml:space="preserve">）｜每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參考付費營收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</si>
  <si>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Hopper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H100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H200</t>
    </r>
    <r>
      <rPr>
        <sz val="10"/>
        <rFont val="Noto Sans CJK SC"/>
        <family val="2"/>
      </rPr>
      <t xml:space="preserve">）｜期初在役占比</t>
    </r>
  </si>
  <si>
    <r>
      <rPr>
        <sz val="9"/>
        <color rgb="FF595959"/>
        <rFont val="Noto Sans CJK SC"/>
        <family val="2"/>
      </rPr>
      <t xml:space="preserve">見第一個世代的說明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</si>
  <si>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Hopper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H100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H200</t>
    </r>
    <r>
      <rPr>
        <sz val="10"/>
        <rFont val="Noto Sans CJK SC"/>
        <family val="2"/>
      </rPr>
      <t xml:space="preserve">）｜新增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占比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</si>
  <si>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Hopper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H100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H200</t>
    </r>
    <r>
      <rPr>
        <sz val="10"/>
        <rFont val="Noto Sans CJK SC"/>
        <family val="2"/>
      </rPr>
      <t xml:space="preserve">）｜在役 </t>
    </r>
    <r>
      <rPr>
        <sz val="10"/>
        <rFont val="Arial"/>
        <family val="0"/>
        <charset val="1"/>
      </rPr>
      <t xml:space="preserve">MW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</si>
  <si>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TPU Trillium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v6e</t>
    </r>
    <r>
      <rPr>
        <sz val="10"/>
        <rFont val="Noto Sans CJK SC"/>
        <family val="2"/>
      </rPr>
      <t xml:space="preserve">）｜每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年持有成本</t>
    </r>
  </si>
  <si>
    <r>
      <rPr>
        <sz val="9"/>
        <color rgb="FF595959"/>
        <rFont val="Arial"/>
        <family val="0"/>
        <charset val="1"/>
      </rPr>
      <t xml:space="preserve">Tokenomics IF_HoldEcon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自研晶片係數（對照表 </t>
    </r>
    <r>
      <rPr>
        <sz val="9"/>
        <color rgb="FF595959"/>
        <rFont val="Arial"/>
        <family val="0"/>
        <charset val="1"/>
      </rPr>
      <t xml:space="preserve">r1 C2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US$B/GW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US$m/MW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</si>
  <si>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TPU Trillium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v6e</t>
    </r>
    <r>
      <rPr>
        <sz val="10"/>
        <rFont val="Noto Sans CJK SC"/>
        <family val="2"/>
      </rPr>
      <t xml:space="preserve">）｜每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年營運成本</t>
    </r>
  </si>
  <si>
    <r>
      <rPr>
        <sz val="9"/>
        <color rgb="FF595959"/>
        <rFont val="Arial"/>
        <family val="0"/>
        <charset val="1"/>
      </rPr>
      <t xml:space="preserve">Tokenomics IF_OpexGW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；不含折舊，含電費）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</si>
  <si>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TPU Trillium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v6e</t>
    </r>
    <r>
      <rPr>
        <sz val="10"/>
        <rFont val="Noto Sans CJK SC"/>
        <family val="2"/>
      </rPr>
      <t xml:space="preserve">）｜每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參考付費營收</t>
    </r>
  </si>
  <si>
    <r>
      <rPr>
        <sz val="9"/>
        <color rgb="FF595959"/>
        <rFont val="Arial"/>
        <family val="0"/>
        <charset val="1"/>
      </rPr>
      <t xml:space="preserve">Tokenomics IF_RevGWFleet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；理論上限，只作檢查）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</si>
  <si>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TPU Trillium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v6e</t>
    </r>
    <r>
      <rPr>
        <sz val="10"/>
        <rFont val="Noto Sans CJK SC"/>
        <family val="2"/>
      </rPr>
      <t xml:space="preserve">）｜期初在役占比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</si>
  <si>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TPU Trillium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v6e</t>
    </r>
    <r>
      <rPr>
        <sz val="10"/>
        <rFont val="Noto Sans CJK SC"/>
        <family val="2"/>
      </rPr>
      <t xml:space="preserve">）｜新增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占比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</si>
  <si>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TPU Trillium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v6e</t>
    </r>
    <r>
      <rPr>
        <sz val="10"/>
        <rFont val="Noto Sans CJK SC"/>
        <family val="2"/>
      </rPr>
      <t xml:space="preserve">）｜在役 </t>
    </r>
    <r>
      <rPr>
        <sz val="10"/>
        <rFont val="Arial"/>
        <family val="0"/>
        <charset val="1"/>
      </rPr>
      <t xml:space="preserve">MW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</si>
  <si>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GB200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B200</t>
    </r>
    <r>
      <rPr>
        <sz val="10"/>
        <rFont val="Noto Sans CJK SC"/>
        <family val="2"/>
      </rPr>
      <t xml:space="preserve">｜每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年持有成本</t>
    </r>
  </si>
  <si>
    <r>
      <rPr>
        <sz val="9"/>
        <color rgb="FF595959"/>
        <rFont val="Arial"/>
        <family val="0"/>
        <charset val="1"/>
      </rPr>
      <t xml:space="preserve">Tokenomics IF_HoldEcon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US$B/GW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US$m/MW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</si>
  <si>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GB200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B200</t>
    </r>
    <r>
      <rPr>
        <sz val="10"/>
        <rFont val="Noto Sans CJK SC"/>
        <family val="2"/>
      </rPr>
      <t xml:space="preserve">｜每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年營運成本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</si>
  <si>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GB200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B200</t>
    </r>
    <r>
      <rPr>
        <sz val="10"/>
        <rFont val="Noto Sans CJK SC"/>
        <family val="2"/>
      </rPr>
      <t xml:space="preserve">｜每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參考付費營收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</si>
  <si>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GB200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B200</t>
    </r>
    <r>
      <rPr>
        <sz val="10"/>
        <rFont val="Noto Sans CJK SC"/>
        <family val="2"/>
      </rPr>
      <t xml:space="preserve">｜期初在役占比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</si>
  <si>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GB200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B200</t>
    </r>
    <r>
      <rPr>
        <sz val="10"/>
        <rFont val="Noto Sans CJK SC"/>
        <family val="2"/>
      </rPr>
      <t xml:space="preserve">｜新增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占比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</si>
  <si>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GB200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B200</t>
    </r>
    <r>
      <rPr>
        <sz val="10"/>
        <rFont val="Noto Sans CJK SC"/>
        <family val="2"/>
      </rPr>
      <t xml:space="preserve">｜在役 </t>
    </r>
    <r>
      <rPr>
        <sz val="10"/>
        <rFont val="Arial"/>
        <family val="0"/>
        <charset val="1"/>
      </rPr>
      <t xml:space="preserve">MW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</si>
  <si>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TPU Ironwood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TPU7x</t>
    </r>
    <r>
      <rPr>
        <sz val="10"/>
        <rFont val="Noto Sans CJK SC"/>
        <family val="2"/>
      </rPr>
      <t xml:space="preserve">）｜每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年持有成本</t>
    </r>
  </si>
  <si>
    <r>
      <rPr>
        <sz val="9"/>
        <color rgb="FF595959"/>
        <rFont val="Arial"/>
        <family val="0"/>
        <charset val="1"/>
      </rPr>
      <t xml:space="preserve">Tokenomics IF_HoldEcon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自研晶片係數（對照表 </t>
    </r>
    <r>
      <rPr>
        <sz val="9"/>
        <color rgb="FF595959"/>
        <rFont val="Arial"/>
        <family val="0"/>
        <charset val="1"/>
      </rPr>
      <t xml:space="preserve">r1 C2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US$B/GW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US$m/MW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</si>
  <si>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TPU Ironwood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TPU7x</t>
    </r>
    <r>
      <rPr>
        <sz val="10"/>
        <rFont val="Noto Sans CJK SC"/>
        <family val="2"/>
      </rPr>
      <t xml:space="preserve">）｜每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年營運成本</t>
    </r>
  </si>
  <si>
    <r>
      <rPr>
        <sz val="9"/>
        <color rgb="FF595959"/>
        <rFont val="Arial"/>
        <family val="0"/>
        <charset val="1"/>
      </rPr>
      <t xml:space="preserve">Tokenomics IF_OpexGW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；不含折舊，含電費）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</si>
  <si>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TPU Ironwood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TPU7x</t>
    </r>
    <r>
      <rPr>
        <sz val="10"/>
        <rFont val="Noto Sans CJK SC"/>
        <family val="2"/>
      </rPr>
      <t xml:space="preserve">）｜每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參考付費營收</t>
    </r>
  </si>
  <si>
    <r>
      <rPr>
        <sz val="9"/>
        <color rgb="FF595959"/>
        <rFont val="Arial"/>
        <family val="0"/>
        <charset val="1"/>
      </rPr>
      <t xml:space="preserve">Tokenomics IF_RevGWFleet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；理論上限，只作檢查）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</si>
  <si>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TPU Ironwood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TPU7x</t>
    </r>
    <r>
      <rPr>
        <sz val="10"/>
        <rFont val="Noto Sans CJK SC"/>
        <family val="2"/>
      </rPr>
      <t xml:space="preserve">）｜期初在役占比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</si>
  <si>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TPU Ironwood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TPU7x</t>
    </r>
    <r>
      <rPr>
        <sz val="10"/>
        <rFont val="Noto Sans CJK SC"/>
        <family val="2"/>
      </rPr>
      <t xml:space="preserve">）｜新增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占比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</si>
  <si>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TPU Ironwood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TPU7x</t>
    </r>
    <r>
      <rPr>
        <sz val="10"/>
        <rFont val="Noto Sans CJK SC"/>
        <family val="2"/>
      </rPr>
      <t xml:space="preserve">）｜在役 </t>
    </r>
    <r>
      <rPr>
        <sz val="10"/>
        <rFont val="Arial"/>
        <family val="0"/>
        <charset val="1"/>
      </rPr>
      <t xml:space="preserve">MW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</si>
  <si>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GB300</t>
    </r>
    <r>
      <rPr>
        <sz val="10"/>
        <rFont val="Noto Sans CJK SC"/>
        <family val="2"/>
      </rPr>
      <t xml:space="preserve">｜每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年持有成本</t>
    </r>
  </si>
  <si>
    <r>
      <rPr>
        <sz val="9"/>
        <color rgb="FF595959"/>
        <rFont val="Arial"/>
        <family val="0"/>
        <charset val="1"/>
      </rPr>
      <t xml:space="preserve">Tokenomics IF_HoldEcon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US$B/GW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US$m/MW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</si>
  <si>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GB300</t>
    </r>
    <r>
      <rPr>
        <sz val="10"/>
        <rFont val="Noto Sans CJK SC"/>
        <family val="2"/>
      </rPr>
      <t xml:space="preserve">｜每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年營運成本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</si>
  <si>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GB300</t>
    </r>
    <r>
      <rPr>
        <sz val="10"/>
        <rFont val="Noto Sans CJK SC"/>
        <family val="2"/>
      </rPr>
      <t xml:space="preserve">｜每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參考付費營收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</si>
  <si>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GB300</t>
    </r>
    <r>
      <rPr>
        <sz val="10"/>
        <rFont val="Noto Sans CJK SC"/>
        <family val="2"/>
      </rPr>
      <t xml:space="preserve">｜期初在役占比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</si>
  <si>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GB300</t>
    </r>
    <r>
      <rPr>
        <sz val="10"/>
        <rFont val="Noto Sans CJK SC"/>
        <family val="2"/>
      </rPr>
      <t xml:space="preserve">｜新增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占比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</si>
  <si>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GB300</t>
    </r>
    <r>
      <rPr>
        <sz val="10"/>
        <rFont val="Noto Sans CJK SC"/>
        <family val="2"/>
      </rPr>
      <t xml:space="preserve">｜在役 </t>
    </r>
    <r>
      <rPr>
        <sz val="10"/>
        <rFont val="Arial"/>
        <family val="0"/>
        <charset val="1"/>
      </rPr>
      <t xml:space="preserve">MW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</si>
  <si>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Ironwood </t>
    </r>
    <r>
      <rPr>
        <sz val="10"/>
        <rFont val="Noto Sans CJK SC"/>
        <family val="2"/>
      </rPr>
      <t xml:space="preserve">之後 </t>
    </r>
    <r>
      <rPr>
        <sz val="10"/>
        <rFont val="Arial"/>
        <family val="0"/>
        <charset val="1"/>
      </rPr>
      <t xml:space="preserve">TPU </t>
    </r>
    <r>
      <rPr>
        <sz val="10"/>
        <rFont val="Noto Sans CJK SC"/>
        <family val="2"/>
      </rPr>
      <t xml:space="preserve">世代｜每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年持有成本</t>
    </r>
  </si>
  <si>
    <r>
      <rPr>
        <sz val="9"/>
        <color rgb="FF595959"/>
        <rFont val="Arial"/>
        <family val="0"/>
        <charset val="1"/>
      </rPr>
      <t xml:space="preserve">Tokenomics IF_HoldEcon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自研晶片係數（對照表 </t>
    </r>
    <r>
      <rPr>
        <sz val="9"/>
        <color rgb="FF595959"/>
        <rFont val="Arial"/>
        <family val="0"/>
        <charset val="1"/>
      </rPr>
      <t xml:space="preserve">r1 C2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US$B/GW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US$m/MW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</si>
  <si>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Ironwood </t>
    </r>
    <r>
      <rPr>
        <sz val="10"/>
        <rFont val="Noto Sans CJK SC"/>
        <family val="2"/>
      </rPr>
      <t xml:space="preserve">之後 </t>
    </r>
    <r>
      <rPr>
        <sz val="10"/>
        <rFont val="Arial"/>
        <family val="0"/>
        <charset val="1"/>
      </rPr>
      <t xml:space="preserve">TPU </t>
    </r>
    <r>
      <rPr>
        <sz val="10"/>
        <rFont val="Noto Sans CJK SC"/>
        <family val="2"/>
      </rPr>
      <t xml:space="preserve">世代｜每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年營運成本</t>
    </r>
  </si>
  <si>
    <r>
      <rPr>
        <sz val="9"/>
        <color rgb="FF595959"/>
        <rFont val="Arial"/>
        <family val="0"/>
        <charset val="1"/>
      </rPr>
      <t xml:space="preserve">Tokenomics IF_OpexGW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；不含折舊，含電費）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</si>
  <si>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Ironwood </t>
    </r>
    <r>
      <rPr>
        <sz val="10"/>
        <rFont val="Noto Sans CJK SC"/>
        <family val="2"/>
      </rPr>
      <t xml:space="preserve">之後 </t>
    </r>
    <r>
      <rPr>
        <sz val="10"/>
        <rFont val="Arial"/>
        <family val="0"/>
        <charset val="1"/>
      </rPr>
      <t xml:space="preserve">TPU </t>
    </r>
    <r>
      <rPr>
        <sz val="10"/>
        <rFont val="Noto Sans CJK SC"/>
        <family val="2"/>
      </rPr>
      <t xml:space="preserve">世代｜每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參考付費營收</t>
    </r>
  </si>
  <si>
    <r>
      <rPr>
        <sz val="9"/>
        <color rgb="FF595959"/>
        <rFont val="Arial"/>
        <family val="0"/>
        <charset val="1"/>
      </rPr>
      <t xml:space="preserve">Tokenomics IF_RevGWFleet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；理論上限，只作檢查）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</si>
  <si>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Ironwood </t>
    </r>
    <r>
      <rPr>
        <sz val="10"/>
        <rFont val="Noto Sans CJK SC"/>
        <family val="2"/>
      </rPr>
      <t xml:space="preserve">之後 </t>
    </r>
    <r>
      <rPr>
        <sz val="10"/>
        <rFont val="Arial"/>
        <family val="0"/>
        <charset val="1"/>
      </rPr>
      <t xml:space="preserve">TPU </t>
    </r>
    <r>
      <rPr>
        <sz val="10"/>
        <rFont val="Noto Sans CJK SC"/>
        <family val="2"/>
      </rPr>
      <t xml:space="preserve">世代｜期初在役占比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</si>
  <si>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Ironwood </t>
    </r>
    <r>
      <rPr>
        <sz val="10"/>
        <rFont val="Noto Sans CJK SC"/>
        <family val="2"/>
      </rPr>
      <t xml:space="preserve">之後 </t>
    </r>
    <r>
      <rPr>
        <sz val="10"/>
        <rFont val="Arial"/>
        <family val="0"/>
        <charset val="1"/>
      </rPr>
      <t xml:space="preserve">TPU </t>
    </r>
    <r>
      <rPr>
        <sz val="10"/>
        <rFont val="Noto Sans CJK SC"/>
        <family val="2"/>
      </rPr>
      <t xml:space="preserve">世代｜新增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占比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</si>
  <si>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Ironwood </t>
    </r>
    <r>
      <rPr>
        <sz val="10"/>
        <rFont val="Noto Sans CJK SC"/>
        <family val="2"/>
      </rPr>
      <t xml:space="preserve">之後 </t>
    </r>
    <r>
      <rPr>
        <sz val="10"/>
        <rFont val="Arial"/>
        <family val="0"/>
        <charset val="1"/>
      </rPr>
      <t xml:space="preserve">TPU </t>
    </r>
    <r>
      <rPr>
        <sz val="10"/>
        <rFont val="Noto Sans CJK SC"/>
        <family val="2"/>
      </rPr>
      <t xml:space="preserve">世代｜在役 </t>
    </r>
    <r>
      <rPr>
        <sz val="10"/>
        <rFont val="Arial"/>
        <family val="0"/>
        <charset val="1"/>
      </rPr>
      <t xml:space="preserve">MW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</si>
  <si>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Vera Rubin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VR200</t>
    </r>
    <r>
      <rPr>
        <sz val="10"/>
        <rFont val="Noto Sans CJK SC"/>
        <family val="2"/>
      </rPr>
      <t xml:space="preserve">）｜每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年持有成本</t>
    </r>
  </si>
  <si>
    <r>
      <rPr>
        <sz val="9"/>
        <color rgb="FF595959"/>
        <rFont val="Arial"/>
        <family val="0"/>
        <charset val="1"/>
      </rPr>
      <t xml:space="preserve">Tokenomics IF_HoldEcon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US$B/GW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US$m/MW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</si>
  <si>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Vera Rubin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VR200</t>
    </r>
    <r>
      <rPr>
        <sz val="10"/>
        <rFont val="Noto Sans CJK SC"/>
        <family val="2"/>
      </rPr>
      <t xml:space="preserve">）｜每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年營運成本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</si>
  <si>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Vera Rubin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VR200</t>
    </r>
    <r>
      <rPr>
        <sz val="10"/>
        <rFont val="Noto Sans CJK SC"/>
        <family val="2"/>
      </rPr>
      <t xml:space="preserve">）｜每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參考付費營收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</si>
  <si>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Vera Rubin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VR200</t>
    </r>
    <r>
      <rPr>
        <sz val="10"/>
        <rFont val="Noto Sans CJK SC"/>
        <family val="2"/>
      </rPr>
      <t xml:space="preserve">）｜期初在役占比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</si>
  <si>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Vera Rubin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VR200</t>
    </r>
    <r>
      <rPr>
        <sz val="10"/>
        <rFont val="Noto Sans CJK SC"/>
        <family val="2"/>
      </rPr>
      <t xml:space="preserve">）｜新增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占比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</si>
  <si>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Vera Rubin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VR200</t>
    </r>
    <r>
      <rPr>
        <sz val="10"/>
        <rFont val="Noto Sans CJK SC"/>
        <family val="2"/>
      </rPr>
      <t xml:space="preserve">）｜在役 </t>
    </r>
    <r>
      <rPr>
        <sz val="10"/>
        <rFont val="Arial"/>
        <family val="0"/>
        <charset val="1"/>
      </rPr>
      <t xml:space="preserve">MW</t>
    </r>
  </si>
  <si>
    <r>
      <rPr>
        <sz val="10"/>
        <rFont val="Noto Sans CJK SC"/>
        <family val="2"/>
      </rPr>
      <t xml:space="preserve">在役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合計（世代加總）</t>
    </r>
  </si>
  <si>
    <r>
      <rPr>
        <sz val="9"/>
        <color rgb="FF595959"/>
        <rFont val="Noto Sans CJK SC"/>
        <family val="2"/>
      </rPr>
      <t xml:space="preserve">應＝</t>
    </r>
    <r>
      <rPr>
        <sz val="9"/>
        <color rgb="FF595959"/>
        <rFont val="Arial"/>
        <family val="0"/>
        <charset val="1"/>
      </rPr>
      <t xml:space="preserve">Accepted MW</t>
    </r>
    <r>
      <rPr>
        <sz val="9"/>
        <color rgb="FF595959"/>
        <rFont val="Noto Sans CJK SC"/>
        <family val="2"/>
      </rPr>
      <t xml:space="preserve">（核對見檢查頁）</t>
    </r>
  </si>
  <si>
    <r>
      <rPr>
        <sz val="10"/>
        <rFont val="Noto Sans CJK SC"/>
        <family val="2"/>
      </rPr>
      <t xml:space="preserve">加權每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年持有成本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</si>
  <si>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世代在役 </t>
    </r>
    <r>
      <rPr>
        <sz val="9"/>
        <color rgb="FF595959"/>
        <rFont val="Arial"/>
        <family val="0"/>
        <charset val="1"/>
      </rPr>
      <t xml:space="preserve">MW × </t>
    </r>
    <r>
      <rPr>
        <sz val="9"/>
        <color rgb="FF595959"/>
        <rFont val="Noto Sans CJK SC"/>
        <family val="2"/>
      </rPr>
      <t xml:space="preserve">持有成本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合計</t>
    </r>
  </si>
  <si>
    <r>
      <rPr>
        <sz val="10"/>
        <rFont val="Noto Sans CJK SC"/>
        <family val="2"/>
      </rPr>
      <t xml:space="preserve">加權每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年營運成本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</si>
  <si>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世代在役 </t>
    </r>
    <r>
      <rPr>
        <sz val="9"/>
        <color rgb="FF595959"/>
        <rFont val="Arial"/>
        <family val="0"/>
        <charset val="1"/>
      </rPr>
      <t xml:space="preserve">MW × </t>
    </r>
    <r>
      <rPr>
        <sz val="9"/>
        <color rgb="FF595959"/>
        <rFont val="Noto Sans CJK SC"/>
        <family val="2"/>
      </rPr>
      <t xml:space="preserve">營運成本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合計（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雲端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率的成本端）</t>
    </r>
  </si>
  <si>
    <r>
      <rPr>
        <sz val="10"/>
        <rFont val="Noto Sans CJK SC"/>
        <family val="2"/>
      </rPr>
      <t xml:space="preserve">加權每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參考付費營收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</si>
  <si>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世代在役 </t>
    </r>
    <r>
      <rPr>
        <sz val="9"/>
        <color rgb="FF595959"/>
        <rFont val="Arial"/>
        <family val="0"/>
        <charset val="1"/>
      </rPr>
      <t xml:space="preserve">MW × IF_RevGWFleet ÷ </t>
    </r>
    <r>
      <rPr>
        <sz val="9"/>
        <color rgb="FF595959"/>
        <rFont val="Noto Sans CJK SC"/>
        <family val="2"/>
      </rPr>
      <t xml:space="preserve">合計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</si>
  <si>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參考付費營收</t>
    </r>
  </si>
  <si>
    <r>
      <rPr>
        <sz val="9"/>
        <color rgb="FF595959"/>
        <rFont val="Noto Sans CJK SC"/>
        <family val="2"/>
      </rPr>
      <t xml:space="preserve">上限檢查：</t>
    </r>
    <r>
      <rPr>
        <sz val="9"/>
        <color rgb="FF595959"/>
        <rFont val="Arial"/>
        <family val="0"/>
        <charset val="1"/>
      </rPr>
      <t xml:space="preserve">&gt; </t>
    </r>
    <r>
      <rPr>
        <sz val="9"/>
        <color rgb="FF595959"/>
        <rFont val="Noto Sans CJK SC"/>
        <family val="2"/>
      </rPr>
      <t xml:space="preserve">門檻時示警（</t>
    </r>
    <r>
      <rPr>
        <sz val="9"/>
        <color rgb="FF595959"/>
        <rFont val="Arial"/>
        <family val="0"/>
        <charset val="1"/>
      </rPr>
      <t xml:space="preserve">hyperscaler </t>
    </r>
    <r>
      <rPr>
        <sz val="9"/>
        <color rgb="FF595959"/>
        <rFont val="Noto Sans CJK SC"/>
        <family val="2"/>
      </rPr>
      <t xml:space="preserve">拿走客戶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營收的比例偏高）</t>
    </r>
  </si>
  <si>
    <r>
      <rPr>
        <b val="true"/>
        <sz val="10"/>
        <color rgb="FF1F3864"/>
        <rFont val="Arial"/>
        <family val="0"/>
        <charset val="1"/>
      </rPr>
      <t xml:space="preserve">▸ B2</t>
    </r>
    <r>
      <rPr>
        <b val="true"/>
        <sz val="10"/>
        <color rgb="FF1F3864"/>
        <rFont val="Noto Sans CJK SC"/>
        <family val="2"/>
      </rPr>
      <t xml:space="preserve">｜非 </t>
    </r>
    <r>
      <rPr>
        <b val="true"/>
        <sz val="10"/>
        <color rgb="FF1F3864"/>
        <rFont val="Arial"/>
        <family val="0"/>
        <charset val="1"/>
      </rPr>
      <t xml:space="preserve">AI </t>
    </r>
    <r>
      <rPr>
        <b val="true"/>
        <sz val="10"/>
        <color rgb="FF1F3864"/>
        <rFont val="Noto Sans CJK SC"/>
        <family val="2"/>
      </rPr>
      <t xml:space="preserve">事業（</t>
    </r>
    <r>
      <rPr>
        <b val="true"/>
        <sz val="10"/>
        <color rgb="FF1F3864"/>
        <rFont val="Arial"/>
        <family val="0"/>
        <charset val="1"/>
      </rPr>
      <t xml:space="preserve">N </t>
    </r>
    <r>
      <rPr>
        <b val="true"/>
        <sz val="10"/>
        <color rgb="FF1F3864"/>
        <rFont val="Noto Sans CJK SC"/>
        <family val="2"/>
      </rPr>
      <t xml:space="preserve">線：</t>
    </r>
    <r>
      <rPr>
        <b val="true"/>
        <sz val="10"/>
        <color rgb="FF1F3864"/>
        <rFont val="Arial"/>
        <family val="0"/>
        <charset val="1"/>
      </rPr>
      <t xml:space="preserve">growth</t>
    </r>
    <r>
      <rPr>
        <b val="true"/>
        <sz val="10"/>
        <color rgb="FF1F3864"/>
        <rFont val="Noto Sans CJK SC"/>
        <family val="2"/>
      </rPr>
      <t xml:space="preserve">＝上一財年 </t>
    </r>
    <r>
      <rPr>
        <b val="true"/>
        <sz val="10"/>
        <color rgb="FF1F3864"/>
        <rFont val="Arial"/>
        <family val="0"/>
        <charset val="1"/>
      </rPr>
      <t xml:space="preserve">×(1</t>
    </r>
    <r>
      <rPr>
        <b val="true"/>
        <sz val="10"/>
        <color rgb="FF1F3864"/>
        <rFont val="Noto Sans CJK SC"/>
        <family val="2"/>
      </rPr>
      <t xml:space="preserve">＋年增率</t>
    </r>
    <r>
      <rPr>
        <b val="true"/>
        <sz val="10"/>
        <color rgb="FF1F3864"/>
        <rFont val="Arial"/>
        <family val="0"/>
        <charset val="1"/>
      </rPr>
      <t xml:space="preserve">)</t>
    </r>
    <r>
      <rPr>
        <b val="true"/>
        <sz val="10"/>
        <color rgb="FF1F3864"/>
        <rFont val="Noto Sans CJK SC"/>
        <family val="2"/>
      </rPr>
      <t xml:space="preserve">；</t>
    </r>
    <r>
      <rPr>
        <b val="true"/>
        <sz val="10"/>
        <color rgb="FF1F3864"/>
        <rFont val="Arial"/>
        <family val="0"/>
        <charset val="1"/>
      </rPr>
      <t xml:space="preserve">cloudResidual</t>
    </r>
    <r>
      <rPr>
        <b val="true"/>
        <sz val="10"/>
        <color rgb="FF1F3864"/>
        <rFont val="Noto Sans CJK SC"/>
        <family val="2"/>
      </rPr>
      <t xml:space="preserve">＝雲端分部 − 對外 </t>
    </r>
    <r>
      <rPr>
        <b val="true"/>
        <sz val="10"/>
        <color rgb="FF1F3864"/>
        <rFont val="Arial"/>
        <family val="0"/>
        <charset val="1"/>
      </rPr>
      <t xml:space="preserve">AI </t>
    </r>
    <r>
      <rPr>
        <b val="true"/>
        <sz val="10"/>
        <color rgb="FF1F3864"/>
        <rFont val="Noto Sans CJK SC"/>
        <family val="2"/>
      </rPr>
      <t xml:space="preserve">雲端；</t>
    </r>
    <r>
      <rPr>
        <b val="true"/>
        <sz val="10"/>
        <color rgb="FF1F3864"/>
        <rFont val="Arial"/>
        <family val="0"/>
        <charset val="1"/>
      </rPr>
      <t xml:space="preserve">explicit</t>
    </r>
    <r>
      <rPr>
        <b val="true"/>
        <sz val="10"/>
        <color rgb="FF1F3864"/>
        <rFont val="Noto Sans CJK SC"/>
        <family val="2"/>
      </rPr>
      <t xml:space="preserve">＝直接輸入；</t>
    </r>
    <r>
      <rPr>
        <b val="true"/>
        <sz val="10"/>
        <color rgb="FF1F3864"/>
        <rFont val="Arial"/>
        <family val="0"/>
        <charset val="1"/>
      </rPr>
      <t xml:space="preserve">2026 </t>
    </r>
    <r>
      <rPr>
        <b val="true"/>
        <sz val="10"/>
        <color rgb="FF1F3864"/>
        <rFont val="Noto Sans CJK SC"/>
        <family val="2"/>
      </rPr>
      <t xml:space="preserve">模型期＝全年 − </t>
    </r>
    <r>
      <rPr>
        <b val="true"/>
        <sz val="10"/>
        <color rgb="FF1F3864"/>
        <rFont val="Arial"/>
        <family val="0"/>
        <charset val="1"/>
      </rPr>
      <t xml:space="preserve">1H </t>
    </r>
    <r>
      <rPr>
        <b val="true"/>
        <sz val="10"/>
        <color rgb="FF1F3864"/>
        <rFont val="Noto Sans CJK SC"/>
        <family val="2"/>
      </rPr>
      <t xml:space="preserve">實際）</t>
    </r>
  </si>
  <si>
    <r>
      <rPr>
        <sz val="10"/>
        <rFont val="Noto Sans CJK SC"/>
        <family val="2"/>
      </rPr>
      <t xml:space="preserve">對外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雲端營收（模型期，引自運營頁）</t>
    </r>
  </si>
  <si>
    <r>
      <rPr>
        <sz val="9"/>
        <color rgb="FF595959"/>
        <rFont val="Noto Sans CJK SC"/>
        <family val="2"/>
      </rPr>
      <t xml:space="preserve">＝『運營</t>
    </r>
    <r>
      <rPr>
        <sz val="9"/>
        <color rgb="FF595959"/>
        <rFont val="Arial"/>
        <family val="0"/>
        <charset val="1"/>
      </rPr>
      <t xml:space="preserve">_</t>
    </r>
    <r>
      <rPr>
        <sz val="9"/>
        <color rgb="FF595959"/>
        <rFont val="Noto Sans CJK SC"/>
        <family val="2"/>
      </rPr>
      <t xml:space="preserve">產能與收入』損益用算力收入（非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雲端殘差用）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</si>
  <si>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雲端首期每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年收入（含倍數與利用率）</t>
    </r>
  </si>
  <si>
    <r>
      <rPr>
        <sz val="9"/>
        <color rgb="FF595959"/>
        <rFont val="Noto Sans CJK SC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雲端殘差的年初至今與近四季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營收估計用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</si>
  <si>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雲端首期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</si>
  <si>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加權每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營運成本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年收入（與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區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率同式；非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雲端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率殘差用）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</si>
  <si>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事業｜搜尋與其他｜上一財年實際</t>
    </r>
  </si>
  <si>
    <r>
      <rPr>
        <sz val="9"/>
        <color rgb="FF595959"/>
        <rFont val="Noto Sans CJK SC"/>
        <family val="2"/>
      </rPr>
      <t xml:space="preserve">上一財年經查核營收（</t>
    </r>
    <r>
      <rPr>
        <sz val="9"/>
        <color rgb="FF595959"/>
        <rFont val="Arial"/>
        <family val="0"/>
        <charset val="1"/>
      </rPr>
      <t xml:space="preserve">company.json → defaults.legacyBiz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</si>
  <si>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事業｜搜尋與其他｜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</t>
    </r>
  </si>
  <si>
    <r>
      <rPr>
        <sz val="9"/>
        <color rgb="FF595959"/>
        <rFont val="Noto Sans CJK SC"/>
        <family val="2"/>
      </rPr>
      <t xml:space="preserve">年初至今實際營收（</t>
    </r>
    <r>
      <rPr>
        <sz val="9"/>
        <color rgb="FF595959"/>
        <rFont val="Arial"/>
        <family val="0"/>
        <charset val="1"/>
      </rPr>
      <t xml:space="preserve">10-Q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</si>
  <si>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事業｜搜尋與其他｜起始年增率</t>
    </r>
  </si>
  <si>
    <r>
      <rPr>
        <sz val="9"/>
        <color rgb="FF595959"/>
        <rFont val="Noto Sans CJK SC"/>
        <family val="2"/>
      </rPr>
      <t xml:space="preserve">近四季對前四季年增率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</si>
  <si>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事業｜搜尋與其他｜起始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</si>
  <si>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r>
      <rPr>
        <sz val="9"/>
        <color rgb="FF595959"/>
        <rFont val="Noto Sans CJK SC"/>
        <family val="2"/>
      </rPr>
      <t xml:space="preserve">近四季（分部營業利益＋放大 </t>
    </r>
    <r>
      <rPr>
        <sz val="9"/>
        <color rgb="FF595959"/>
        <rFont val="Arial"/>
        <family val="0"/>
        <charset val="1"/>
      </rPr>
      <t xml:space="preserve">D&amp;A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</si>
  <si>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事業｜搜尋與其他｜長期年增率</t>
    </r>
  </si>
  <si>
    <r>
      <rPr>
        <sz val="9"/>
        <color rgb="FF595959"/>
        <rFont val="Noto Sans CJK SC"/>
        <family val="2"/>
      </rPr>
      <t xml:space="preserve">長期值 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Noto Sans CJK SC"/>
        <family val="2"/>
      </rPr>
      <t xml:space="preserve">（區間見 </t>
    </r>
    <r>
      <rPr>
        <sz val="9"/>
        <color rgb="FF595959"/>
        <rFont val="Arial"/>
        <family val="0"/>
        <charset val="1"/>
      </rPr>
      <t xml:space="preserve">company.json → defaults.legacyBiz.note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</si>
  <si>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事業｜搜尋與其他｜長期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</si>
  <si>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r>
      <rPr>
        <sz val="9"/>
        <color rgb="FF595959"/>
        <rFont val="Arial"/>
        <family val="0"/>
        <charset val="1"/>
      </rPr>
      <t xml:space="preserve">2023–2025 </t>
    </r>
    <r>
      <rPr>
        <sz val="9"/>
        <color rgb="FF595959"/>
        <rFont val="Noto Sans CJK SC"/>
        <family val="2"/>
      </rPr>
      <t xml:space="preserve">平均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</si>
  <si>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事業｜搜尋與其他｜其他攤銷占營收</t>
    </r>
  </si>
  <si>
    <r>
      <rPr>
        <sz val="9"/>
        <color rgb="FF595959"/>
        <rFont val="Noto Sans CJK SC"/>
        <family val="2"/>
      </rPr>
      <t xml:space="preserve">影音內容、營業租賃資產等攤銷（</t>
    </r>
    <r>
      <rPr>
        <sz val="9"/>
        <color rgb="FF595959"/>
        <rFont val="Arial"/>
        <family val="0"/>
        <charset val="1"/>
      </rPr>
      <t xml:space="preserve">C5 </t>
    </r>
    <r>
      <rPr>
        <sz val="9"/>
        <color rgb="FF595959"/>
        <rFont val="Noto Sans CJK SC"/>
        <family val="2"/>
      </rPr>
      <t xml:space="preserve">放大部分）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營收：進損益 </t>
    </r>
    <r>
      <rPr>
        <sz val="9"/>
        <color rgb="FF595959"/>
        <rFont val="Arial"/>
        <family val="0"/>
        <charset val="1"/>
      </rPr>
      <t xml:space="preserve">D&amp;A</t>
    </r>
    <r>
      <rPr>
        <sz val="9"/>
        <color rgb="FF595959"/>
        <rFont val="Noto Sans CJK SC"/>
        <family val="2"/>
      </rPr>
      <t xml:space="preserve">、自營運現金扣除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</si>
  <si>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事業｜搜尋與其他｜資本支出強度（占全年營收）</t>
    </r>
  </si>
  <si>
    <r>
      <rPr>
        <sz val="9"/>
        <color rgb="FF595959"/>
        <rFont val="Noto Sans CJK SC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資本支出＝全年營收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此比例（</t>
    </r>
    <r>
      <rPr>
        <sz val="9"/>
        <color rgb="FF595959"/>
        <rFont val="Arial"/>
        <family val="0"/>
        <charset val="1"/>
      </rPr>
      <t xml:space="preserve">company.json → legacyBiz.lines.cx</t>
    </r>
    <r>
      <rPr>
        <sz val="9"/>
        <color rgb="FF595959"/>
        <rFont val="Noto Sans CJK SC"/>
        <family val="2"/>
      </rPr>
      <t xml:space="preserve">；說明見 </t>
    </r>
    <r>
      <rPr>
        <sz val="9"/>
        <color rgb="FF595959"/>
        <rFont val="Arial"/>
        <family val="0"/>
        <charset val="1"/>
      </rPr>
      <t xml:space="preserve">legacyBiz.cxNote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</si>
  <si>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事業｜搜尋與其他｜年增率</t>
    </r>
  </si>
  <si>
    <r>
      <rPr>
        <sz val="9"/>
        <color rgb="FF595959"/>
        <rFont val="Noto Sans CJK SC"/>
        <family val="2"/>
      </rPr>
      <t xml:space="preserve">＝起始＋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長期 − 起始</t>
    </r>
    <r>
      <rPr>
        <sz val="9"/>
        <color rgb="FF595959"/>
        <rFont val="Arial"/>
        <family val="0"/>
        <charset val="1"/>
      </rPr>
      <t xml:space="preserve">)×</t>
    </r>
    <r>
      <rPr>
        <sz val="9"/>
        <color rgb="FF595959"/>
        <rFont val="Noto Sans CJK SC"/>
        <family val="2"/>
      </rPr>
      <t xml:space="preserve">期數</t>
    </r>
    <r>
      <rPr>
        <sz val="9"/>
        <color rgb="FF595959"/>
        <rFont val="Arial"/>
        <family val="0"/>
        <charset val="1"/>
      </rPr>
      <t xml:space="preserve">÷4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</si>
  <si>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事業｜搜尋與其他｜全年營收</t>
    </r>
  </si>
  <si>
    <r>
      <rPr>
        <sz val="9"/>
        <color rgb="FF595959"/>
        <rFont val="Noto Sans CJK SC"/>
        <family val="2"/>
      </rPr>
      <t xml:space="preserve">＝前一年 </t>
    </r>
    <r>
      <rPr>
        <sz val="9"/>
        <color rgb="FF595959"/>
        <rFont val="Arial"/>
        <family val="0"/>
        <charset val="1"/>
      </rPr>
      <t xml:space="preserve">×(1</t>
    </r>
    <r>
      <rPr>
        <sz val="9"/>
        <color rgb="FF595959"/>
        <rFont val="Noto Sans CJK SC"/>
        <family val="2"/>
      </rPr>
      <t xml:space="preserve">＋年增率</t>
    </r>
    <r>
      <rPr>
        <sz val="9"/>
        <color rgb="FF595959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</si>
  <si>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事業｜搜尋與其他｜模型期營收</t>
    </r>
  </si>
  <si>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＝全年 − 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</si>
  <si>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事業｜搜尋與其他｜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</si>
  <si>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事業｜搜尋與其他｜</t>
    </r>
    <r>
      <rPr>
        <sz val="10"/>
        <rFont val="Arial"/>
        <family val="0"/>
        <charset val="1"/>
      </rPr>
      <t xml:space="preserve">EBITDA</t>
    </r>
  </si>
  <si>
    <r>
      <rPr>
        <sz val="9"/>
        <color rgb="FF595959"/>
        <rFont val="Noto Sans CJK SC"/>
        <family val="2"/>
      </rPr>
      <t xml:space="preserve">＝模型期營收 </t>
    </r>
    <r>
      <rPr>
        <sz val="9"/>
        <color rgb="FF595959"/>
        <rFont val="Arial"/>
        <family val="0"/>
        <charset val="1"/>
      </rPr>
      <t xml:space="preserve">× EBITDA </t>
    </r>
    <r>
      <rPr>
        <sz val="9"/>
        <color rgb="FF595959"/>
        <rFont val="Noto Sans CJK SC"/>
        <family val="2"/>
      </rPr>
      <t xml:space="preserve">率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</si>
  <si>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事業｜搜尋與其他｜其他攤銷</t>
    </r>
  </si>
  <si>
    <r>
      <rPr>
        <sz val="9"/>
        <color rgb="FF595959"/>
        <rFont val="Noto Sans CJK SC"/>
        <family val="2"/>
      </rPr>
      <t xml:space="preserve">＝模型期營收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其他攤銷占營收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</si>
  <si>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YouTube </t>
    </r>
    <r>
      <rPr>
        <sz val="10"/>
        <rFont val="Noto Sans CJK SC"/>
        <family val="2"/>
      </rPr>
      <t xml:space="preserve">廣告｜上一財年實際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</si>
  <si>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YouTube </t>
    </r>
    <r>
      <rPr>
        <sz val="10"/>
        <rFont val="Noto Sans CJK SC"/>
        <family val="2"/>
      </rPr>
      <t xml:space="preserve">廣告｜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</si>
  <si>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YouTube </t>
    </r>
    <r>
      <rPr>
        <sz val="10"/>
        <rFont val="Noto Sans CJK SC"/>
        <family val="2"/>
      </rPr>
      <t xml:space="preserve">廣告｜起始年增率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</si>
  <si>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YouTube </t>
    </r>
    <r>
      <rPr>
        <sz val="10"/>
        <rFont val="Noto Sans CJK SC"/>
        <family val="2"/>
      </rPr>
      <t xml:space="preserve">廣告｜起始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</si>
  <si>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YouTube </t>
    </r>
    <r>
      <rPr>
        <sz val="10"/>
        <rFont val="Noto Sans CJK SC"/>
        <family val="2"/>
      </rPr>
      <t xml:space="preserve">廣告｜長期年增率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</si>
  <si>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YouTube </t>
    </r>
    <r>
      <rPr>
        <sz val="10"/>
        <rFont val="Noto Sans CJK SC"/>
        <family val="2"/>
      </rPr>
      <t xml:space="preserve">廣告｜長期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</si>
  <si>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YouTube </t>
    </r>
    <r>
      <rPr>
        <sz val="10"/>
        <rFont val="Noto Sans CJK SC"/>
        <family val="2"/>
      </rPr>
      <t xml:space="preserve">廣告｜其他攤銷占營收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</si>
  <si>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YouTube </t>
    </r>
    <r>
      <rPr>
        <sz val="10"/>
        <rFont val="Noto Sans CJK SC"/>
        <family val="2"/>
      </rPr>
      <t xml:space="preserve">廣告｜資本支出強度（占全年營收）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</si>
  <si>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YouTube </t>
    </r>
    <r>
      <rPr>
        <sz val="10"/>
        <rFont val="Noto Sans CJK SC"/>
        <family val="2"/>
      </rPr>
      <t xml:space="preserve">廣告｜年增率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</si>
  <si>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YouTube </t>
    </r>
    <r>
      <rPr>
        <sz val="10"/>
        <rFont val="Noto Sans CJK SC"/>
        <family val="2"/>
      </rPr>
      <t xml:space="preserve">廣告｜全年營收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</si>
  <si>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YouTube </t>
    </r>
    <r>
      <rPr>
        <sz val="10"/>
        <rFont val="Noto Sans CJK SC"/>
        <family val="2"/>
      </rPr>
      <t xml:space="preserve">廣告｜模型期營收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</si>
  <si>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YouTube </t>
    </r>
    <r>
      <rPr>
        <sz val="10"/>
        <rFont val="Noto Sans CJK SC"/>
        <family val="2"/>
      </rPr>
      <t xml:space="preserve">廣告｜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</si>
  <si>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YouTube </t>
    </r>
    <r>
      <rPr>
        <sz val="10"/>
        <rFont val="Noto Sans CJK SC"/>
        <family val="2"/>
      </rPr>
      <t xml:space="preserve">廣告｜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</si>
  <si>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YouTube </t>
    </r>
    <r>
      <rPr>
        <sz val="10"/>
        <rFont val="Noto Sans CJK SC"/>
        <family val="2"/>
      </rPr>
      <t xml:space="preserve">廣告｜其他攤銷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</si>
  <si>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事業｜聯播網｜上一財年實際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</si>
  <si>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事業｜聯播網｜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</si>
  <si>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事業｜聯播網｜起始年增率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</si>
  <si>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事業｜聯播網｜起始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</si>
  <si>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事業｜聯播網｜長期年增率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</si>
  <si>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事業｜聯播網｜長期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</si>
  <si>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事業｜聯播網｜其他攤銷占營收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</si>
  <si>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事業｜聯播網｜資本支出強度（占全年營收）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</si>
  <si>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事業｜聯播網｜年增率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</si>
  <si>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事業｜聯播網｜全年營收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</si>
  <si>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事業｜聯播網｜模型期營收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</si>
  <si>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事業｜聯播網｜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</si>
  <si>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事業｜聯播網｜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</si>
  <si>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事業｜聯播網｜其他攤銷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</si>
  <si>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事業｜訂閱、平台與裝置｜上一財年實際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</si>
  <si>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事業｜訂閱、平台與裝置｜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</si>
  <si>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事業｜訂閱、平台與裝置｜起始年增率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</si>
  <si>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事業｜訂閱、平台與裝置｜起始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</si>
  <si>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事業｜訂閱、平台與裝置｜長期年增率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</si>
  <si>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事業｜訂閱、平台與裝置｜長期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</si>
  <si>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事業｜訂閱、平台與裝置｜其他攤銷占營收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</si>
  <si>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事業｜訂閱、平台與裝置｜資本支出強度（占全年營收）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</si>
  <si>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事業｜訂閱、平台與裝置｜年增率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</si>
  <si>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事業｜訂閱、平台與裝置｜全年營收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</si>
  <si>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事業｜訂閱、平台與裝置｜模型期營收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</si>
  <si>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事業｜訂閱、平台與裝置｜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</si>
  <si>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事業｜訂閱、平台與裝置｜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</si>
  <si>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事業｜訂閱、平台與裝置｜其他攤銷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</si>
  <si>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Google Cloud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（含 </t>
    </r>
    <r>
      <rPr>
        <sz val="10"/>
        <rFont val="Arial"/>
        <family val="0"/>
        <charset val="1"/>
      </rPr>
      <t xml:space="preserve">Workspace</t>
    </r>
    <r>
      <rPr>
        <sz val="10"/>
        <rFont val="Noto Sans CJK SC"/>
        <family val="2"/>
      </rPr>
      <t xml:space="preserve">）｜分部 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</t>
    </r>
  </si>
  <si>
    <r>
      <rPr>
        <sz val="9"/>
        <color rgb="FF595959"/>
        <rFont val="Noto Sans CJK SC"/>
        <family val="2"/>
      </rPr>
      <t xml:space="preserve">雲端分部年初至今實際營收（</t>
    </r>
    <r>
      <rPr>
        <sz val="9"/>
        <color rgb="FF595959"/>
        <rFont val="Arial"/>
        <family val="0"/>
        <charset val="1"/>
      </rPr>
      <t xml:space="preserve">10-Q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</si>
  <si>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Google Cloud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（含 </t>
    </r>
    <r>
      <rPr>
        <sz val="10"/>
        <rFont val="Arial"/>
        <family val="0"/>
        <charset val="1"/>
      </rPr>
      <t xml:space="preserve">Workspace</t>
    </r>
    <r>
      <rPr>
        <sz val="10"/>
        <rFont val="Noto Sans CJK SC"/>
        <family val="2"/>
      </rPr>
      <t xml:space="preserve">）｜分部去年同期實際（</t>
    </r>
    <r>
      <rPr>
        <sz val="10"/>
        <rFont val="Arial"/>
        <family val="0"/>
        <charset val="1"/>
      </rPr>
      <t xml:space="preserve">2H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</si>
  <si>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去年同期（首期模型部分對應季度）實際營收 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</si>
  <si>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Google Cloud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（含 </t>
    </r>
    <r>
      <rPr>
        <sz val="10"/>
        <rFont val="Arial"/>
        <family val="0"/>
        <charset val="1"/>
      </rPr>
      <t xml:space="preserve">Workspace</t>
    </r>
    <r>
      <rPr>
        <sz val="10"/>
        <rFont val="Noto Sans CJK SC"/>
        <family val="2"/>
      </rPr>
      <t xml:space="preserve">）｜分部近四季年增率</t>
    </r>
  </si>
  <si>
    <r>
      <rPr>
        <sz val="9"/>
        <color rgb="FF595959"/>
        <rFont val="Noto Sans CJK SC"/>
        <family val="2"/>
      </rPr>
      <t xml:space="preserve">近四季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前四季 − </t>
    </r>
    <r>
      <rPr>
        <sz val="9"/>
        <color rgb="FF595959"/>
        <rFont val="Arial"/>
        <family val="0"/>
        <charset val="1"/>
      </rPr>
      <t xml:space="preserve">1 [Derived]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</si>
  <si>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Google Cloud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（含 </t>
    </r>
    <r>
      <rPr>
        <sz val="10"/>
        <rFont val="Arial"/>
        <family val="0"/>
        <charset val="1"/>
      </rPr>
      <t xml:space="preserve">Workspace</t>
    </r>
    <r>
      <rPr>
        <sz val="10"/>
        <rFont val="Noto Sans CJK SC"/>
        <family val="2"/>
      </rPr>
      <t xml:space="preserve">）｜分部近四季營收</t>
    </r>
  </si>
  <si>
    <t xml:space="preserve">[Interested-party]</t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</si>
  <si>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Google Cloud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（含 </t>
    </r>
    <r>
      <rPr>
        <sz val="10"/>
        <rFont val="Arial"/>
        <family val="0"/>
        <charset val="1"/>
      </rPr>
      <t xml:space="preserve">Workspace</t>
    </r>
    <r>
      <rPr>
        <sz val="10"/>
        <rFont val="Noto Sans CJK SC"/>
        <family val="2"/>
      </rPr>
      <t xml:space="preserve">）｜分部前四季營收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</si>
  <si>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Google Cloud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（含 </t>
    </r>
    <r>
      <rPr>
        <sz val="10"/>
        <rFont val="Arial"/>
        <family val="0"/>
        <charset val="1"/>
      </rPr>
      <t xml:space="preserve">Workspace</t>
    </r>
    <r>
      <rPr>
        <sz val="10"/>
        <rFont val="Noto Sans CJK SC"/>
        <family val="2"/>
      </rPr>
      <t xml:space="preserve">）｜分部近四季 </t>
    </r>
    <r>
      <rPr>
        <sz val="10"/>
        <rFont val="Arial"/>
        <family val="0"/>
        <charset val="1"/>
      </rPr>
      <t xml:space="preserve">EBITDA</t>
    </r>
  </si>
  <si>
    <r>
      <rPr>
        <sz val="9"/>
        <color rgb="FF595959"/>
        <rFont val="Noto Sans CJK SC"/>
        <family val="2"/>
      </rPr>
      <t xml:space="preserve">分部營業利益＋分部 </t>
    </r>
    <r>
      <rPr>
        <sz val="9"/>
        <color rgb="FF595959"/>
        <rFont val="Arial"/>
        <family val="0"/>
        <charset val="1"/>
      </rPr>
      <t xml:space="preserve">D&amp;A × </t>
    </r>
    <r>
      <rPr>
        <sz val="9"/>
        <color rgb="FF595959"/>
        <rFont val="Noto Sans CJK SC"/>
        <family val="2"/>
      </rPr>
      <t xml:space="preserve">放大倍數（對照表 </t>
    </r>
    <r>
      <rPr>
        <sz val="9"/>
        <color rgb="FF595959"/>
        <rFont val="Arial"/>
        <family val="0"/>
        <charset val="1"/>
      </rPr>
      <t xml:space="preserve">r1 C5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</si>
  <si>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Google Cloud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（含 </t>
    </r>
    <r>
      <rPr>
        <sz val="10"/>
        <rFont val="Arial"/>
        <family val="0"/>
        <charset val="1"/>
      </rPr>
      <t xml:space="preserve">Workspace</t>
    </r>
    <r>
      <rPr>
        <sz val="10"/>
        <rFont val="Noto Sans CJK SC"/>
        <family val="2"/>
      </rPr>
      <t xml:space="preserve">）｜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近四季平均在役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（估計）</t>
    </r>
  </si>
  <si>
    <r>
      <rPr>
        <sz val="9"/>
        <color rgb="FF595959"/>
        <rFont val="Noto Sans CJK SC"/>
        <family val="2"/>
      </rPr>
      <t xml:space="preserve">年底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內插（</t>
    </r>
    <r>
      <rPr>
        <sz val="9"/>
        <color rgb="FF595959"/>
        <rFont val="Arial"/>
        <family val="0"/>
        <charset val="1"/>
      </rPr>
      <t xml:space="preserve">company.json → defaults.mwYearEnd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billableOpen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</si>
  <si>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Google Cloud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（含 </t>
    </r>
    <r>
      <rPr>
        <sz val="10"/>
        <rFont val="Arial"/>
        <family val="0"/>
        <charset val="1"/>
      </rPr>
      <t xml:space="preserve">Workspace</t>
    </r>
    <r>
      <rPr>
        <sz val="10"/>
        <rFont val="Noto Sans CJK SC"/>
        <family val="2"/>
      </rPr>
      <t xml:space="preserve">）｜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前四季平均在役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（估計）</t>
    </r>
  </si>
  <si>
    <r>
      <rPr>
        <sz val="9"/>
        <color rgb="FF595959"/>
        <rFont val="Noto Sans CJK SC"/>
        <family val="2"/>
      </rPr>
      <t xml:space="preserve">同上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</si>
  <si>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Google Cloud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（含 </t>
    </r>
    <r>
      <rPr>
        <sz val="10"/>
        <rFont val="Arial"/>
        <family val="0"/>
        <charset val="1"/>
      </rPr>
      <t xml:space="preserve">Workspace</t>
    </r>
    <r>
      <rPr>
        <sz val="10"/>
        <rFont val="Noto Sans CJK SC"/>
        <family val="2"/>
      </rPr>
      <t xml:space="preserve">）｜</t>
    </r>
    <r>
      <rPr>
        <sz val="10"/>
        <rFont val="Arial"/>
        <family val="0"/>
        <charset val="1"/>
      </rPr>
      <t xml:space="preserve">AI 1H </t>
    </r>
    <r>
      <rPr>
        <sz val="10"/>
        <rFont val="Noto Sans CJK SC"/>
        <family val="2"/>
      </rPr>
      <t xml:space="preserve">營收估計</t>
    </r>
  </si>
  <si>
    <r>
      <rPr>
        <sz val="9"/>
        <color rgb="FF595959"/>
        <rFont val="Noto Sans CJK SC"/>
        <family val="2"/>
      </rPr>
      <t xml:space="preserve">＝首期每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年收入 </t>
    </r>
    <r>
      <rPr>
        <sz val="9"/>
        <color rgb="FF595959"/>
        <rFont val="Arial"/>
        <family val="0"/>
        <charset val="1"/>
      </rPr>
      <t xml:space="preserve">× (</t>
    </r>
    <r>
      <rPr>
        <sz val="9"/>
        <color rgb="FF595959"/>
        <rFont val="Noto Sans CJK SC"/>
        <family val="2"/>
      </rPr>
      <t xml:space="preserve">期初年底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＋評價日 </t>
    </r>
    <r>
      <rPr>
        <sz val="9"/>
        <color rgb="FF595959"/>
        <rFont val="Arial"/>
        <family val="0"/>
        <charset val="1"/>
      </rPr>
      <t xml:space="preserve">MW) ÷ 2 × </t>
    </r>
    <r>
      <rPr>
        <sz val="9"/>
        <color rgb="FF595959"/>
        <rFont val="Noto Sans CJK SC"/>
        <family val="2"/>
      </rPr>
      <t xml:space="preserve">年初至今年數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</si>
  <si>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Google Cloud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（含 </t>
    </r>
    <r>
      <rPr>
        <sz val="10"/>
        <rFont val="Arial"/>
        <family val="0"/>
        <charset val="1"/>
      </rPr>
      <t xml:space="preserve">Workspace</t>
    </r>
    <r>
      <rPr>
        <sz val="10"/>
        <rFont val="Noto Sans CJK SC"/>
        <family val="2"/>
      </rPr>
      <t xml:space="preserve">）｜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近四季營收估計</t>
    </r>
  </si>
  <si>
    <r>
      <rPr>
        <sz val="9"/>
        <color rgb="FF595959"/>
        <rFont val="Noto Sans CJK SC"/>
        <family val="2"/>
      </rPr>
      <t xml:space="preserve">＝首期每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年收入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近四季平均 </t>
    </r>
    <r>
      <rPr>
        <sz val="9"/>
        <color rgb="FF595959"/>
        <rFont val="Arial"/>
        <family val="0"/>
        <charset val="1"/>
      </rPr>
      <t xml:space="preserve">MW [Derived]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</si>
  <si>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Google Cloud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（含 </t>
    </r>
    <r>
      <rPr>
        <sz val="10"/>
        <rFont val="Arial"/>
        <family val="0"/>
        <charset val="1"/>
      </rPr>
      <t xml:space="preserve">Workspace</t>
    </r>
    <r>
      <rPr>
        <sz val="10"/>
        <rFont val="Noto Sans CJK SC"/>
        <family val="2"/>
      </rPr>
      <t xml:space="preserve">）｜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前四季營收估計</t>
    </r>
  </si>
  <si>
    <r>
      <rPr>
        <sz val="9"/>
        <color rgb="FF595959"/>
        <rFont val="Noto Sans CJK SC"/>
        <family val="2"/>
      </rPr>
      <t xml:space="preserve">同上（前四季）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</si>
  <si>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Google Cloud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（含 </t>
    </r>
    <r>
      <rPr>
        <sz val="10"/>
        <rFont val="Arial"/>
        <family val="0"/>
        <charset val="1"/>
      </rPr>
      <t xml:space="preserve">Workspace</t>
    </r>
    <r>
      <rPr>
        <sz val="10"/>
        <rFont val="Noto Sans CJK SC"/>
        <family val="2"/>
      </rPr>
      <t xml:space="preserve">）｜起始年增率</t>
    </r>
  </si>
  <si>
    <r>
      <rPr>
        <sz val="9"/>
        <color rgb="FF595959"/>
        <rFont val="Noto Sans CJK SC"/>
        <family val="2"/>
      </rPr>
      <t xml:space="preserve">推估的近四季非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年增率＝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分部 − </t>
    </r>
    <r>
      <rPr>
        <sz val="9"/>
        <color rgb="FF595959"/>
        <rFont val="Arial"/>
        <family val="0"/>
        <charset val="1"/>
      </rPr>
      <t xml:space="preserve">AI) ÷ (</t>
    </r>
    <r>
      <rPr>
        <sz val="9"/>
        <color rgb="FF595959"/>
        <rFont val="Noto Sans CJK SC"/>
        <family val="2"/>
      </rPr>
      <t xml:space="preserve">前四季分部 − 前四季 </t>
    </r>
    <r>
      <rPr>
        <sz val="9"/>
        <color rgb="FF595959"/>
        <rFont val="Arial"/>
        <family val="0"/>
        <charset val="1"/>
      </rPr>
      <t xml:space="preserve">AI) − 1 [Derived]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</si>
  <si>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Google Cloud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（含 </t>
    </r>
    <r>
      <rPr>
        <sz val="10"/>
        <rFont val="Arial"/>
        <family val="0"/>
        <charset val="1"/>
      </rPr>
      <t xml:space="preserve">Workspace</t>
    </r>
    <r>
      <rPr>
        <sz val="10"/>
        <rFont val="Noto Sans CJK SC"/>
        <family val="2"/>
      </rPr>
      <t xml:space="preserve">）｜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</t>
    </r>
  </si>
  <si>
    <r>
      <rPr>
        <sz val="9"/>
        <color rgb="FF595959"/>
        <rFont val="Noto Sans CJK SC"/>
        <family val="2"/>
      </rPr>
      <t xml:space="preserve">＝分部年初至今 −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估計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</si>
  <si>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Google Cloud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（含 </t>
    </r>
    <r>
      <rPr>
        <sz val="10"/>
        <rFont val="Arial"/>
        <family val="0"/>
        <charset val="1"/>
      </rPr>
      <t xml:space="preserve">Workspace</t>
    </r>
    <r>
      <rPr>
        <sz val="10"/>
        <rFont val="Noto Sans CJK SC"/>
        <family val="2"/>
      </rPr>
      <t xml:space="preserve">）｜起始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</si>
  <si>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分部 </t>
    </r>
    <r>
      <rPr>
        <sz val="9"/>
        <color rgb="FF595959"/>
        <rFont val="Arial"/>
        <family val="0"/>
        <charset val="1"/>
      </rPr>
      <t xml:space="preserve">EBITDA − AI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× AI EBITDA </t>
    </r>
    <r>
      <rPr>
        <sz val="9"/>
        <color rgb="FF595959"/>
        <rFont val="Noto Sans CJK SC"/>
        <family val="2"/>
      </rPr>
      <t xml:space="preserve">率</t>
    </r>
    <r>
      <rPr>
        <sz val="9"/>
        <color rgb="FF595959"/>
        <rFont val="Arial"/>
        <family val="0"/>
        <charset val="1"/>
      </rPr>
      <t xml:space="preserve">) ÷ (</t>
    </r>
    <r>
      <rPr>
        <sz val="9"/>
        <color rgb="FF595959"/>
        <rFont val="Noto Sans CJK SC"/>
        <family val="2"/>
      </rPr>
      <t xml:space="preserve">分部 − </t>
    </r>
    <r>
      <rPr>
        <sz val="9"/>
        <color rgb="FF595959"/>
        <rFont val="Arial"/>
        <family val="0"/>
        <charset val="1"/>
      </rPr>
      <t xml:space="preserve">AI)</t>
    </r>
    <r>
      <rPr>
        <sz val="9"/>
        <color rgb="FF595959"/>
        <rFont val="Noto Sans CJK SC"/>
        <family val="2"/>
      </rPr>
      <t xml:space="preserve">，近四季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</si>
  <si>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Google Cloud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（含 </t>
    </r>
    <r>
      <rPr>
        <sz val="10"/>
        <rFont val="Arial"/>
        <family val="0"/>
        <charset val="1"/>
      </rPr>
      <t xml:space="preserve">Workspace</t>
    </r>
    <r>
      <rPr>
        <sz val="10"/>
        <rFont val="Noto Sans CJK SC"/>
        <family val="2"/>
      </rPr>
      <t xml:space="preserve">）｜長期年增率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</si>
  <si>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Google Cloud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（含 </t>
    </r>
    <r>
      <rPr>
        <sz val="10"/>
        <rFont val="Arial"/>
        <family val="0"/>
        <charset val="1"/>
      </rPr>
      <t xml:space="preserve">Workspace</t>
    </r>
    <r>
      <rPr>
        <sz val="10"/>
        <rFont val="Noto Sans CJK SC"/>
        <family val="2"/>
      </rPr>
      <t xml:space="preserve">）｜長期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</si>
  <si>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t xml:space="preserve">＝起始（固定）</t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</si>
  <si>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Google Cloud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（含 </t>
    </r>
    <r>
      <rPr>
        <sz val="10"/>
        <rFont val="Arial"/>
        <family val="0"/>
        <charset val="1"/>
      </rPr>
      <t xml:space="preserve">Workspace</t>
    </r>
    <r>
      <rPr>
        <sz val="10"/>
        <rFont val="Noto Sans CJK SC"/>
        <family val="2"/>
      </rPr>
      <t xml:space="preserve">）｜其他攤銷占營收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</si>
  <si>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Google Cloud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（含 </t>
    </r>
    <r>
      <rPr>
        <sz val="10"/>
        <rFont val="Arial"/>
        <family val="0"/>
        <charset val="1"/>
      </rPr>
      <t xml:space="preserve">Workspace</t>
    </r>
    <r>
      <rPr>
        <sz val="10"/>
        <rFont val="Noto Sans CJK SC"/>
        <family val="2"/>
      </rPr>
      <t xml:space="preserve">）｜資本支出強度（占全年營收）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</si>
  <si>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Google Cloud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（含 </t>
    </r>
    <r>
      <rPr>
        <sz val="10"/>
        <rFont val="Arial"/>
        <family val="0"/>
        <charset val="1"/>
      </rPr>
      <t xml:space="preserve">Workspace</t>
    </r>
    <r>
      <rPr>
        <sz val="10"/>
        <rFont val="Noto Sans CJK SC"/>
        <family val="2"/>
      </rPr>
      <t xml:space="preserve">）｜年增率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</si>
  <si>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Google Cloud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（含 </t>
    </r>
    <r>
      <rPr>
        <sz val="10"/>
        <rFont val="Arial"/>
        <family val="0"/>
        <charset val="1"/>
      </rPr>
      <t xml:space="preserve">Workspace</t>
    </r>
    <r>
      <rPr>
        <sz val="10"/>
        <rFont val="Noto Sans CJK SC"/>
        <family val="2"/>
      </rPr>
      <t xml:space="preserve">）｜全年營收</t>
    </r>
  </si>
  <si>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＝分部首期估計（</t>
    </r>
    <r>
      <rPr>
        <sz val="9"/>
        <color rgb="FF595959"/>
        <rFont val="Arial"/>
        <family val="0"/>
        <charset val="1"/>
      </rPr>
      <t xml:space="preserve">1H</t>
    </r>
    <r>
      <rPr>
        <sz val="9"/>
        <color rgb="FF595959"/>
        <rFont val="Noto Sans CJK SC"/>
        <family val="2"/>
      </rPr>
      <t xml:space="preserve">＋去年同期 </t>
    </r>
    <r>
      <rPr>
        <sz val="9"/>
        <color rgb="FF595959"/>
        <rFont val="Arial"/>
        <family val="0"/>
        <charset val="1"/>
      </rPr>
      <t xml:space="preserve">×(1</t>
    </r>
    <r>
      <rPr>
        <sz val="9"/>
        <color rgb="FF595959"/>
        <rFont val="Noto Sans CJK SC"/>
        <family val="2"/>
      </rPr>
      <t xml:space="preserve">＋近四季年增率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）− </t>
    </r>
    <r>
      <rPr>
        <sz val="9"/>
        <color rgb="FF595959"/>
        <rFont val="Arial"/>
        <family val="0"/>
        <charset val="1"/>
      </rPr>
      <t xml:space="preserve">AI 1H </t>
    </r>
    <r>
      <rPr>
        <sz val="9"/>
        <color rgb="FF595959"/>
        <rFont val="Noto Sans CJK SC"/>
        <family val="2"/>
      </rPr>
      <t xml:space="preserve">估計 −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模型期營收；之後＝前一年 </t>
    </r>
    <r>
      <rPr>
        <sz val="9"/>
        <color rgb="FF595959"/>
        <rFont val="Arial"/>
        <family val="0"/>
        <charset val="1"/>
      </rPr>
      <t xml:space="preserve">×(1</t>
    </r>
    <r>
      <rPr>
        <sz val="9"/>
        <color rgb="FF595959"/>
        <rFont val="Noto Sans CJK SC"/>
        <family val="2"/>
      </rPr>
      <t xml:space="preserve">＋年增率</t>
    </r>
    <r>
      <rPr>
        <sz val="9"/>
        <color rgb="FF595959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</si>
  <si>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Google Cloud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（含 </t>
    </r>
    <r>
      <rPr>
        <sz val="10"/>
        <rFont val="Arial"/>
        <family val="0"/>
        <charset val="1"/>
      </rPr>
      <t xml:space="preserve">Workspace</t>
    </r>
    <r>
      <rPr>
        <sz val="10"/>
        <rFont val="Noto Sans CJK SC"/>
        <family val="2"/>
      </rPr>
      <t xml:space="preserve">）｜模型期營收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</si>
  <si>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Google Cloud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（含 </t>
    </r>
    <r>
      <rPr>
        <sz val="10"/>
        <rFont val="Arial"/>
        <family val="0"/>
        <charset val="1"/>
      </rPr>
      <t xml:space="preserve">Workspace</t>
    </r>
    <r>
      <rPr>
        <sz val="10"/>
        <rFont val="Noto Sans CJK SC"/>
        <family val="2"/>
      </rPr>
      <t xml:space="preserve">）｜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</si>
  <si>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Google Cloud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（含 </t>
    </r>
    <r>
      <rPr>
        <sz val="10"/>
        <rFont val="Arial"/>
        <family val="0"/>
        <charset val="1"/>
      </rPr>
      <t xml:space="preserve">Workspace</t>
    </r>
    <r>
      <rPr>
        <sz val="10"/>
        <rFont val="Noto Sans CJK SC"/>
        <family val="2"/>
      </rPr>
      <t xml:space="preserve">）｜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</si>
  <si>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Google Cloud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（含 </t>
    </r>
    <r>
      <rPr>
        <sz val="10"/>
        <rFont val="Arial"/>
        <family val="0"/>
        <charset val="1"/>
      </rPr>
      <t xml:space="preserve">Workspace</t>
    </r>
    <r>
      <rPr>
        <sz val="10"/>
        <rFont val="Noto Sans CJK SC"/>
        <family val="2"/>
      </rPr>
      <t xml:space="preserve">）｜其他攤銷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</si>
  <si>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Other Bets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Waymo </t>
    </r>
    <r>
      <rPr>
        <sz val="10"/>
        <rFont val="Noto Sans CJK SC"/>
        <family val="2"/>
      </rPr>
      <t xml:space="preserve">等）｜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</t>
    </r>
  </si>
  <si>
    <r>
      <rPr>
        <sz val="9"/>
        <color rgb="FF595959"/>
        <rFont val="Noto Sans CJK SC"/>
        <family val="2"/>
      </rPr>
      <t xml:space="preserve">年初至今實際營收 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</si>
  <si>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Other Bets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Waymo </t>
    </r>
    <r>
      <rPr>
        <sz val="10"/>
        <rFont val="Noto Sans CJK SC"/>
        <family val="2"/>
      </rPr>
      <t xml:space="preserve">等）｜模型期營收（輸入）</t>
    </r>
  </si>
  <si>
    <r>
      <rPr>
        <sz val="9"/>
        <color rgb="FF595959"/>
        <rFont val="Noto Sans CJK SC"/>
        <family val="2"/>
      </rPr>
      <t xml:space="preserve">各期模型期營收（首期為模型部分；</t>
    </r>
    <r>
      <rPr>
        <sz val="9"/>
        <color rgb="FF595959"/>
        <rFont val="Arial"/>
        <family val="0"/>
        <charset val="1"/>
      </rPr>
      <t xml:space="preserve">company.json → legacyBiz.lines.rev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</si>
  <si>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Other Bets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Waymo </t>
    </r>
    <r>
      <rPr>
        <sz val="10"/>
        <rFont val="Noto Sans CJK SC"/>
        <family val="2"/>
      </rPr>
      <t xml:space="preserve">等）｜起始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</si>
  <si>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t xml:space="preserve">company.json → legacyBiz.lines.m0</t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</si>
  <si>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Other Bets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Waymo </t>
    </r>
    <r>
      <rPr>
        <sz val="10"/>
        <rFont val="Noto Sans CJK SC"/>
        <family val="2"/>
      </rPr>
      <t xml:space="preserve">等）｜長期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</si>
  <si>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Other Bets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Waymo </t>
    </r>
    <r>
      <rPr>
        <sz val="10"/>
        <rFont val="Noto Sans CJK SC"/>
        <family val="2"/>
      </rPr>
      <t xml:space="preserve">等）｜其他攤銷占營收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</si>
  <si>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Other Bets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Waymo </t>
    </r>
    <r>
      <rPr>
        <sz val="10"/>
        <rFont val="Noto Sans CJK SC"/>
        <family val="2"/>
      </rPr>
      <t xml:space="preserve">等）｜資本支出強度（占全年營收）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</si>
  <si>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Other Bets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Waymo </t>
    </r>
    <r>
      <rPr>
        <sz val="10"/>
        <rFont val="Noto Sans CJK SC"/>
        <family val="2"/>
      </rPr>
      <t xml:space="preserve">等）｜全年營收</t>
    </r>
  </si>
  <si>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＝模型期＋</t>
    </r>
    <r>
      <rPr>
        <sz val="9"/>
        <color rgb="FF595959"/>
        <rFont val="Arial"/>
        <family val="0"/>
        <charset val="1"/>
      </rPr>
      <t xml:space="preserve">1H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</si>
  <si>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Other Bets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Waymo </t>
    </r>
    <r>
      <rPr>
        <sz val="10"/>
        <rFont val="Noto Sans CJK SC"/>
        <family val="2"/>
      </rPr>
      <t xml:space="preserve">等）｜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</si>
  <si>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Other Bets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Waymo </t>
    </r>
    <r>
      <rPr>
        <sz val="10"/>
        <rFont val="Noto Sans CJK SC"/>
        <family val="2"/>
      </rPr>
      <t xml:space="preserve">等）｜</t>
    </r>
    <r>
      <rPr>
        <sz val="10"/>
        <rFont val="Arial"/>
        <family val="0"/>
        <charset val="1"/>
      </rPr>
      <t xml:space="preserve">EBITDA</t>
    </r>
  </si>
  <si>
    <r>
      <rPr>
        <sz val="9"/>
        <color rgb="FF595959"/>
        <rFont val="Noto Sans CJK SC"/>
        <family val="2"/>
      </rPr>
      <t xml:space="preserve">直接輸入（未分攤公司層費用等；</t>
    </r>
    <r>
      <rPr>
        <sz val="9"/>
        <color rgb="FF595959"/>
        <rFont val="Arial"/>
        <family val="0"/>
        <charset val="1"/>
      </rPr>
      <t xml:space="preserve">company.json → legacyBiz.lines.ebitda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</si>
  <si>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Other Bets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Waymo </t>
    </r>
    <r>
      <rPr>
        <sz val="10"/>
        <rFont val="Noto Sans CJK SC"/>
        <family val="2"/>
      </rPr>
      <t xml:space="preserve">等）｜其他攤銷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</si>
  <si>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TPU </t>
    </r>
    <r>
      <rPr>
        <sz val="10"/>
        <rFont val="Noto Sans CJK SC"/>
        <family val="2"/>
      </rPr>
      <t xml:space="preserve">系統銷售（硬體）｜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</si>
  <si>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TPU </t>
    </r>
    <r>
      <rPr>
        <sz val="10"/>
        <rFont val="Noto Sans CJK SC"/>
        <family val="2"/>
      </rPr>
      <t xml:space="preserve">系統銷售（硬體）｜模型期營收（輸入）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</si>
  <si>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TPU </t>
    </r>
    <r>
      <rPr>
        <sz val="10"/>
        <rFont val="Noto Sans CJK SC"/>
        <family val="2"/>
      </rPr>
      <t xml:space="preserve">系統銷售（硬體）｜起始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</si>
  <si>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TPU </t>
    </r>
    <r>
      <rPr>
        <sz val="10"/>
        <rFont val="Noto Sans CJK SC"/>
        <family val="2"/>
      </rPr>
      <t xml:space="preserve">系統銷售（硬體）｜長期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</si>
  <si>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TPU </t>
    </r>
    <r>
      <rPr>
        <sz val="10"/>
        <rFont val="Noto Sans CJK SC"/>
        <family val="2"/>
      </rPr>
      <t xml:space="preserve">系統銷售（硬體）｜其他攤銷占營收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</si>
  <si>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TPU </t>
    </r>
    <r>
      <rPr>
        <sz val="10"/>
        <rFont val="Noto Sans CJK SC"/>
        <family val="2"/>
      </rPr>
      <t xml:space="preserve">系統銷售（硬體）｜資本支出強度（占全年營收）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</si>
  <si>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TPU </t>
    </r>
    <r>
      <rPr>
        <sz val="10"/>
        <rFont val="Noto Sans CJK SC"/>
        <family val="2"/>
      </rPr>
      <t xml:space="preserve">系統銷售（硬體）｜全年營收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</si>
  <si>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TPU </t>
    </r>
    <r>
      <rPr>
        <sz val="10"/>
        <rFont val="Noto Sans CJK SC"/>
        <family val="2"/>
      </rPr>
      <t xml:space="preserve">系統銷售（硬體）｜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</si>
  <si>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TPU </t>
    </r>
    <r>
      <rPr>
        <sz val="10"/>
        <rFont val="Noto Sans CJK SC"/>
        <family val="2"/>
      </rPr>
      <t xml:space="preserve">系統銷售（硬體）｜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</si>
  <si>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TPU </t>
    </r>
    <r>
      <rPr>
        <sz val="10"/>
        <rFont val="Noto Sans CJK SC"/>
        <family val="2"/>
      </rPr>
      <t xml:space="preserve">系統銷售（硬體）｜其他攤銷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</si>
  <si>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Alphabet </t>
    </r>
    <r>
      <rPr>
        <sz val="10"/>
        <rFont val="Noto Sans CJK SC"/>
        <family val="2"/>
      </rPr>
      <t xml:space="preserve">層級費用（未分攤）｜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</si>
  <si>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Alphabet </t>
    </r>
    <r>
      <rPr>
        <sz val="10"/>
        <rFont val="Noto Sans CJK SC"/>
        <family val="2"/>
      </rPr>
      <t xml:space="preserve">層級費用（未分攤）｜模型期營收（輸入）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</si>
  <si>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Alphabet </t>
    </r>
    <r>
      <rPr>
        <sz val="10"/>
        <rFont val="Noto Sans CJK SC"/>
        <family val="2"/>
      </rPr>
      <t xml:space="preserve">層級費用（未分攤）｜起始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</si>
  <si>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Alphabet </t>
    </r>
    <r>
      <rPr>
        <sz val="10"/>
        <rFont val="Noto Sans CJK SC"/>
        <family val="2"/>
      </rPr>
      <t xml:space="preserve">層級費用（未分攤）｜長期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</si>
  <si>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Alphabet </t>
    </r>
    <r>
      <rPr>
        <sz val="10"/>
        <rFont val="Noto Sans CJK SC"/>
        <family val="2"/>
      </rPr>
      <t xml:space="preserve">層級費用（未分攤）｜其他攤銷占營收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</si>
  <si>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Alphabet </t>
    </r>
    <r>
      <rPr>
        <sz val="10"/>
        <rFont val="Noto Sans CJK SC"/>
        <family val="2"/>
      </rPr>
      <t xml:space="preserve">層級費用（未分攤）｜資本支出強度（占全年營收）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</si>
  <si>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Alphabet </t>
    </r>
    <r>
      <rPr>
        <sz val="10"/>
        <rFont val="Noto Sans CJK SC"/>
        <family val="2"/>
      </rPr>
      <t xml:space="preserve">層級費用（未分攤）｜全年營收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</si>
  <si>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Alphabet </t>
    </r>
    <r>
      <rPr>
        <sz val="10"/>
        <rFont val="Noto Sans CJK SC"/>
        <family val="2"/>
      </rPr>
      <t xml:space="preserve">層級費用（未分攤）｜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</si>
  <si>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Alphabet </t>
    </r>
    <r>
      <rPr>
        <sz val="10"/>
        <rFont val="Noto Sans CJK SC"/>
        <family val="2"/>
      </rPr>
      <t xml:space="preserve">層級費用（未分攤）｜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</si>
  <si>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Alphabet </t>
    </r>
    <r>
      <rPr>
        <sz val="10"/>
        <rFont val="Noto Sans CJK SC"/>
        <family val="2"/>
      </rPr>
      <t xml:space="preserve">層級費用（未分攤）｜其他攤銷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</si>
  <si>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事業營收（模型期）</t>
    </r>
  </si>
  <si>
    <t xml:space="preserve">各線合計（下游引用此列）</t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</si>
  <si>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（模型期）</t>
    </r>
  </si>
  <si>
    <r>
      <rPr>
        <sz val="9"/>
        <color rgb="FF595959"/>
        <rFont val="Noto Sans CJK SC"/>
        <family val="2"/>
      </rPr>
      <t xml:space="preserve">各線合計；同時進入損益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與營運來源（扣其他攤銷；現金稅另列）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</si>
  <si>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事業其他攤銷（模型期）</t>
    </r>
  </si>
  <si>
    <r>
      <rPr>
        <sz val="9"/>
        <color rgb="FF595959"/>
        <rFont val="Noto Sans CJK SC"/>
        <family val="2"/>
      </rPr>
      <t xml:space="preserve">各線合計；進損益 </t>
    </r>
    <r>
      <rPr>
        <sz val="9"/>
        <color rgb="FF595959"/>
        <rFont val="Arial"/>
        <family val="0"/>
        <charset val="1"/>
      </rPr>
      <t xml:space="preserve">D&amp;A</t>
    </r>
    <r>
      <rPr>
        <sz val="9"/>
        <color rgb="FF595959"/>
        <rFont val="Noto Sans CJK SC"/>
        <family val="2"/>
      </rPr>
      <t xml:space="preserve">，自營運來源扣除（視為等額現金支出）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</si>
  <si>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</si>
  <si>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r>
      <rPr>
        <sz val="9"/>
        <color rgb="FF595959"/>
        <rFont val="Noto Sans CJK SC"/>
        <family val="2"/>
      </rPr>
      <t xml:space="preserve">分部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率＝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分部營業利益＋折舊按營收分攤</t>
    </r>
    <r>
      <rPr>
        <sz val="9"/>
        <color rgb="FF595959"/>
        <rFont val="Arial"/>
        <family val="0"/>
        <charset val="1"/>
      </rPr>
      <t xml:space="preserve">) ÷ </t>
    </r>
    <r>
      <rPr>
        <sz val="9"/>
        <color rgb="FF595959"/>
        <rFont val="Noto Sans CJK SC"/>
        <family val="2"/>
      </rPr>
      <t xml:space="preserve">營收（</t>
    </r>
    <r>
      <rPr>
        <sz val="9"/>
        <color rgb="FF595959"/>
        <rFont val="Arial"/>
        <family val="0"/>
        <charset val="1"/>
      </rPr>
      <t xml:space="preserve">Services </t>
    </r>
    <r>
      <rPr>
        <sz val="9"/>
        <color rgb="FF595959"/>
        <rFont val="Noto Sans CJK SC"/>
        <family val="2"/>
      </rPr>
      <t xml:space="preserve">四線拆分 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Noto Sans CJK SC"/>
        <family val="2"/>
      </rPr>
      <t xml:space="preserve">、搜尋為殘差；近四季 </t>
    </r>
    <r>
      <rPr>
        <sz val="9"/>
        <color rgb="FF595959"/>
        <rFont val="Arial"/>
        <family val="0"/>
        <charset val="1"/>
      </rPr>
      <t xml:space="preserve">m0 → 2023–2025 </t>
    </r>
    <r>
      <rPr>
        <sz val="9"/>
        <color rgb="FF595959"/>
        <rFont val="Noto Sans CJK SC"/>
        <family val="2"/>
      </rPr>
      <t xml:space="preserve">平均 </t>
    </r>
    <r>
      <rPr>
        <sz val="9"/>
        <color rgb="FF595959"/>
        <rFont val="Arial"/>
        <family val="0"/>
        <charset val="1"/>
      </rPr>
      <t xml:space="preserve">mLT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Cloud </t>
    </r>
    <r>
      <rPr>
        <sz val="9"/>
        <color rgb="FF595959"/>
        <rFont val="Noto Sans CJK SC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AI</t>
    </r>
    <r>
      <rPr>
        <sz val="9"/>
        <color rgb="FF595959"/>
        <rFont val="Noto Sans CJK SC"/>
        <family val="2"/>
      </rPr>
      <t xml:space="preserve">＝殘差（</t>
    </r>
    <r>
      <rPr>
        <sz val="9"/>
        <color rgb="FF595959"/>
        <rFont val="Arial"/>
        <family val="0"/>
        <charset val="1"/>
      </rPr>
      <t xml:space="preserve">Cloud EBITDA − AI </t>
    </r>
    <r>
      <rPr>
        <sz val="9"/>
        <color rgb="FF595959"/>
        <rFont val="Noto Sans CJK SC"/>
        <family val="2"/>
      </rPr>
      <t xml:space="preserve">雲端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估計）；含 </t>
    </r>
    <r>
      <rPr>
        <sz val="9"/>
        <color rgb="FF595959"/>
        <rFont val="Arial"/>
        <family val="0"/>
        <charset val="1"/>
      </rPr>
      <t xml:space="preserve">Alphabet </t>
    </r>
    <r>
      <rPr>
        <sz val="9"/>
        <color rgb="FF595959"/>
        <rFont val="Noto Sans CJK SC"/>
        <family val="2"/>
      </rPr>
      <t xml:space="preserve">層級費用與 </t>
    </r>
    <r>
      <rPr>
        <sz val="9"/>
        <color rgb="FF595959"/>
        <rFont val="Arial"/>
        <family val="0"/>
        <charset val="1"/>
      </rPr>
      <t xml:space="preserve">Other Bets </t>
    </r>
    <r>
      <rPr>
        <sz val="9"/>
        <color rgb="FF595959"/>
        <rFont val="Noto Sans CJK SC"/>
        <family val="2"/>
      </rPr>
      <t xml:space="preserve">虧損，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</si>
  <si>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核對（</t>
    </r>
    <r>
      <rPr>
        <sz val="10"/>
        <rFont val="Arial"/>
        <family val="0"/>
        <charset val="1"/>
      </rPr>
      <t xml:space="preserve">1H</t>
    </r>
    <r>
      <rPr>
        <sz val="10"/>
        <rFont val="Noto Sans CJK SC"/>
        <family val="2"/>
      </rPr>
      <t xml:space="preserve">＋模型期 − 全年）</t>
    </r>
  </si>
  <si>
    <r>
      <rPr>
        <sz val="9"/>
        <color rgb="FF595959"/>
        <rFont val="Noto Sans CJK SC"/>
        <family val="2"/>
      </rPr>
      <t xml:space="preserve">應為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：首期年初至今實際＋模型期＝首期全年（各線合計）</t>
    </r>
  </si>
  <si>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｜利潤率（</t>
    </r>
    <r>
      <rPr>
        <b val="true"/>
        <sz val="10"/>
        <rFont val="Arial"/>
        <family val="0"/>
        <charset val="1"/>
      </rPr>
      <t xml:space="preserve">EBITDA </t>
    </r>
    <r>
      <rPr>
        <b val="true"/>
        <sz val="10"/>
        <rFont val="Noto Sans CJK SC"/>
        <family val="2"/>
      </rPr>
      <t xml:space="preserve">率單一來源；損益與資金共用）</t>
    </r>
  </si>
  <si>
    <r>
      <rPr>
        <sz val="10"/>
        <rFont val="Noto Sans CJK SC"/>
        <family val="2"/>
      </rPr>
      <t xml:space="preserve">起始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率（</t>
    </r>
    <r>
      <rPr>
        <sz val="10"/>
        <rFont val="Arial"/>
        <family val="0"/>
        <charset val="1"/>
      </rPr>
      <t xml:space="preserve">2026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</si>
  <si>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雲端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率＝</t>
    </r>
    <r>
      <rPr>
        <sz val="9"/>
        <color rgb="FF595959"/>
        <rFont val="Arial"/>
        <family val="0"/>
        <charset val="1"/>
      </rPr>
      <t xml:space="preserve">1 − Tokenomics </t>
    </r>
    <r>
      <rPr>
        <sz val="9"/>
        <color rgb="FF595959"/>
        <rFont val="Noto Sans CJK SC"/>
        <family val="2"/>
      </rPr>
      <t xml:space="preserve">加權每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營運成本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年收入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</si>
  <si>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穩態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率（</t>
    </r>
    <r>
      <rPr>
        <sz val="10"/>
        <rFont val="Arial"/>
        <family val="0"/>
        <charset val="1"/>
      </rPr>
      <t xml:space="preserve">2030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</si>
  <si>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可觀察 </t>
    </r>
    <r>
      <rPr>
        <sz val="9"/>
        <color rgb="FF595959"/>
        <rFont val="Arial"/>
        <family val="0"/>
        <charset val="1"/>
      </rPr>
      <t xml:space="preserve">neocloud </t>
    </r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IREN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35%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59% </t>
    </r>
    <r>
      <rPr>
        <sz val="9"/>
        <color rgb="FF595959"/>
        <rFont val="Noto Sans CJK SC"/>
        <family val="2"/>
      </rPr>
      <t xml:space="preserve">的中點 </t>
    </r>
    <r>
      <rPr>
        <sz val="9"/>
        <color rgb="FF595959"/>
        <rFont val="Arial"/>
        <family val="0"/>
        <charset val="1"/>
      </rPr>
      <t xml:space="preserve">47%</t>
    </r>
    <r>
      <rPr>
        <sz val="9"/>
        <color rgb="FF595959"/>
        <rFont val="Noto Sans CJK SC"/>
        <family val="2"/>
      </rPr>
      <t xml:space="preserve">；不取自每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推導路徑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的加成 </t>
    </r>
    <r>
      <rPr>
        <sz val="9"/>
        <color rgb="FF595959"/>
        <rFont val="Arial"/>
        <family val="0"/>
        <charset val="1"/>
      </rPr>
      <t xml:space="preserve">[Analogy]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</si>
  <si>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</si>
  <si>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加權每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年營運成本（</t>
    </r>
    <r>
      <rPr>
        <sz val="9"/>
        <color rgb="FF595959"/>
        <rFont val="Arial"/>
        <family val="0"/>
        <charset val="1"/>
      </rPr>
      <t xml:space="preserve">B0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Tokenomics IF_OpexGW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年收入（含倍數）；未扣租金（租金另列現金支出）</t>
    </r>
    <r>
      <rPr>
        <sz val="9"/>
        <color rgb="FF595959"/>
        <rFont val="Arial"/>
        <family val="0"/>
        <charset val="1"/>
      </rPr>
      <t xml:space="preserve">[Derived]</t>
    </r>
  </si>
  <si>
    <t xml:space="preserve">非算力服務現金</t>
  </si>
  <si>
    <r>
      <rPr>
        <sz val="9"/>
        <color rgb="FF595959"/>
        <rFont val="Noto Sans CJK SC"/>
        <family val="2"/>
      </rPr>
      <t xml:space="preserve">＝服務營收 </t>
    </r>
    <r>
      <rPr>
        <sz val="9"/>
        <color rgb="FF595959"/>
        <rFont val="Arial"/>
        <family val="0"/>
        <charset val="1"/>
      </rPr>
      <t xml:space="preserve">× EBITDAR </t>
    </r>
    <r>
      <rPr>
        <sz val="9"/>
        <color rgb="FF595959"/>
        <rFont val="Noto Sans CJK SC"/>
        <family val="2"/>
      </rPr>
      <t xml:space="preserve">率（公式）</t>
    </r>
  </si>
  <si>
    <r>
      <rPr>
        <b val="true"/>
        <sz val="10"/>
        <color rgb="FF1F3864"/>
        <rFont val="Noto Sans CJK SC"/>
        <family val="2"/>
      </rPr>
      <t xml:space="preserve">▸ 電力／維護 </t>
    </r>
    <r>
      <rPr>
        <b val="true"/>
        <sz val="10"/>
        <color rgb="FF1F3864"/>
        <rFont val="Arial"/>
        <family val="0"/>
        <charset val="1"/>
      </rPr>
      <t xml:space="preserve">overlay</t>
    </r>
    <r>
      <rPr>
        <b val="true"/>
        <sz val="10"/>
        <color rgb="FF1F3864"/>
        <rFont val="Noto Sans CJK SC"/>
        <family val="2"/>
      </rPr>
      <t xml:space="preserve">（預設關閉；</t>
    </r>
    <r>
      <rPr>
        <b val="true"/>
        <sz val="10"/>
        <color rgb="FF1F3864"/>
        <rFont val="Arial"/>
        <family val="0"/>
        <charset val="1"/>
      </rPr>
      <t xml:space="preserve">EBITDA </t>
    </r>
    <r>
      <rPr>
        <b val="true"/>
        <sz val="10"/>
        <color rgb="FF1F3864"/>
        <rFont val="Noto Sans CJK SC"/>
        <family val="2"/>
      </rPr>
      <t xml:space="preserve">已含電費）</t>
    </r>
  </si>
  <si>
    <r>
      <rPr>
        <sz val="10"/>
        <rFont val="Noto Sans CJK SC"/>
        <family val="2"/>
      </rPr>
      <t xml:space="preserve">電力／維護 </t>
    </r>
    <r>
      <rPr>
        <sz val="10"/>
        <rFont val="Arial"/>
        <family val="0"/>
        <charset val="1"/>
      </rPr>
      <t xml:space="preserve">overlay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1=</t>
    </r>
    <r>
      <rPr>
        <sz val="10"/>
        <rFont val="Noto Sans CJK SC"/>
        <family val="2"/>
      </rPr>
      <t xml:space="preserve">開）</t>
    </r>
  </si>
  <si>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率已含電費，開啟會重複扣除，僅供壓力測試</t>
    </r>
  </si>
  <si>
    <t xml:space="preserve">電價</t>
  </si>
  <si>
    <t xml:space="preserve">$/MWh</t>
  </si>
  <si>
    <r>
      <rPr>
        <sz val="9"/>
        <color rgb="FF595959"/>
        <rFont val="Arial"/>
        <family val="0"/>
        <charset val="1"/>
      </rPr>
      <t xml:space="preserve">overlay </t>
    </r>
    <r>
      <rPr>
        <sz val="9"/>
        <color rgb="FF595959"/>
        <rFont val="Noto Sans CJK SC"/>
        <family val="2"/>
      </rPr>
      <t xml:space="preserve">用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</si>
  <si>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PUE</t>
  </si>
  <si>
    <t xml:space="preserve">維護成本</t>
  </si>
  <si>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｜支出（</t>
    </r>
    <r>
      <rPr>
        <b val="true"/>
        <sz val="10"/>
        <rFont val="Arial"/>
        <family val="0"/>
        <charset val="1"/>
      </rPr>
      <t xml:space="preserve">CapEx</t>
    </r>
    <r>
      <rPr>
        <b val="true"/>
        <sz val="10"/>
        <rFont val="Noto Sans CJK SC"/>
        <family val="2"/>
      </rPr>
      <t xml:space="preserve">、車隊折舊、租賃、</t>
    </r>
    <r>
      <rPr>
        <b val="true"/>
        <sz val="10"/>
        <rFont val="Arial"/>
        <family val="0"/>
        <charset val="1"/>
      </rPr>
      <t xml:space="preserve">JV</t>
    </r>
    <r>
      <rPr>
        <b val="true"/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</si>
  <si>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提前支出比例 </t>
    </r>
    <r>
      <rPr>
        <sz val="10"/>
        <rFont val="Arial"/>
        <family val="0"/>
        <charset val="1"/>
      </rPr>
      <t xml:space="preserve">λ</t>
    </r>
  </si>
  <si>
    <r>
      <rPr>
        <sz val="9"/>
        <color rgb="FF595959"/>
        <rFont val="Noto Sans CJK SC"/>
        <family val="2"/>
      </rPr>
      <t xml:space="preserve">次年才上線的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，其建置支出落在前一年的比例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</si>
  <si>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Arial"/>
        <family val="0"/>
        <charset val="1"/>
      </rPr>
      <t xml:space="preserve">2031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2030 </t>
    </r>
    <r>
      <rPr>
        <sz val="10"/>
        <rFont val="Noto Sans CJK SC"/>
        <family val="2"/>
      </rPr>
      <t xml:space="preserve">預建用）</t>
    </r>
  </si>
  <si>
    <r>
      <rPr>
        <sz val="9"/>
        <color rgb="FF595959"/>
        <rFont val="Noto Sans CJK SC"/>
        <family val="2"/>
      </rPr>
      <t xml:space="preserve">隨情境：保守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／基準 </t>
    </r>
    <r>
      <rPr>
        <sz val="9"/>
        <color rgb="FF595959"/>
        <rFont val="Arial"/>
        <family val="0"/>
        <charset val="1"/>
      </rPr>
      <t xml:space="preserve">500</t>
    </r>
    <r>
      <rPr>
        <sz val="9"/>
        <color rgb="FF595959"/>
        <rFont val="Noto Sans CJK SC"/>
        <family val="2"/>
      </rPr>
      <t xml:space="preserve">／積極 </t>
    </r>
    <r>
      <rPr>
        <sz val="9"/>
        <color rgb="FF595959"/>
        <rFont val="Arial"/>
        <family val="0"/>
        <charset val="1"/>
      </rPr>
      <t xml:space="preserve">1,000 [Assumed]</t>
    </r>
  </si>
  <si>
    <r>
      <rPr>
        <sz val="10"/>
        <rFont val="Arial"/>
        <family val="0"/>
        <charset val="1"/>
      </rPr>
      <t xml:space="preserve">2026 CapEx </t>
    </r>
    <r>
      <rPr>
        <sz val="10"/>
        <rFont val="Noto Sans CJK SC"/>
        <family val="2"/>
      </rPr>
      <t xml:space="preserve">下限（已承諾）</t>
    </r>
  </si>
  <si>
    <r>
      <rPr>
        <sz val="9"/>
        <color rgb="FF595959"/>
        <rFont val="Noto Sans CJK SC"/>
        <family val="2"/>
      </rPr>
      <t xml:space="preserve">全年指引下緣（法說會（</t>
    </r>
    <r>
      <rPr>
        <sz val="9"/>
        <color rgb="FF595959"/>
        <rFont val="Arial"/>
        <family val="0"/>
        <charset val="1"/>
      </rPr>
      <t xml:space="preserve">2026-07-22</t>
    </r>
    <r>
      <rPr>
        <sz val="9"/>
        <color rgb="FF595959"/>
        <rFont val="Noto Sans CJK SC"/>
        <family val="2"/>
      </rPr>
      <t xml:space="preserve">，二手逐字稿 </t>
    </r>
    <r>
      <rPr>
        <sz val="9"/>
        <color rgb="FF595959"/>
        <rFont val="Arial"/>
        <family val="0"/>
        <charset val="1"/>
      </rPr>
      <t xml:space="preserve">Benzinga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W.Media </t>
    </r>
    <r>
      <rPr>
        <sz val="9"/>
        <color rgb="FF595959"/>
        <rFont val="Noto Sans CJK SC"/>
        <family val="2"/>
      </rPr>
      <t xml:space="preserve">同數字）；新聞稿與 </t>
    </r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Noto Sans CJK SC"/>
        <family val="2"/>
      </rPr>
      <t xml:space="preserve">未列金額 </t>
    </r>
    <r>
      <rPr>
        <sz val="9"/>
        <color rgb="FF595959"/>
        <rFont val="Arial"/>
        <family val="0"/>
        <charset val="1"/>
      </rPr>
      <t xml:space="preserve">[Interested-party]</t>
    </r>
    <r>
      <rPr>
        <sz val="9"/>
        <color rgb="FF595959"/>
        <rFont val="Noto Sans CJK SC"/>
        <family val="2"/>
      </rPr>
      <t xml:space="preserve">）：當年支出多已下單</t>
    </r>
  </si>
  <si>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經濟壽命（年）</t>
    </r>
  </si>
  <si>
    <r>
      <rPr>
        <sz val="9"/>
        <color rgb="FF595959"/>
        <rFont val="Arial"/>
        <family val="0"/>
        <charset val="1"/>
      </rPr>
      <t xml:space="preserve">Tokenomics IF_DeprLifeIT 6 </t>
    </r>
    <r>
      <rPr>
        <sz val="9"/>
        <color rgb="FF595959"/>
        <rFont val="Noto Sans CJK SC"/>
        <family val="2"/>
      </rPr>
      <t xml:space="preserve">年；</t>
    </r>
    <r>
      <rPr>
        <sz val="9"/>
        <color rgb="FF595959"/>
        <rFont val="Arial"/>
        <family val="0"/>
        <charset val="1"/>
      </rPr>
      <t xml:space="preserve">Alphabet 10-K 2025</t>
    </r>
    <r>
      <rPr>
        <sz val="9"/>
        <color rgb="FF595959"/>
        <rFont val="Noto Sans CJK SC"/>
        <family val="2"/>
      </rPr>
      <t xml:space="preserve">：伺服器與網通設備一般依 </t>
    </r>
    <r>
      <rPr>
        <sz val="9"/>
        <color rgb="FF595959"/>
        <rFont val="Arial"/>
        <family val="0"/>
        <charset val="1"/>
      </rPr>
      <t xml:space="preserve">6 </t>
    </r>
    <r>
      <rPr>
        <sz val="9"/>
        <color rgb="FF595959"/>
        <rFont val="Noto Sans CJK SC"/>
        <family val="2"/>
      </rPr>
      <t xml:space="preserve">年折舊 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</si>
  <si>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Noto Sans CJK SC"/>
        <family val="2"/>
      </rPr>
      <t xml:space="preserve">對外 </t>
    </r>
    <r>
      <rPr>
        <sz val="10"/>
        <rFont val="Arial"/>
        <family val="0"/>
        <charset val="1"/>
      </rPr>
      <t xml:space="preserve">AI MW </t>
    </r>
    <r>
      <rPr>
        <sz val="10"/>
        <rFont val="Noto Sans CJK SC"/>
        <family val="2"/>
      </rPr>
      <t xml:space="preserve">占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總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比例</t>
    </r>
  </si>
  <si>
    <r>
      <rPr>
        <sz val="9"/>
        <color rgb="FF595959"/>
        <rFont val="Noto Sans CJK SC"/>
        <family val="2"/>
      </rPr>
      <t xml:space="preserve">對外 </t>
    </r>
    <r>
      <rPr>
        <sz val="9"/>
        <color rgb="FF595959"/>
        <rFont val="Arial"/>
        <family val="0"/>
        <charset val="1"/>
      </rPr>
      <t xml:space="preserve">AI MW </t>
    </r>
    <r>
      <rPr>
        <sz val="9"/>
        <color rgb="FF595959"/>
        <rFont val="Noto Sans CJK SC"/>
        <family val="2"/>
      </rPr>
      <t xml:space="preserve">占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總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比例 </t>
    </r>
    <r>
      <rPr>
        <sz val="9"/>
        <color rgb="FF595959"/>
        <rFont val="Arial"/>
        <family val="0"/>
        <charset val="1"/>
      </rPr>
      <t xml:space="preserve">30%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25%–40%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v0.1a mw.extShare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C9 </t>
    </r>
    <r>
      <rPr>
        <sz val="9"/>
        <color rgb="FF595959"/>
        <rFont val="Noto Sans CJK SC"/>
        <family val="2"/>
      </rPr>
      <t xml:space="preserve">敏感度 </t>
    </r>
    <r>
      <rPr>
        <sz val="9"/>
        <color rgb="FF595959"/>
        <rFont val="Arial"/>
        <family val="0"/>
        <charset val="1"/>
      </rPr>
      <t xml:space="preserve">±20pt → 10%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50%</t>
    </r>
    <r>
      <rPr>
        <sz val="9"/>
        <color rgb="FF595959"/>
        <rFont val="Noto Sans CJK SC"/>
        <family val="2"/>
      </rPr>
      <t xml:space="preserve">）：自用 </t>
    </r>
    <r>
      <rPr>
        <sz val="9"/>
        <color rgb="FF595959"/>
        <rFont val="Arial"/>
        <family val="0"/>
        <charset val="1"/>
      </rPr>
      <t xml:space="preserve">AI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Gemini</t>
    </r>
    <r>
      <rPr>
        <sz val="9"/>
        <color rgb="FF595959"/>
        <rFont val="Noto Sans CJK SC"/>
        <family val="2"/>
      </rPr>
      <t xml:space="preserve">、搜尋、</t>
    </r>
    <r>
      <rPr>
        <sz val="9"/>
        <color rgb="FF595959"/>
        <rFont val="Arial"/>
        <family val="0"/>
        <charset val="1"/>
      </rPr>
      <t xml:space="preserve">YouTube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DeepMind </t>
    </r>
    <r>
      <rPr>
        <sz val="9"/>
        <color rgb="FF595959"/>
        <rFont val="Noto Sans CJK SC"/>
        <family val="2"/>
      </rPr>
      <t xml:space="preserve">研發）同樣需要資本支出，影子收入只作對照；對外比例無揭露</t>
    </r>
  </si>
  <si>
    <t xml:space="preserve">自建機房比例</t>
  </si>
  <si>
    <r>
      <rPr>
        <sz val="9"/>
        <color rgb="FF595959"/>
        <rFont val="Noto Sans CJK SC"/>
        <family val="2"/>
      </rPr>
      <t xml:space="preserve">自建機房比例 </t>
    </r>
    <r>
      <rPr>
        <sz val="9"/>
        <color rgb="FF595959"/>
        <rFont val="Arial"/>
        <family val="0"/>
        <charset val="1"/>
      </rPr>
      <t xml:space="preserve">85%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75%–95%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Noto Sans CJK SC"/>
        <family val="2"/>
      </rPr>
      <t xml:space="preserve">）：營業租賃負債 </t>
    </r>
    <r>
      <rPr>
        <sz val="9"/>
        <color rgb="FF595959"/>
        <rFont val="Arial"/>
        <family val="0"/>
        <charset val="1"/>
      </rPr>
      <t xml:space="preserve">18.0B </t>
    </r>
    <r>
      <rPr>
        <sz val="9"/>
        <color rgb="FF595959"/>
        <rFont val="Noto Sans CJK SC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PP&amp;E 321.2B</t>
    </r>
    <r>
      <rPr>
        <sz val="9"/>
        <color rgb="FF595959"/>
        <rFont val="Noto Sans CJK SC"/>
        <family val="2"/>
      </rPr>
      <t xml:space="preserve">，租用占比低；但尚未起租租賃 </t>
    </r>
    <r>
      <rPr>
        <sz val="9"/>
        <color rgb="FF595959"/>
        <rFont val="Arial"/>
        <family val="0"/>
        <charset val="1"/>
      </rPr>
      <t xml:space="preserve">85.2B</t>
    </r>
    <r>
      <rPr>
        <sz val="9"/>
        <color rgb="FF595959"/>
        <rFont val="Noto Sans CJK SC"/>
        <family val="2"/>
      </rPr>
      <t xml:space="preserve">（主要為資料中心）顯示租用上升。租用部分不計機房資本支出（租金由未起租租賃承擔）</t>
    </r>
  </si>
  <si>
    <r>
      <rPr>
        <sz val="10"/>
        <rFont val="Noto Sans CJK SC"/>
        <family val="2"/>
      </rPr>
      <t xml:space="preserve">分部 </t>
    </r>
    <r>
      <rPr>
        <sz val="10"/>
        <rFont val="Arial"/>
        <family val="0"/>
        <charset val="1"/>
      </rPr>
      <t xml:space="preserve">D&amp;A </t>
    </r>
    <r>
      <rPr>
        <sz val="10"/>
        <rFont val="Noto Sans CJK SC"/>
        <family val="2"/>
      </rPr>
      <t xml:space="preserve">年化（最新季 </t>
    </r>
    <r>
      <rPr>
        <sz val="10"/>
        <rFont val="Arial"/>
        <family val="0"/>
        <charset val="1"/>
      </rPr>
      <t xml:space="preserve">× 4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</si>
  <si>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最新季（</t>
    </r>
    <r>
      <rPr>
        <sz val="9"/>
        <color rgb="FF595959"/>
        <rFont val="Arial"/>
        <family val="0"/>
        <charset val="1"/>
      </rPr>
      <t xml:space="preserve">2026Q2</t>
    </r>
    <r>
      <rPr>
        <sz val="9"/>
        <color rgb="FF595959"/>
        <rFont val="Noto Sans CJK SC"/>
        <family val="2"/>
      </rPr>
      <t xml:space="preserve">）合併折舊 </t>
    </r>
    <r>
      <rPr>
        <sz val="9"/>
        <color rgb="FF595959"/>
        <rFont val="Arial"/>
        <family val="0"/>
        <charset val="1"/>
      </rPr>
      <t xml:space="preserve">7.104 × 4</t>
    </r>
    <r>
      <rPr>
        <sz val="9"/>
        <color rgb="FF595959"/>
        <rFont val="Noto Sans CJK SC"/>
        <family val="2"/>
      </rPr>
      <t xml:space="preserve">（現金流量表；公司不揭露分部 </t>
    </r>
    <r>
      <rPr>
        <sz val="9"/>
        <color rgb="FF595959"/>
        <rFont val="Arial"/>
        <family val="0"/>
        <charset val="1"/>
      </rPr>
      <t xml:space="preserve">D&amp;A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D&amp;A </t>
    </r>
    <r>
      <rPr>
        <sz val="9"/>
        <color rgb="FF595959"/>
        <rFont val="Noto Sans CJK SC"/>
        <family val="2"/>
      </rPr>
      <t xml:space="preserve">對帳基準（</t>
    </r>
    <r>
      <rPr>
        <sz val="9"/>
        <color rgb="FF595959"/>
        <rFont val="Arial"/>
        <family val="0"/>
        <charset val="1"/>
      </rPr>
      <t xml:space="preserve">C17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</si>
  <si>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2023 </t>
    </r>
    <r>
      <rPr>
        <sz val="10"/>
        <rFont val="Noto Sans CJK SC"/>
        <family val="2"/>
      </rPr>
      <t xml:space="preserve">年底主動電力</t>
    </r>
  </si>
  <si>
    <r>
      <rPr>
        <sz val="9"/>
        <color rgb="FF595959"/>
        <rFont val="Arial"/>
        <family val="0"/>
        <charset val="1"/>
      </rPr>
      <t xml:space="preserve">2023 </t>
    </r>
    <r>
      <rPr>
        <sz val="9"/>
        <color rgb="FF595959"/>
        <rFont val="Noto Sans CJK SC"/>
        <family val="2"/>
      </rPr>
      <t xml:space="preserve">年底對外 </t>
    </r>
    <r>
      <rPr>
        <sz val="9"/>
        <color rgb="FF595959"/>
        <rFont val="Arial"/>
        <family val="0"/>
        <charset val="1"/>
      </rPr>
      <t xml:space="preserve">AI MW-IT </t>
    </r>
    <r>
      <rPr>
        <sz val="9"/>
        <color rgb="FF595959"/>
        <rFont val="Noto Sans CJK SC"/>
        <family val="2"/>
      </rPr>
      <t xml:space="preserve">估 </t>
    </r>
    <r>
      <rPr>
        <sz val="9"/>
        <color rgb="FF595959"/>
        <rFont val="Arial"/>
        <family val="0"/>
        <charset val="1"/>
      </rPr>
      <t xml:space="preserve">191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Epoch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TPU 287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NVIDIA 98 MW TDP × 1.65 × </t>
    </r>
    <r>
      <rPr>
        <sz val="9"/>
        <color rgb="FF595959"/>
        <rFont val="Noto Sans CJK SC"/>
        <family val="2"/>
      </rPr>
      <t xml:space="preserve">對外 </t>
    </r>
    <r>
      <rPr>
        <sz val="9"/>
        <color rgb="FF595959"/>
        <rFont val="Arial"/>
        <family val="0"/>
        <charset val="1"/>
      </rPr>
      <t xml:space="preserve">30%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[Derived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Assumed]</t>
    </r>
    <r>
      <rPr>
        <sz val="9"/>
        <color rgb="FF595959"/>
        <rFont val="Noto Sans CJK SC"/>
        <family val="2"/>
      </rPr>
      <t xml:space="preserve">；只用於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汰換批次）</t>
    </r>
  </si>
  <si>
    <r>
      <rPr>
        <sz val="10"/>
        <rFont val="Arial"/>
        <family val="0"/>
        <charset val="1"/>
      </rPr>
      <t xml:space="preserve">2024 </t>
    </r>
    <r>
      <rPr>
        <sz val="10"/>
        <rFont val="Noto Sans CJK SC"/>
        <family val="2"/>
      </rPr>
      <t xml:space="preserve">年底主動電力</t>
    </r>
  </si>
  <si>
    <r>
      <rPr>
        <sz val="9"/>
        <color rgb="FF595959"/>
        <rFont val="Arial"/>
        <family val="0"/>
        <charset val="1"/>
      </rPr>
      <t xml:space="preserve">2024 </t>
    </r>
    <r>
      <rPr>
        <sz val="9"/>
        <color rgb="FF595959"/>
        <rFont val="Noto Sans CJK SC"/>
        <family val="2"/>
      </rPr>
      <t xml:space="preserve">年底對外 </t>
    </r>
    <r>
      <rPr>
        <sz val="9"/>
        <color rgb="FF595959"/>
        <rFont val="Arial"/>
        <family val="0"/>
        <charset val="1"/>
      </rPr>
      <t xml:space="preserve">AI MW-IT </t>
    </r>
    <r>
      <rPr>
        <sz val="9"/>
        <color rgb="FF595959"/>
        <rFont val="Noto Sans CJK SC"/>
        <family val="2"/>
      </rPr>
      <t xml:space="preserve">估 </t>
    </r>
    <r>
      <rPr>
        <sz val="9"/>
        <color rgb="FF595959"/>
        <rFont val="Arial"/>
        <family val="0"/>
        <charset val="1"/>
      </rPr>
      <t xml:space="preserve">643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Epoch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TPU 991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NVIDIA 307 MW TDP × 1.65 × 30%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[Derived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Assumed]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</si>
  <si>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6/30 </t>
    </r>
    <r>
      <rPr>
        <sz val="10"/>
        <rFont val="Noto Sans CJK SC"/>
        <family val="2"/>
      </rPr>
      <t xml:space="preserve">期初 </t>
    </r>
    <r>
      <rPr>
        <sz val="10"/>
        <rFont val="Arial"/>
        <family val="0"/>
        <charset val="1"/>
      </rPr>
      <t xml:space="preserve">PP&amp;E </t>
    </r>
    <r>
      <rPr>
        <sz val="10"/>
        <rFont val="Noto Sans CJK SC"/>
        <family val="2"/>
      </rPr>
      <t xml:space="preserve">基礎</t>
    </r>
  </si>
  <si>
    <r>
      <rPr>
        <sz val="9"/>
        <color rgb="FF595959"/>
        <rFont val="Noto Sans CJK SC"/>
        <family val="2"/>
      </rPr>
      <t xml:space="preserve">評價日 </t>
    </r>
    <r>
      <rPr>
        <sz val="9"/>
        <color rgb="FF595959"/>
        <rFont val="Arial"/>
        <family val="0"/>
        <charset val="1"/>
      </rPr>
      <t xml:space="preserve">PP&amp;E </t>
    </r>
    <r>
      <rPr>
        <sz val="9"/>
        <color rgb="FF595959"/>
        <rFont val="Noto Sans CJK SC"/>
        <family val="2"/>
      </rPr>
      <t xml:space="preserve">淨額 </t>
    </r>
    <r>
      <rPr>
        <sz val="9"/>
        <color rgb="FF595959"/>
        <rFont val="Arial"/>
        <family val="0"/>
        <charset val="1"/>
      </rPr>
      <t xml:space="preserve">321.2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10-Q</t>
    </r>
    <r>
      <rPr>
        <sz val="9"/>
        <color rgb="FF595959"/>
        <rFont val="Noto Sans CJK SC"/>
        <family val="2"/>
      </rPr>
      <t xml:space="preserve">；技術基礎設施在役原值 </t>
    </r>
    <r>
      <rPr>
        <sz val="9"/>
        <color rgb="FF595959"/>
        <rFont val="Arial"/>
        <family val="0"/>
        <charset val="1"/>
      </rPr>
      <t xml:space="preserve">247.2</t>
    </r>
    <r>
      <rPr>
        <sz val="9"/>
        <color rgb="FF595959"/>
        <rFont val="Noto Sans CJK SC"/>
        <family val="2"/>
      </rPr>
      <t xml:space="preserve">、尚未啟用 </t>
    </r>
    <r>
      <rPr>
        <sz val="9"/>
        <color rgb="FF595959"/>
        <rFont val="Arial"/>
        <family val="0"/>
        <charset val="1"/>
      </rPr>
      <t xml:space="preserve">122.8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D&amp;A </t>
    </r>
    <r>
      <rPr>
        <sz val="9"/>
        <color rgb="FF595959"/>
        <rFont val="Noto Sans CJK SC"/>
        <family val="2"/>
      </rPr>
      <t xml:space="preserve">分池：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期初毛額估計（評價日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總 </t>
    </r>
    <r>
      <rPr>
        <sz val="9"/>
        <color rgb="FF595959"/>
        <rFont val="Arial"/>
        <family val="0"/>
        <charset val="1"/>
      </rPr>
      <t xml:space="preserve">MW × Tokenomics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成本）＋非 </t>
    </r>
    <r>
      <rPr>
        <sz val="9"/>
        <color rgb="FF595959"/>
        <rFont val="Arial"/>
        <family val="0"/>
        <charset val="1"/>
      </rPr>
      <t xml:space="preserve">AI</t>
    </r>
    <r>
      <rPr>
        <sz val="9"/>
        <color rgb="FF595959"/>
        <rFont val="Noto Sans CJK SC"/>
        <family val="2"/>
      </rPr>
      <t xml:space="preserve">（其餘，壽命以最新季折舊年化校準）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</si>
  <si>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建置成本倍數（整體）</t>
    </r>
  </si>
  <si>
    <r>
      <rPr>
        <sz val="9"/>
        <color rgb="FF595959"/>
        <rFont val="Noto Sans CJK SC"/>
        <family val="2"/>
      </rPr>
      <t xml:space="preserve">同時影響 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Noto Sans CJK SC"/>
        <family val="2"/>
      </rPr>
      <t xml:space="preserve">、汰換與車隊折舊；反向 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用；預設 </t>
    </r>
    <r>
      <rPr>
        <sz val="9"/>
        <color rgb="FF595959"/>
        <rFont val="Arial"/>
        <family val="0"/>
        <charset val="1"/>
      </rPr>
      <t xml:space="preserve">100%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</si>
  <si>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建置成本</t>
    </r>
  </si>
  <si>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成本＝</t>
    </r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新增世代占比 </t>
    </r>
    <r>
      <rPr>
        <sz val="9"/>
        <color rgb="FF595959"/>
        <rFont val="Arial"/>
        <family val="0"/>
        <charset val="1"/>
      </rPr>
      <t xml:space="preserve">× (TK_CapexIT</t>
    </r>
    <r>
      <rPr>
        <sz val="9"/>
        <color rgb="FF595959"/>
        <rFont val="Noto Sans CJK SC"/>
        <family val="2"/>
      </rPr>
      <t xml:space="preserve">＋自建比例 </t>
    </r>
    <r>
      <rPr>
        <sz val="9"/>
        <color rgb="FF595959"/>
        <rFont val="Arial"/>
        <family val="0"/>
        <charset val="1"/>
      </rPr>
      <t xml:space="preserve">85% × TK_CapexFacility)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Tokenomics v5.27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US$m/MW-IT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TPU </t>
    </r>
    <r>
      <rPr>
        <sz val="9"/>
        <color rgb="FF595959"/>
        <rFont val="Noto Sans CJK SC"/>
        <family val="2"/>
      </rPr>
      <t xml:space="preserve">以同期 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世代代理，</t>
    </r>
    <r>
      <rPr>
        <sz val="9"/>
        <color rgb="FF595959"/>
        <rFont val="Arial"/>
        <family val="0"/>
        <charset val="1"/>
      </rPr>
      <t xml:space="preserve">C2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</si>
  <si>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IT </t>
    </r>
    <r>
      <rPr>
        <sz val="10"/>
        <rFont val="Noto Sans CJK SC"/>
        <family val="2"/>
      </rPr>
      <t xml:space="preserve">成本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</si>
  <si>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新增世代占比 </t>
    </r>
    <r>
      <rPr>
        <sz val="9"/>
        <color rgb="FF595959"/>
        <rFont val="Arial"/>
        <family val="0"/>
        <charset val="1"/>
      </rPr>
      <t xml:space="preserve">× TK_CapexIT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汰換只換 </t>
    </r>
    <r>
      <rPr>
        <sz val="9"/>
        <color rgb="FF595959"/>
        <rFont val="Arial"/>
        <family val="0"/>
        <charset val="1"/>
      </rPr>
      <t xml:space="preserve">IT</t>
    </r>
    <r>
      <rPr>
        <sz val="9"/>
        <color rgb="FF595959"/>
        <rFont val="Noto Sans CJK SC"/>
        <family val="2"/>
      </rPr>
      <t xml:space="preserve">）</t>
    </r>
  </si>
  <si>
    <t xml:space="preserve">有預付的合約比例</t>
  </si>
  <si>
    <r>
      <rPr>
        <sz val="9"/>
        <color rgb="FF595959"/>
        <rFont val="Noto Sans CJK SC"/>
        <family val="2"/>
      </rPr>
      <t xml:space="preserve">覆蓋比已是整體口徑時為 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company.json → defaults.prepay</t>
    </r>
    <r>
      <rPr>
        <sz val="9"/>
        <color rgb="FF595959"/>
        <rFont val="Noto Sans CJK SC"/>
        <family val="2"/>
      </rPr>
      <t xml:space="preserve">）</t>
    </r>
  </si>
  <si>
    <t xml:space="preserve">預付占相關資本支出比</t>
  </si>
  <si>
    <t xml:space="preserve">不適用（無客戶預付）</t>
  </si>
  <si>
    <t xml:space="preserve">預付認列年數</t>
  </si>
  <si>
    <r>
      <rPr>
        <sz val="9"/>
        <color rgb="FF595959"/>
        <rFont val="Noto Sans CJK SC"/>
        <family val="2"/>
      </rPr>
      <t xml:space="preserve">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期初合約負債＋本期累積利息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直線認列為營收（非現金）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Noto Sans CJK SC"/>
        <family val="2"/>
      </rPr>
      <t xml:space="preserve">；完整說明見 </t>
    </r>
    <r>
      <rPr>
        <sz val="9"/>
        <color rgb="FF595959"/>
        <rFont val="Arial"/>
        <family val="0"/>
        <charset val="1"/>
      </rPr>
      <t xml:space="preserve">company.json → defaults.prepay.note</t>
    </r>
  </si>
  <si>
    <r>
      <rPr>
        <sz val="10"/>
        <rFont val="Arial"/>
        <family val="0"/>
        <charset val="1"/>
      </rPr>
      <t xml:space="preserve">6/30 </t>
    </r>
    <r>
      <rPr>
        <sz val="10"/>
        <rFont val="Noto Sans CJK SC"/>
        <family val="2"/>
      </rPr>
      <t xml:space="preserve">合約負債（客戶預付餘額）</t>
    </r>
  </si>
  <si>
    <t xml:space="preserve">預付隱含利率（重大財務組成）</t>
  </si>
  <si>
    <r>
      <rPr>
        <sz val="9"/>
        <color rgb="FF595959"/>
        <rFont val="Noto Sans CJK SC"/>
        <family val="2"/>
      </rPr>
      <t xml:space="preserve">合約負債以此利率累積非現金利息，認列時轉營收（自營運現金扣除）、利息進損益不進現金；預設＝稅前債務成本，替代 </t>
    </r>
    <r>
      <rPr>
        <sz val="9"/>
        <color rgb="FF595959"/>
        <rFont val="Arial"/>
        <family val="0"/>
        <charset val="1"/>
      </rPr>
      <t xml:space="preserve">0%</t>
    </r>
  </si>
  <si>
    <r>
      <rPr>
        <sz val="10"/>
        <rFont val="Noto Sans CJK SC"/>
        <family val="2"/>
      </rPr>
      <t xml:space="preserve">客戶預付占毛 </t>
    </r>
    <r>
      <rPr>
        <sz val="10"/>
        <rFont val="Arial"/>
        <family val="0"/>
        <charset val="1"/>
      </rPr>
      <t xml:space="preserve">CapEx</t>
    </r>
  </si>
  <si>
    <r>
      <rPr>
        <sz val="9"/>
        <color rgb="FF595959"/>
        <rFont val="Noto Sans CJK SC"/>
        <family val="2"/>
      </rPr>
      <t xml:space="preserve">＝有預付的合約比例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預付占相關資本支出比；乘成長型 </t>
    </r>
    <r>
      <rPr>
        <sz val="9"/>
        <color rgb="FF595959"/>
        <rFont val="Arial"/>
        <family val="0"/>
        <charset val="1"/>
      </rPr>
      <t xml:space="preserve">CapEx </t>
    </r>
    <r>
      <rPr>
        <sz val="9"/>
        <color rgb="FF595959"/>
        <rFont val="Noto Sans CJK SC"/>
        <family val="2"/>
      </rPr>
      <t xml:space="preserve">得預付流入</t>
    </r>
  </si>
  <si>
    <t xml:space="preserve">在帳現金租金（季報到期表）</t>
  </si>
  <si>
    <r>
      <rPr>
        <sz val="9"/>
        <color rgb="FF595959"/>
        <rFont val="Noto Sans CJK SC"/>
        <family val="2"/>
      </rPr>
      <t xml:space="preserve">營業＋融資租賃未折現付款；</t>
    </r>
    <r>
      <rPr>
        <sz val="9"/>
        <color rgb="FF595959"/>
        <rFont val="Arial"/>
        <family val="0"/>
        <charset val="1"/>
      </rPr>
      <t xml:space="preserve">2030 </t>
    </r>
    <r>
      <rPr>
        <sz val="9"/>
        <color rgb="FF595959"/>
        <rFont val="Noto Sans CJK SC"/>
        <family val="2"/>
      </rPr>
      <t xml:space="preserve">後尚有 </t>
    </r>
    <r>
      <rPr>
        <sz val="9"/>
        <color rgb="FF595959"/>
        <rFont val="Arial"/>
        <family val="0"/>
        <charset val="1"/>
      </rPr>
      <t xml:space="preserve">9.707 [Verified]</t>
    </r>
  </si>
  <si>
    <t xml:space="preserve">未起租：期末累計季數（評價日起）</t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</si>
  <si>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4 × </t>
    </r>
    <r>
      <rPr>
        <sz val="9"/>
        <color rgb="FF595959"/>
        <rFont val="Noto Sans CJK SC"/>
        <family val="2"/>
      </rPr>
      <t xml:space="preserve">累計期間長度；用於起租排程</t>
    </r>
  </si>
  <si>
    <t xml:space="preserve">表外現金租金（未起租）</t>
  </si>
  <si>
    <r>
      <rPr>
        <sz val="9"/>
        <color rgb="FF595959"/>
        <rFont val="Noto Sans CJK SC"/>
        <family val="2"/>
      </rPr>
      <t xml:space="preserve">＝每筆季租（總額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季數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租期 </t>
    </r>
    <r>
      <rPr>
        <sz val="9"/>
        <color rgb="FF595959"/>
        <rFont val="Arial"/>
        <family val="0"/>
        <charset val="1"/>
      </rPr>
      <t xml:space="preserve">÷ 4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×(</t>
    </r>
    <r>
      <rPr>
        <sz val="9"/>
        <color rgb="FF595959"/>
        <rFont val="Noto Sans CJK SC"/>
        <family val="2"/>
      </rPr>
      <t xml:space="preserve">期末 − 期初累計已起租筆季數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；三情境相同 </t>
    </r>
    <r>
      <rPr>
        <sz val="9"/>
        <color rgb="FF595959"/>
        <rFont val="Arial"/>
        <family val="0"/>
        <charset val="1"/>
      </rPr>
      <t xml:space="preserve">[Derived]</t>
    </r>
  </si>
  <si>
    <t xml:space="preserve">在帳現金租金（自現金扣除）</t>
  </si>
  <si>
    <r>
      <rPr>
        <sz val="9"/>
        <color rgb="FF595959"/>
        <rFont val="Noto Sans CJK SC"/>
        <family val="2"/>
      </rPr>
      <t xml:space="preserve">融資租賃＋融資義務未折現付款（營業租賃已含在分部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company.json → leases.operatingInEbitdaNote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</si>
  <si>
    <t xml:space="preserve">未起租：自現金扣除比例（融資部分）</t>
  </si>
  <si>
    <r>
      <rPr>
        <sz val="9"/>
        <color rgb="FF595959"/>
        <rFont val="Noto Sans CJK SC"/>
        <family val="2"/>
      </rPr>
      <t xml:space="preserve">三家統一定義（</t>
    </r>
    <r>
      <rPr>
        <sz val="9"/>
        <color rgb="FF595959"/>
        <rFont val="Arial"/>
        <family val="0"/>
        <charset val="1"/>
      </rPr>
      <t xml:space="preserve">MAG </t>
    </r>
    <r>
      <rPr>
        <sz val="9"/>
        <color rgb="FF595959"/>
        <rFont val="Noto Sans CJK SC"/>
        <family val="2"/>
      </rPr>
      <t xml:space="preserve">對照表 </t>
    </r>
    <r>
      <rPr>
        <sz val="9"/>
        <color rgb="FF595959"/>
        <rFont val="Arial"/>
        <family val="0"/>
        <charset val="1"/>
      </rPr>
      <t xml:space="preserve">r1 C21</t>
    </r>
    <r>
      <rPr>
        <sz val="9"/>
        <color rgb="FF595959"/>
        <rFont val="Noto Sans CJK SC"/>
        <family val="2"/>
      </rPr>
      <t xml:space="preserve">）：未起租租約中預期列為營業租賃的比例（租金入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的部分；不另自現金扣除；</t>
    </r>
    <r>
      <rPr>
        <sz val="9"/>
        <color rgb="FF595959"/>
        <rFont val="Arial"/>
        <family val="0"/>
        <charset val="1"/>
      </rPr>
      <t xml:space="preserve">1 − opShare</t>
    </r>
    <r>
      <rPr>
        <sz val="9"/>
        <color rgb="FF595959"/>
        <rFont val="Noto Sans CJK SC"/>
        <family val="2"/>
      </rPr>
      <t xml:space="preserve">＝融資部分，自現金扣除）。</t>
    </r>
    <r>
      <rPr>
        <sz val="9"/>
        <color rgb="FF595959"/>
        <rFont val="Arial"/>
        <family val="0"/>
        <charset val="1"/>
      </rPr>
      <t xml:space="preserve">Alphabet</t>
    </r>
    <r>
      <rPr>
        <sz val="9"/>
        <color rgb="FF595959"/>
        <rFont val="Noto Sans CJK SC"/>
        <family val="2"/>
      </rPr>
      <t xml:space="preserve">：取在帳租賃負債的營業占比 </t>
    </r>
    <r>
      <rPr>
        <sz val="9"/>
        <color rgb="FF595959"/>
        <rFont val="Arial"/>
        <family val="0"/>
        <charset val="1"/>
      </rPr>
      <t xml:space="preserve">18.037 ÷ (18.037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2.590)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87.4%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Noto Sans CJK SC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Noto Sans CJK SC"/>
        <family val="2"/>
      </rPr>
      <t xml:space="preserve">；類型未揭露；未起租預付款 </t>
    </r>
    <r>
      <rPr>
        <sz val="9"/>
        <color rgb="FF595959"/>
        <rFont val="Arial"/>
        <family val="0"/>
        <charset val="1"/>
      </rPr>
      <t xml:space="preserve">835 </t>
    </r>
    <r>
      <rPr>
        <sz val="9"/>
        <color rgb="FF595959"/>
        <rFont val="Noto Sans CJK SC"/>
        <family val="2"/>
      </rPr>
      <t xml:space="preserve">預期為融資租賃）；本格＝</t>
    </r>
    <r>
      <rPr>
        <sz val="9"/>
        <color rgb="FF595959"/>
        <rFont val="Arial"/>
        <family val="0"/>
        <charset val="1"/>
      </rPr>
      <t xml:space="preserve">1 − leases.uncommenced.opShare</t>
    </r>
  </si>
  <si>
    <r>
      <rPr>
        <sz val="10"/>
        <rFont val="Arial"/>
        <family val="0"/>
        <charset val="1"/>
      </rPr>
      <t xml:space="preserve">JV </t>
    </r>
    <r>
      <rPr>
        <sz val="10"/>
        <rFont val="Noto Sans CJK SC"/>
        <family val="2"/>
      </rPr>
      <t xml:space="preserve">已承諾餘額出資</t>
    </r>
  </si>
  <si>
    <r>
      <rPr>
        <sz val="9"/>
        <color rgb="FF595959"/>
        <rFont val="Noto Sans CJK SC"/>
        <family val="2"/>
      </rPr>
      <t xml:space="preserve">季報未揭露 </t>
    </r>
    <r>
      <rPr>
        <sz val="9"/>
        <color rgb="FF595959"/>
        <rFont val="Arial"/>
        <family val="0"/>
        <charset val="1"/>
      </rPr>
      <t xml:space="preserve">JV </t>
    </r>
    <r>
      <rPr>
        <sz val="9"/>
        <color rgb="FF595959"/>
        <rFont val="Noto Sans CJK SC"/>
        <family val="2"/>
      </rPr>
      <t xml:space="preserve">出資承諾（不適用）</t>
    </r>
  </si>
  <si>
    <r>
      <rPr>
        <sz val="10"/>
        <rFont val="Arial"/>
        <family val="0"/>
        <charset val="1"/>
      </rPr>
      <t xml:space="preserve">JV </t>
    </r>
    <r>
      <rPr>
        <sz val="10"/>
        <rFont val="Noto Sans CJK SC"/>
        <family val="2"/>
      </rPr>
      <t xml:space="preserve">後續增資＋策略投資</t>
    </r>
  </si>
  <si>
    <r>
      <rPr>
        <sz val="9"/>
        <color rgb="FF595959"/>
        <rFont val="Noto Sans CJK SC"/>
        <family val="2"/>
      </rPr>
      <t xml:space="preserve">收購與策略投資，未揭露計畫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</si>
  <si>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Arial"/>
        <family val="0"/>
        <charset val="1"/>
      </rPr>
      <t xml:space="preserve">JV</t>
    </r>
    <r>
      <rPr>
        <sz val="10"/>
        <rFont val="Noto Sans CJK SC"/>
        <family val="2"/>
      </rPr>
      <t xml:space="preserve">／策略投資出資</t>
    </r>
  </si>
  <si>
    <t xml:space="preserve">＝已承諾餘額＋後續增資</t>
  </si>
  <si>
    <r>
      <rPr>
        <b val="true"/>
        <sz val="10"/>
        <color rgb="FF1F3864"/>
        <rFont val="Arial"/>
        <family val="0"/>
        <charset val="1"/>
      </rPr>
      <t xml:space="preserve">▸ CapEx </t>
    </r>
    <r>
      <rPr>
        <b val="true"/>
        <sz val="10"/>
        <color rgb="FF1F3864"/>
        <rFont val="Noto Sans CJK SC"/>
        <family val="2"/>
      </rPr>
      <t xml:space="preserve">推導明細（由 </t>
    </r>
    <r>
      <rPr>
        <b val="true"/>
        <sz val="10"/>
        <color rgb="FF1F3864"/>
        <rFont val="Arial"/>
        <family val="0"/>
        <charset val="1"/>
      </rPr>
      <t xml:space="preserve">Accepted MW </t>
    </r>
    <r>
      <rPr>
        <b val="true"/>
        <sz val="10"/>
        <color rgb="FF1F3864"/>
        <rFont val="Noto Sans CJK SC"/>
        <family val="2"/>
      </rPr>
      <t xml:space="preserve">連動）</t>
    </r>
  </si>
  <si>
    <t xml:space="preserve">期初主動電力</t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</si>
  <si>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期初＝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年底 </t>
    </r>
    <r>
      <rPr>
        <sz val="9"/>
        <color rgb="FF595959"/>
        <rFont val="Arial"/>
        <family val="0"/>
        <charset val="1"/>
      </rPr>
      <t xml:space="preserve">1462 MW</t>
    </r>
  </si>
  <si>
    <r>
      <rPr>
        <sz val="10"/>
        <rFont val="Noto Sans CJK SC"/>
        <family val="2"/>
      </rPr>
      <t xml:space="preserve">本期新增 </t>
    </r>
    <r>
      <rPr>
        <sz val="10"/>
        <rFont val="Arial"/>
        <family val="0"/>
        <charset val="1"/>
      </rPr>
      <t xml:space="preserve">MW</t>
    </r>
  </si>
  <si>
    <r>
      <rPr>
        <sz val="10"/>
        <rFont val="Noto Sans CJK SC"/>
        <family val="2"/>
      </rPr>
      <t xml:space="preserve">次期新增 </t>
    </r>
    <r>
      <rPr>
        <sz val="10"/>
        <rFont val="Arial"/>
        <family val="0"/>
        <charset val="1"/>
      </rPr>
      <t xml:space="preserve">MW</t>
    </r>
  </si>
  <si>
    <r>
      <rPr>
        <sz val="10"/>
        <rFont val="Noto Sans CJK SC"/>
        <family val="2"/>
      </rPr>
      <t xml:space="preserve">租用對外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（評價日）</t>
    </r>
  </si>
  <si>
    <r>
      <rPr>
        <sz val="9"/>
        <color rgb="FF595959"/>
        <rFont val="Arial"/>
        <family val="0"/>
        <charset val="1"/>
      </rPr>
      <t xml:space="preserve">Alphabet </t>
    </r>
    <r>
      <rPr>
        <sz val="9"/>
        <color rgb="FF595959"/>
        <rFont val="Noto Sans CJK SC"/>
        <family val="2"/>
      </rPr>
      <t xml:space="preserve">無已揭露的租用對外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算力：</t>
    </r>
    <r>
      <rPr>
        <sz val="9"/>
        <color rgb="FF595959"/>
        <rFont val="Arial"/>
        <family val="0"/>
        <charset val="1"/>
      </rPr>
      <t xml:space="preserve">SpaceX </t>
    </r>
    <r>
      <rPr>
        <sz val="9"/>
        <color rgb="FF595959"/>
        <rFont val="Noto Sans CJK SC"/>
        <family val="2"/>
      </rPr>
      <t xml:space="preserve">雲端服務合約（</t>
    </r>
    <r>
      <rPr>
        <sz val="9"/>
        <color rgb="FF595959"/>
        <rFont val="Arial"/>
        <family val="0"/>
        <charset val="1"/>
      </rPr>
      <t xml:space="preserve">219 MW-IT</t>
    </r>
    <r>
      <rPr>
        <sz val="9"/>
        <color rgb="FF595959"/>
        <rFont val="Noto Sans CJK SC"/>
        <family val="2"/>
      </rPr>
      <t xml:space="preserve">）用途未揭露，列自用（</t>
    </r>
    <r>
      <rPr>
        <sz val="9"/>
        <color rgb="FF595959"/>
        <rFont val="Arial"/>
        <family val="0"/>
        <charset val="1"/>
      </rPr>
      <t xml:space="preserve">leases.rentedCompute</t>
    </r>
    <r>
      <rPr>
        <sz val="9"/>
        <color rgb="FF595959"/>
        <rFont val="Noto Sans CJK SC"/>
        <family val="2"/>
      </rPr>
      <t xml:space="preserve">，租金入營運成本）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MAG </t>
    </r>
    <r>
      <rPr>
        <sz val="9"/>
        <color rgb="FF595959"/>
        <rFont val="Noto Sans CJK SC"/>
        <family val="2"/>
      </rPr>
      <t xml:space="preserve">對照表 </t>
    </r>
    <r>
      <rPr>
        <sz val="9"/>
        <color rgb="FF595959"/>
        <rFont val="Arial"/>
        <family val="0"/>
        <charset val="1"/>
      </rPr>
      <t xml:space="preserve">r1 C20</t>
    </r>
  </si>
  <si>
    <r>
      <rPr>
        <sz val="10"/>
        <rFont val="Noto Sans CJK SC"/>
        <family val="2"/>
      </rPr>
      <t xml:space="preserve">租用對外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（期末）</t>
    </r>
  </si>
  <si>
    <r>
      <rPr>
        <sz val="9"/>
        <color rgb="FF595959"/>
        <rFont val="Arial"/>
        <family val="0"/>
        <charset val="1"/>
      </rPr>
      <t xml:space="preserve">company.json → capexModel.rentedExt.path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C20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</si>
  <si>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租用對外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新增</t>
    </r>
  </si>
  <si>
    <r>
      <rPr>
        <sz val="9"/>
        <color rgb="FF595959"/>
        <rFont val="Noto Sans CJK SC"/>
        <family val="2"/>
      </rPr>
      <t xml:space="preserve">不需資本支出（</t>
    </r>
    <r>
      <rPr>
        <sz val="9"/>
        <color rgb="FF595959"/>
        <rFont val="Arial"/>
        <family val="0"/>
        <charset val="1"/>
      </rPr>
      <t xml:space="preserve">C20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</si>
  <si>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租用對外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次期新增</t>
    </r>
  </si>
  <si>
    <r>
      <rPr>
        <sz val="10"/>
        <rFont val="Noto Sans CJK SC"/>
        <family val="2"/>
      </rPr>
      <t xml:space="preserve">全年毛 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（公式）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</si>
  <si>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本期新增</t>
    </r>
    <r>
      <rPr>
        <sz val="9"/>
        <color rgb="FF595959"/>
        <rFont val="Arial"/>
        <family val="0"/>
        <charset val="1"/>
      </rPr>
      <t xml:space="preserve">×(1−λ)</t>
    </r>
    <r>
      <rPr>
        <sz val="9"/>
        <color rgb="FF595959"/>
        <rFont val="Noto Sans CJK SC"/>
        <family val="2"/>
      </rPr>
      <t xml:space="preserve">＋次期新增</t>
    </r>
    <r>
      <rPr>
        <sz val="9"/>
        <color rgb="FF595959"/>
        <rFont val="Arial"/>
        <family val="0"/>
        <charset val="1"/>
      </rPr>
      <t xml:space="preserve">×λ)÷ </t>
    </r>
    <r>
      <rPr>
        <sz val="9"/>
        <color rgb="FF595959"/>
        <rFont val="Noto Sans CJK SC"/>
        <family val="2"/>
      </rPr>
      <t xml:space="preserve">對外比例（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總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）− 租用對外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新增（</t>
    </r>
    <r>
      <rPr>
        <sz val="9"/>
        <color rgb="FF595959"/>
        <rFont val="Arial"/>
        <family val="0"/>
        <charset val="1"/>
      </rPr>
      <t xml:space="preserve">C20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成本（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成長型，全年）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</si>
  <si>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資本支出（全年）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</si>
  <si>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事業各線全年營收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資本支出強度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</si>
  <si>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資本支出（模型期）</t>
    </r>
  </si>
  <si>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＝全年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模型期月數 </t>
    </r>
    <r>
      <rPr>
        <sz val="9"/>
        <color rgb="FF595959"/>
        <rFont val="Arial"/>
        <family val="0"/>
        <charset val="1"/>
      </rPr>
      <t xml:space="preserve">÷ 12</t>
    </r>
  </si>
  <si>
    <r>
      <rPr>
        <sz val="10"/>
        <rFont val="Noto Sans CJK SC"/>
        <family val="2"/>
      </rPr>
      <t xml:space="preserve">成長型 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（模型期）</t>
    </r>
  </si>
  <si>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MAX(</t>
    </r>
    <r>
      <rPr>
        <sz val="9"/>
        <color rgb="FF595959"/>
        <rFont val="Noto Sans CJK SC"/>
        <family val="2"/>
      </rPr>
      <t xml:space="preserve">全年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成長型＋非 </t>
    </r>
    <r>
      <rPr>
        <sz val="9"/>
        <color rgb="FF595959"/>
        <rFont val="Arial"/>
        <family val="0"/>
        <charset val="1"/>
      </rPr>
      <t xml:space="preserve">AI, </t>
    </r>
    <r>
      <rPr>
        <sz val="9"/>
        <color rgb="FF595959"/>
        <rFont val="Noto Sans CJK SC"/>
        <family val="2"/>
      </rPr>
      <t xml:space="preserve">指引下限</t>
    </r>
    <r>
      <rPr>
        <sz val="9"/>
        <color rgb="FF595959"/>
        <rFont val="Arial"/>
        <family val="0"/>
        <charset val="1"/>
      </rPr>
      <t xml:space="preserve">) − 1H </t>
    </r>
    <r>
      <rPr>
        <sz val="9"/>
        <color rgb="FF595959"/>
        <rFont val="Noto Sans CJK SC"/>
        <family val="2"/>
      </rPr>
      <t xml:space="preserve">已認列 </t>
    </r>
    <r>
      <rPr>
        <sz val="9"/>
        <color rgb="FF595959"/>
        <rFont val="Arial"/>
        <family val="0"/>
        <charset val="1"/>
      </rPr>
      <t xml:space="preserve">80.598</t>
    </r>
    <r>
      <rPr>
        <sz val="9"/>
        <color rgb="FF595959"/>
        <rFont val="Noto Sans CJK SC"/>
        <family val="2"/>
      </rPr>
      <t xml:space="preserve">；之後＝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成長型＋非 </t>
    </r>
    <r>
      <rPr>
        <sz val="9"/>
        <color rgb="FF595959"/>
        <rFont val="Arial"/>
        <family val="0"/>
        <charset val="1"/>
      </rPr>
      <t xml:space="preserve">AI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</si>
  <si>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成長型 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（模型期）</t>
    </r>
  </si>
  <si>
    <r>
      <rPr>
        <sz val="9"/>
        <color rgb="FF595959"/>
        <rFont val="Noto Sans CJK SC"/>
        <family val="2"/>
      </rPr>
      <t xml:space="preserve">＝成長型 − 非 </t>
    </r>
    <r>
      <rPr>
        <sz val="9"/>
        <color rgb="FF595959"/>
        <rFont val="Arial"/>
        <family val="0"/>
        <charset val="1"/>
      </rPr>
      <t xml:space="preserve">AI</t>
    </r>
    <r>
      <rPr>
        <sz val="9"/>
        <color rgb="FF595959"/>
        <rFont val="Noto Sans CJK SC"/>
        <family val="2"/>
      </rPr>
      <t xml:space="preserve">（指引高於公式的差額歸 </t>
    </r>
    <r>
      <rPr>
        <sz val="9"/>
        <color rgb="FF595959"/>
        <rFont val="Arial"/>
        <family val="0"/>
        <charset val="1"/>
      </rPr>
      <t xml:space="preserve">AI</t>
    </r>
    <r>
      <rPr>
        <sz val="9"/>
        <color rgb="FF595959"/>
        <rFont val="Noto Sans CJK SC"/>
        <family val="2"/>
      </rPr>
      <t xml:space="preserve">，保守）</t>
    </r>
  </si>
  <si>
    <r>
      <rPr>
        <sz val="10"/>
        <rFont val="Noto Sans CJK SC"/>
        <family val="2"/>
      </rPr>
      <t xml:space="preserve">批次汰換 </t>
    </r>
    <r>
      <rPr>
        <sz val="10"/>
        <rFont val="Arial"/>
        <family val="0"/>
        <charset val="1"/>
      </rPr>
      <t xml:space="preserve">CapEx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</si>
  <si>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本年 − 壽命</t>
    </r>
    <r>
      <rPr>
        <sz val="9"/>
        <color rgb="FF595959"/>
        <rFont val="Arial"/>
        <family val="0"/>
        <charset val="1"/>
      </rPr>
      <t xml:space="preserve">) </t>
    </r>
    <r>
      <rPr>
        <sz val="9"/>
        <color rgb="FF595959"/>
        <rFont val="Noto Sans CJK SC"/>
        <family val="2"/>
      </rPr>
      <t xml:space="preserve">那年新增的 </t>
    </r>
    <r>
      <rPr>
        <sz val="9"/>
        <color rgb="FF595959"/>
        <rFont val="Arial"/>
        <family val="0"/>
        <charset val="1"/>
      </rPr>
      <t xml:space="preserve">MW ×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成本；取代已折舊完的設備（批次落在模型期之後則為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</si>
  <si>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穩態汰換 </t>
    </r>
    <r>
      <rPr>
        <sz val="10"/>
        <rFont val="Arial"/>
        <family val="0"/>
        <charset val="1"/>
      </rPr>
      <t xml:space="preserve">CapEx</t>
    </r>
  </si>
  <si>
    <r>
      <rPr>
        <sz val="9"/>
        <color rgb="FF595959"/>
        <rFont val="Noto Sans CJK SC"/>
        <family val="2"/>
      </rPr>
      <t xml:space="preserve">＝期間平均已連網 </t>
    </r>
    <r>
      <rPr>
        <sz val="9"/>
        <color rgb="FF595959"/>
        <rFont val="Arial"/>
        <family val="0"/>
        <charset val="1"/>
      </rPr>
      <t xml:space="preserve">MW ×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GPU </t>
    </r>
    <r>
      <rPr>
        <sz val="9"/>
        <color rgb="FF595959"/>
        <rFont val="Noto Sans CJK SC"/>
        <family val="2"/>
      </rPr>
      <t xml:space="preserve">資本支出（只含 </t>
    </r>
    <r>
      <rPr>
        <sz val="9"/>
        <color rgb="FF595959"/>
        <rFont val="Arial"/>
        <family val="0"/>
        <charset val="1"/>
      </rPr>
      <t xml:space="preserve">IT</t>
    </r>
    <r>
      <rPr>
        <sz val="9"/>
        <color rgb="FF595959"/>
        <rFont val="Noto Sans CJK SC"/>
        <family val="2"/>
      </rPr>
      <t xml:space="preserve">；建築與電力屬租賃不計）</t>
    </r>
    <r>
      <rPr>
        <sz val="9"/>
        <color rgb="FF595959"/>
        <rFont val="Arial"/>
        <family val="0"/>
        <charset val="1"/>
      </rPr>
      <t xml:space="preserve">÷ GPU </t>
    </r>
    <r>
      <rPr>
        <sz val="9"/>
        <color rgb="FF595959"/>
        <rFont val="Noto Sans CJK SC"/>
        <family val="2"/>
      </rPr>
      <t xml:space="preserve">經濟壽命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期間長度</t>
    </r>
  </si>
  <si>
    <r>
      <rPr>
        <sz val="10"/>
        <rFont val="Noto Sans CJK SC"/>
        <family val="2"/>
      </rPr>
      <t xml:space="preserve">穩態汰換旗標（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＝已連網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不再增加或終值年）</t>
    </r>
  </si>
  <si>
    <r>
      <rPr>
        <sz val="9"/>
        <color rgb="FF595959"/>
        <rFont val="Noto Sans CJK SC"/>
        <family val="2"/>
      </rPr>
      <t xml:space="preserve">觸頂後（本期新增 </t>
    </r>
    <r>
      <rPr>
        <sz val="9"/>
        <color rgb="FF595959"/>
        <rFont val="Arial"/>
        <family val="0"/>
        <charset val="1"/>
      </rPr>
      <t xml:space="preserve">MW ≤ 0</t>
    </r>
    <r>
      <rPr>
        <sz val="9"/>
        <color rgb="FF595959"/>
        <rFont val="Noto Sans CJK SC"/>
        <family val="2"/>
      </rPr>
      <t xml:space="preserve">）及終值年（</t>
    </r>
    <r>
      <rPr>
        <sz val="9"/>
        <color rgb="FF595959"/>
        <rFont val="Arial"/>
        <family val="0"/>
        <charset val="1"/>
      </rPr>
      <t xml:space="preserve">2030</t>
    </r>
    <r>
      <rPr>
        <sz val="9"/>
        <color rgb="FF595959"/>
        <rFont val="Noto Sans CJK SC"/>
        <family val="2"/>
      </rPr>
      <t xml:space="preserve">）採穩態汰換，其餘採批次汰換</t>
    </r>
  </si>
  <si>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汰換 </t>
    </r>
    <r>
      <rPr>
        <sz val="10"/>
        <rFont val="Arial"/>
        <family val="0"/>
        <charset val="1"/>
      </rPr>
      <t xml:space="preserve">CapEx</t>
    </r>
  </si>
  <si>
    <r>
      <rPr>
        <sz val="9"/>
        <color rgb="FF595959"/>
        <rFont val="Noto Sans CJK SC"/>
        <family val="2"/>
      </rPr>
      <t xml:space="preserve">＝旗標為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時取穩態汰換，否則取批次汰換；汰換不增加折舊基礎</t>
    </r>
  </si>
  <si>
    <r>
      <rPr>
        <sz val="10"/>
        <rFont val="Noto Sans CJK SC"/>
        <family val="2"/>
      </rPr>
      <t xml:space="preserve">期初毛 </t>
    </r>
    <r>
      <rPr>
        <sz val="10"/>
        <rFont val="Arial"/>
        <family val="0"/>
        <charset val="1"/>
      </rPr>
      <t xml:space="preserve">PP&amp;E</t>
    </r>
  </si>
  <si>
    <r>
      <rPr>
        <sz val="9"/>
        <color rgb="FF595959"/>
        <rFont val="Noto Sans CJK SC"/>
        <family val="2"/>
      </rPr>
      <t xml:space="preserve">之後＝前期期初＋前期成長型 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Noto Sans CJK SC"/>
        <family val="2"/>
      </rPr>
      <t xml:space="preserve">（汰換不增加基礎）</t>
    </r>
  </si>
  <si>
    <r>
      <rPr>
        <b val="true"/>
        <sz val="10"/>
        <color rgb="FF1F3864"/>
        <rFont val="Arial"/>
        <family val="0"/>
        <charset val="1"/>
      </rPr>
      <t xml:space="preserve">▸ D&amp;A </t>
    </r>
    <r>
      <rPr>
        <b val="true"/>
        <sz val="10"/>
        <color rgb="FF1F3864"/>
        <rFont val="Noto Sans CJK SC"/>
        <family val="2"/>
      </rPr>
      <t xml:space="preserve">分池（</t>
    </r>
    <r>
      <rPr>
        <b val="true"/>
        <sz val="10"/>
        <color rgb="FF1F3864"/>
        <rFont val="Arial"/>
        <family val="0"/>
        <charset val="1"/>
      </rPr>
      <t xml:space="preserve">AI</t>
    </r>
    <r>
      <rPr>
        <b val="true"/>
        <sz val="10"/>
        <color rgb="FF1F3864"/>
        <rFont val="Noto Sans CJK SC"/>
        <family val="2"/>
      </rPr>
      <t xml:space="preserve">：</t>
    </r>
    <r>
      <rPr>
        <b val="true"/>
        <sz val="10"/>
        <color rgb="FF1F3864"/>
        <rFont val="Arial"/>
        <family val="0"/>
        <charset val="1"/>
      </rPr>
      <t xml:space="preserve">IT </t>
    </r>
    <r>
      <rPr>
        <b val="true"/>
        <sz val="10"/>
        <color rgb="FF1F3864"/>
        <rFont val="Noto Sans CJK SC"/>
        <family val="2"/>
      </rPr>
      <t xml:space="preserve">依 </t>
    </r>
    <r>
      <rPr>
        <b val="true"/>
        <sz val="10"/>
        <color rgb="FF1F3864"/>
        <rFont val="Arial"/>
        <family val="0"/>
        <charset val="1"/>
      </rPr>
      <t xml:space="preserve">GPU </t>
    </r>
    <r>
      <rPr>
        <b val="true"/>
        <sz val="10"/>
        <color rgb="FF1F3864"/>
        <rFont val="Noto Sans CJK SC"/>
        <family val="2"/>
      </rPr>
      <t xml:space="preserve">壽命、機房依機房壽命；非 </t>
    </r>
    <r>
      <rPr>
        <b val="true"/>
        <sz val="10"/>
        <color rgb="FF1F3864"/>
        <rFont val="Arial"/>
        <family val="0"/>
        <charset val="1"/>
      </rPr>
      <t xml:space="preserve">AI</t>
    </r>
    <r>
      <rPr>
        <b val="true"/>
        <sz val="10"/>
        <color rgb="FF1F3864"/>
        <rFont val="Noto Sans CJK SC"/>
        <family val="2"/>
      </rPr>
      <t xml:space="preserve">：期初＝</t>
    </r>
    <r>
      <rPr>
        <b val="true"/>
        <sz val="10"/>
        <color rgb="FF1F3864"/>
        <rFont val="Arial"/>
        <family val="0"/>
        <charset val="1"/>
      </rPr>
      <t xml:space="preserve">PP&amp;E − AI </t>
    </r>
    <r>
      <rPr>
        <b val="true"/>
        <sz val="10"/>
        <color rgb="FF1F3864"/>
        <rFont val="Noto Sans CJK SC"/>
        <family val="2"/>
      </rPr>
      <t xml:space="preserve">估計，預設年限；汰換不增加基礎）</t>
    </r>
  </si>
  <si>
    <r>
      <rPr>
        <sz val="10"/>
        <rFont val="Noto Sans CJK SC"/>
        <family val="2"/>
      </rPr>
      <t xml:space="preserve">評價日自有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總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（對外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對外比例 − 租用對外）</t>
    </r>
  </si>
  <si>
    <r>
      <rPr>
        <sz val="9"/>
        <color rgb="FF595959"/>
        <rFont val="Noto Sans CJK SC"/>
        <family val="2"/>
      </rPr>
      <t xml:space="preserve">＝評價日在役對外 </t>
    </r>
    <r>
      <rPr>
        <sz val="9"/>
        <color rgb="FF595959"/>
        <rFont val="Arial"/>
        <family val="0"/>
        <charset val="1"/>
      </rPr>
      <t xml:space="preserve">AI MW ÷ </t>
    </r>
    <r>
      <rPr>
        <sz val="9"/>
        <color rgb="FF595959"/>
        <rFont val="Noto Sans CJK SC"/>
        <family val="2"/>
      </rPr>
      <t xml:space="preserve">對外比例 − 租用對外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C20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</si>
  <si>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期初 </t>
    </r>
    <r>
      <rPr>
        <sz val="10"/>
        <rFont val="Arial"/>
        <family val="0"/>
        <charset val="1"/>
      </rPr>
      <t xml:space="preserve">IT </t>
    </r>
    <r>
      <rPr>
        <sz val="10"/>
        <rFont val="Noto Sans CJK SC"/>
        <family val="2"/>
      </rPr>
      <t xml:space="preserve">毛額（估計）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</si>
  <si>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總 </t>
    </r>
    <r>
      <rPr>
        <sz val="9"/>
        <color rgb="FF595959"/>
        <rFont val="Arial"/>
        <family val="0"/>
        <charset val="1"/>
      </rPr>
      <t xml:space="preserve">MW × Σ </t>
    </r>
    <r>
      <rPr>
        <sz val="9"/>
        <color rgb="FF595959"/>
        <rFont val="Noto Sans CJK SC"/>
        <family val="2"/>
      </rPr>
      <t xml:space="preserve">期初世代占比 </t>
    </r>
    <r>
      <rPr>
        <sz val="9"/>
        <color rgb="FF595959"/>
        <rFont val="Arial"/>
        <family val="0"/>
        <charset val="1"/>
      </rPr>
      <t xml:space="preserve">× TK_CapexIT [Derived]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</si>
  <si>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期初機房毛額（估計）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</si>
  <si>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總 </t>
    </r>
    <r>
      <rPr>
        <sz val="9"/>
        <color rgb="FF595959"/>
        <rFont val="Arial"/>
        <family val="0"/>
        <charset val="1"/>
      </rPr>
      <t xml:space="preserve">MW × </t>
    </r>
    <r>
      <rPr>
        <sz val="9"/>
        <color rgb="FF595959"/>
        <rFont val="Noto Sans CJK SC"/>
        <family val="2"/>
      </rPr>
      <t xml:space="preserve">自建比例 </t>
    </r>
    <r>
      <rPr>
        <sz val="9"/>
        <color rgb="FF595959"/>
        <rFont val="Arial"/>
        <family val="0"/>
        <charset val="1"/>
      </rPr>
      <t xml:space="preserve">× Σ </t>
    </r>
    <r>
      <rPr>
        <sz val="9"/>
        <color rgb="FF595959"/>
        <rFont val="Noto Sans CJK SC"/>
        <family val="2"/>
      </rPr>
      <t xml:space="preserve">期初世代占比 </t>
    </r>
    <r>
      <rPr>
        <sz val="9"/>
        <color rgb="FF595959"/>
        <rFont val="Arial"/>
        <family val="0"/>
        <charset val="1"/>
      </rPr>
      <t xml:space="preserve">× TK_CapexFacility [Derived]</t>
    </r>
  </si>
  <si>
    <t xml:space="preserve">機房折舊年限</t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</si>
  <si>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TK_CapexFacility ÷ TK_DeprFac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Tokenomics</t>
    </r>
    <r>
      <rPr>
        <sz val="9"/>
        <color rgb="FF595959"/>
        <rFont val="Noto Sans CJK SC"/>
        <family val="2"/>
      </rPr>
      <t xml:space="preserve">；土地不折舊）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</si>
  <si>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期初 </t>
    </r>
    <r>
      <rPr>
        <sz val="10"/>
        <rFont val="Arial"/>
        <family val="0"/>
        <charset val="1"/>
      </rPr>
      <t xml:space="preserve">D&amp;A</t>
    </r>
    <r>
      <rPr>
        <sz val="10"/>
        <rFont val="Noto Sans CJK SC"/>
        <family val="2"/>
      </rPr>
      <t xml:space="preserve">（年化）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</si>
  <si>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Noto Sans CJK SC"/>
        <family val="2"/>
      </rPr>
      <t xml:space="preserve">毛額 </t>
    </r>
    <r>
      <rPr>
        <sz val="9"/>
        <color rgb="FF595959"/>
        <rFont val="Arial"/>
        <family val="0"/>
        <charset val="1"/>
      </rPr>
      <t xml:space="preserve">÷ GPU </t>
    </r>
    <r>
      <rPr>
        <sz val="9"/>
        <color rgb="FF595959"/>
        <rFont val="Noto Sans CJK SC"/>
        <family val="2"/>
      </rPr>
      <t xml:space="preserve">壽命＋機房毛額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機房年限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</si>
  <si>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期初基礎</t>
    </r>
  </si>
  <si>
    <r>
      <rPr>
        <sz val="9"/>
        <color rgb="FF595959"/>
        <rFont val="Noto Sans CJK SC"/>
        <family val="2"/>
      </rPr>
      <t xml:space="preserve">＝評價日 </t>
    </r>
    <r>
      <rPr>
        <sz val="9"/>
        <color rgb="FF595959"/>
        <rFont val="Arial"/>
        <family val="0"/>
        <charset val="1"/>
      </rPr>
      <t xml:space="preserve">PP&amp;E </t>
    </r>
    <r>
      <rPr>
        <sz val="9"/>
        <color rgb="FF595959"/>
        <rFont val="Noto Sans CJK SC"/>
        <family val="2"/>
      </rPr>
      <t xml:space="preserve">淨額 −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期初估計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</si>
  <si>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期初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淨額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毛額（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投入資本起點）</t>
    </r>
  </si>
  <si>
    <r>
      <rPr>
        <sz val="9"/>
        <color rgb="FF595959"/>
        <rFont val="Noto Sans CJK SC"/>
        <family val="2"/>
      </rPr>
      <t xml:space="preserve">期初 </t>
    </r>
    <r>
      <rPr>
        <sz val="9"/>
        <color rgb="FF595959"/>
        <rFont val="Arial"/>
        <family val="0"/>
        <charset val="1"/>
      </rPr>
      <t xml:space="preserve">AI PP&amp;E </t>
    </r>
    <r>
      <rPr>
        <sz val="9"/>
        <color rgb="FF595959"/>
        <rFont val="Noto Sans CJK SC"/>
        <family val="2"/>
      </rPr>
      <t xml:space="preserve">淨額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毛額 </t>
    </r>
    <r>
      <rPr>
        <sz val="9"/>
        <color rgb="FF595959"/>
        <rFont val="Arial"/>
        <family val="0"/>
        <charset val="1"/>
      </rPr>
      <t xml:space="preserve">75%</t>
    </r>
    <r>
      <rPr>
        <sz val="9"/>
        <color rgb="FF595959"/>
        <rFont val="Noto Sans CJK SC"/>
        <family val="2"/>
      </rPr>
      <t xml:space="preserve">（機隊多為 </t>
    </r>
    <r>
      <rPr>
        <sz val="9"/>
        <color rgb="FF595959"/>
        <rFont val="Arial"/>
        <family val="0"/>
        <charset val="1"/>
      </rPr>
      <t xml:space="preserve">2024–2026 </t>
    </r>
    <r>
      <rPr>
        <sz val="9"/>
        <color rgb="FF595959"/>
        <rFont val="Noto Sans CJK SC"/>
        <family val="2"/>
      </rPr>
      <t xml:space="preserve">建置、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Noto Sans CJK SC"/>
        <family val="2"/>
      </rPr>
      <t xml:space="preserve">壽命 </t>
    </r>
    <r>
      <rPr>
        <sz val="9"/>
        <color rgb="FF595959"/>
        <rFont val="Arial"/>
        <family val="0"/>
        <charset val="1"/>
      </rPr>
      <t xml:space="preserve">6 </t>
    </r>
    <r>
      <rPr>
        <sz val="9"/>
        <color rgb="FF595959"/>
        <rFont val="Noto Sans CJK SC"/>
        <family val="2"/>
      </rPr>
      <t xml:space="preserve">年；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60%–90%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增量 </t>
    </r>
    <r>
      <rPr>
        <sz val="9"/>
        <color rgb="FF595959"/>
        <rFont val="Arial"/>
        <family val="0"/>
        <charset val="1"/>
      </rPr>
      <t xml:space="preserve">ROIC </t>
    </r>
    <r>
      <rPr>
        <sz val="9"/>
        <color rgb="FF595959"/>
        <rFont val="Noto Sans CJK SC"/>
        <family val="2"/>
      </rPr>
      <t xml:space="preserve">的期初投入資本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</si>
  <si>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折舊年限</t>
    </r>
  </si>
  <si>
    <r>
      <rPr>
        <sz val="9"/>
        <color rgb="FF595959"/>
        <rFont val="Noto Sans CJK SC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折舊年限預設 </t>
    </r>
    <r>
      <rPr>
        <sz val="9"/>
        <color rgb="FF595959"/>
        <rFont val="Arial"/>
        <family val="0"/>
        <charset val="1"/>
      </rPr>
      <t xml:space="preserve">10 </t>
    </r>
    <r>
      <rPr>
        <sz val="9"/>
        <color rgb="FF595959"/>
        <rFont val="Noto Sans CJK SC"/>
        <family val="2"/>
      </rPr>
      <t xml:space="preserve">年（區間 </t>
    </r>
    <r>
      <rPr>
        <sz val="9"/>
        <color rgb="FF595959"/>
        <rFont val="Arial"/>
        <family val="0"/>
        <charset val="1"/>
      </rPr>
      <t xml:space="preserve">8–15 </t>
    </r>
    <r>
      <rPr>
        <sz val="9"/>
        <color rgb="FF595959"/>
        <rFont val="Noto Sans CJK SC"/>
        <family val="2"/>
      </rPr>
      <t xml:space="preserve">年）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r2 </t>
    </r>
    <r>
      <rPr>
        <sz val="9"/>
        <color rgb="FF595959"/>
        <rFont val="Noto Sans CJK SC"/>
        <family val="2"/>
      </rPr>
      <t xml:space="preserve">以合併折舊反解時退化（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期初折舊 </t>
    </r>
    <r>
      <rPr>
        <sz val="9"/>
        <color rgb="FF595959"/>
        <rFont val="Arial"/>
        <family val="0"/>
        <charset val="1"/>
      </rPr>
      <t xml:space="preserve">34.0 &gt; </t>
    </r>
    <r>
      <rPr>
        <sz val="9"/>
        <color rgb="FF595959"/>
        <rFont val="Noto Sans CJK SC"/>
        <family val="2"/>
      </rPr>
      <t xml:space="preserve">合併折舊年化 </t>
    </r>
    <r>
      <rPr>
        <sz val="9"/>
        <color rgb="FF595959"/>
        <rFont val="Arial"/>
        <family val="0"/>
        <charset val="1"/>
      </rPr>
      <t xml:space="preserve">28.4</t>
    </r>
    <r>
      <rPr>
        <sz val="9"/>
        <color rgb="FF595959"/>
        <rFont val="Noto Sans CJK SC"/>
        <family val="2"/>
      </rPr>
      <t xml:space="preserve">，年限 ≈ </t>
    </r>
    <r>
      <rPr>
        <sz val="9"/>
        <color rgb="FF595959"/>
        <rFont val="Arial"/>
        <family val="0"/>
        <charset val="1"/>
      </rPr>
      <t xml:space="preserve">7×10¹⁰ </t>
    </r>
    <r>
      <rPr>
        <sz val="9"/>
        <color rgb="FF595959"/>
        <rFont val="Noto Sans CJK SC"/>
        <family val="2"/>
      </rPr>
      <t xml:space="preserve">年），</t>
    </r>
    <r>
      <rPr>
        <sz val="9"/>
        <color rgb="FF595959"/>
        <rFont val="Arial"/>
        <family val="0"/>
        <charset val="1"/>
      </rPr>
      <t xml:space="preserve">MAG </t>
    </r>
    <r>
      <rPr>
        <sz val="9"/>
        <color rgb="FF595959"/>
        <rFont val="Noto Sans CJK SC"/>
        <family val="2"/>
      </rPr>
      <t xml:space="preserve">對照表 </t>
    </r>
    <r>
      <rPr>
        <sz val="9"/>
        <color rgb="FF595959"/>
        <rFont val="Arial"/>
        <family val="0"/>
        <charset val="1"/>
      </rPr>
      <t xml:space="preserve">r1 C17 </t>
    </r>
    <r>
      <rPr>
        <sz val="9"/>
        <color rgb="FF595959"/>
        <rFont val="Noto Sans CJK SC"/>
        <family val="2"/>
      </rPr>
      <t xml:space="preserve">改為預設年限，差額列 </t>
    </r>
    <r>
      <rPr>
        <sz val="9"/>
        <color rgb="FF595959"/>
        <rFont val="Arial"/>
        <family val="0"/>
        <charset val="1"/>
      </rPr>
      <t xml:space="preserve">D&amp;A </t>
    </r>
    <r>
      <rPr>
        <sz val="9"/>
        <color rgb="FF595959"/>
        <rFont val="Noto Sans CJK SC"/>
        <family val="2"/>
      </rPr>
      <t xml:space="preserve">對帳殘差（</t>
    </r>
    <r>
      <rPr>
        <sz val="9"/>
        <color rgb="FF595959"/>
        <rFont val="Arial"/>
        <family val="0"/>
        <charset val="1"/>
      </rPr>
      <t xml:space="preserve">10-K</t>
    </r>
    <r>
      <rPr>
        <sz val="9"/>
        <color rgb="FF595959"/>
        <rFont val="Noto Sans CJK SC"/>
        <family val="2"/>
      </rPr>
      <t xml:space="preserve">：伺服器與網通設備 </t>
    </r>
    <r>
      <rPr>
        <sz val="9"/>
        <color rgb="FF595959"/>
        <rFont val="Arial"/>
        <family val="0"/>
        <charset val="1"/>
      </rPr>
      <t xml:space="preserve">6 </t>
    </r>
    <r>
      <rPr>
        <sz val="9"/>
        <color rgb="FF595959"/>
        <rFont val="Noto Sans CJK SC"/>
        <family val="2"/>
      </rPr>
      <t xml:space="preserve">年、資料中心與辦公建築 </t>
    </r>
    <r>
      <rPr>
        <sz val="9"/>
        <color rgb="FF595959"/>
        <rFont val="Arial"/>
        <family val="0"/>
        <charset val="1"/>
      </rPr>
      <t xml:space="preserve">7–40 </t>
    </r>
    <r>
      <rPr>
        <sz val="9"/>
        <color rgb="FF595959"/>
        <rFont val="Noto Sans CJK SC"/>
        <family val="2"/>
      </rPr>
      <t xml:space="preserve">年）（</t>
    </r>
    <r>
      <rPr>
        <sz val="9"/>
        <color rgb="FF595959"/>
        <rFont val="Arial"/>
        <family val="0"/>
        <charset val="1"/>
      </rPr>
      <t xml:space="preserve">MAG </t>
    </r>
    <r>
      <rPr>
        <sz val="9"/>
        <color rgb="FF595959"/>
        <rFont val="Noto Sans CJK SC"/>
        <family val="2"/>
      </rPr>
      <t xml:space="preserve">對照表 </t>
    </r>
    <r>
      <rPr>
        <sz val="9"/>
        <color rgb="FF595959"/>
        <rFont val="Arial"/>
        <family val="0"/>
        <charset val="1"/>
      </rPr>
      <t xml:space="preserve">r1 C17</t>
    </r>
    <r>
      <rPr>
        <sz val="9"/>
        <color rgb="FF595959"/>
        <rFont val="Noto Sans CJK SC"/>
        <family val="2"/>
      </rPr>
      <t xml:space="preserve">：不再以分部 </t>
    </r>
    <r>
      <rPr>
        <sz val="9"/>
        <color rgb="FF595959"/>
        <rFont val="Arial"/>
        <family val="0"/>
        <charset val="1"/>
      </rPr>
      <t xml:space="preserve">D&amp;A </t>
    </r>
    <r>
      <rPr>
        <sz val="9"/>
        <color rgb="FF595959"/>
        <rFont val="Noto Sans CJK SC"/>
        <family val="2"/>
      </rPr>
      <t xml:space="preserve">反解）</t>
    </r>
  </si>
  <si>
    <r>
      <rPr>
        <sz val="10"/>
        <rFont val="Arial"/>
        <family val="0"/>
        <charset val="1"/>
      </rPr>
      <t xml:space="preserve">D&amp;A </t>
    </r>
    <r>
      <rPr>
        <sz val="10"/>
        <rFont val="Noto Sans CJK SC"/>
        <family val="2"/>
      </rPr>
      <t xml:space="preserve">對帳殘差（分部 </t>
    </r>
    <r>
      <rPr>
        <sz val="10"/>
        <rFont val="Arial"/>
        <family val="0"/>
        <charset val="1"/>
      </rPr>
      <t xml:space="preserve">D&amp;A </t>
    </r>
    <r>
      <rPr>
        <sz val="10"/>
        <rFont val="Noto Sans CJK SC"/>
        <family val="2"/>
      </rPr>
      <t xml:space="preserve">年化 −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期初 </t>
    </r>
    <r>
      <rPr>
        <sz val="10"/>
        <rFont val="Arial"/>
        <family val="0"/>
        <charset val="1"/>
      </rPr>
      <t xml:space="preserve">D&amp;A −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期初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年限）</t>
    </r>
  </si>
  <si>
    <r>
      <rPr>
        <sz val="9"/>
        <color rgb="FF595959"/>
        <rFont val="Noto Sans CJK SC"/>
        <family val="2"/>
      </rPr>
      <t xml:space="preserve">不回填：正值＝模型 </t>
    </r>
    <r>
      <rPr>
        <sz val="9"/>
        <color rgb="FF595959"/>
        <rFont val="Arial"/>
        <family val="0"/>
        <charset val="1"/>
      </rPr>
      <t xml:space="preserve">D&amp;A </t>
    </r>
    <r>
      <rPr>
        <sz val="9"/>
        <color rgb="FF595959"/>
        <rFont val="Noto Sans CJK SC"/>
        <family val="2"/>
      </rPr>
      <t xml:space="preserve">低於公司實際（年限偏長或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期初估計偏低）；檢查頁示警（</t>
    </r>
    <r>
      <rPr>
        <sz val="9"/>
        <color rgb="FF595959"/>
        <rFont val="Arial"/>
        <family val="0"/>
        <charset val="1"/>
      </rPr>
      <t xml:space="preserve">C17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</si>
  <si>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AI IT </t>
    </r>
    <r>
      <rPr>
        <sz val="10"/>
        <rFont val="Noto Sans CJK SC"/>
        <family val="2"/>
      </rPr>
      <t xml:space="preserve">期初基礎</t>
    </r>
  </si>
  <si>
    <r>
      <rPr>
        <sz val="9"/>
        <color rgb="FF595959"/>
        <rFont val="Noto Sans CJK SC"/>
        <family val="2"/>
      </rPr>
      <t xml:space="preserve">＝前期＋前期投入使用的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成長型 </t>
    </r>
    <r>
      <rPr>
        <sz val="9"/>
        <color rgb="FF595959"/>
        <rFont val="Arial"/>
        <family val="0"/>
        <charset val="1"/>
      </rPr>
      <t xml:space="preserve">× IT </t>
    </r>
    <r>
      <rPr>
        <sz val="9"/>
        <color rgb="FF595959"/>
        <rFont val="Noto Sans CJK SC"/>
        <family val="2"/>
      </rPr>
      <t xml:space="preserve">占比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</si>
  <si>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機房期初基礎</t>
    </r>
  </si>
  <si>
    <r>
      <rPr>
        <sz val="9"/>
        <color rgb="FF595959"/>
        <rFont val="Noto Sans CJK SC"/>
        <family val="2"/>
      </rPr>
      <t xml:space="preserve">＝前期＋前期投入使用的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成長型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機房占比</t>
    </r>
  </si>
  <si>
    <t xml:space="preserve">AI D&amp;A</t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</si>
  <si>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[(IT </t>
    </r>
    <r>
      <rPr>
        <sz val="9"/>
        <color rgb="FF595959"/>
        <rFont val="Noto Sans CJK SC"/>
        <family val="2"/>
      </rPr>
      <t xml:space="preserve">期初＋本期 </t>
    </r>
    <r>
      <rPr>
        <sz val="9"/>
        <color rgb="FF595959"/>
        <rFont val="Arial"/>
        <family val="0"/>
        <charset val="1"/>
      </rPr>
      <t xml:space="preserve">IT × ½) ÷ GPU </t>
    </r>
    <r>
      <rPr>
        <sz val="9"/>
        <color rgb="FF595959"/>
        <rFont val="Noto Sans CJK SC"/>
        <family val="2"/>
      </rPr>
      <t xml:space="preserve">壽命＋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機房期初＋本期機房 </t>
    </r>
    <r>
      <rPr>
        <sz val="9"/>
        <color rgb="FF595959"/>
        <rFont val="Arial"/>
        <family val="0"/>
        <charset val="1"/>
      </rPr>
      <t xml:space="preserve">× ½) ÷ </t>
    </r>
    <r>
      <rPr>
        <sz val="9"/>
        <color rgb="FF595959"/>
        <rFont val="Noto Sans CJK SC"/>
        <family val="2"/>
      </rPr>
      <t xml:space="preserve">機房年限</t>
    </r>
    <r>
      <rPr>
        <sz val="9"/>
        <color rgb="FF595959"/>
        <rFont val="Arial"/>
        <family val="0"/>
        <charset val="1"/>
      </rPr>
      <t xml:space="preserve">] × </t>
    </r>
    <r>
      <rPr>
        <sz val="9"/>
        <color rgb="FF595959"/>
        <rFont val="Noto Sans CJK SC"/>
        <family val="2"/>
      </rPr>
      <t xml:space="preserve">期間長度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</si>
  <si>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期初基礎（各期）</t>
    </r>
  </si>
  <si>
    <r>
      <rPr>
        <sz val="9"/>
        <color rgb="FF595959"/>
        <rFont val="Noto Sans CJK SC"/>
        <family val="2"/>
      </rPr>
      <t xml:space="preserve">＝前期＋前期非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資本支出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</si>
  <si>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D&amp;A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</si>
  <si>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期初＋本期 </t>
    </r>
    <r>
      <rPr>
        <sz val="9"/>
        <color rgb="FF595959"/>
        <rFont val="Arial"/>
        <family val="0"/>
        <charset val="1"/>
      </rPr>
      <t xml:space="preserve">× ½) ÷ </t>
    </r>
    <r>
      <rPr>
        <sz val="9"/>
        <color rgb="FF595959"/>
        <rFont val="Noto Sans CJK SC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折舊年限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期間長度</t>
    </r>
  </si>
  <si>
    <r>
      <rPr>
        <b val="true"/>
        <sz val="10"/>
        <color rgb="FF1F3864"/>
        <rFont val="Arial"/>
        <family val="0"/>
        <charset val="1"/>
      </rPr>
      <t xml:space="preserve">▸ CapEx </t>
    </r>
    <r>
      <rPr>
        <b val="true"/>
        <sz val="10"/>
        <color rgb="FF1F3864"/>
        <rFont val="Noto Sans CJK SC"/>
        <family val="2"/>
      </rPr>
      <t xml:space="preserve">與折舊（結果；下游引用）</t>
    </r>
  </si>
  <si>
    <r>
      <rPr>
        <sz val="10"/>
        <rFont val="Noto Sans CJK SC"/>
        <family val="2"/>
      </rPr>
      <t xml:space="preserve">毛 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（模型期，下游引用此列）</t>
    </r>
  </si>
  <si>
    <t xml:space="preserve">＝成長型＋汰換</t>
  </si>
  <si>
    <r>
      <rPr>
        <sz val="10"/>
        <rFont val="Arial"/>
        <family val="0"/>
        <charset val="1"/>
      </rPr>
      <t xml:space="preserve">D&amp;A</t>
    </r>
    <r>
      <rPr>
        <sz val="10"/>
        <rFont val="Noto Sans CJK SC"/>
        <family val="2"/>
      </rPr>
      <t xml:space="preserve">（車隊折舊）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</si>
  <si>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AI D&amp;A</t>
    </r>
    <r>
      <rPr>
        <sz val="9"/>
        <color rgb="FF595959"/>
        <rFont val="Noto Sans CJK SC"/>
        <family val="2"/>
      </rPr>
      <t xml:space="preserve">＋非 </t>
    </r>
    <r>
      <rPr>
        <sz val="9"/>
        <color rgb="FF595959"/>
        <rFont val="Arial"/>
        <family val="0"/>
        <charset val="1"/>
      </rPr>
      <t xml:space="preserve">AI D&amp;A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D&amp;A </t>
    </r>
    <r>
      <rPr>
        <sz val="9"/>
        <color rgb="FF595959"/>
        <rFont val="Noto Sans CJK SC"/>
        <family val="2"/>
      </rPr>
      <t xml:space="preserve">分池；不含其他攤銷）</t>
    </r>
  </si>
  <si>
    <r>
      <rPr>
        <b val="true"/>
        <sz val="10"/>
        <rFont val="Arial"/>
        <family val="0"/>
        <charset val="1"/>
      </rPr>
      <t xml:space="preserve">E</t>
    </r>
    <r>
      <rPr>
        <b val="true"/>
        <sz val="10"/>
        <rFont val="Noto Sans CJK SC"/>
        <family val="2"/>
      </rPr>
      <t xml:space="preserve">｜融資（期初現金、既有債務、瀑布參數）</t>
    </r>
  </si>
  <si>
    <r>
      <rPr>
        <sz val="10"/>
        <rFont val="Noto Sans CJK SC"/>
        <family val="2"/>
      </rPr>
      <t xml:space="preserve">期初現金（</t>
    </r>
    <r>
      <rPr>
        <sz val="10"/>
        <rFont val="Arial"/>
        <family val="0"/>
        <charset val="1"/>
      </rPr>
      <t xml:space="preserve">2026-06-30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</si>
  <si>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季報現金 </t>
    </r>
    <r>
      <rPr>
        <sz val="9"/>
        <color rgb="FF595959"/>
        <rFont val="Arial"/>
        <family val="0"/>
        <charset val="1"/>
      </rPr>
      <t xml:space="preserve">55.911</t>
    </r>
    <r>
      <rPr>
        <sz val="9"/>
        <color rgb="FF595959"/>
        <rFont val="Noto Sans CJK SC"/>
        <family val="2"/>
      </rPr>
      <t xml:space="preserve">；受限現金 </t>
    </r>
    <r>
      <rPr>
        <sz val="9"/>
        <color rgb="FF595959"/>
        <rFont val="Arial"/>
        <family val="0"/>
        <charset val="1"/>
      </rPr>
      <t xml:space="preserve">0.0 </t>
    </r>
    <r>
      <rPr>
        <sz val="9"/>
        <color rgb="FF595959"/>
        <rFont val="Noto Sans CJK SC"/>
        <family val="2"/>
      </rPr>
      <t xml:space="preserve">與有價證券 </t>
    </r>
    <r>
      <rPr>
        <sz val="9"/>
        <color rgb="FF595959"/>
        <rFont val="Arial"/>
        <family val="0"/>
        <charset val="1"/>
      </rPr>
      <t xml:space="preserve">99.5 </t>
    </r>
    <r>
      <rPr>
        <sz val="9"/>
        <color rgb="FF595959"/>
        <rFont val="Noto Sans CJK SC"/>
        <family val="2"/>
      </rPr>
      <t xml:space="preserve">不計 </t>
    </r>
    <r>
      <rPr>
        <sz val="9"/>
        <color rgb="FF595959"/>
        <rFont val="Arial"/>
        <family val="0"/>
        <charset val="1"/>
      </rPr>
      <t xml:space="preserve">[Interested-party]</t>
    </r>
  </si>
  <si>
    <t xml:space="preserve">股權／可轉債金額</t>
  </si>
  <si>
    <r>
      <rPr>
        <sz val="9"/>
        <color rgb="FF595959"/>
        <rFont val="Noto Sans CJK SC"/>
        <family val="2"/>
      </rPr>
      <t xml:space="preserve">評價日後已完成的股權／可轉債淨額（</t>
    </r>
    <r>
      <rPr>
        <sz val="9"/>
        <color rgb="FF595959"/>
        <rFont val="Arial"/>
        <family val="0"/>
        <charset val="1"/>
      </rPr>
      <t xml:space="preserve">company.json → defaults.atm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</si>
  <si>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計入股權／可轉債（</t>
    </r>
    <r>
      <rPr>
        <sz val="10"/>
        <rFont val="Arial"/>
        <family val="0"/>
        <charset val="1"/>
      </rPr>
      <t xml:space="preserve">1=</t>
    </r>
    <r>
      <rPr>
        <sz val="10"/>
        <rFont val="Noto Sans CJK SC"/>
        <family val="2"/>
      </rPr>
      <t xml:space="preserve">是）</t>
    </r>
  </si>
  <si>
    <r>
      <rPr>
        <sz val="9"/>
        <color rgb="FF595959"/>
        <rFont val="Noto Sans CJK SC"/>
        <family val="2"/>
      </rPr>
      <t xml:space="preserve">關閉則首期少 </t>
    </r>
    <r>
      <rPr>
        <sz val="9"/>
        <color rgb="FF595959"/>
        <rFont val="Arial"/>
        <family val="0"/>
        <charset val="1"/>
      </rPr>
      <t xml:space="preserve">0.0bn </t>
    </r>
    <r>
      <rPr>
        <sz val="9"/>
        <color rgb="FF595959"/>
        <rFont val="Noto Sans CJK SC"/>
        <family val="2"/>
      </rPr>
      <t xml:space="preserve">來源</t>
    </r>
  </si>
  <si>
    <t xml:space="preserve">未動用信用額度</t>
  </si>
  <si>
    <r>
      <rPr>
        <sz val="9"/>
        <color rgb="FF595959"/>
        <rFont val="Noto Sans CJK SC"/>
        <family val="2"/>
      </rPr>
      <t xml:space="preserve">信用額度 </t>
    </r>
    <r>
      <rPr>
        <sz val="9"/>
        <color rgb="FF595959"/>
        <rFont val="Arial"/>
        <family val="0"/>
        <charset val="1"/>
      </rPr>
      <t xml:space="preserve">11.7B</t>
    </r>
    <r>
      <rPr>
        <sz val="9"/>
        <color rgb="FF595959"/>
        <rFont val="Noto Sans CJK SC"/>
        <family val="2"/>
      </rPr>
      <t xml:space="preserve">（已動用 </t>
    </r>
    <r>
      <rPr>
        <sz val="9"/>
        <color rgb="FF595959"/>
        <rFont val="Arial"/>
        <family val="0"/>
        <charset val="1"/>
      </rPr>
      <t xml:space="preserve">1.3B</t>
    </r>
    <r>
      <rPr>
        <sz val="9"/>
        <color rgb="FF595959"/>
        <rFont val="Noto Sans CJK SC"/>
        <family val="2"/>
      </rPr>
      <t xml:space="preserve">）；商業本票額度 </t>
    </r>
    <r>
      <rPr>
        <sz val="9"/>
        <color rgb="FF595959"/>
        <rFont val="Arial"/>
        <family val="0"/>
        <charset val="1"/>
      </rPr>
      <t xml:space="preserve">25B </t>
    </r>
    <r>
      <rPr>
        <sz val="9"/>
        <color rgb="FF595959"/>
        <rFont val="Noto Sans CJK SC"/>
        <family val="2"/>
      </rPr>
      <t xml:space="preserve">未動用 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</si>
  <si>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Noto Sans CJK SC"/>
        <family val="2"/>
      </rPr>
      <t xml:space="preserve">瀑布可動用未動用額度（</t>
    </r>
    <r>
      <rPr>
        <sz val="10"/>
        <rFont val="Arial"/>
        <family val="0"/>
        <charset val="1"/>
      </rPr>
      <t xml:space="preserve">1=</t>
    </r>
    <r>
      <rPr>
        <sz val="10"/>
        <rFont val="Noto Sans CJK SC"/>
        <family val="2"/>
      </rPr>
      <t xml:space="preserve">是）</t>
    </r>
  </si>
  <si>
    <r>
      <rPr>
        <sz val="9"/>
        <color rgb="FF595959"/>
        <rFont val="Noto Sans CJK SC"/>
        <family val="2"/>
      </rPr>
      <t xml:space="preserve">瀑布第一順位；已承諾額度，不受 債務／</t>
    </r>
    <r>
      <rPr>
        <sz val="9"/>
        <color rgb="FF595959"/>
        <rFont val="Arial"/>
        <family val="0"/>
        <charset val="1"/>
      </rPr>
      <t xml:space="preserve">backlog </t>
    </r>
    <r>
      <rPr>
        <sz val="9"/>
        <color rgb="FF595959"/>
        <rFont val="Noto Sans CJK SC"/>
        <family val="2"/>
      </rPr>
      <t xml:space="preserve">上限限制</t>
    </r>
  </si>
  <si>
    <r>
      <rPr>
        <sz val="10"/>
        <rFont val="Noto Sans CJK SC"/>
        <family val="2"/>
      </rPr>
      <t xml:space="preserve">債務排程攤還（</t>
    </r>
    <r>
      <rPr>
        <sz val="10"/>
        <rFont val="Arial"/>
        <family val="0"/>
        <charset val="1"/>
      </rPr>
      <t xml:space="preserve">1=</t>
    </r>
    <r>
      <rPr>
        <sz val="10"/>
        <rFont val="Noto Sans CJK SC"/>
        <family val="2"/>
      </rPr>
      <t xml:space="preserve">開）</t>
    </r>
  </si>
  <si>
    <t xml:space="preserve">季報到期表；關閉＝假設全額再融資</t>
  </si>
  <si>
    <r>
      <rPr>
        <sz val="10"/>
        <rFont val="Noto Sans CJK SC"/>
        <family val="2"/>
      </rPr>
      <t xml:space="preserve">債務／</t>
    </r>
    <r>
      <rPr>
        <sz val="10"/>
        <rFont val="Arial"/>
        <family val="0"/>
        <charset val="1"/>
      </rPr>
      <t xml:space="preserve">backlog </t>
    </r>
    <r>
      <rPr>
        <sz val="10"/>
        <rFont val="Noto Sans CJK SC"/>
        <family val="2"/>
      </rPr>
      <t xml:space="preserve">上限</t>
    </r>
  </si>
  <si>
    <r>
      <rPr>
        <sz val="9"/>
        <color rgb="FF595959"/>
        <rFont val="Noto Sans CJK SC"/>
        <family val="2"/>
      </rPr>
      <t xml:space="preserve">資產擔保融資容量：總債務 ≤ 此倍數 </t>
    </r>
    <r>
      <rPr>
        <sz val="9"/>
        <color rgb="FF595959"/>
        <rFont val="Arial"/>
        <family val="0"/>
        <charset val="1"/>
      </rPr>
      <t xml:space="preserve">× backlog</t>
    </r>
    <r>
      <rPr>
        <sz val="9"/>
        <color rgb="FF595959"/>
        <rFont val="Noto Sans CJK SC"/>
        <family val="2"/>
      </rPr>
      <t xml:space="preserve">；評價日實際約 </t>
    </r>
    <r>
      <rPr>
        <sz val="9"/>
        <color rgb="FF595959"/>
        <rFont val="Arial"/>
        <family val="0"/>
        <charset val="1"/>
      </rPr>
      <t xml:space="preserve">0.27x</t>
    </r>
    <r>
      <rPr>
        <sz val="9"/>
        <color rgb="FF595959"/>
        <rFont val="Noto Sans CJK SC"/>
        <family val="2"/>
      </rPr>
      <t xml:space="preserve">，預設 </t>
    </r>
    <r>
      <rPr>
        <sz val="9"/>
        <color rgb="FF595959"/>
        <rFont val="Arial"/>
        <family val="0"/>
        <charset val="1"/>
      </rPr>
      <t xml:space="preserve">0.5x [Assumed]</t>
    </r>
  </si>
  <si>
    <r>
      <rPr>
        <sz val="10"/>
        <rFont val="Noto Sans CJK SC"/>
        <family val="2"/>
      </rPr>
      <t xml:space="preserve">債務上限基準（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＝總債務 </t>
    </r>
    <r>
      <rPr>
        <sz val="10"/>
        <rFont val="Arial"/>
        <family val="0"/>
        <charset val="1"/>
      </rPr>
      <t xml:space="preserve">÷ EBITDA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backlog</t>
    </r>
    <r>
      <rPr>
        <sz val="10"/>
        <rFont val="Noto Sans CJK SC"/>
        <family val="2"/>
      </rPr>
      <t xml:space="preserve">＝債務 </t>
    </r>
    <r>
      <rPr>
        <sz val="10"/>
        <rFont val="Arial"/>
        <family val="0"/>
        <charset val="1"/>
      </rPr>
      <t xml:space="preserve">÷ backlog</t>
    </r>
    <r>
      <rPr>
        <sz val="10"/>
        <rFont val="Noto Sans CJK SC"/>
        <family val="2"/>
      </rPr>
      <t xml:space="preserve">）</t>
    </r>
  </si>
  <si>
    <t xml:space="preserve">leaseAdj</t>
  </si>
  <si>
    <r>
      <rPr>
        <sz val="9"/>
        <color rgb="FF595959"/>
        <rFont val="Arial"/>
        <family val="0"/>
        <charset val="1"/>
      </rPr>
      <t xml:space="preserve">v0.2</t>
    </r>
    <r>
      <rPr>
        <sz val="9"/>
        <color rgb="FF595959"/>
        <rFont val="Noto Sans CJK SC"/>
        <family val="2"/>
      </rPr>
      <t xml:space="preserve">：另有 </t>
    </r>
    <r>
      <rPr>
        <sz val="9"/>
        <color rgb="FF595959"/>
        <rFont val="Arial"/>
        <family val="0"/>
        <charset val="1"/>
      </rPr>
      <t xml:space="preserve">leaseAdj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債務＋租賃負債</t>
    </r>
    <r>
      <rPr>
        <sz val="9"/>
        <color rgb="FF595959"/>
        <rFont val="Arial"/>
        <family val="0"/>
        <charset val="1"/>
      </rPr>
      <t xml:space="preserve">) ÷ (EBITDA</t>
    </r>
    <r>
      <rPr>
        <sz val="9"/>
        <color rgb="FF595959"/>
        <rFont val="Noto Sans CJK SC"/>
        <family val="2"/>
      </rPr>
      <t xml:space="preserve">＋租金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（租賃調整後槓桿，</t>
    </r>
    <r>
      <rPr>
        <sz val="9"/>
        <color rgb="FF595959"/>
        <rFont val="Arial"/>
        <family val="0"/>
        <charset val="1"/>
      </rPr>
      <t xml:space="preserve">S&amp;P </t>
    </r>
    <r>
      <rPr>
        <sz val="9"/>
        <color rgb="FF595959"/>
        <rFont val="Noto Sans CJK SC"/>
        <family val="2"/>
      </rPr>
      <t xml:space="preserve">口徑近似；租賃負債見『各期收支』）。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欄名稱沿用 </t>
    </r>
    <r>
      <rPr>
        <sz val="9"/>
        <color rgb="FF595959"/>
        <rFont val="Arial"/>
        <family val="0"/>
        <charset val="1"/>
      </rPr>
      <t xml:space="preserve">v0.1</t>
    </r>
    <r>
      <rPr>
        <sz val="9"/>
        <color rgb="FF595959"/>
        <rFont val="Noto Sans CJK SC"/>
        <family val="2"/>
      </rPr>
      <t xml:space="preserve">（本頁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區既有重複表頭，改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欄會使 </t>
    </r>
    <r>
      <rPr>
        <sz val="9"/>
        <color rgb="FF595959"/>
        <rFont val="Arial"/>
        <family val="0"/>
        <charset val="1"/>
      </rPr>
      <t xml:space="preserve">--vs-dist </t>
    </r>
    <r>
      <rPr>
        <sz val="9"/>
        <color rgb="FF595959"/>
        <rFont val="Noto Sans CJK SC"/>
        <family val="2"/>
      </rPr>
      <t xml:space="preserve">無法配對）；</t>
    </r>
    <r>
      <rPr>
        <sz val="9"/>
        <color rgb="FF595959"/>
        <rFont val="Arial"/>
        <family val="0"/>
        <charset val="1"/>
      </rPr>
      <t xml:space="preserve">company.json → defaults.debtCapBasis</t>
    </r>
  </si>
  <si>
    <r>
      <rPr>
        <sz val="10"/>
        <rFont val="Noto Sans CJK SC"/>
        <family val="2"/>
      </rPr>
      <t xml:space="preserve">投資級上限（總債務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當期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</si>
  <si>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v0.2</t>
    </r>
    <r>
      <rPr>
        <sz val="9"/>
        <color rgb="FF595959"/>
        <rFont val="Noto Sans CJK SC"/>
        <family val="2"/>
      </rPr>
      <t xml:space="preserve">：基準為 </t>
    </r>
    <r>
      <rPr>
        <sz val="9"/>
        <color rgb="FF595959"/>
        <rFont val="Arial"/>
        <family val="0"/>
        <charset val="1"/>
      </rPr>
      <t xml:space="preserve">leaseAdj </t>
    </r>
    <r>
      <rPr>
        <sz val="9"/>
        <color rgb="FF595959"/>
        <rFont val="Noto Sans CJK SC"/>
        <family val="2"/>
      </rPr>
      <t xml:space="preserve">時本格＝調整後槓桿 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債務＋租賃負債</t>
    </r>
    <r>
      <rPr>
        <sz val="9"/>
        <color rgb="FF595959"/>
        <rFont val="Arial"/>
        <family val="0"/>
        <charset val="1"/>
      </rPr>
      <t xml:space="preserve">) ÷ (EBITDA</t>
    </r>
    <r>
      <rPr>
        <sz val="9"/>
        <color rgb="FF595959"/>
        <rFont val="Noto Sans CJK SC"/>
        <family val="2"/>
      </rPr>
      <t xml:space="preserve">＋租金</t>
    </r>
    <r>
      <rPr>
        <sz val="9"/>
        <color rgb="FF595959"/>
        <rFont val="Arial"/>
        <family val="0"/>
        <charset val="1"/>
      </rPr>
      <t xml:space="preserve">) </t>
    </r>
    <r>
      <rPr>
        <sz val="9"/>
        <color rgb="FF595959"/>
        <rFont val="Noto Sans CJK SC"/>
        <family val="2"/>
      </rPr>
      <t xml:space="preserve">的上限。</t>
    </r>
    <r>
      <rPr>
        <sz val="9"/>
        <color rgb="FF595959"/>
        <rFont val="Arial"/>
        <family val="0"/>
        <charset val="1"/>
      </rPr>
      <t xml:space="preserve">S&amp;P BBB- </t>
    </r>
    <r>
      <rPr>
        <sz val="9"/>
        <color rgb="FF595959"/>
        <rFont val="Noto Sans CJK SC"/>
        <family val="2"/>
      </rPr>
      <t xml:space="preserve">降評門檻：調整後槓桿持續 </t>
    </r>
    <r>
      <rPr>
        <sz val="9"/>
        <color rgb="FF595959"/>
        <rFont val="Arial"/>
        <family val="0"/>
        <charset val="1"/>
      </rPr>
      <t xml:space="preserve">&gt;4.5×</t>
    </r>
    <r>
      <rPr>
        <sz val="9"/>
        <color rgb="FF595959"/>
        <rFont val="Noto Sans CJK SC"/>
        <family val="2"/>
      </rPr>
      <t xml:space="preserve">（事實總帳 </t>
    </r>
    <r>
      <rPr>
        <sz val="9"/>
        <color rgb="FF595959"/>
        <rFont val="Arial"/>
        <family val="0"/>
        <charset val="1"/>
      </rPr>
      <t xml:space="preserve">rating.sp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[Interested-party] </t>
    </r>
    <r>
      <rPr>
        <sz val="9"/>
        <color rgb="FF595959"/>
        <rFont val="Noto Sans CJK SC"/>
        <family val="2"/>
      </rPr>
      <t xml:space="preserve">二手轉述）；敏感度 </t>
    </r>
    <r>
      <rPr>
        <sz val="9"/>
        <color rgb="FF595959"/>
        <rFont val="Arial"/>
        <family val="0"/>
        <charset val="1"/>
      </rPr>
      <t xml:space="preserve">4.0×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5.0×</t>
    </r>
    <r>
      <rPr>
        <sz val="9"/>
        <color rgb="FF595959"/>
        <rFont val="Noto Sans CJK SC"/>
        <family val="2"/>
      </rPr>
      <t xml:space="preserve">；超過部分走股權再走高息債</t>
    </r>
  </si>
  <si>
    <t xml:space="preserve">新簽合約年期</t>
  </si>
  <si>
    <r>
      <rPr>
        <sz val="9"/>
        <color rgb="FF595959"/>
        <rFont val="Arial"/>
        <family val="0"/>
        <charset val="1"/>
      </rPr>
      <t xml:space="preserve">backlog </t>
    </r>
    <r>
      <rPr>
        <sz val="9"/>
        <color rgb="FF595959"/>
        <rFont val="Noto Sans CJK SC"/>
        <family val="2"/>
      </rPr>
      <t xml:space="preserve">上限模式用：新簽約以此年期補入 </t>
    </r>
    <r>
      <rPr>
        <sz val="9"/>
        <color rgb="FF595959"/>
        <rFont val="Arial"/>
        <family val="0"/>
        <charset val="1"/>
      </rPr>
      <t xml:space="preserve">backlog [Assumed]</t>
    </r>
  </si>
  <si>
    <t xml:space="preserve">普通股股利（每股每季）</t>
  </si>
  <si>
    <r>
      <rPr>
        <sz val="9"/>
        <color rgb="FF595959"/>
        <rFont val="Noto Sans CJK SC"/>
        <family val="2"/>
      </rPr>
      <t xml:space="preserve">普通股股利＝每股每季 </t>
    </r>
    <r>
      <rPr>
        <sz val="9"/>
        <color rgb="FF595959"/>
        <rFont val="Arial"/>
        <family val="0"/>
        <charset val="1"/>
      </rPr>
      <t xml:space="preserve">$0.22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2026-04 </t>
    </r>
    <r>
      <rPr>
        <sz val="9"/>
        <color rgb="FF595959"/>
        <rFont val="Noto Sans CJK SC"/>
        <family val="2"/>
      </rPr>
      <t xml:space="preserve">起）</t>
    </r>
    <r>
      <rPr>
        <sz val="9"/>
        <color rgb="FF595959"/>
        <rFont val="Arial"/>
        <family val="0"/>
        <charset val="1"/>
      </rPr>
      <t xml:space="preserve">× 4 × </t>
    </r>
    <r>
      <rPr>
        <sz val="9"/>
        <color rgb="FF595959"/>
        <rFont val="Noto Sans CJK SC"/>
        <family val="2"/>
      </rPr>
      <t xml:space="preserve">期間長度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期初股數（基礎 </t>
    </r>
    <r>
      <rPr>
        <sz val="9"/>
        <color rgb="FF595959"/>
        <rFont val="Arial"/>
        <family val="0"/>
        <charset val="1"/>
      </rPr>
      <t xml:space="preserve">12.230bn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2026-07-15 </t>
    </r>
    <r>
      <rPr>
        <sz val="9"/>
        <color rgb="FF595959"/>
        <rFont val="Noto Sans CJK SC"/>
        <family val="2"/>
      </rPr>
      <t xml:space="preserve">流通股＋前期累計瀑布新股＋已強制轉換的特別股）；每股依 </t>
    </r>
    <r>
      <rPr>
        <sz val="9"/>
        <color rgb="FF595959"/>
        <rFont val="Arial"/>
        <family val="0"/>
        <charset val="1"/>
      </rPr>
      <t xml:space="preserve">growth 5%</t>
    </r>
    <r>
      <rPr>
        <sz val="9"/>
        <color rgb="FF595959"/>
        <rFont val="Noto Sans CJK SC"/>
        <family val="2"/>
      </rPr>
      <t xml:space="preserve">／年遞增（第 </t>
    </r>
    <r>
      <rPr>
        <sz val="9"/>
        <color rgb="FF595959"/>
        <rFont val="Arial"/>
        <family val="0"/>
        <charset val="1"/>
      </rPr>
      <t xml:space="preserve">n </t>
    </r>
    <r>
      <rPr>
        <sz val="9"/>
        <color rgb="FF595959"/>
        <rFont val="Noto Sans CJK SC"/>
        <family val="2"/>
      </rPr>
      <t xml:space="preserve">期 </t>
    </r>
    <r>
      <rPr>
        <sz val="9"/>
        <color rgb="FF595959"/>
        <rFont val="Arial"/>
        <family val="0"/>
        <charset val="1"/>
      </rPr>
      <t xml:space="preserve">×(1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g)^n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  <r>
      <rPr>
        <sz val="9"/>
        <color rgb="FF595959"/>
        <rFont val="Noto Sans CJK SC"/>
        <family val="2"/>
      </rPr>
      <t xml:space="preserve">；特別股股利：</t>
    </r>
    <r>
      <rPr>
        <sz val="9"/>
        <color rgb="FF595959"/>
        <rFont val="Arial"/>
        <family val="0"/>
        <charset val="1"/>
      </rPr>
      <t xml:space="preserve">6.25% × $19.25B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1.203</t>
    </r>
    <r>
      <rPr>
        <sz val="9"/>
        <color rgb="FF595959"/>
        <rFont val="Noto Sans CJK SC"/>
        <family val="2"/>
      </rPr>
      <t xml:space="preserve">／年，每季 </t>
    </r>
    <r>
      <rPr>
        <sz val="9"/>
        <color rgb="FF595959"/>
        <rFont val="Arial"/>
        <family val="0"/>
        <charset val="1"/>
      </rPr>
      <t xml:space="preserve">2/15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5/15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8/15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11/15 </t>
    </r>
    <r>
      <rPr>
        <sz val="9"/>
        <color rgb="FF595959"/>
        <rFont val="Noto Sans CJK SC"/>
        <family val="2"/>
      </rPr>
      <t xml:space="preserve">支付至 </t>
    </r>
    <r>
      <rPr>
        <sz val="9"/>
        <color rgb="FF595959"/>
        <rFont val="Arial"/>
        <family val="0"/>
        <charset val="1"/>
      </rPr>
      <t xml:space="preserve">2029-05-15 </t>
    </r>
    <r>
      <rPr>
        <sz val="9"/>
        <color rgb="FF595959"/>
        <rFont val="Noto Sans CJK SC"/>
        <family val="2"/>
      </rPr>
      <t xml:space="preserve">轉換（首期 </t>
    </r>
    <r>
      <rPr>
        <sz val="9"/>
        <color rgb="FF595959"/>
        <rFont val="Arial"/>
        <family val="0"/>
        <charset val="1"/>
      </rPr>
      <t xml:space="preserve">2026-08-15 </t>
    </r>
    <r>
      <rPr>
        <sz val="9"/>
        <color rgb="FF595959"/>
        <rFont val="Noto Sans CJK SC"/>
        <family val="2"/>
      </rPr>
      <t xml:space="preserve">短期 </t>
    </r>
    <r>
      <rPr>
        <sz val="9"/>
        <color rgb="FF595959"/>
        <rFont val="Arial"/>
        <family val="0"/>
        <charset val="1"/>
      </rPr>
      <t xml:space="preserve">0.234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11-15 0.301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0.535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2029 </t>
    </r>
    <r>
      <rPr>
        <sz val="9"/>
        <color rgb="FF595959"/>
        <rFont val="Noto Sans CJK SC"/>
        <family val="2"/>
      </rPr>
      <t xml:space="preserve">兩季 </t>
    </r>
    <r>
      <rPr>
        <sz val="9"/>
        <color rgb="FF595959"/>
        <rFont val="Arial"/>
        <family val="0"/>
        <charset val="1"/>
      </rPr>
      <t xml:space="preserve">0.602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v0.1a mapTo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0.937</t>
    </r>
    <r>
      <rPr>
        <sz val="9"/>
        <color rgb="FF595959"/>
        <rFont val="Noto Sans CJK SC"/>
        <family val="2"/>
      </rPr>
      <t xml:space="preserve">／年誤用首期短期股利，已更正）。（</t>
    </r>
    <r>
      <rPr>
        <sz val="9"/>
        <color rgb="FF595959"/>
        <rFont val="Arial"/>
        <family val="0"/>
        <charset val="1"/>
      </rPr>
      <t xml:space="preserve">company.json → defaults.dividend</t>
    </r>
    <r>
      <rPr>
        <sz val="9"/>
        <color rgb="FF595959"/>
        <rFont val="Noto Sans CJK SC"/>
        <family val="2"/>
      </rPr>
      <t xml:space="preserve">）</t>
    </r>
  </si>
  <si>
    <t xml:space="preserve">普通股每股股利年成長率</t>
  </si>
  <si>
    <r>
      <rPr>
        <sz val="9"/>
        <color rgb="FF595959"/>
        <rFont val="Noto Sans CJK SC"/>
        <family val="2"/>
      </rPr>
      <t xml:space="preserve">每季股利 </t>
    </r>
    <r>
      <rPr>
        <sz val="9"/>
        <color rgb="FF595959"/>
        <rFont val="Arial"/>
        <family val="0"/>
        <charset val="1"/>
      </rPr>
      <t xml:space="preserve">0.20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2024 </t>
    </r>
    <r>
      <rPr>
        <sz val="9"/>
        <color rgb="FF595959"/>
        <rFont val="Noto Sans CJK SC"/>
        <family val="2"/>
      </rPr>
      <t xml:space="preserve">首次）→ </t>
    </r>
    <r>
      <rPr>
        <sz val="9"/>
        <color rgb="FF595959"/>
        <rFont val="Arial"/>
        <family val="0"/>
        <charset val="1"/>
      </rPr>
      <t xml:space="preserve">0.21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2025-04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+5%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10-K</t>
    </r>
    <r>
      <rPr>
        <sz val="9"/>
        <color rgb="FF595959"/>
        <rFont val="Noto Sans CJK SC"/>
        <family val="2"/>
      </rPr>
      <t xml:space="preserve">）→ </t>
    </r>
    <r>
      <rPr>
        <sz val="9"/>
        <color rgb="FF595959"/>
        <rFont val="Arial"/>
        <family val="0"/>
        <charset val="1"/>
      </rPr>
      <t xml:space="preserve">0.22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2026-04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+4.8%</t>
    </r>
    <r>
      <rPr>
        <sz val="9"/>
        <color rgb="FF595959"/>
        <rFont val="Noto Sans CJK SC"/>
        <family val="2"/>
      </rPr>
      <t xml:space="preserve">）→ 每股年成長 </t>
    </r>
    <r>
      <rPr>
        <sz val="9"/>
        <color rgb="FF595959"/>
        <rFont val="Arial"/>
        <family val="0"/>
        <charset val="1"/>
      </rPr>
      <t xml:space="preserve">5% [Derived]</t>
    </r>
    <r>
      <rPr>
        <sz val="9"/>
        <color rgb="FF595959"/>
        <rFont val="Noto Sans CJK SC"/>
        <family val="2"/>
      </rPr>
      <t xml:space="preserve">（對照表 </t>
    </r>
    <r>
      <rPr>
        <sz val="9"/>
        <color rgb="FF595959"/>
        <rFont val="Arial"/>
        <family val="0"/>
        <charset val="1"/>
      </rPr>
      <t xml:space="preserve">r1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節第 </t>
    </r>
    <r>
      <rPr>
        <sz val="9"/>
        <color rgb="FF595959"/>
        <rFont val="Arial"/>
        <family val="0"/>
        <charset val="1"/>
      </rPr>
      <t xml:space="preserve">8 </t>
    </r>
    <r>
      <rPr>
        <sz val="9"/>
        <color rgb="FF595959"/>
        <rFont val="Noto Sans CJK SC"/>
        <family val="2"/>
      </rPr>
      <t xml:space="preserve">條；</t>
    </r>
    <r>
      <rPr>
        <sz val="9"/>
        <color rgb="FF595959"/>
        <rFont val="Arial"/>
        <family val="0"/>
        <charset val="1"/>
      </rPr>
      <t xml:space="preserve">MAG v0.1b r3 C19</t>
    </r>
    <r>
      <rPr>
        <sz val="9"/>
        <color rgb="FF595959"/>
        <rFont val="Noto Sans CJK SC"/>
        <family val="2"/>
      </rPr>
      <t xml:space="preserve">）；第 </t>
    </r>
    <r>
      <rPr>
        <sz val="9"/>
        <color rgb="FF595959"/>
        <rFont val="Arial"/>
        <family val="0"/>
        <charset val="1"/>
      </rPr>
      <t xml:space="preserve">n </t>
    </r>
    <r>
      <rPr>
        <sz val="9"/>
        <color rgb="FF595959"/>
        <rFont val="Noto Sans CJK SC"/>
        <family val="2"/>
      </rPr>
      <t xml:space="preserve">期每股＝每季 </t>
    </r>
    <r>
      <rPr>
        <sz val="9"/>
        <color rgb="FF595959"/>
        <rFont val="Arial"/>
        <family val="0"/>
        <charset val="1"/>
      </rPr>
      <t xml:space="preserve">× (1</t>
    </r>
    <r>
      <rPr>
        <sz val="9"/>
        <color rgb="FF595959"/>
        <rFont val="Noto Sans CJK SC"/>
        <family val="2"/>
      </rPr>
      <t xml:space="preserve">＋成長率</t>
    </r>
    <r>
      <rPr>
        <sz val="9"/>
        <color rgb="FF595959"/>
        <rFont val="Arial"/>
        <family val="0"/>
        <charset val="1"/>
      </rPr>
      <t xml:space="preserve">)^n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MAG v0.1b r3 C19</t>
    </r>
    <r>
      <rPr>
        <sz val="9"/>
        <color rgb="FF595959"/>
        <rFont val="Noto Sans CJK SC"/>
        <family val="2"/>
      </rPr>
      <t xml:space="preserve">）</t>
    </r>
  </si>
  <si>
    <t xml:space="preserve">股利基礎股數</t>
  </si>
  <si>
    <t xml:space="preserve">bn</t>
  </si>
  <si>
    <t xml:space="preserve">最新流通股；另加前期累計瀑布新股與已強制轉換的特別股</t>
  </si>
  <si>
    <t xml:space="preserve">最低現金</t>
  </si>
  <si>
    <r>
      <rPr>
        <sz val="9"/>
        <color rgb="FF595959"/>
        <rFont val="Noto Sans CJK SC"/>
        <family val="2"/>
      </rPr>
      <t xml:space="preserve">期前融資的現金底線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</si>
  <si>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回購基準（年額）</t>
  </si>
  <si>
    <r>
      <rPr>
        <sz val="9"/>
        <color rgb="FF595959"/>
        <rFont val="Noto Sans CJK SC"/>
        <family val="2"/>
      </rPr>
      <t xml:space="preserve">回購基準＝近四季實際年額 </t>
    </r>
    <r>
      <rPr>
        <sz val="9"/>
        <color rgb="FF595959"/>
        <rFont val="Arial"/>
        <family val="0"/>
        <charset val="1"/>
      </rPr>
      <t xml:space="preserve">17.003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2025Q3 11.504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Q4 5.499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2026Q1 0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Q2 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Noto Sans CJK SC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11</t>
    </r>
    <r>
      <rPr>
        <sz val="9"/>
        <color rgb="FF595959"/>
        <rFont val="Noto Sans CJK SC"/>
        <family val="2"/>
      </rPr>
      <t xml:space="preserve">，事實總帳 </t>
    </r>
    <r>
      <rPr>
        <sz val="9"/>
        <color rgb="FF595959"/>
        <rFont val="Arial"/>
        <family val="0"/>
        <charset val="1"/>
      </rPr>
      <t xml:space="preserve">bb.paid.4q</t>
    </r>
    <r>
      <rPr>
        <sz val="9"/>
        <color rgb="FF595959"/>
        <rFont val="Noto Sans CJK SC"/>
        <family val="2"/>
      </rPr>
      <t xml:space="preserve">；對照表 </t>
    </r>
    <r>
      <rPr>
        <sz val="9"/>
        <color rgb="FF595959"/>
        <rFont val="Arial"/>
        <family val="0"/>
        <charset val="1"/>
      </rPr>
      <t xml:space="preserve">r1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節第 </t>
    </r>
    <r>
      <rPr>
        <sz val="9"/>
        <color rgb="FF595959"/>
        <rFont val="Arial"/>
        <family val="0"/>
        <charset val="1"/>
      </rPr>
      <t xml:space="preserve">8 </t>
    </r>
    <r>
      <rPr>
        <sz val="9"/>
        <color rgb="FF595959"/>
        <rFont val="Noto Sans CJK SC"/>
        <family val="2"/>
      </rPr>
      <t xml:space="preserve">條）；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上半年暫停回購、授權餘額 </t>
    </r>
    <r>
      <rPr>
        <sz val="9"/>
        <color rgb="FF595959"/>
        <rFont val="Arial"/>
        <family val="0"/>
        <charset val="1"/>
      </rPr>
      <t xml:space="preserve">69.5B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floorShare 0</t>
    </r>
    <r>
      <rPr>
        <sz val="9"/>
        <color rgb="FF595959"/>
        <rFont val="Noto Sans CJK SC"/>
        <family val="2"/>
      </rPr>
      <t xml:space="preserve">＝缺口時可全數取消 </t>
    </r>
    <r>
      <rPr>
        <sz val="9"/>
        <color rgb="FF595959"/>
        <rFont val="Arial"/>
        <family val="0"/>
        <charset val="1"/>
      </rPr>
      <t xml:space="preserve">[Interested-party]</t>
    </r>
  </si>
  <si>
    <t xml:space="preserve">回購下限（占計畫）</t>
  </si>
  <si>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＝缺口時可全數取消回購（對照表 </t>
    </r>
    <r>
      <rPr>
        <sz val="9"/>
        <color rgb="FF595959"/>
        <rFont val="Arial"/>
        <family val="0"/>
        <charset val="1"/>
      </rPr>
      <t xml:space="preserve">r1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節第 </t>
    </r>
    <r>
      <rPr>
        <sz val="9"/>
        <color rgb="FF595959"/>
        <rFont val="Arial"/>
        <family val="0"/>
        <charset val="1"/>
      </rPr>
      <t xml:space="preserve">8 </t>
    </r>
    <r>
      <rPr>
        <sz val="9"/>
        <color rgb="FF595959"/>
        <rFont val="Noto Sans CJK SC"/>
        <family val="2"/>
      </rPr>
      <t xml:space="preserve">條）</t>
    </r>
  </si>
  <si>
    <t xml:space="preserve">股權發行價</t>
  </si>
  <si>
    <r>
      <rPr>
        <sz val="9"/>
        <color rgb="FF595959"/>
        <rFont val="Noto Sans CJK SC"/>
        <family val="2"/>
      </rPr>
      <t xml:space="preserve">預設＝現價（</t>
    </r>
    <r>
      <rPr>
        <sz val="9"/>
        <color rgb="FF595959"/>
        <rFont val="Arial"/>
        <family val="0"/>
        <charset val="1"/>
      </rPr>
      <t xml:space="preserve">2026-10-07 </t>
    </r>
    <r>
      <rPr>
        <sz val="9"/>
        <color rgb="FF595959"/>
        <rFont val="Noto Sans CJK SC"/>
        <family val="2"/>
      </rPr>
      <t xml:space="preserve">收盤）</t>
    </r>
    <r>
      <rPr>
        <sz val="9"/>
        <color rgb="FF595959"/>
        <rFont val="Arial"/>
        <family val="0"/>
        <charset val="1"/>
      </rPr>
      <t xml:space="preserve">[Verified]</t>
    </r>
  </si>
  <si>
    <t xml:space="preserve">股權發行折價</t>
  </si>
  <si>
    <r>
      <rPr>
        <sz val="9"/>
        <color rgb="FF595959"/>
        <rFont val="Noto Sans CJK SC"/>
        <family val="2"/>
      </rPr>
      <t xml:space="preserve">大額增資的折讓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</si>
  <si>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每年股權吸收上限（占現市值）</t>
  </si>
  <si>
    <r>
      <rPr>
        <sz val="9"/>
        <color rgb="FF595959"/>
        <rFont val="Noto Sans CJK SC"/>
        <family val="2"/>
      </rPr>
      <t xml:space="preserve">沿用模板 </t>
    </r>
    <r>
      <rPr>
        <sz val="9"/>
        <color rgb="FF595959"/>
        <rFont val="Arial"/>
        <family val="0"/>
        <charset val="1"/>
      </rPr>
      <t xml:space="preserve">20%</t>
    </r>
    <r>
      <rPr>
        <sz val="9"/>
        <color rgb="FF595959"/>
        <rFont val="Noto Sans CJK SC"/>
        <family val="2"/>
      </rPr>
      <t xml:space="preserve">；輸入 ≥</t>
    </r>
    <r>
      <rPr>
        <sz val="9"/>
        <color rgb="FF595959"/>
        <rFont val="Arial"/>
        <family val="0"/>
        <charset val="1"/>
      </rPr>
      <t xml:space="preserve">900% </t>
    </r>
    <r>
      <rPr>
        <sz val="9"/>
        <color rgb="FF595959"/>
        <rFont val="Noto Sans CJK SC"/>
        <family val="2"/>
      </rPr>
      <t xml:space="preserve">視為無上限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</si>
  <si>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股權上限的股數基礎</t>
  </si>
  <si>
    <r>
      <rPr>
        <sz val="9"/>
        <color rgb="FF595959"/>
        <rFont val="Noto Sans CJK SC"/>
        <family val="2"/>
      </rPr>
      <t xml:space="preserve">現市值＝發行參考價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此股數（</t>
    </r>
    <r>
      <rPr>
        <sz val="9"/>
        <color rgb="FF595959"/>
        <rFont val="Arial"/>
        <family val="0"/>
        <charset val="1"/>
      </rPr>
      <t xml:space="preserve">company.json → defaults.eqCapShares</t>
    </r>
    <r>
      <rPr>
        <sz val="9"/>
        <color rgb="FF595959"/>
        <rFont val="Noto Sans CJK SC"/>
        <family val="2"/>
      </rPr>
      <t xml:space="preserve">）</t>
    </r>
  </si>
  <si>
    <t xml:space="preserve">可轉債年發行上限｜保守 已交付＋已公開在建</t>
  </si>
  <si>
    <r>
      <rPr>
        <sz val="9"/>
        <color rgb="FF595959"/>
        <rFont val="Noto Sans CJK SC"/>
        <family val="2"/>
      </rPr>
      <t xml:space="preserve">瀑布可轉債步驟每年上限（</t>
    </r>
    <r>
      <rPr>
        <sz val="9"/>
        <color rgb="FF595959"/>
        <rFont val="Arial"/>
        <family val="0"/>
        <charset val="1"/>
      </rPr>
      <t xml:space="preserve">company.json → scenarios.convCap</t>
    </r>
    <r>
      <rPr>
        <sz val="9"/>
        <color rgb="FF595959"/>
        <rFont val="Noto Sans CJK SC"/>
        <family val="2"/>
      </rPr>
      <t xml:space="preserve">）；保守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＝不新發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</si>
  <si>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可轉債年發行上限｜基準 依資本支出指引</t>
  </si>
  <si>
    <r>
      <rPr>
        <sz val="10"/>
        <rFont val="Noto Sans CJK SC"/>
        <family val="2"/>
      </rPr>
      <t xml:space="preserve">可轉債年發行上限｜積極 依 </t>
    </r>
    <r>
      <rPr>
        <sz val="10"/>
        <rFont val="Arial"/>
        <family val="0"/>
        <charset val="1"/>
      </rPr>
      <t xml:space="preserve">2027 </t>
    </r>
    <r>
      <rPr>
        <sz val="10"/>
        <rFont val="Noto Sans CJK SC"/>
        <family val="2"/>
      </rPr>
      <t xml:space="preserve">擴張幅度</t>
    </r>
  </si>
  <si>
    <t xml:space="preserve">可轉債年發行上限（目前情境）</t>
  </si>
  <si>
    <r>
      <rPr>
        <sz val="9"/>
        <color rgb="FF595959"/>
        <rFont val="Noto Sans CJK SC"/>
        <family val="2"/>
      </rPr>
      <t xml:space="preserve">＝依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區情境選擇器</t>
    </r>
  </si>
  <si>
    <t xml:space="preserve">瀑布新發可轉債票息</t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</si>
  <si>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年兩次發行四檔加權約 </t>
    </r>
    <r>
      <rPr>
        <sz val="9"/>
        <color rgb="FF595959"/>
        <rFont val="Arial"/>
        <family val="0"/>
        <charset val="1"/>
      </rPr>
      <t xml:space="preserve">2.1% [Derived]</t>
    </r>
  </si>
  <si>
    <t xml:space="preserve">瀑布新發可轉債轉換溢價</t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</si>
  <si>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年發行溢價 </t>
    </r>
    <r>
      <rPr>
        <sz val="9"/>
        <color rgb="FF595959"/>
        <rFont val="Arial"/>
        <family val="0"/>
        <charset val="1"/>
      </rPr>
      <t xml:space="preserve">40–57.5% </t>
    </r>
    <r>
      <rPr>
        <sz val="9"/>
        <color rgb="FF595959"/>
        <rFont val="Noto Sans CJK SC"/>
        <family val="2"/>
      </rPr>
      <t xml:space="preserve">取 </t>
    </r>
    <r>
      <rPr>
        <sz val="9"/>
        <color rgb="FF595959"/>
        <rFont val="Arial"/>
        <family val="0"/>
        <charset val="1"/>
      </rPr>
      <t xml:space="preserve">45%</t>
    </r>
    <r>
      <rPr>
        <sz val="9"/>
        <color rgb="FF595959"/>
        <rFont val="Noto Sans CJK SC"/>
        <family val="2"/>
      </rPr>
      <t xml:space="preserve">；只用於潛在股數揭露 </t>
    </r>
    <r>
      <rPr>
        <sz val="9"/>
        <color rgb="FF595959"/>
        <rFont val="Arial"/>
        <family val="0"/>
        <charset val="1"/>
      </rPr>
      <t xml:space="preserve">[Derived]</t>
    </r>
  </si>
  <si>
    <t xml:space="preserve">高息債利率（股權上限溢出）</t>
  </si>
  <si>
    <r>
      <rPr>
        <sz val="9"/>
        <color rgb="FF595959"/>
        <rFont val="Noto Sans CJK SC"/>
        <family val="2"/>
      </rPr>
      <t xml:space="preserve">沿用模板 </t>
    </r>
    <r>
      <rPr>
        <sz val="9"/>
        <color rgb="FF595959"/>
        <rFont val="Arial"/>
        <family val="0"/>
        <charset val="1"/>
      </rPr>
      <t xml:space="preserve">12% [Assumed]</t>
    </r>
  </si>
  <si>
    <t xml:space="preserve">現金稅率（類現金流量）</t>
  </si>
  <si>
    <r>
      <rPr>
        <sz val="9"/>
        <color rgb="FF595959"/>
        <rFont val="Noto Sans CJK SC"/>
        <family val="2"/>
      </rPr>
      <t xml:space="preserve">現金稅＝稅率 </t>
    </r>
    <r>
      <rPr>
        <sz val="9"/>
        <color rgb="FF595959"/>
        <rFont val="Arial"/>
        <family val="0"/>
        <charset val="1"/>
      </rPr>
      <t xml:space="preserve">× MAX(0, </t>
    </r>
    <r>
      <rPr>
        <sz val="9"/>
        <color rgb="FF595959"/>
        <rFont val="Noto Sans CJK SC"/>
        <family val="2"/>
      </rPr>
      <t xml:space="preserve">損益 </t>
    </r>
    <r>
      <rPr>
        <sz val="9"/>
        <color rgb="FF595959"/>
        <rFont val="Arial"/>
        <family val="0"/>
        <charset val="1"/>
      </rPr>
      <t xml:space="preserve">EBITDA − </t>
    </r>
    <r>
      <rPr>
        <sz val="9"/>
        <color rgb="FF595959"/>
        <rFont val="Noto Sans CJK SC"/>
        <family val="2"/>
      </rPr>
      <t xml:space="preserve">車隊 </t>
    </r>
    <r>
      <rPr>
        <sz val="9"/>
        <color rgb="FF595959"/>
        <rFont val="Arial"/>
        <family val="0"/>
        <charset val="1"/>
      </rPr>
      <t xml:space="preserve">D&amp;A − </t>
    </r>
    <r>
      <rPr>
        <sz val="9"/>
        <color rgb="FF595959"/>
        <rFont val="Noto Sans CJK SC"/>
        <family val="2"/>
      </rPr>
      <t xml:space="preserve">存量利息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；不含瀑布新債利息以避免循環（偏保守）；</t>
    </r>
    <r>
      <rPr>
        <sz val="9"/>
        <color rgb="FF595959"/>
        <rFont val="Arial"/>
        <family val="0"/>
        <charset val="1"/>
      </rPr>
      <t xml:space="preserve">company.json → defaults.cashTaxRate</t>
    </r>
  </si>
  <si>
    <r>
      <rPr>
        <sz val="10"/>
        <rFont val="Arial"/>
        <family val="0"/>
        <charset val="1"/>
      </rPr>
      <t xml:space="preserve">CDS </t>
    </r>
    <r>
      <rPr>
        <sz val="10"/>
        <rFont val="Noto Sans CJK SC"/>
        <family val="2"/>
      </rPr>
      <t xml:space="preserve">中價</t>
    </r>
  </si>
  <si>
    <t xml:space="preserve">bps</t>
  </si>
  <si>
    <r>
      <rPr>
        <sz val="9"/>
        <color rgb="FF595959"/>
        <rFont val="Noto Sans CJK SC"/>
        <family val="2"/>
      </rPr>
      <t xml:space="preserve">不適用（</t>
    </r>
    <r>
      <rPr>
        <sz val="9"/>
        <color rgb="FF595959"/>
        <rFont val="Arial"/>
        <family val="0"/>
        <charset val="1"/>
      </rPr>
      <t xml:space="preserve">GOOGL CDS </t>
    </r>
    <r>
      <rPr>
        <sz val="9"/>
        <color rgb="FF595959"/>
        <rFont val="Noto Sans CJK SC"/>
        <family val="2"/>
      </rPr>
      <t xml:space="preserve">無可引用的一手報價）</t>
    </r>
  </si>
  <si>
    <r>
      <rPr>
        <sz val="10"/>
        <rFont val="Arial"/>
        <family val="0"/>
        <charset val="1"/>
      </rPr>
      <t xml:space="preserve">CDS </t>
    </r>
    <r>
      <rPr>
        <sz val="10"/>
        <rFont val="Noto Sans CJK SC"/>
        <family val="2"/>
      </rPr>
      <t xml:space="preserve">傳入新債利率（</t>
    </r>
    <r>
      <rPr>
        <sz val="10"/>
        <rFont val="Arial"/>
        <family val="0"/>
        <charset val="1"/>
      </rPr>
      <t xml:space="preserve">1=</t>
    </r>
    <r>
      <rPr>
        <sz val="10"/>
        <rFont val="Noto Sans CJK SC"/>
        <family val="2"/>
      </rPr>
      <t xml:space="preserve">開）</t>
    </r>
  </si>
  <si>
    <r>
      <rPr>
        <sz val="9"/>
        <color rgb="FF595959"/>
        <rFont val="Noto Sans CJK SC"/>
        <family val="2"/>
      </rPr>
      <t xml:space="preserve">開啟：新債利率＋</t>
    </r>
    <r>
      <rPr>
        <sz val="9"/>
        <color rgb="FF595959"/>
        <rFont val="Arial"/>
        <family val="0"/>
        <charset val="1"/>
      </rPr>
      <t xml:space="preserve">MAX(0,CDS−450)×0.4/100</t>
    </r>
    <r>
      <rPr>
        <sz val="9"/>
        <color rgb="FF595959"/>
        <rFont val="Noto Sans CJK SC"/>
        <family val="2"/>
      </rPr>
      <t xml:space="preserve">。預設關閉</t>
    </r>
  </si>
  <si>
    <r>
      <rPr>
        <sz val="10"/>
        <rFont val="Arial"/>
        <family val="0"/>
        <charset val="1"/>
      </rPr>
      <t xml:space="preserve">CDS </t>
    </r>
    <r>
      <rPr>
        <sz val="10"/>
        <rFont val="Noto Sans CJK SC"/>
        <family val="2"/>
      </rPr>
      <t xml:space="preserve">傳入門檻</t>
    </r>
  </si>
  <si>
    <r>
      <rPr>
        <sz val="9"/>
        <color rgb="FF595959"/>
        <rFont val="Arial"/>
        <family val="0"/>
        <charset val="1"/>
      </rPr>
      <t xml:space="preserve">CDS </t>
    </r>
    <r>
      <rPr>
        <sz val="9"/>
        <color rgb="FF595959"/>
        <rFont val="Noto Sans CJK SC"/>
        <family val="2"/>
      </rPr>
      <t xml:space="preserve">超過此值的部分才傳入新債利率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</si>
  <si>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Arial"/>
        <family val="0"/>
        <charset val="1"/>
      </rPr>
      <t xml:space="preserve">CDS </t>
    </r>
    <r>
      <rPr>
        <sz val="10"/>
        <rFont val="Noto Sans CJK SC"/>
        <family val="2"/>
      </rPr>
      <t xml:space="preserve">傳入比例</t>
    </r>
  </si>
  <si>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1bp CDS </t>
    </r>
    <r>
      <rPr>
        <sz val="9"/>
        <color rgb="FF595959"/>
        <rFont val="Noto Sans CJK SC"/>
        <family val="2"/>
      </rPr>
      <t xml:space="preserve">超額傳入新債利率的比例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</si>
  <si>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特別股股利</t>
  </si>
  <si>
    <r>
      <rPr>
        <sz val="9"/>
        <color rgb="FF595959"/>
        <rFont val="Noto Sans CJK SC"/>
        <family val="2"/>
      </rPr>
      <t xml:space="preserve">強制轉換前的特別股股利（</t>
    </r>
    <r>
      <rPr>
        <sz val="9"/>
        <color rgb="FF595959"/>
        <rFont val="Arial"/>
        <family val="0"/>
        <charset val="1"/>
      </rPr>
      <t xml:space="preserve">company.json → defaults.dividend.preferred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</si>
  <si>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t xml:space="preserve">排程還本（季報到期表）</t>
  </si>
  <si>
    <r>
      <rPr>
        <sz val="9"/>
        <color rgb="FF595959"/>
        <rFont val="Noto Sans CJK SC"/>
        <family val="2"/>
      </rPr>
      <t xml:space="preserve">可轉債到期累積本金與其他借款；其後 </t>
    </r>
    <r>
      <rPr>
        <sz val="9"/>
        <color rgb="FF595959"/>
        <rFont val="Arial"/>
        <family val="0"/>
        <charset val="1"/>
      </rPr>
      <t xml:space="preserve">86.459 [Interested-party]</t>
    </r>
  </si>
  <si>
    <t xml:space="preserve">新債利率</t>
  </si>
  <si>
    <r>
      <rPr>
        <sz val="9"/>
        <color rgb="FF595959"/>
        <rFont val="Noto Sans CJK SC"/>
        <family val="2"/>
      </rPr>
      <t xml:space="preserve">瀑布新債利率取 </t>
    </r>
    <r>
      <rPr>
        <sz val="9"/>
        <color rgb="FF595959"/>
        <rFont val="Arial"/>
        <family val="0"/>
        <charset val="1"/>
      </rPr>
      <t xml:space="preserve">2026-08 </t>
    </r>
    <r>
      <rPr>
        <sz val="9"/>
        <color rgb="FF595959"/>
        <rFont val="Noto Sans CJK SC"/>
        <family val="2"/>
      </rPr>
      <t xml:space="preserve">美元票據 </t>
    </r>
    <r>
      <rPr>
        <sz val="9"/>
        <color rgb="FF595959"/>
        <rFont val="Arial"/>
        <family val="0"/>
        <charset val="1"/>
      </rPr>
      <t xml:space="preserve">2066 </t>
    </r>
    <r>
      <rPr>
        <sz val="9"/>
        <color rgb="FF595959"/>
        <rFont val="Noto Sans CJK SC"/>
        <family val="2"/>
      </rPr>
      <t xml:space="preserve">發行殖利率 </t>
    </r>
    <r>
      <rPr>
        <sz val="9"/>
        <color rgb="FF595959"/>
        <rFont val="Arial"/>
        <family val="0"/>
        <charset val="1"/>
      </rPr>
      <t xml:space="preserve">6.527%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130bp</t>
    </r>
    <r>
      <rPr>
        <sz val="9"/>
        <color rgb="FF595959"/>
        <rFont val="Noto Sans CJK SC"/>
        <family val="2"/>
      </rPr>
      <t xml:space="preserve">）上下的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新債加權票面約 </t>
    </r>
    <r>
      <rPr>
        <sz val="9"/>
        <color rgb="FF595959"/>
        <rFont val="Arial"/>
        <family val="0"/>
        <charset val="1"/>
      </rPr>
      <t xml:space="preserve">4.8%</t>
    </r>
    <r>
      <rPr>
        <sz val="9"/>
        <color rgb="FF595959"/>
        <rFont val="Noto Sans CJK SC"/>
        <family val="2"/>
      </rPr>
      <t xml:space="preserve">（美元）</t>
    </r>
    <r>
      <rPr>
        <sz val="9"/>
        <color rgb="FF595959"/>
        <rFont val="Arial"/>
        <family val="0"/>
        <charset val="1"/>
      </rPr>
      <t xml:space="preserve">[Derived]</t>
    </r>
  </si>
  <si>
    <t xml:space="preserve">存量債務利息（下游引用此列）</t>
  </si>
  <si>
    <r>
      <rPr>
        <sz val="9"/>
        <color rgb="FF595959"/>
        <rFont val="Noto Sans CJK SC"/>
        <family val="2"/>
      </rPr>
      <t xml:space="preserve">＝債務明細頁：平均本金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加權有效利率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期間長度＋可轉債利息＋首期校準</t>
    </r>
  </si>
  <si>
    <r>
      <rPr>
        <b val="true"/>
        <sz val="10"/>
        <rFont val="Arial"/>
        <family val="0"/>
        <charset val="1"/>
      </rPr>
      <t xml:space="preserve">F</t>
    </r>
    <r>
      <rPr>
        <b val="true"/>
        <sz val="10"/>
        <rFont val="Noto Sans CJK SC"/>
        <family val="2"/>
      </rPr>
      <t xml:space="preserve">｜評價（價格、股數、折現、倍數、權重）</t>
    </r>
  </si>
  <si>
    <r>
      <rPr>
        <sz val="10"/>
        <rFont val="Noto Sans CJK SC"/>
        <family val="2"/>
      </rPr>
      <t xml:space="preserve">現價（</t>
    </r>
    <r>
      <rPr>
        <sz val="10"/>
        <rFont val="Arial"/>
        <family val="0"/>
        <charset val="1"/>
      </rPr>
      <t xml:space="preserve">2026-10-07 </t>
    </r>
    <r>
      <rPr>
        <sz val="10"/>
        <rFont val="Noto Sans CJK SC"/>
        <family val="2"/>
      </rPr>
      <t xml:space="preserve">收盤）</t>
    </r>
  </si>
  <si>
    <r>
      <rPr>
        <sz val="9"/>
        <color rgb="FF595959"/>
        <rFont val="Arial"/>
        <family val="0"/>
        <charset val="1"/>
      </rPr>
      <t xml:space="preserve">StockAnalysis.com</t>
    </r>
    <r>
      <rPr>
        <sz val="9"/>
        <color rgb="FF595959"/>
        <rFont val="Noto Sans CJK SC"/>
        <family val="2"/>
      </rPr>
      <t xml:space="preserve">（歷史股價）（</t>
    </r>
    <r>
      <rPr>
        <sz val="9"/>
        <color rgb="FF595959"/>
        <rFont val="Arial"/>
        <family val="0"/>
        <charset val="1"/>
      </rPr>
      <t xml:space="preserve">https://stockanalysis.com/stocks/googl/history/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</si>
  <si>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Noto Sans CJK SC"/>
        <family val="2"/>
      </rPr>
      <t xml:space="preserve">股數（含 </t>
    </r>
    <r>
      <rPr>
        <sz val="10"/>
        <rFont val="Arial"/>
        <family val="0"/>
        <charset val="1"/>
      </rPr>
      <t xml:space="preserve">ATM </t>
    </r>
    <r>
      <rPr>
        <sz val="10"/>
        <rFont val="Noto Sans CJK SC"/>
        <family val="2"/>
      </rPr>
      <t xml:space="preserve">上限）</t>
    </r>
  </si>
  <si>
    <r>
      <rPr>
        <sz val="9"/>
        <color rgb="FF595959"/>
        <rFont val="Noto Sans CJK SC"/>
        <family val="2"/>
      </rPr>
      <t xml:space="preserve">季末流通 </t>
    </r>
    <r>
      <rPr>
        <sz val="9"/>
        <color rgb="FF595959"/>
        <rFont val="Arial"/>
        <family val="0"/>
        <charset val="1"/>
      </rPr>
      <t xml:space="preserve">12.23</t>
    </r>
    <r>
      <rPr>
        <sz val="9"/>
        <color rgb="FF595959"/>
        <rFont val="Noto Sans CJK SC"/>
        <family val="2"/>
      </rPr>
      <t xml:space="preserve">＋流通股 </t>
    </r>
    <r>
      <rPr>
        <sz val="9"/>
        <color rgb="FF595959"/>
        <rFont val="Arial"/>
        <family val="0"/>
        <charset val="1"/>
      </rPr>
      <t xml:space="preserve">12.230bn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 5.868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B 0.835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C 5.527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Noto Sans CJK SC"/>
        <family val="2"/>
      </rPr>
      <t xml:space="preserve">封面 </t>
    </r>
    <r>
      <rPr>
        <sz val="9"/>
        <color rgb="FF595959"/>
        <rFont val="Arial"/>
        <family val="0"/>
        <charset val="1"/>
      </rPr>
      <t xml:space="preserve">2026-07-15</t>
    </r>
    <r>
      <rPr>
        <sz val="9"/>
        <color rgb="FF595959"/>
        <rFont val="Noto Sans CJK SC"/>
        <family val="2"/>
      </rPr>
      <t xml:space="preserve">）；評價股數取 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稀釋加權 </t>
    </r>
    <r>
      <rPr>
        <sz val="9"/>
        <color rgb="FF595959"/>
        <rFont val="Arial"/>
        <family val="0"/>
        <charset val="1"/>
      </rPr>
      <t xml:space="preserve">12.309bn</t>
    </r>
    <r>
      <rPr>
        <sz val="9"/>
        <color rgb="FF595959"/>
        <rFont val="Noto Sans CJK SC"/>
        <family val="2"/>
      </rPr>
      <t xml:space="preserve">（含 </t>
    </r>
    <r>
      <rPr>
        <sz val="9"/>
        <color rgb="FF595959"/>
        <rFont val="Arial"/>
        <family val="0"/>
        <charset val="1"/>
      </rPr>
      <t xml:space="preserve">RSU </t>
    </r>
    <r>
      <rPr>
        <sz val="9"/>
        <color rgb="FF595959"/>
        <rFont val="Noto Sans CJK SC"/>
        <family val="2"/>
      </rPr>
      <t xml:space="preserve">稀釋） </t>
    </r>
    <r>
      <rPr>
        <sz val="9"/>
        <color rgb="FF595959"/>
        <rFont val="Arial"/>
        <family val="0"/>
        <charset val="1"/>
      </rPr>
      <t xml:space="preserve">[Derived]</t>
    </r>
  </si>
  <si>
    <t xml:space="preserve">淨負債（不含可轉債）</t>
  </si>
  <si>
    <r>
      <rPr>
        <sz val="9"/>
        <color rgb="FF595959"/>
        <rFont val="Noto Sans CJK SC"/>
        <family val="2"/>
      </rPr>
      <t xml:space="preserve">其他借款 − 現金（含期後股權／可轉債募得淨額）；可轉債依稀釋判斷另計（見『評價</t>
    </r>
    <r>
      <rPr>
        <sz val="9"/>
        <color rgb="FF595959"/>
        <rFont val="Arial"/>
        <family val="0"/>
        <charset val="1"/>
      </rPr>
      <t xml:space="preserve">_DCF</t>
    </r>
    <r>
      <rPr>
        <sz val="9"/>
        <color rgb="FF595959"/>
        <rFont val="Noto Sans CJK SC"/>
        <family val="2"/>
      </rPr>
      <t xml:space="preserve">與目標價』可轉債區）</t>
    </r>
    <r>
      <rPr>
        <sz val="9"/>
        <color rgb="FF595959"/>
        <rFont val="Arial"/>
        <family val="0"/>
        <charset val="1"/>
      </rPr>
      <t xml:space="preserve">[Derived]</t>
    </r>
  </si>
  <si>
    <t xml:space="preserve">持股折價（流動性、少數股權）</t>
  </si>
  <si>
    <r>
      <rPr>
        <sz val="9"/>
        <color rgb="FF595959"/>
        <rFont val="Noto Sans CJK SC"/>
        <family val="2"/>
      </rPr>
      <t xml:space="preserve">非上市少數股權折價 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Noto Sans CJK SC"/>
        <family val="2"/>
      </rPr>
      <t xml:space="preserve">；上市持股不折價；敏感度見報告（</t>
    </r>
    <r>
      <rPr>
        <sz val="9"/>
        <color rgb="FF595959"/>
        <rFont val="Arial"/>
        <family val="0"/>
        <charset val="1"/>
      </rPr>
      <t xml:space="preserve">0%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40%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</si>
  <si>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Anthropic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Series H </t>
    </r>
    <r>
      <rPr>
        <sz val="10"/>
        <rFont val="Noto Sans CJK SC"/>
        <family val="2"/>
      </rPr>
      <t xml:space="preserve">投後估值）｜估值（</t>
    </r>
    <r>
      <rPr>
        <sz val="10"/>
        <rFont val="Arial"/>
        <family val="0"/>
        <charset val="1"/>
      </rPr>
      <t xml:space="preserve">100%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</si>
  <si>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持股比例一手不存在：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法院文件約 </t>
    </r>
    <r>
      <rPr>
        <sz val="9"/>
        <color rgb="FF595959"/>
        <rFont val="Arial"/>
        <family val="0"/>
        <charset val="1"/>
      </rPr>
      <t xml:space="preserve">14%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Fortune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Allocations </t>
    </r>
    <r>
      <rPr>
        <sz val="9"/>
        <color rgb="FF595959"/>
        <rFont val="Noto Sans CJK SC"/>
        <family val="2"/>
      </rPr>
      <t xml:space="preserve">轉述）、非上市證券帳面 </t>
    </r>
    <r>
      <rPr>
        <sz val="9"/>
        <color rgb="FF595959"/>
        <rFont val="Arial"/>
        <family val="0"/>
        <charset val="1"/>
      </rPr>
      <t xml:space="preserve">124.3B ÷ </t>
    </r>
    <r>
      <rPr>
        <sz val="9"/>
        <color rgb="FF595959"/>
        <rFont val="Noto Sans CJK SC"/>
        <family val="2"/>
      </rPr>
      <t xml:space="preserve">投後 </t>
    </r>
    <r>
      <rPr>
        <sz val="9"/>
        <color rgb="FF595959"/>
        <rFont val="Arial"/>
        <family val="0"/>
        <charset val="1"/>
      </rPr>
      <t xml:space="preserve">965B </t>
    </r>
    <r>
      <rPr>
        <sz val="9"/>
        <color rgb="FF595959"/>
        <rFont val="Noto Sans CJK SC"/>
        <family val="2"/>
      </rPr>
      <t xml:space="preserve">隱含上限 </t>
    </r>
    <r>
      <rPr>
        <sz val="9"/>
        <color rgb="FF595959"/>
        <rFont val="Arial"/>
        <family val="0"/>
        <charset val="1"/>
      </rPr>
      <t xml:space="preserve">12.9% → 12.5%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11%–14%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Noto Sans CJK SC"/>
        <family val="2"/>
      </rPr>
      <t xml:space="preserve">；估值 </t>
    </r>
    <r>
      <rPr>
        <sz val="9"/>
        <color rgb="FF595959"/>
        <rFont val="Arial"/>
        <family val="0"/>
        <charset val="1"/>
      </rPr>
      <t xml:space="preserve">965B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2026-05 Series H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[Interested-party]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</si>
  <si>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Anthropic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Series H </t>
    </r>
    <r>
      <rPr>
        <sz val="10"/>
        <rFont val="Noto Sans CJK SC"/>
        <family val="2"/>
      </rPr>
      <t xml:space="preserve">投後估值）｜持股比例</t>
    </r>
  </si>
  <si>
    <r>
      <rPr>
        <sz val="10"/>
        <rFont val="Arial"/>
        <family val="0"/>
        <charset val="1"/>
      </rPr>
      <t xml:space="preserve">Anthropic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Series H </t>
    </r>
    <r>
      <rPr>
        <sz val="10"/>
        <rFont val="Noto Sans CJK SC"/>
        <family val="2"/>
      </rPr>
      <t xml:space="preserve">投後估值）｜上市（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＝不折價）</t>
    </r>
  </si>
  <si>
    <r>
      <rPr>
        <sz val="9"/>
        <color rgb="FF595959"/>
        <rFont val="Arial"/>
        <family val="0"/>
        <charset val="1"/>
      </rPr>
      <t xml:space="preserve">MAG v0.1b</t>
    </r>
    <r>
      <rPr>
        <sz val="9"/>
        <color rgb="FF595959"/>
        <rFont val="Noto Sans CJK SC"/>
        <family val="2"/>
      </rPr>
      <t xml:space="preserve">：上市持股以市值計、不折價（</t>
    </r>
    <r>
      <rPr>
        <sz val="9"/>
        <color rgb="FF595959"/>
        <rFont val="Arial"/>
        <family val="0"/>
        <charset val="1"/>
      </rPr>
      <t xml:space="preserve">C8 c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</si>
  <si>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SpaceX</t>
    </r>
    <r>
      <rPr>
        <sz val="10"/>
        <rFont val="Noto Sans CJK SC"/>
        <family val="2"/>
      </rPr>
      <t xml:space="preserve">（有價權益證券，公允價值）｜估值（</t>
    </r>
    <r>
      <rPr>
        <sz val="10"/>
        <rFont val="Arial"/>
        <family val="0"/>
        <charset val="1"/>
      </rPr>
      <t xml:space="preserve">100%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</si>
  <si>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Noto Sans CJK SC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：短期限售 </t>
    </r>
    <r>
      <rPr>
        <sz val="9"/>
        <color rgb="FF595959"/>
        <rFont val="Arial"/>
        <family val="0"/>
        <charset val="1"/>
      </rPr>
      <t xml:space="preserve">80.0B</t>
    </r>
    <r>
      <rPr>
        <sz val="9"/>
        <color rgb="FF595959"/>
        <rFont val="Noto Sans CJK SC"/>
        <family val="2"/>
      </rPr>
      <t xml:space="preserve">（流動有價證券）＋長期限售至 </t>
    </r>
    <r>
      <rPr>
        <sz val="9"/>
        <color rgb="FF595959"/>
        <rFont val="Arial"/>
        <family val="0"/>
        <charset val="1"/>
      </rPr>
      <t xml:space="preserve">2027Q3 14.1B</t>
    </r>
    <r>
      <rPr>
        <sz val="9"/>
        <color rgb="FF595959"/>
        <rFont val="Noto Sans CJK SC"/>
        <family val="2"/>
      </rPr>
      <t xml:space="preserve">（其他非流動資產）＝</t>
    </r>
    <r>
      <rPr>
        <sz val="9"/>
        <color rgb="FF595959"/>
        <rFont val="Arial"/>
        <family val="0"/>
        <charset val="1"/>
      </rPr>
      <t xml:space="preserve">94.1B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2026-06-30 </t>
    </r>
    <r>
      <rPr>
        <sz val="9"/>
        <color rgb="FF595959"/>
        <rFont val="Noto Sans CJK SC"/>
        <family val="2"/>
      </rPr>
      <t xml:space="preserve">公允價值）</t>
    </r>
    <r>
      <rPr>
        <sz val="9"/>
        <color rgb="FF595959"/>
        <rFont val="Arial"/>
        <family val="0"/>
        <charset val="1"/>
      </rPr>
      <t xml:space="preserve">[Interested-party]</t>
    </r>
    <r>
      <rPr>
        <sz val="9"/>
        <color rgb="FF595959"/>
        <rFont val="Noto Sans CJK SC"/>
        <family val="2"/>
      </rPr>
      <t xml:space="preserve">；上市持股不折價</t>
    </r>
  </si>
  <si>
    <r>
      <rPr>
        <sz val="10"/>
        <rFont val="Arial"/>
        <family val="0"/>
        <charset val="1"/>
      </rPr>
      <t xml:space="preserve">SpaceX</t>
    </r>
    <r>
      <rPr>
        <sz val="10"/>
        <rFont val="Noto Sans CJK SC"/>
        <family val="2"/>
      </rPr>
      <t xml:space="preserve">（有價權益證券，公允價值）｜持股比例</t>
    </r>
  </si>
  <si>
    <r>
      <rPr>
        <sz val="10"/>
        <rFont val="Arial"/>
        <family val="0"/>
        <charset val="1"/>
      </rPr>
      <t xml:space="preserve">SpaceX</t>
    </r>
    <r>
      <rPr>
        <sz val="10"/>
        <rFont val="Noto Sans CJK SC"/>
        <family val="2"/>
      </rPr>
      <t xml:space="preserve">（有價權益證券，公允價值）｜上市（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＝不折價）</t>
    </r>
  </si>
  <si>
    <r>
      <rPr>
        <sz val="10"/>
        <rFont val="Noto Sans CJK SC"/>
        <family val="2"/>
      </rPr>
      <t xml:space="preserve">其他有價權益證券｜估值（</t>
    </r>
    <r>
      <rPr>
        <sz val="10"/>
        <rFont val="Arial"/>
        <family val="0"/>
        <charset val="1"/>
      </rPr>
      <t xml:space="preserve">100%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</si>
  <si>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有價權益證券 </t>
    </r>
    <r>
      <rPr>
        <sz val="9"/>
        <color rgb="FF595959"/>
        <rFont val="Arial"/>
        <family val="0"/>
        <charset val="1"/>
      </rPr>
      <t xml:space="preserve">87.063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14.126 − SpaceX 94.1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7.089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Noto Sans CJK SC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Noto Sans CJK SC"/>
        <family val="2"/>
      </rPr>
      <t xml:space="preserve">；上市不折價</t>
    </r>
  </si>
  <si>
    <t xml:space="preserve">其他有價權益證券｜持股比例</t>
  </si>
  <si>
    <r>
      <rPr>
        <sz val="10"/>
        <rFont val="Noto Sans CJK SC"/>
        <family val="2"/>
      </rPr>
      <t xml:space="preserve">其他有價權益證券｜上市（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＝不折價）</t>
    </r>
  </si>
  <si>
    <t xml:space="preserve">持股價值（分部加總項）</t>
  </si>
  <si>
    <r>
      <rPr>
        <sz val="9"/>
        <color rgb="FF595959"/>
        <rFont val="Noto Sans CJK SC"/>
        <family val="2"/>
      </rPr>
      <t xml:space="preserve">持股清單：</t>
    </r>
    <r>
      <rPr>
        <sz val="9"/>
        <color rgb="FF595959"/>
        <rFont val="Arial"/>
        <family val="0"/>
        <charset val="1"/>
      </rPr>
      <t xml:space="preserve">[</t>
    </r>
    <r>
      <rPr>
        <sz val="9"/>
        <color rgb="FF595959"/>
        <rFont val="Noto Sans CJK SC"/>
        <family val="2"/>
      </rPr>
      <t xml:space="preserve">名稱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Noto Sans CJK SC"/>
        <family val="2"/>
      </rPr>
      <t xml:space="preserve">估值（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US$bn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Noto Sans CJK SC"/>
        <family val="2"/>
      </rPr>
      <t xml:space="preserve">持股比例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Noto Sans CJK SC"/>
        <family val="2"/>
      </rPr>
      <t xml:space="preserve">說明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Noto Sans CJK SC"/>
        <family val="2"/>
      </rPr>
      <t xml:space="preserve">上市（</t>
    </r>
    <r>
      <rPr>
        <sz val="9"/>
        <color rgb="FF595959"/>
        <rFont val="Arial"/>
        <family val="0"/>
        <charset val="1"/>
      </rPr>
      <t xml:space="preserve">true</t>
    </r>
    <r>
      <rPr>
        <sz val="9"/>
        <color rgb="FF595959"/>
        <rFont val="Noto Sans CJK SC"/>
        <family val="2"/>
      </rPr>
      <t xml:space="preserve">＝不折價）</t>
    </r>
    <r>
      <rPr>
        <sz val="9"/>
        <color rgb="FF595959"/>
        <rFont val="Arial"/>
        <family val="0"/>
        <charset val="1"/>
      </rPr>
      <t xml:space="preserve">]</t>
    </r>
    <r>
      <rPr>
        <sz val="9"/>
        <color rgb="FF595959"/>
        <rFont val="Noto Sans CJK SC"/>
        <family val="2"/>
      </rPr>
      <t xml:space="preserve">；價值＝</t>
    </r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估值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比例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折價；上市持股不折價），自淨負債扣除（分部加總項）。流動性折價 </t>
    </r>
    <r>
      <rPr>
        <sz val="9"/>
        <color rgb="FF595959"/>
        <rFont val="Arial"/>
        <family val="0"/>
        <charset val="1"/>
      </rPr>
      <t xml:space="preserve">20%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0%–40%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Noto Sans CJK SC"/>
        <family val="2"/>
      </rPr>
      <t xml:space="preserve">；對照表 </t>
    </r>
    <r>
      <rPr>
        <sz val="9"/>
        <color rgb="FF595959"/>
        <rFont val="Arial"/>
        <family val="0"/>
        <charset val="1"/>
      </rPr>
      <t xml:space="preserve">r1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節第 </t>
    </r>
    <r>
      <rPr>
        <sz val="9"/>
        <color rgb="FF595959"/>
        <rFont val="Arial"/>
        <family val="0"/>
        <charset val="1"/>
      </rPr>
      <t xml:space="preserve">9 </t>
    </r>
    <r>
      <rPr>
        <sz val="9"/>
        <color rgb="FF595959"/>
        <rFont val="Noto Sans CJK SC"/>
        <family val="2"/>
      </rPr>
      <t xml:space="preserve">條、</t>
    </r>
    <r>
      <rPr>
        <sz val="9"/>
        <color rgb="FF595959"/>
        <rFont val="Arial"/>
        <family val="0"/>
        <charset val="1"/>
      </rPr>
      <t xml:space="preserve">C8 c</t>
    </r>
    <r>
      <rPr>
        <sz val="9"/>
        <color rgb="FF595959"/>
        <rFont val="Noto Sans CJK SC"/>
        <family val="2"/>
      </rPr>
      <t xml:space="preserve">）。非上市證券其他部分（</t>
    </r>
    <r>
      <rPr>
        <sz val="9"/>
        <color rgb="FF595959"/>
        <rFont val="Arial"/>
        <family val="0"/>
        <charset val="1"/>
      </rPr>
      <t xml:space="preserve">131.461 − Anthropic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124.3 </t>
    </r>
    <r>
      <rPr>
        <sz val="9"/>
        <color rgb="FF595959"/>
        <rFont val="Noto Sans CJK SC"/>
        <family val="2"/>
      </rPr>
      <t xml:space="preserve">帳面）未列（保守）</t>
    </r>
  </si>
  <si>
    <t xml:space="preserve">類債：應計罰款與和解（主要為歐盟罰款）</t>
  </si>
  <si>
    <r>
      <rPr>
        <sz val="9"/>
        <color rgb="FF595959"/>
        <rFont val="Arial"/>
        <family val="0"/>
        <charset val="1"/>
      </rPr>
      <t xml:space="preserve">10-Q 2026Q2 </t>
    </r>
    <r>
      <rPr>
        <sz val="9"/>
        <color rgb="FF595959"/>
        <rFont val="Noto Sans CJK SC"/>
        <family val="2"/>
      </rPr>
      <t xml:space="preserve">應計罰款與和解 </t>
    </r>
    <r>
      <rPr>
        <sz val="9"/>
        <color rgb="FF595959"/>
        <rFont val="Arial"/>
        <family val="0"/>
        <charset val="1"/>
      </rPr>
      <t xml:space="preserve">17,356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2026-07 </t>
    </r>
    <r>
      <rPr>
        <sz val="9"/>
        <color rgb="FF595959"/>
        <rFont val="Noto Sans CJK SC"/>
        <family val="2"/>
      </rPr>
      <t xml:space="preserve">已付 </t>
    </r>
    <r>
      <rPr>
        <sz val="9"/>
        <color rgb="FF595959"/>
        <rFont val="Arial"/>
        <family val="0"/>
        <charset val="1"/>
      </rPr>
      <t xml:space="preserve">Android </t>
    </r>
    <r>
      <rPr>
        <sz val="9"/>
        <color rgb="FF595959"/>
        <rFont val="Noto Sans CJK SC"/>
        <family val="2"/>
      </rPr>
      <t xml:space="preserve">案 </t>
    </r>
    <r>
      <rPr>
        <sz val="9"/>
        <color rgb="FF595959"/>
        <rFont val="Arial"/>
        <family val="0"/>
        <charset val="1"/>
      </rPr>
      <t xml:space="preserve">5.2B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  <r>
      <rPr>
        <sz val="9"/>
        <color rgb="FF595959"/>
        <rFont val="Noto Sans CJK SC"/>
        <family val="2"/>
      </rPr>
      <t xml:space="preserve">；現金流出未在模型營運成本內</t>
    </r>
  </si>
  <si>
    <t xml:space="preserve">類債：非控制權益（含可贖回）</t>
  </si>
  <si>
    <r>
      <rPr>
        <sz val="9"/>
        <color rgb="FF595959"/>
        <rFont val="Arial"/>
        <family val="0"/>
        <charset val="1"/>
      </rPr>
      <t xml:space="preserve">10-Q 2026Q2 </t>
    </r>
    <r>
      <rPr>
        <sz val="9"/>
        <color rgb="FF595959"/>
        <rFont val="Noto Sans CJK SC"/>
        <family val="2"/>
      </rPr>
      <t xml:space="preserve">非控制權益 </t>
    </r>
    <r>
      <rPr>
        <sz val="9"/>
        <color rgb="FF595959"/>
        <rFont val="Arial"/>
        <family val="0"/>
        <charset val="1"/>
      </rPr>
      <t xml:space="preserve">7,100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Waymo </t>
    </r>
    <r>
      <rPr>
        <sz val="9"/>
        <color rgb="FF595959"/>
        <rFont val="Noto Sans CJK SC"/>
        <family val="2"/>
      </rPr>
      <t xml:space="preserve">等子公司少數股權）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</si>
  <si>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Noto Sans CJK SC"/>
        <family val="2"/>
      </rPr>
      <t xml:space="preserve">淨負債調整項（類債 − 持股 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1 − </t>
    </r>
    <r>
      <rPr>
        <sz val="10"/>
        <rFont val="Noto Sans CJK SC"/>
        <family val="2"/>
      </rPr>
      <t xml:space="preserve">折價））</t>
    </r>
  </si>
  <si>
    <t xml:space="preserve">正值＝增加淨負債；評價淨負債與錨定年末淨負債同加</t>
  </si>
  <si>
    <t xml:space="preserve">稅率</t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</si>
  <si>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有效稅率 </t>
    </r>
    <r>
      <rPr>
        <sz val="9"/>
        <color rgb="FF595959"/>
        <rFont val="Arial"/>
        <family val="0"/>
        <charset val="1"/>
      </rPr>
      <t xml:space="preserve">16.8%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2024 16.4%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上半年 </t>
    </r>
    <r>
      <rPr>
        <sz val="9"/>
        <color rgb="FF595959"/>
        <rFont val="Arial"/>
        <family val="0"/>
        <charset val="1"/>
      </rPr>
      <t xml:space="preserve">19.1% </t>
    </r>
    <r>
      <rPr>
        <sz val="9"/>
        <color rgb="FF595959"/>
        <rFont val="Noto Sans CJK SC"/>
        <family val="2"/>
      </rPr>
      <t xml:space="preserve">含權益證券未實現利益的遞延稅，不作基準（</t>
    </r>
    <r>
      <rPr>
        <sz val="9"/>
        <color rgb="FF595959"/>
        <rFont val="Arial"/>
        <family val="0"/>
        <charset val="1"/>
      </rPr>
      <t xml:space="preserve">v0.1a </t>
    </r>
    <r>
      <rPr>
        <sz val="9"/>
        <color rgb="FF595959"/>
        <rFont val="Noto Sans CJK SC"/>
        <family val="2"/>
      </rPr>
      <t xml:space="preserve">建議） </t>
    </r>
    <r>
      <rPr>
        <sz val="9"/>
        <color rgb="FF595959"/>
        <rFont val="Arial"/>
        <family val="0"/>
        <charset val="1"/>
      </rPr>
      <t xml:space="preserve">[Interested-party]</t>
    </r>
  </si>
  <si>
    <t xml:space="preserve">無風險利率</t>
  </si>
  <si>
    <r>
      <rPr>
        <sz val="9"/>
        <color rgb="FF595959"/>
        <rFont val="Arial"/>
        <family val="0"/>
        <charset val="1"/>
      </rPr>
      <t xml:space="preserve">10 </t>
    </r>
    <r>
      <rPr>
        <sz val="9"/>
        <color rgb="FF595959"/>
        <rFont val="Noto Sans CJK SC"/>
        <family val="2"/>
      </rPr>
      <t xml:space="preserve">年期美債（</t>
    </r>
    <r>
      <rPr>
        <sz val="9"/>
        <color rgb="FF595959"/>
        <rFont val="Arial"/>
        <family val="0"/>
        <charset val="1"/>
      </rPr>
      <t xml:space="preserve">CAPM </t>
    </r>
    <r>
      <rPr>
        <sz val="9"/>
        <color rgb="FF595959"/>
        <rFont val="Noto Sans CJK SC"/>
        <family val="2"/>
      </rPr>
      <t xml:space="preserve">與選擇權法共用）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</si>
  <si>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Arial"/>
        <family val="0"/>
        <charset val="1"/>
      </rPr>
      <t xml:space="preserve">CAPM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β</t>
    </r>
  </si>
  <si>
    <r>
      <rPr>
        <sz val="9"/>
        <color rgb="FF595959"/>
        <rFont val="Arial"/>
        <family val="0"/>
        <charset val="1"/>
      </rPr>
      <t xml:space="preserve">β</t>
    </r>
    <r>
      <rPr>
        <sz val="9"/>
        <color rgb="FF595959"/>
        <rFont val="Noto Sans CJK SC"/>
        <family val="2"/>
      </rPr>
      <t xml:space="preserve">＝獨立來源平均（</t>
    </r>
    <r>
      <rPr>
        <sz val="9"/>
        <color rgb="FF595959"/>
        <rFont val="Arial"/>
        <family val="0"/>
        <charset val="1"/>
      </rPr>
      <t xml:space="preserve">MAG </t>
    </r>
    <r>
      <rPr>
        <sz val="9"/>
        <color rgb="FF595959"/>
        <rFont val="Noto Sans CJK SC"/>
        <family val="2"/>
      </rPr>
      <t xml:space="preserve">對照表 </t>
    </r>
    <r>
      <rPr>
        <sz val="9"/>
        <color rgb="FF595959"/>
        <rFont val="Arial"/>
        <family val="0"/>
        <charset val="1"/>
      </rPr>
      <t xml:space="preserve">r1 C13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StockAnalysis 5 </t>
    </r>
    <r>
      <rPr>
        <sz val="9"/>
        <color rgb="FF595959"/>
        <rFont val="Noto Sans CJK SC"/>
        <family val="2"/>
      </rPr>
      <t xml:space="preserve">年月 </t>
    </r>
    <r>
      <rPr>
        <sz val="9"/>
        <color rgb="FF595959"/>
        <rFont val="Arial"/>
        <family val="0"/>
        <charset val="1"/>
      </rPr>
      <t xml:space="preserve">1.21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Yahoo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MarketBeat </t>
    </r>
    <r>
      <rPr>
        <sz val="9"/>
        <color rgb="FF595959"/>
        <rFont val="Noto Sans CJK SC"/>
        <family val="2"/>
      </rPr>
      <t xml:space="preserve">同值，推測同源，只算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個）、</t>
    </r>
    <r>
      <rPr>
        <sz val="9"/>
        <color rgb="FF595959"/>
        <rFont val="Arial"/>
        <family val="0"/>
        <charset val="1"/>
      </rPr>
      <t xml:space="preserve">GuruFocus 3 </t>
    </r>
    <r>
      <rPr>
        <sz val="9"/>
        <color rgb="FF595959"/>
        <rFont val="Noto Sans CJK SC"/>
        <family val="2"/>
      </rPr>
      <t xml:space="preserve">年 </t>
    </r>
    <r>
      <rPr>
        <sz val="9"/>
        <color rgb="FF595959"/>
        <rFont val="Arial"/>
        <family val="0"/>
        <charset val="1"/>
      </rPr>
      <t xml:space="preserve">1.3669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2026-10-08</t>
    </r>
    <r>
      <rPr>
        <sz val="9"/>
        <color rgb="FF595959"/>
        <rFont val="Noto Sans CJK SC"/>
        <family val="2"/>
      </rPr>
      <t xml:space="preserve">；不同資料商、不同期間）→ </t>
    </r>
    <r>
      <rPr>
        <sz val="9"/>
        <color rgb="FF595959"/>
        <rFont val="Arial"/>
        <family val="0"/>
        <charset val="1"/>
      </rPr>
      <t xml:space="preserve">1.288</t>
    </r>
    <r>
      <rPr>
        <sz val="9"/>
        <color rgb="FF595959"/>
        <rFont val="Noto Sans CJK SC"/>
        <family val="2"/>
      </rPr>
      <t xml:space="preserve">；敏感度＝獨立來源區間 </t>
    </r>
    <r>
      <rPr>
        <sz val="9"/>
        <color rgb="FF595959"/>
        <rFont val="Arial"/>
        <family val="0"/>
        <charset val="1"/>
      </rPr>
      <t xml:space="preserve">1.21–1.367 [Derived]</t>
    </r>
  </si>
  <si>
    <r>
      <rPr>
        <sz val="10"/>
        <rFont val="Arial"/>
        <family val="0"/>
        <charset val="1"/>
      </rPr>
      <t xml:space="preserve">CAPM</t>
    </r>
    <r>
      <rPr>
        <sz val="10"/>
        <rFont val="Noto Sans CJK SC"/>
        <family val="2"/>
      </rPr>
      <t xml:space="preserve">：股權風險溢酬</t>
    </r>
  </si>
  <si>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Noto Sans CJK SC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4.5%–6%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</si>
  <si>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股權成本 </t>
    </r>
    <r>
      <rPr>
        <sz val="10"/>
        <rFont val="Arial"/>
        <family val="0"/>
        <charset val="1"/>
      </rPr>
      <t xml:space="preserve">ke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rf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β × ERP</t>
    </r>
  </si>
  <si>
    <t xml:space="preserve">CAPM</t>
  </si>
  <si>
    <r>
      <rPr>
        <sz val="10"/>
        <rFont val="Noto Sans CJK SC"/>
        <family val="2"/>
      </rPr>
      <t xml:space="preserve">稅前債務成本 </t>
    </r>
    <r>
      <rPr>
        <sz val="10"/>
        <rFont val="Arial"/>
        <family val="0"/>
        <charset val="1"/>
      </rPr>
      <t xml:space="preserve">kd</t>
    </r>
  </si>
  <si>
    <r>
      <rPr>
        <sz val="9"/>
        <color rgb="FF595959"/>
        <rFont val="Arial"/>
        <family val="0"/>
        <charset val="1"/>
      </rPr>
      <t xml:space="preserve">2026-08 </t>
    </r>
    <r>
      <rPr>
        <sz val="9"/>
        <color rgb="FF595959"/>
        <rFont val="Noto Sans CJK SC"/>
        <family val="2"/>
      </rPr>
      <t xml:space="preserve">新發 </t>
    </r>
    <r>
      <rPr>
        <sz val="9"/>
        <color rgb="FF595959"/>
        <rFont val="Arial"/>
        <family val="0"/>
        <charset val="1"/>
      </rPr>
      <t xml:space="preserve">6.500% 2066 </t>
    </r>
    <r>
      <rPr>
        <sz val="9"/>
        <color rgb="FF595959"/>
        <rFont val="Noto Sans CJK SC"/>
        <family val="2"/>
      </rPr>
      <t xml:space="preserve">票據發行殖利率 </t>
    </r>
    <r>
      <rPr>
        <sz val="9"/>
        <color rgb="FF595959"/>
        <rFont val="Arial"/>
        <family val="0"/>
        <charset val="1"/>
      </rPr>
      <t xml:space="preserve">6.527%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130bp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FWP 2026-08-06</t>
    </r>
    <r>
      <rPr>
        <sz val="9"/>
        <color rgb="FF595959"/>
        <rFont val="Noto Sans CJK SC"/>
        <family val="2"/>
      </rPr>
      <t xml:space="preserve">）（市場邊際成本）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</si>
  <si>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Noto Sans CJK SC"/>
        <family val="2"/>
      </rPr>
      <t xml:space="preserve">股權市值 </t>
    </r>
    <r>
      <rPr>
        <sz val="10"/>
        <rFont val="Arial"/>
        <family val="0"/>
        <charset val="1"/>
      </rPr>
      <t xml:space="preserve">E</t>
    </r>
    <r>
      <rPr>
        <sz val="10"/>
        <rFont val="Noto Sans CJK SC"/>
        <family val="2"/>
      </rPr>
      <t xml:space="preserve">（現價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季末流通股數）</t>
    </r>
  </si>
  <si>
    <r>
      <rPr>
        <sz val="9"/>
        <color rgb="FF595959"/>
        <rFont val="Noto Sans CJK SC"/>
        <family val="2"/>
      </rPr>
      <t xml:space="preserve">季末流通 </t>
    </r>
    <r>
      <rPr>
        <sz val="9"/>
        <color rgb="FF595959"/>
        <rFont val="Arial"/>
        <family val="0"/>
        <charset val="1"/>
      </rPr>
      <t xml:space="preserve">12.23bn </t>
    </r>
    <r>
      <rPr>
        <sz val="9"/>
        <color rgb="FF595959"/>
        <rFont val="Noto Sans CJK SC"/>
        <family val="2"/>
      </rPr>
      <t xml:space="preserve">股</t>
    </r>
  </si>
  <si>
    <r>
      <rPr>
        <sz val="10"/>
        <rFont val="Noto Sans CJK SC"/>
        <family val="2"/>
      </rPr>
      <t xml:space="preserve">債務 </t>
    </r>
    <r>
      <rPr>
        <sz val="10"/>
        <rFont val="Arial"/>
        <family val="0"/>
        <charset val="1"/>
      </rPr>
      <t xml:space="preserve">D</t>
    </r>
    <r>
      <rPr>
        <sz val="10"/>
        <rFont val="Noto Sans CJK SC"/>
        <family val="2"/>
      </rPr>
      <t xml:space="preserve">（評價日債務本金）</t>
    </r>
  </si>
  <si>
    <r>
      <rPr>
        <sz val="9"/>
        <color rgb="FF595959"/>
        <rFont val="Noto Sans CJK SC"/>
        <family val="2"/>
      </rPr>
      <t xml:space="preserve">強制轉換特別股視為股權，不計入 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</si>
  <si>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Arial"/>
        <family val="0"/>
        <charset val="1"/>
      </rPr>
      <t xml:space="preserve">WACC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CAPM</t>
    </r>
    <r>
      <rPr>
        <sz val="10"/>
        <rFont val="Noto Sans CJK SC"/>
        <family val="2"/>
      </rPr>
      <t xml:space="preserve">）＝</t>
    </r>
    <r>
      <rPr>
        <sz val="10"/>
        <rFont val="Arial"/>
        <family val="0"/>
        <charset val="1"/>
      </rPr>
      <t xml:space="preserve">E/(D+E) × ke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D/(D+E) × kd ×(1 − </t>
    </r>
    <r>
      <rPr>
        <sz val="10"/>
        <rFont val="Noto Sans CJK SC"/>
        <family val="2"/>
      </rPr>
      <t xml:space="preserve">稅率</t>
    </r>
    <r>
      <rPr>
        <sz val="10"/>
        <rFont val="Arial"/>
        <family val="0"/>
        <charset val="1"/>
      </rPr>
      <t xml:space="preserve">)</t>
    </r>
  </si>
  <si>
    <t xml:space="preserve">[Derived]</t>
  </si>
  <si>
    <r>
      <rPr>
        <sz val="10"/>
        <rFont val="Arial"/>
        <family val="0"/>
        <charset val="1"/>
      </rPr>
      <t xml:space="preserve">WACC </t>
    </r>
    <r>
      <rPr>
        <sz val="10"/>
        <rFont val="Noto Sans CJK SC"/>
        <family val="2"/>
      </rPr>
      <t xml:space="preserve">手動覆蓋（空白＝採 </t>
    </r>
    <r>
      <rPr>
        <sz val="10"/>
        <rFont val="Arial"/>
        <family val="0"/>
        <charset val="1"/>
      </rPr>
      <t xml:space="preserve">CAPM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</si>
  <si>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company.json → valuation.wacc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null</t>
    </r>
    <r>
      <rPr>
        <sz val="9"/>
        <color rgb="FF595959"/>
        <rFont val="Noto Sans CJK SC"/>
        <family val="2"/>
      </rPr>
      <t xml:space="preserve">＝空白）</t>
    </r>
  </si>
  <si>
    <t xml:space="preserve">WACC</t>
  </si>
  <si>
    <r>
      <rPr>
        <sz val="9"/>
        <color rgb="FF595959"/>
        <rFont val="Noto Sans CJK SC"/>
        <family val="2"/>
      </rPr>
      <t xml:space="preserve">＝手動覆蓋，空白時採 </t>
    </r>
    <r>
      <rPr>
        <sz val="9"/>
        <color rgb="FF595959"/>
        <rFont val="Arial"/>
        <family val="0"/>
        <charset val="1"/>
      </rPr>
      <t xml:space="preserve">CAPM</t>
    </r>
  </si>
  <si>
    <r>
      <rPr>
        <sz val="10"/>
        <rFont val="Noto Sans CJK SC"/>
        <family val="2"/>
      </rPr>
      <t xml:space="preserve">永續成長 </t>
    </r>
    <r>
      <rPr>
        <sz val="10"/>
        <rFont val="Arial"/>
        <family val="0"/>
        <charset val="1"/>
      </rPr>
      <t xml:space="preserve">g</t>
    </r>
  </si>
  <si>
    <r>
      <rPr>
        <sz val="10"/>
        <rFont val="Noto Sans CJK SC"/>
        <family val="2"/>
      </rPr>
      <t xml:space="preserve">終值維持性 </t>
    </r>
    <r>
      <rPr>
        <sz val="10"/>
        <rFont val="Arial"/>
        <family val="0"/>
        <charset val="1"/>
      </rPr>
      <t xml:space="preserve">CapEx </t>
    </r>
    <r>
      <rPr>
        <sz val="10"/>
        <rFont val="Noto Sans CJK SC"/>
        <family val="2"/>
      </rPr>
      <t xml:space="preserve">占 </t>
    </r>
    <r>
      <rPr>
        <sz val="10"/>
        <rFont val="Arial"/>
        <family val="0"/>
        <charset val="1"/>
      </rPr>
      <t xml:space="preserve">D&amp;A</t>
    </r>
  </si>
  <si>
    <r>
      <rPr>
        <sz val="9"/>
        <color rgb="FF595959"/>
        <rFont val="Arial"/>
        <family val="0"/>
        <charset val="1"/>
      </rPr>
      <t xml:space="preserve">v0.1c</t>
    </r>
    <r>
      <rPr>
        <sz val="9"/>
        <color rgb="FF595959"/>
        <rFont val="Noto Sans CJK SC"/>
        <family val="2"/>
      </rPr>
      <t xml:space="preserve">：終值改以末期 </t>
    </r>
    <r>
      <rPr>
        <sz val="9"/>
        <color rgb="FF595959"/>
        <rFont val="Arial"/>
        <family val="0"/>
        <charset val="1"/>
      </rPr>
      <t xml:space="preserve">UFCF</t>
    </r>
    <r>
      <rPr>
        <sz val="9"/>
        <color rgb="FF595959"/>
        <rFont val="Noto Sans CJK SC"/>
        <family val="2"/>
      </rPr>
      <t xml:space="preserve">（含穩態汰換 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Noto Sans CJK SC"/>
        <family val="2"/>
      </rPr>
      <t xml:space="preserve">）為基準（</t>
    </r>
    <r>
      <rPr>
        <sz val="9"/>
        <color rgb="FF595959"/>
        <rFont val="Arial"/>
        <family val="0"/>
        <charset val="1"/>
      </rPr>
      <t xml:space="preserve">valuation.tvBasis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ufcf</t>
    </r>
    <r>
      <rPr>
        <sz val="9"/>
        <color rgb="FF595959"/>
        <rFont val="Noto Sans CJK SC"/>
        <family val="2"/>
      </rPr>
      <t xml:space="preserve">），此比例不使用</t>
    </r>
  </si>
  <si>
    <r>
      <rPr>
        <sz val="10"/>
        <rFont val="Noto Sans CJK SC"/>
        <family val="2"/>
      </rPr>
      <t xml:space="preserve">期初 </t>
    </r>
    <r>
      <rPr>
        <sz val="10"/>
        <rFont val="Arial"/>
        <family val="0"/>
        <charset val="1"/>
      </rPr>
      <t xml:space="preserve">NOL</t>
    </r>
    <r>
      <rPr>
        <sz val="10"/>
        <rFont val="Noto Sans CJK SC"/>
        <family val="2"/>
      </rPr>
      <t xml:space="preserve">（虧損扣抵）</t>
    </r>
  </si>
  <si>
    <r>
      <rPr>
        <sz val="9"/>
        <color rgb="FF595959"/>
        <rFont val="Arial"/>
        <family val="0"/>
        <charset val="1"/>
      </rPr>
      <t xml:space="preserve">6/30 </t>
    </r>
    <r>
      <rPr>
        <sz val="9"/>
        <color rgb="FF595959"/>
        <rFont val="Noto Sans CJK SC"/>
        <family val="2"/>
      </rPr>
      <t xml:space="preserve">累積虧損約 </t>
    </r>
    <r>
      <rPr>
        <sz val="9"/>
        <color rgb="FF595959"/>
        <rFont val="Arial"/>
        <family val="0"/>
        <charset val="1"/>
      </rPr>
      <t xml:space="preserve">0.0</t>
    </r>
    <r>
      <rPr>
        <sz val="9"/>
        <color rgb="FF595959"/>
        <rFont val="Noto Sans CJK SC"/>
        <family val="2"/>
      </rPr>
      <t xml:space="preserve">；抵扣上限為應稅所得 </t>
    </r>
    <r>
      <rPr>
        <sz val="9"/>
        <color rgb="FF595959"/>
        <rFont val="Arial"/>
        <family val="0"/>
        <charset val="1"/>
      </rPr>
      <t xml:space="preserve">80% [Derived]</t>
    </r>
  </si>
  <si>
    <r>
      <rPr>
        <sz val="10"/>
        <rFont val="Arial"/>
        <family val="0"/>
        <charset val="1"/>
      </rPr>
      <t xml:space="preserve">NOL </t>
    </r>
    <r>
      <rPr>
        <sz val="10"/>
        <rFont val="Noto Sans CJK SC"/>
        <family val="2"/>
      </rPr>
      <t xml:space="preserve">每年可抵用比例</t>
    </r>
  </si>
  <si>
    <r>
      <rPr>
        <sz val="9"/>
        <color rgb="FF595959"/>
        <rFont val="Noto Sans CJK SC"/>
        <family val="2"/>
      </rPr>
      <t xml:space="preserve">抵扣上限占應稅所得的比例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</si>
  <si>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營運資金占營收增量</t>
  </si>
  <si>
    <r>
      <rPr>
        <sz val="9"/>
        <color rgb="FF595959"/>
        <rFont val="Noto Sans CJK SC"/>
        <family val="2"/>
      </rPr>
      <t xml:space="preserve">營運資金變動＝營收增量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此比例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</si>
  <si>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Arial"/>
        <family val="0"/>
        <charset val="1"/>
      </rPr>
      <t xml:space="preserve">EV/EBITDA </t>
    </r>
    <r>
      <rPr>
        <sz val="1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</si>
  <si>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雲端（算力）部分：可觀察 </t>
    </r>
    <r>
      <rPr>
        <sz val="9"/>
        <color rgb="FF595959"/>
        <rFont val="Arial"/>
        <family val="0"/>
        <charset val="1"/>
      </rPr>
      <t xml:space="preserve">neocloud </t>
    </r>
    <r>
      <rPr>
        <sz val="9"/>
        <color rgb="FF595959"/>
        <rFont val="Noto Sans CJK SC"/>
        <family val="2"/>
      </rPr>
      <t xml:space="preserve">穩態合理倍數約 </t>
    </r>
    <r>
      <rPr>
        <sz val="9"/>
        <color rgb="FF595959"/>
        <rFont val="Arial"/>
        <family val="0"/>
        <charset val="1"/>
      </rPr>
      <t xml:space="preserve">5–6x</t>
    </r>
    <r>
      <rPr>
        <sz val="9"/>
        <color rgb="FF595959"/>
        <rFont val="Noto Sans CJK SC"/>
        <family val="2"/>
      </rPr>
      <t xml:space="preserve">（轉換率 </t>
    </r>
    <r>
      <rPr>
        <sz val="9"/>
        <color rgb="FF595959"/>
        <rFont val="Arial"/>
        <family val="0"/>
        <charset val="1"/>
      </rPr>
      <t xml:space="preserve">÷ (WACC − g)</t>
    </r>
    <r>
      <rPr>
        <sz val="9"/>
        <color rgb="FF595959"/>
        <rFont val="Noto Sans CJK SC"/>
        <family val="2"/>
      </rPr>
      <t xml:space="preserve">），</t>
    </r>
    <r>
      <rPr>
        <sz val="9"/>
        <color rgb="FF595959"/>
        <rFont val="Arial"/>
        <family val="0"/>
        <charset val="1"/>
      </rPr>
      <t xml:space="preserve">6x </t>
    </r>
    <r>
      <rPr>
        <sz val="9"/>
        <color rgb="FF595959"/>
        <rFont val="Noto Sans CJK SC"/>
        <family val="2"/>
      </rPr>
      <t xml:space="preserve">為上緣 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Noto Sans CJK SC"/>
        <family val="2"/>
      </rPr>
      <t xml:space="preserve">；非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事業另用同業倍數（分部加總）</t>
    </r>
  </si>
  <si>
    <r>
      <rPr>
        <sz val="10"/>
        <rFont val="Noto Sans CJK SC"/>
        <family val="2"/>
      </rPr>
      <t xml:space="preserve">同業 </t>
    </r>
    <r>
      <rPr>
        <sz val="10"/>
        <rFont val="Arial"/>
        <family val="0"/>
        <charset val="1"/>
      </rPr>
      <t xml:space="preserve">NTM EV/EBITDA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META</t>
    </r>
  </si>
  <si>
    <r>
      <rPr>
        <sz val="9"/>
        <color rgb="FF595959"/>
        <rFont val="Arial"/>
        <family val="0"/>
        <charset val="1"/>
      </rPr>
      <t xml:space="preserve">Meta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val.peer.ads.meta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</si>
  <si>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同業 </t>
    </r>
    <r>
      <rPr>
        <sz val="10"/>
        <rFont val="Arial"/>
        <family val="0"/>
        <charset val="1"/>
      </rPr>
      <t xml:space="preserve">NTM EV/EBITDA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PINS</t>
    </r>
  </si>
  <si>
    <r>
      <rPr>
        <sz val="9"/>
        <color rgb="FF595959"/>
        <rFont val="Arial"/>
        <family val="0"/>
        <charset val="1"/>
      </rPr>
      <t xml:space="preserve">Pinterest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val.peer.ads.pins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</si>
  <si>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同業 </t>
    </r>
    <r>
      <rPr>
        <sz val="10"/>
        <rFont val="Arial"/>
        <family val="0"/>
        <charset val="1"/>
      </rPr>
      <t xml:space="preserve">NTM EV/EBITDA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TTD</t>
    </r>
  </si>
  <si>
    <r>
      <rPr>
        <sz val="9"/>
        <color rgb="FF595959"/>
        <rFont val="Arial"/>
        <family val="0"/>
        <charset val="1"/>
      </rPr>
      <t xml:space="preserve">The Trade Desk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val.peer.ads.ttd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</si>
  <si>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同業 </t>
    </r>
    <r>
      <rPr>
        <sz val="10"/>
        <rFont val="Arial"/>
        <family val="0"/>
        <charset val="1"/>
      </rPr>
      <t xml:space="preserve">NTM EV/EBITDA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APP</t>
    </r>
  </si>
  <si>
    <r>
      <rPr>
        <sz val="9"/>
        <color rgb="FF595959"/>
        <rFont val="Arial"/>
        <family val="0"/>
        <charset val="1"/>
      </rPr>
      <t xml:space="preserve">AppLovin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val.peer.ads.app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</si>
  <si>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同業 </t>
    </r>
    <r>
      <rPr>
        <sz val="10"/>
        <rFont val="Arial"/>
        <family val="0"/>
        <charset val="1"/>
      </rPr>
      <t xml:space="preserve">NTM EV/EBITDA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RDDT</t>
    </r>
  </si>
  <si>
    <r>
      <rPr>
        <sz val="9"/>
        <color rgb="FF595959"/>
        <rFont val="Arial"/>
        <family val="0"/>
        <charset val="1"/>
      </rPr>
      <t xml:space="preserve">Reddit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val.peer.ads.rddt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</si>
  <si>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同業 </t>
    </r>
    <r>
      <rPr>
        <sz val="10"/>
        <rFont val="Arial"/>
        <family val="0"/>
        <charset val="1"/>
      </rPr>
      <t xml:space="preserve">NTM EV/EBITDA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SNAP</t>
    </r>
  </si>
  <si>
    <r>
      <rPr>
        <sz val="9"/>
        <color rgb="FF595959"/>
        <rFont val="Arial"/>
        <family val="0"/>
        <charset val="1"/>
      </rPr>
      <t xml:space="preserve">Snap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val.peer.ads.snap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</si>
  <si>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分部倍數｜數位廣告｜</t>
    </r>
    <r>
      <rPr>
        <sz val="10"/>
        <rFont val="Arial"/>
        <family val="0"/>
        <charset val="1"/>
      </rPr>
      <t xml:space="preserve">META</t>
    </r>
  </si>
  <si>
    <r>
      <rPr>
        <sz val="10"/>
        <rFont val="Noto Sans CJK SC"/>
        <family val="2"/>
      </rPr>
      <t xml:space="preserve">分部倍數｜數位廣告｜</t>
    </r>
    <r>
      <rPr>
        <sz val="10"/>
        <rFont val="Arial"/>
        <family val="0"/>
        <charset val="1"/>
      </rPr>
      <t xml:space="preserve">PINS</t>
    </r>
  </si>
  <si>
    <r>
      <rPr>
        <sz val="10"/>
        <rFont val="Noto Sans CJK SC"/>
        <family val="2"/>
      </rPr>
      <t xml:space="preserve">分部倍數｜數位廣告｜</t>
    </r>
    <r>
      <rPr>
        <sz val="10"/>
        <rFont val="Arial"/>
        <family val="0"/>
        <charset val="1"/>
      </rPr>
      <t xml:space="preserve">TTD</t>
    </r>
  </si>
  <si>
    <r>
      <rPr>
        <sz val="10"/>
        <rFont val="Noto Sans CJK SC"/>
        <family val="2"/>
      </rPr>
      <t xml:space="preserve">分部倍數｜數位廣告｜</t>
    </r>
    <r>
      <rPr>
        <sz val="10"/>
        <rFont val="Arial"/>
        <family val="0"/>
        <charset val="1"/>
      </rPr>
      <t xml:space="preserve">APP</t>
    </r>
  </si>
  <si>
    <r>
      <rPr>
        <sz val="10"/>
        <rFont val="Noto Sans CJK SC"/>
        <family val="2"/>
      </rPr>
      <t xml:space="preserve">分部倍數｜數位廣告｜</t>
    </r>
    <r>
      <rPr>
        <sz val="10"/>
        <rFont val="Arial"/>
        <family val="0"/>
        <charset val="1"/>
      </rPr>
      <t xml:space="preserve">RDDT</t>
    </r>
  </si>
  <si>
    <r>
      <rPr>
        <sz val="10"/>
        <rFont val="Noto Sans CJK SC"/>
        <family val="2"/>
      </rPr>
      <t xml:space="preserve">分部倍數｜數位廣告｜</t>
    </r>
    <r>
      <rPr>
        <sz val="10"/>
        <rFont val="Arial"/>
        <family val="0"/>
        <charset val="1"/>
      </rPr>
      <t xml:space="preserve">SNAP</t>
    </r>
  </si>
  <si>
    <r>
      <rPr>
        <sz val="10"/>
        <rFont val="Noto Sans CJK SC"/>
        <family val="2"/>
      </rPr>
      <t xml:space="preserve">分部倍數｜數位廣告（同業 </t>
    </r>
    <r>
      <rPr>
        <sz val="10"/>
        <rFont val="Arial"/>
        <family val="0"/>
        <charset val="1"/>
      </rPr>
      <t xml:space="preserve">NTM </t>
    </r>
    <r>
      <rPr>
        <sz val="10"/>
        <rFont val="Noto Sans CJK SC"/>
        <family val="2"/>
      </rPr>
      <t xml:space="preserve">中位數）</t>
    </r>
  </si>
  <si>
    <r>
      <rPr>
        <sz val="9"/>
        <color rgb="FF595959"/>
        <rFont val="Noto Sans CJK SC"/>
        <family val="2"/>
      </rPr>
      <t xml:space="preserve">同業 </t>
    </r>
    <r>
      <rPr>
        <sz val="9"/>
        <color rgb="FF595959"/>
        <rFont val="Arial"/>
        <family val="0"/>
        <charset val="1"/>
      </rPr>
      <t xml:space="preserve">NTM EV/EBITDA </t>
    </r>
    <r>
      <rPr>
        <sz val="9"/>
        <color rgb="FF595959"/>
        <rFont val="Noto Sans CJK SC"/>
        <family val="2"/>
      </rPr>
      <t xml:space="preserve">中位數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</si>
  <si>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分部倍數｜訂閱影音｜</t>
    </r>
    <r>
      <rPr>
        <sz val="10"/>
        <rFont val="Arial"/>
        <family val="0"/>
        <charset val="1"/>
      </rPr>
      <t xml:space="preserve">NFLX</t>
    </r>
  </si>
  <si>
    <r>
      <rPr>
        <sz val="9"/>
        <color rgb="FF595959"/>
        <rFont val="Arial"/>
        <family val="0"/>
        <charset val="1"/>
      </rPr>
      <t xml:space="preserve">Netflix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val.peer.nflx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Alphabet </t>
    </r>
    <r>
      <rPr>
        <sz val="9"/>
        <color rgb="FF595959"/>
        <rFont val="Noto Sans CJK SC"/>
        <family val="2"/>
      </rPr>
      <t xml:space="preserve">事實總帳；</t>
    </r>
    <r>
      <rPr>
        <sz val="9"/>
        <color rgb="FF595959"/>
        <rFont val="Arial"/>
        <family val="0"/>
        <charset val="1"/>
      </rPr>
      <t xml:space="preserve">Amazon val.peer.subs.nflx </t>
    </r>
    <r>
      <rPr>
        <sz val="9"/>
        <color rgb="FF595959"/>
        <rFont val="Noto Sans CJK SC"/>
        <family val="2"/>
      </rPr>
      <t xml:space="preserve">同值））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</si>
  <si>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分部倍數｜訂閱影音｜</t>
    </r>
    <r>
      <rPr>
        <sz val="10"/>
        <rFont val="Arial"/>
        <family val="0"/>
        <charset val="1"/>
      </rPr>
      <t xml:space="preserve">SPOT</t>
    </r>
  </si>
  <si>
    <r>
      <rPr>
        <sz val="9"/>
        <color rgb="FF595959"/>
        <rFont val="Arial"/>
        <family val="0"/>
        <charset val="1"/>
      </rPr>
      <t xml:space="preserve">Spotify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amazon/data/amazon_facts_20261008.json val.peerTTM.subs.spot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TTM</t>
    </r>
    <r>
      <rPr>
        <sz val="9"/>
        <color rgb="FF595959"/>
        <rFont val="Noto Sans CJK SC"/>
        <family val="2"/>
      </rPr>
      <t xml:space="preserve">，非 </t>
    </r>
    <r>
      <rPr>
        <sz val="9"/>
        <color rgb="FF595959"/>
        <rFont val="Arial"/>
        <family val="0"/>
        <charset val="1"/>
      </rPr>
      <t xml:space="preserve">NTM</t>
    </r>
    <r>
      <rPr>
        <sz val="9"/>
        <color rgb="FF595959"/>
        <rFont val="Noto Sans CJK SC"/>
        <family val="2"/>
      </rPr>
      <t xml:space="preserve">））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</si>
  <si>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分部倍數｜訂閱影音｜</t>
    </r>
    <r>
      <rPr>
        <sz val="10"/>
        <rFont val="Arial"/>
        <family val="0"/>
        <charset val="1"/>
      </rPr>
      <t xml:space="preserve">DIS</t>
    </r>
  </si>
  <si>
    <r>
      <rPr>
        <sz val="9"/>
        <color rgb="FF595959"/>
        <rFont val="Arial"/>
        <family val="0"/>
        <charset val="1"/>
      </rPr>
      <t xml:space="preserve">Disney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amazon/data/amazon_facts_20261008.json val.peerTTM.subs.dis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TTM</t>
    </r>
    <r>
      <rPr>
        <sz val="9"/>
        <color rgb="FF595959"/>
        <rFont val="Noto Sans CJK SC"/>
        <family val="2"/>
      </rPr>
      <t xml:space="preserve">，非 </t>
    </r>
    <r>
      <rPr>
        <sz val="9"/>
        <color rgb="FF595959"/>
        <rFont val="Arial"/>
        <family val="0"/>
        <charset val="1"/>
      </rPr>
      <t xml:space="preserve">NTM</t>
    </r>
    <r>
      <rPr>
        <sz val="9"/>
        <color rgb="FF595959"/>
        <rFont val="Noto Sans CJK SC"/>
        <family val="2"/>
      </rPr>
      <t xml:space="preserve">））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</si>
  <si>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分部倍數｜訂閱影音（同業 </t>
    </r>
    <r>
      <rPr>
        <sz val="10"/>
        <rFont val="Arial"/>
        <family val="0"/>
        <charset val="1"/>
      </rPr>
      <t xml:space="preserve">NTM </t>
    </r>
    <r>
      <rPr>
        <sz val="10"/>
        <rFont val="Noto Sans CJK SC"/>
        <family val="2"/>
      </rPr>
      <t xml:space="preserve">中位數）</t>
    </r>
  </si>
  <si>
    <r>
      <rPr>
        <sz val="10"/>
        <rFont val="Noto Sans CJK SC"/>
        <family val="2"/>
      </rPr>
      <t xml:space="preserve">分部倍數｜非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雲端｜</t>
    </r>
    <r>
      <rPr>
        <sz val="10"/>
        <rFont val="Arial"/>
        <family val="0"/>
        <charset val="1"/>
      </rPr>
      <t xml:space="preserve">ORCL</t>
    </r>
  </si>
  <si>
    <r>
      <rPr>
        <sz val="9"/>
        <color rgb="FF595959"/>
        <rFont val="Arial"/>
        <family val="0"/>
        <charset val="1"/>
      </rPr>
      <t xml:space="preserve">Oracle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val.peer.cloud.orcl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</si>
  <si>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分部倍數｜非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雲端｜</t>
    </r>
    <r>
      <rPr>
        <sz val="10"/>
        <rFont val="Arial"/>
        <family val="0"/>
        <charset val="1"/>
      </rPr>
      <t xml:space="preserve">IBM</t>
    </r>
  </si>
  <si>
    <r>
      <rPr>
        <sz val="9"/>
        <color rgb="FF595959"/>
        <rFont val="Arial"/>
        <family val="0"/>
        <charset val="1"/>
      </rPr>
      <t xml:space="preserve">IBM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val.peer.cloud.ibm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</si>
  <si>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分部倍數｜非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雲端｜</t>
    </r>
    <r>
      <rPr>
        <sz val="10"/>
        <rFont val="Arial"/>
        <family val="0"/>
        <charset val="1"/>
      </rPr>
      <t xml:space="preserve">SAP</t>
    </r>
  </si>
  <si>
    <r>
      <rPr>
        <sz val="9"/>
        <color rgb="FF595959"/>
        <rFont val="Arial"/>
        <family val="0"/>
        <charset val="1"/>
      </rPr>
      <t xml:space="preserve">SAP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val.peer.cloud.sap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</si>
  <si>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分部倍數｜非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雲端｜</t>
    </r>
    <r>
      <rPr>
        <sz val="10"/>
        <rFont val="Arial"/>
        <family val="0"/>
        <charset val="1"/>
      </rPr>
      <t xml:space="preserve">CRM</t>
    </r>
  </si>
  <si>
    <r>
      <rPr>
        <sz val="9"/>
        <color rgb="FF595959"/>
        <rFont val="Arial"/>
        <family val="0"/>
        <charset val="1"/>
      </rPr>
      <t xml:space="preserve">Salesforce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val.peer.cloud.crm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</si>
  <si>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分部倍數｜非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雲端｜</t>
    </r>
    <r>
      <rPr>
        <sz val="10"/>
        <rFont val="Arial"/>
        <family val="0"/>
        <charset val="1"/>
      </rPr>
      <t xml:space="preserve">NOW</t>
    </r>
  </si>
  <si>
    <r>
      <rPr>
        <sz val="9"/>
        <color rgb="FF595959"/>
        <rFont val="Arial"/>
        <family val="0"/>
        <charset val="1"/>
      </rPr>
      <t xml:space="preserve">ServiceNow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val.peer.cloud.now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</si>
  <si>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分部倍數｜非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雲端｜</t>
    </r>
    <r>
      <rPr>
        <sz val="10"/>
        <rFont val="Arial"/>
        <family val="0"/>
        <charset val="1"/>
      </rPr>
      <t xml:space="preserve">AKAM</t>
    </r>
  </si>
  <si>
    <r>
      <rPr>
        <sz val="9"/>
        <color rgb="FF595959"/>
        <rFont val="Arial"/>
        <family val="0"/>
        <charset val="1"/>
      </rPr>
      <t xml:space="preserve">Akamai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val.peer.cloud.akam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</si>
  <si>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分部倍數｜非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雲端｜</t>
    </r>
    <r>
      <rPr>
        <sz val="10"/>
        <rFont val="Arial"/>
        <family val="0"/>
        <charset val="1"/>
      </rPr>
      <t xml:space="preserve">EQIX</t>
    </r>
  </si>
  <si>
    <r>
      <rPr>
        <sz val="9"/>
        <color rgb="FF595959"/>
        <rFont val="Arial"/>
        <family val="0"/>
        <charset val="1"/>
      </rPr>
      <t xml:space="preserve">Equinix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val.peer.cloud.eqix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</si>
  <si>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分部倍數｜非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雲端｜</t>
    </r>
    <r>
      <rPr>
        <sz val="10"/>
        <rFont val="Arial"/>
        <family val="0"/>
        <charset val="1"/>
      </rPr>
      <t xml:space="preserve">DOCN</t>
    </r>
  </si>
  <si>
    <r>
      <rPr>
        <sz val="9"/>
        <color rgb="FF595959"/>
        <rFont val="Arial"/>
        <family val="0"/>
        <charset val="1"/>
      </rPr>
      <t xml:space="preserve">DigitalOcean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val.peer.cloud.docn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</si>
  <si>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分部倍數｜非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雲端（同業 </t>
    </r>
    <r>
      <rPr>
        <sz val="10"/>
        <rFont val="Arial"/>
        <family val="0"/>
        <charset val="1"/>
      </rPr>
      <t xml:space="preserve">NTM </t>
    </r>
    <r>
      <rPr>
        <sz val="10"/>
        <rFont val="Noto Sans CJK SC"/>
        <family val="2"/>
      </rPr>
      <t xml:space="preserve">中位數）</t>
    </r>
  </si>
  <si>
    <r>
      <rPr>
        <sz val="10"/>
        <rFont val="Noto Sans CJK SC"/>
        <family val="2"/>
      </rPr>
      <t xml:space="preserve">分部倍數｜</t>
    </r>
    <r>
      <rPr>
        <sz val="10"/>
        <rFont val="Arial"/>
        <family val="0"/>
        <charset val="1"/>
      </rPr>
      <t xml:space="preserve">Other Bets</t>
    </r>
  </si>
  <si>
    <r>
      <rPr>
        <sz val="9"/>
        <color rgb="FF595959"/>
        <rFont val="Noto Sans CJK SC"/>
        <family val="2"/>
      </rPr>
      <t xml:space="preserve">無同業倍數（</t>
    </r>
    <r>
      <rPr>
        <sz val="9"/>
        <color rgb="FF595959"/>
        <rFont val="Arial"/>
        <family val="0"/>
        <charset val="1"/>
      </rPr>
      <t xml:space="preserve">Waymo </t>
    </r>
    <r>
      <rPr>
        <sz val="9"/>
        <color rgb="FF595959"/>
        <rFont val="Noto Sans CJK SC"/>
        <family val="2"/>
      </rPr>
      <t xml:space="preserve">等未上市）→ 沿用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雲端倍數；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為負，即虧損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倍數（保守；未計 </t>
    </r>
    <r>
      <rPr>
        <sz val="9"/>
        <color rgb="FF595959"/>
        <rFont val="Arial"/>
        <family val="0"/>
        <charset val="1"/>
      </rPr>
      <t xml:space="preserve">Waymo </t>
    </r>
    <r>
      <rPr>
        <sz val="9"/>
        <color rgb="FF595959"/>
        <rFont val="Noto Sans CJK SC"/>
        <family val="2"/>
      </rPr>
      <t xml:space="preserve">募資估值）</t>
    </r>
  </si>
  <si>
    <r>
      <rPr>
        <sz val="10"/>
        <rFont val="Noto Sans CJK SC"/>
        <family val="2"/>
      </rPr>
      <t xml:space="preserve">分部倍數｜</t>
    </r>
    <r>
      <rPr>
        <sz val="10"/>
        <rFont val="Arial"/>
        <family val="0"/>
        <charset val="1"/>
      </rPr>
      <t xml:space="preserve">TPU </t>
    </r>
    <r>
      <rPr>
        <sz val="10"/>
        <rFont val="Noto Sans CJK SC"/>
        <family val="2"/>
      </rPr>
      <t xml:space="preserve">硬體銷售</t>
    </r>
  </si>
  <si>
    <r>
      <rPr>
        <sz val="9"/>
        <color rgb="FF595959"/>
        <rFont val="Noto Sans CJK SC"/>
        <family val="2"/>
      </rPr>
      <t xml:space="preserve">未蒐集半導體同業倍數 → 沿用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雲端倍數 </t>
    </r>
    <r>
      <rPr>
        <sz val="9"/>
        <color rgb="FF595959"/>
        <rFont val="Arial"/>
        <family val="0"/>
        <charset val="1"/>
      </rPr>
      <t xml:space="preserve">6× [Assumed]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</si>
  <si>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事業加權倍數（錨定年度各線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加權）</t>
    </r>
  </si>
  <si>
    <r>
      <rPr>
        <sz val="9"/>
        <color rgb="FF595959"/>
        <rFont val="Noto Sans CJK SC"/>
        <family val="2"/>
      </rPr>
      <t xml:space="preserve">分部 </t>
    </r>
    <r>
      <rPr>
        <sz val="9"/>
        <color rgb="FF595959"/>
        <rFont val="Arial"/>
        <family val="0"/>
        <charset val="1"/>
      </rPr>
      <t xml:space="preserve">EV/EBITDA</t>
    </r>
    <r>
      <rPr>
        <sz val="9"/>
        <color rgb="FF595959"/>
        <rFont val="Noto Sans CJK SC"/>
        <family val="2"/>
      </rPr>
      <t xml:space="preserve">：各非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分部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所屬同業組 </t>
    </r>
    <r>
      <rPr>
        <sz val="9"/>
        <color rgb="FF595959"/>
        <rFont val="Arial"/>
        <family val="0"/>
        <charset val="1"/>
      </rPr>
      <t xml:space="preserve">NTM EV/EBITDA </t>
    </r>
    <r>
      <rPr>
        <sz val="9"/>
        <color rgb="FF595959"/>
        <rFont val="Noto Sans CJK SC"/>
        <family val="2"/>
      </rPr>
      <t xml:space="preserve">中位數（</t>
    </r>
    <r>
      <rPr>
        <sz val="9"/>
        <color rgb="FF595959"/>
        <rFont val="Arial"/>
        <family val="0"/>
        <charset val="1"/>
      </rPr>
      <t xml:space="preserve">legacyBiz.lines.peer</t>
    </r>
    <r>
      <rPr>
        <sz val="9"/>
        <color rgb="FF595959"/>
        <rFont val="Noto Sans CJK SC"/>
        <family val="2"/>
      </rPr>
      <t xml:space="preserve">；每組至少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家）：搜尋、</t>
    </r>
    <r>
      <rPr>
        <sz val="9"/>
        <color rgb="FF595959"/>
        <rFont val="Arial"/>
        <family val="0"/>
        <charset val="1"/>
      </rPr>
      <t xml:space="preserve">YouTube </t>
    </r>
    <r>
      <rPr>
        <sz val="9"/>
        <color rgb="FF595959"/>
        <rFont val="Noto Sans CJK SC"/>
        <family val="2"/>
      </rPr>
      <t xml:space="preserve">廣告、聯播網、</t>
    </r>
    <r>
      <rPr>
        <sz val="9"/>
        <color rgb="FF595959"/>
        <rFont val="Arial"/>
        <family val="0"/>
        <charset val="1"/>
      </rPr>
      <t xml:space="preserve">Alphabet </t>
    </r>
    <r>
      <rPr>
        <sz val="9"/>
        <color rgb="FF595959"/>
        <rFont val="Noto Sans CJK SC"/>
        <family val="2"/>
      </rPr>
      <t xml:space="preserve">層級費用＝數位廣告＝共用同業組 </t>
    </r>
    <r>
      <rPr>
        <sz val="9"/>
        <color rgb="FF595959"/>
        <rFont val="Arial"/>
        <family val="0"/>
        <charset val="1"/>
      </rPr>
      <t xml:space="preserve">6 </t>
    </r>
    <r>
      <rPr>
        <sz val="9"/>
        <color rgb="FF595959"/>
        <rFont val="Noto Sans CJK SC"/>
        <family val="2"/>
      </rPr>
      <t xml:space="preserve">家（</t>
    </r>
    <r>
      <rPr>
        <sz val="9"/>
        <color rgb="FF595959"/>
        <rFont val="Arial"/>
        <family val="0"/>
        <charset val="1"/>
      </rPr>
      <t xml:space="preserve">META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PINS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TTD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APP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RDDT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SNAP</t>
    </r>
    <r>
      <rPr>
        <sz val="9"/>
        <color rgb="FF595959"/>
        <rFont val="Noto Sans CJK SC"/>
        <family val="2"/>
      </rPr>
      <t xml:space="preserve">；中位數 </t>
    </r>
    <r>
      <rPr>
        <sz val="9"/>
        <color rgb="FF595959"/>
        <rFont val="Arial"/>
        <family val="0"/>
        <charset val="1"/>
      </rPr>
      <t xml:space="preserve">9.11×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C18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data/peers_ads_20261009.json</t>
    </r>
    <r>
      <rPr>
        <sz val="9"/>
        <color rgb="FF595959"/>
        <rFont val="Noto Sans CJK SC"/>
        <family val="2"/>
      </rPr>
      <t xml:space="preserve">，複製自 </t>
    </r>
    <r>
      <rPr>
        <sz val="9"/>
        <color rgb="FF595959"/>
        <rFont val="Arial"/>
        <family val="0"/>
        <charset val="1"/>
      </rPr>
      <t xml:space="preserve">amazon/data/</t>
    </r>
    <r>
      <rPr>
        <sz val="9"/>
        <color rgb="FF595959"/>
        <rFont val="Noto Sans CJK SC"/>
        <family val="2"/>
      </rPr>
      <t xml:space="preserve">）；訂閱平台裝置＝訂閱影音（</t>
    </r>
    <r>
      <rPr>
        <sz val="9"/>
        <color rgb="FF595959"/>
        <rFont val="Arial"/>
        <family val="0"/>
        <charset val="1"/>
      </rPr>
      <t xml:space="preserve">NFLX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SPOT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DIS</t>
    </r>
    <r>
      <rPr>
        <sz val="9"/>
        <color rgb="FF595959"/>
        <rFont val="Noto Sans CJK SC"/>
        <family val="2"/>
      </rPr>
      <t xml:space="preserve">，與 </t>
    </r>
    <r>
      <rPr>
        <sz val="9"/>
        <color rgb="FF595959"/>
        <rFont val="Arial"/>
        <family val="0"/>
        <charset val="1"/>
      </rPr>
      <t xml:space="preserve">Amazon </t>
    </r>
    <r>
      <rPr>
        <sz val="9"/>
        <color rgb="FF595959"/>
        <rFont val="Noto Sans CJK SC"/>
        <family val="2"/>
      </rPr>
      <t xml:space="preserve">同組；中位數 </t>
    </r>
    <r>
      <rPr>
        <sz val="9"/>
        <color rgb="FF595959"/>
        <rFont val="Arial"/>
        <family val="0"/>
        <charset val="1"/>
      </rPr>
      <t xml:space="preserve">15.41×</t>
    </r>
    <r>
      <rPr>
        <sz val="9"/>
        <color rgb="FF595959"/>
        <rFont val="Noto Sans CJK SC"/>
        <family val="2"/>
      </rPr>
      <t xml:space="preserve">）；非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雲端＝共用同業組 </t>
    </r>
    <r>
      <rPr>
        <sz val="9"/>
        <color rgb="FF595959"/>
        <rFont val="Arial"/>
        <family val="0"/>
        <charset val="1"/>
      </rPr>
      <t xml:space="preserve">8 </t>
    </r>
    <r>
      <rPr>
        <sz val="9"/>
        <color rgb="FF595959"/>
        <rFont val="Noto Sans CJK SC"/>
        <family val="2"/>
      </rPr>
      <t xml:space="preserve">家中位數（</t>
    </r>
    <r>
      <rPr>
        <sz val="9"/>
        <color rgb="FF595959"/>
        <rFont val="Arial"/>
        <family val="0"/>
        <charset val="1"/>
      </rPr>
      <t xml:space="preserve">C12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data/peers_cloud_20261008.json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Other Bets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TPU </t>
    </r>
    <r>
      <rPr>
        <sz val="9"/>
        <color rgb="FF595959"/>
        <rFont val="Noto Sans CJK SC"/>
        <family val="2"/>
      </rPr>
      <t xml:space="preserve">硬體銷售無同業組 →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雲端倍數；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雲端 </t>
    </r>
    <r>
      <rPr>
        <sz val="9"/>
        <color rgb="FF595959"/>
        <rFont val="Arial"/>
        <family val="0"/>
        <charset val="1"/>
      </rPr>
      <t xml:space="preserve">× valuation.evEbitda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6×</t>
    </r>
    <r>
      <rPr>
        <sz val="9"/>
        <color rgb="FF595959"/>
        <rFont val="Noto Sans CJK SC"/>
        <family val="2"/>
      </rPr>
      <t xml:space="preserve">）；非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事業倍數＝錨定年度各線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加權（</t>
    </r>
    <r>
      <rPr>
        <sz val="9"/>
        <color rgb="FF595959"/>
        <rFont val="Arial"/>
        <family val="0"/>
        <charset val="1"/>
      </rPr>
      <t xml:space="preserve">valuation.legacyEvEbitda </t>
    </r>
    <r>
      <rPr>
        <sz val="9"/>
        <color rgb="FF595959"/>
        <rFont val="Noto Sans CJK SC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null </t>
    </r>
    <r>
      <rPr>
        <sz val="9"/>
        <color rgb="FF595959"/>
        <rFont val="Noto Sans CJK SC"/>
        <family val="2"/>
      </rPr>
      <t xml:space="preserve">時為手動覆蓋）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</si>
  <si>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 </t>
    </r>
    <r>
      <rPr>
        <sz val="10"/>
        <rFont val="Arial"/>
        <family val="0"/>
        <charset val="1"/>
      </rPr>
      <t xml:space="preserve">EV/EBITDA </t>
    </r>
    <r>
      <rPr>
        <sz val="10"/>
        <rFont val="Noto Sans CJK SC"/>
        <family val="2"/>
      </rPr>
      <t xml:space="preserve">手動覆蓋（空白＝同業中位數）</t>
    </r>
  </si>
  <si>
    <r>
      <rPr>
        <sz val="9"/>
        <color rgb="FF595959"/>
        <rFont val="Arial"/>
        <family val="0"/>
        <charset val="1"/>
      </rPr>
      <t xml:space="preserve">company.json → valuation.legacyEvEbitda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null</t>
    </r>
    <r>
      <rPr>
        <sz val="9"/>
        <color rgb="FF595959"/>
        <rFont val="Noto Sans CJK SC"/>
        <family val="2"/>
      </rPr>
      <t xml:space="preserve">＝空白）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</si>
  <si>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 </t>
    </r>
    <r>
      <rPr>
        <sz val="10"/>
        <rFont val="Arial"/>
        <family val="0"/>
        <charset val="1"/>
      </rPr>
      <t xml:space="preserve">EV/EBITDA </t>
    </r>
    <r>
      <rPr>
        <sz val="10"/>
        <rFont val="Noto Sans CJK SC"/>
        <family val="2"/>
      </rPr>
      <t xml:space="preserve">倍數</t>
    </r>
  </si>
  <si>
    <r>
      <rPr>
        <sz val="9"/>
        <color rgb="FF595959"/>
        <rFont val="Noto Sans CJK SC"/>
        <family val="2"/>
      </rPr>
      <t xml:space="preserve">分部加總：</t>
    </r>
    <r>
      <rPr>
        <sz val="9"/>
        <color rgb="FF595959"/>
        <rFont val="Arial"/>
        <family val="0"/>
        <charset val="1"/>
      </rPr>
      <t xml:space="preserve">EV</t>
    </r>
    <r>
      <rPr>
        <sz val="9"/>
        <color rgb="FF595959"/>
        <rFont val="Noto Sans CJK SC"/>
        <family val="2"/>
      </rPr>
      <t xml:space="preserve">＝非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事業 </t>
    </r>
    <r>
      <rPr>
        <sz val="9"/>
        <color rgb="FF595959"/>
        <rFont val="Arial"/>
        <family val="0"/>
        <charset val="1"/>
      </rPr>
      <t xml:space="preserve">EBITDA × </t>
    </r>
    <r>
      <rPr>
        <sz val="9"/>
        <color rgb="FF595959"/>
        <rFont val="Noto Sans CJK SC"/>
        <family val="2"/>
      </rPr>
      <t xml:space="preserve">此倍數＋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雲端 </t>
    </r>
    <r>
      <rPr>
        <sz val="9"/>
        <color rgb="FF595959"/>
        <rFont val="Arial"/>
        <family val="0"/>
        <charset val="1"/>
      </rPr>
      <t xml:space="preserve">EBITDA × EV/EBITDA </t>
    </r>
    <r>
      <rPr>
        <sz val="9"/>
        <color rgb="FF595959"/>
        <rFont val="Noto Sans CJK SC"/>
        <family val="2"/>
      </rPr>
      <t xml:space="preserve">倍數</t>
    </r>
  </si>
  <si>
    <r>
      <rPr>
        <sz val="10"/>
        <rFont val="Arial"/>
        <family val="0"/>
        <charset val="1"/>
      </rPr>
      <t xml:space="preserve">EV/EBITDA </t>
    </r>
    <r>
      <rPr>
        <sz val="10"/>
        <rFont val="Noto Sans CJK SC"/>
        <family val="2"/>
      </rPr>
      <t xml:space="preserve">錨定年度（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2027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2028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2029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2030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</si>
  <si>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WACC </t>
    </r>
    <r>
      <rPr>
        <sz val="9"/>
        <color rgb="FF595959"/>
        <rFont val="Noto Sans CJK SC"/>
        <family val="2"/>
      </rPr>
      <t xml:space="preserve">折回 </t>
    </r>
    <r>
      <rPr>
        <sz val="9"/>
        <color rgb="FF595959"/>
        <rFont val="Arial"/>
        <family val="0"/>
        <charset val="1"/>
      </rPr>
      <t xml:space="preserve">2027-06-30</t>
    </r>
    <r>
      <rPr>
        <sz val="9"/>
        <color rgb="FF595959"/>
        <rFont val="Noto Sans CJK SC"/>
        <family val="2"/>
      </rPr>
      <t xml:space="preserve">（目標價時點）；預設 </t>
    </r>
    <r>
      <rPr>
        <sz val="9"/>
        <color rgb="FF595959"/>
        <rFont val="Arial"/>
        <family val="0"/>
        <charset val="1"/>
      </rPr>
      <t xml:space="preserve">2029</t>
    </r>
    <r>
      <rPr>
        <sz val="9"/>
        <color rgb="FF595959"/>
        <rFont val="Noto Sans CJK SC"/>
        <family val="2"/>
      </rPr>
      <t xml:space="preserve">：接近穩態利潤率，與穩態倍數一致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</si>
  <si>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Noto Sans CJK SC"/>
        <family val="2"/>
      </rPr>
      <t xml:space="preserve">權重：</t>
    </r>
    <r>
      <rPr>
        <sz val="10"/>
        <rFont val="Arial"/>
        <family val="0"/>
        <charset val="1"/>
      </rPr>
      <t xml:space="preserve">DCF</t>
    </r>
  </si>
  <si>
    <r>
      <rPr>
        <sz val="10"/>
        <rFont val="Noto Sans CJK SC"/>
        <family val="2"/>
      </rPr>
      <t xml:space="preserve">權重：</t>
    </r>
    <r>
      <rPr>
        <sz val="10"/>
        <rFont val="Arial"/>
        <family val="0"/>
        <charset val="1"/>
      </rPr>
      <t xml:space="preserve">EV/EBITDA</t>
    </r>
  </si>
  <si>
    <t xml:space="preserve">方法區間倍數：下端</t>
  </si>
  <si>
    <r>
      <rPr>
        <sz val="9"/>
        <color rgb="FF595959"/>
        <rFont val="Arial"/>
        <family val="0"/>
        <charset val="1"/>
      </rPr>
      <t xml:space="preserve">v4.1 </t>
    </r>
    <r>
      <rPr>
        <sz val="9"/>
        <color rgb="FF595959"/>
        <rFont val="Noto Sans CJK SC"/>
        <family val="2"/>
      </rPr>
      <t xml:space="preserve">方法區間：目前輸入、</t>
    </r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Noto Sans CJK SC"/>
        <family val="2"/>
      </rPr>
      <t xml:space="preserve">倍數換成兩端；</t>
    </r>
    <r>
      <rPr>
        <sz val="9"/>
        <color rgb="FF595959"/>
        <rFont val="Arial"/>
        <family val="0"/>
        <charset val="1"/>
      </rPr>
      <t xml:space="preserve">6x </t>
    </r>
    <r>
      <rPr>
        <sz val="9"/>
        <color rgb="FF595959"/>
        <rFont val="Noto Sans CJK SC"/>
        <family val="2"/>
      </rPr>
      <t xml:space="preserve">為穩態倍數上緣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</si>
  <si>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方法區間倍數：上端</t>
  </si>
  <si>
    <r>
      <rPr>
        <sz val="10"/>
        <rFont val="Noto Sans CJK SC"/>
        <family val="2"/>
      </rPr>
      <t xml:space="preserve">股數年增（</t>
    </r>
    <r>
      <rPr>
        <sz val="10"/>
        <rFont val="Arial"/>
        <family val="0"/>
        <charset val="1"/>
      </rPr>
      <t xml:space="preserve">SBC </t>
    </r>
    <r>
      <rPr>
        <sz val="10"/>
        <rFont val="Noto Sans CJK SC"/>
        <family val="2"/>
      </rPr>
      <t xml:space="preserve">稀釋）</t>
    </r>
  </si>
  <si>
    <r>
      <rPr>
        <sz val="9"/>
        <color rgb="FF595959"/>
        <rFont val="Noto Sans CJK SC"/>
        <family val="2"/>
      </rPr>
      <t xml:space="preserve">模板固定 </t>
    </r>
    <r>
      <rPr>
        <sz val="9"/>
        <color rgb="FF595959"/>
        <rFont val="Arial"/>
        <family val="0"/>
        <charset val="1"/>
      </rPr>
      <t xml:space="preserve">1%</t>
    </r>
    <r>
      <rPr>
        <sz val="9"/>
        <color rgb="FF595959"/>
        <rFont val="Noto Sans CJK SC"/>
        <family val="2"/>
      </rPr>
      <t xml:space="preserve">／年（</t>
    </r>
    <r>
      <rPr>
        <sz val="9"/>
        <color rgb="FF595959"/>
        <rFont val="Arial"/>
        <family val="0"/>
        <charset val="1"/>
      </rPr>
      <t xml:space="preserve">SBC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0.13bn ÷ </t>
    </r>
    <r>
      <rPr>
        <sz val="9"/>
        <color rgb="FF595959"/>
        <rFont val="Noto Sans CJK SC"/>
        <family val="2"/>
      </rPr>
      <t xml:space="preserve">現市值約 </t>
    </r>
    <r>
      <rPr>
        <sz val="9"/>
        <color rgb="FF595959"/>
        <rFont val="Arial"/>
        <family val="0"/>
        <charset val="1"/>
      </rPr>
      <t xml:space="preserve">0.2%</t>
    </r>
    <r>
      <rPr>
        <sz val="9"/>
        <color rgb="FF595959"/>
        <rFont val="Noto Sans CJK SC"/>
        <family val="2"/>
      </rPr>
      <t xml:space="preserve">，偏保守）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</si>
  <si>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Noto Sans CJK SC"/>
        <family val="2"/>
      </rPr>
      <t xml:space="preserve">年度 </t>
    </r>
    <r>
      <rPr>
        <sz val="10"/>
        <rFont val="Arial"/>
        <family val="0"/>
        <charset val="1"/>
      </rPr>
      <t xml:space="preserve">SBC</t>
    </r>
  </si>
  <si>
    <r>
      <rPr>
        <sz val="9"/>
        <color rgb="FF595959"/>
        <rFont val="Arial"/>
        <family val="0"/>
        <charset val="1"/>
      </rPr>
      <t xml:space="preserve">1H SBC 14.708 </t>
    </r>
    <r>
      <rPr>
        <sz val="9"/>
        <color rgb="FF595959"/>
        <rFont val="Noto Sans CJK SC"/>
        <family val="2"/>
      </rPr>
      <t xml:space="preserve">年化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</si>
  <si>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b val="true"/>
        <sz val="10"/>
        <color rgb="FF1F3864"/>
        <rFont val="Arial"/>
        <family val="0"/>
        <charset val="1"/>
      </rPr>
      <t xml:space="preserve">▸ DCF </t>
    </r>
    <r>
      <rPr>
        <b val="true"/>
        <sz val="10"/>
        <color rgb="FF1F3864"/>
        <rFont val="Noto Sans CJK SC"/>
        <family val="2"/>
      </rPr>
      <t xml:space="preserve">股權為負時的處理（</t>
    </r>
    <r>
      <rPr>
        <b val="true"/>
        <sz val="10"/>
        <color rgb="FF1F3864"/>
        <rFont val="Arial"/>
        <family val="0"/>
        <charset val="1"/>
      </rPr>
      <t xml:space="preserve">0 </t>
    </r>
    <r>
      <rPr>
        <b val="true"/>
        <sz val="10"/>
        <color rgb="FF1F3864"/>
        <rFont val="Noto Sans CJK SC"/>
        <family val="2"/>
      </rPr>
      <t xml:space="preserve">截斷／選擇權）</t>
    </r>
  </si>
  <si>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下限方式（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截斷、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＝選擇權）</t>
    </r>
  </si>
  <si>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截斷：</t>
    </r>
    <r>
      <rPr>
        <sz val="9"/>
        <color rgb="FF595959"/>
        <rFont val="Arial"/>
        <family val="0"/>
        <charset val="1"/>
      </rPr>
      <t xml:space="preserve">MAX(0, </t>
    </r>
    <r>
      <rPr>
        <sz val="9"/>
        <color rgb="FF595959"/>
        <rFont val="Noto Sans CJK SC"/>
        <family val="2"/>
      </rPr>
      <t xml:space="preserve">股權價值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；選擇權：</t>
    </r>
    <r>
      <rPr>
        <sz val="9"/>
        <color rgb="FF595959"/>
        <rFont val="Arial"/>
        <family val="0"/>
        <charset val="1"/>
      </rPr>
      <t xml:space="preserve">Merton</t>
    </r>
    <r>
      <rPr>
        <sz val="9"/>
        <color rgb="FF595959"/>
        <rFont val="Noto Sans CJK SC"/>
        <family val="2"/>
      </rPr>
      <t xml:space="preserve">，股權＝以企業價值為標的、淨負債為履約價的買權</t>
    </r>
  </si>
  <si>
    <r>
      <rPr>
        <sz val="10"/>
        <rFont val="Noto Sans CJK SC"/>
        <family val="2"/>
      </rPr>
      <t xml:space="preserve">企業價值波動率 </t>
    </r>
    <r>
      <rPr>
        <sz val="10"/>
        <rFont val="Arial"/>
        <family val="0"/>
        <charset val="1"/>
      </rPr>
      <t xml:space="preserve">σ</t>
    </r>
  </si>
  <si>
    <r>
      <rPr>
        <sz val="9"/>
        <color rgb="FF595959"/>
        <rFont val="Noto Sans CJK SC"/>
        <family val="2"/>
      </rPr>
      <t xml:space="preserve">選擇權法用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</si>
  <si>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選擇權期間（年）</t>
  </si>
  <si>
    <r>
      <rPr>
        <sz val="9"/>
        <color rgb="FF595959"/>
        <rFont val="Noto Sans CJK SC"/>
        <family val="2"/>
      </rPr>
      <t xml:space="preserve">至 </t>
    </r>
    <r>
      <rPr>
        <sz val="9"/>
        <color rgb="FF595959"/>
        <rFont val="Arial"/>
        <family val="0"/>
        <charset val="1"/>
      </rPr>
      <t xml:space="preserve">2030 </t>
    </r>
    <r>
      <rPr>
        <sz val="9"/>
        <color rgb="FF595959"/>
        <rFont val="Noto Sans CJK SC"/>
        <family val="2"/>
      </rPr>
      <t xml:space="preserve">末</t>
    </r>
  </si>
  <si>
    <r>
      <rPr>
        <b val="true"/>
        <sz val="10"/>
        <color rgb="FF1F3864"/>
        <rFont val="Noto Sans CJK SC"/>
        <family val="2"/>
      </rPr>
      <t xml:space="preserve">▸ 期間與日期（</t>
    </r>
    <r>
      <rPr>
        <b val="true"/>
        <sz val="10"/>
        <color rgb="FF1F3864"/>
        <rFont val="Arial"/>
        <family val="0"/>
        <charset val="1"/>
      </rPr>
      <t xml:space="preserve">company.json → calendar </t>
    </r>
    <r>
      <rPr>
        <b val="true"/>
        <sz val="10"/>
        <color rgb="FF1F3864"/>
        <rFont val="Noto Sans CJK SC"/>
        <family val="2"/>
      </rPr>
      <t xml:space="preserve">推算；勿手改）</t>
    </r>
  </si>
  <si>
    <t xml:space="preserve">財年結束月份</t>
  </si>
  <si>
    <t xml:space="preserve">月</t>
  </si>
  <si>
    <t xml:space="preserve">calendar.fiscalYearEndMonth</t>
  </si>
  <si>
    <t xml:space="preserve">最新已申報季度（年度首期依此滾動）</t>
  </si>
  <si>
    <t xml:space="preserve">2026Q2</t>
  </si>
  <si>
    <r>
      <rPr>
        <sz val="9"/>
        <color rgb="FF595959"/>
        <rFont val="Arial"/>
        <family val="0"/>
        <charset val="1"/>
      </rPr>
      <t xml:space="preserve">calendar.latestQuarterFiled</t>
    </r>
    <r>
      <rPr>
        <sz val="9"/>
        <color rgb="FF595959"/>
        <rFont val="Noto Sans CJK SC"/>
        <family val="2"/>
      </rPr>
      <t xml:space="preserve">；財報新聞稿只更新季度層，</t>
    </r>
    <r>
      <rPr>
        <sz val="9"/>
        <color rgb="FF595959"/>
        <rFont val="Arial"/>
        <family val="0"/>
        <charset val="1"/>
      </rPr>
      <t xml:space="preserve">10-Q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10-K </t>
    </r>
    <r>
      <rPr>
        <sz val="9"/>
        <color rgb="FF595959"/>
        <rFont val="Noto Sans CJK SC"/>
        <family val="2"/>
      </rPr>
      <t xml:space="preserve">申報後年度首期才滾動</t>
    </r>
  </si>
  <si>
    <t xml:space="preserve">評價日（已申報季度的季末）</t>
  </si>
  <si>
    <t xml:space="preserve">2026-06-30</t>
  </si>
  <si>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折現、淨負債與股數的基準日</t>
    </r>
  </si>
  <si>
    <t xml:space="preserve">目標價時點</t>
  </si>
  <si>
    <t xml:space="preserve">2027-06-30</t>
  </si>
  <si>
    <r>
      <rPr>
        <sz val="9"/>
        <color rgb="FF595959"/>
        <rFont val="Noto Sans CJK SC"/>
        <family val="2"/>
      </rPr>
      <t xml:space="preserve">評價日＋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Noto Sans CJK SC"/>
        <family val="2"/>
      </rPr>
      <t xml:space="preserve">個月</t>
    </r>
  </si>
  <si>
    <t xml:space="preserve">目標價時點距評價日</t>
  </si>
  <si>
    <t xml:space="preserve">模型期間</t>
  </si>
  <si>
    <t xml:space="preserve">2026–2030</t>
  </si>
  <si>
    <r>
      <rPr>
        <sz val="9"/>
        <color rgb="FF595959"/>
        <rFont val="Noto Sans CJK SC"/>
        <family val="2"/>
      </rPr>
      <t xml:space="preserve">首期＋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個完整財年（</t>
    </r>
    <r>
      <rPr>
        <sz val="9"/>
        <color rgb="FF595959"/>
        <rFont val="Arial"/>
        <family val="0"/>
        <charset val="1"/>
      </rPr>
      <t xml:space="preserve">calendar.modelYears</t>
    </r>
    <r>
      <rPr>
        <sz val="9"/>
        <color rgb="FF595959"/>
        <rFont val="Noto Sans CJK SC"/>
        <family val="2"/>
      </rPr>
      <t xml:space="preserve">）</t>
    </r>
  </si>
  <si>
    <t xml:space="preserve">資料更新日</t>
  </si>
  <si>
    <t xml:space="preserve">2026-10-09</t>
  </si>
  <si>
    <t xml:space="preserve">company.json → meta.updateDate</t>
  </si>
  <si>
    <t xml:space="preserve">現價日（收盤）</t>
  </si>
  <si>
    <t xml:space="preserve">2026-10-07</t>
  </si>
  <si>
    <t xml:space="preserve">company.json → meta.priceDate</t>
  </si>
  <si>
    <t xml:space="preserve">錨定期折回年數調整（目標價時點 − 首期長度）</t>
  </si>
  <si>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Noto Sans CJK SC"/>
        <family val="2"/>
      </rPr>
      <t xml:space="preserve">腿：錨定期 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的期末折回目標價時點的年數＝</t>
    </r>
    <r>
      <rPr>
        <sz val="9"/>
        <color rgb="FF595959"/>
        <rFont val="Arial"/>
        <family val="0"/>
        <charset val="1"/>
      </rPr>
      <t xml:space="preserve">k − </t>
    </r>
    <r>
      <rPr>
        <sz val="9"/>
        <color rgb="FF595959"/>
        <rFont val="Noto Sans CJK SC"/>
        <family val="2"/>
      </rPr>
      <t xml:space="preserve">此值</t>
    </r>
  </si>
  <si>
    <t xml:space="preserve">期間與日期</t>
  </si>
  <si>
    <t xml:space="preserve">期末日</t>
  </si>
  <si>
    <t xml:space="preserve">2026-12-31</t>
  </si>
  <si>
    <t xml:space="preserve">2027-12-31</t>
  </si>
  <si>
    <t xml:space="preserve">2028-12-31</t>
  </si>
  <si>
    <t xml:space="preserve">2029-12-31</t>
  </si>
  <si>
    <t xml:space="preserve">2030-12-31</t>
  </si>
  <si>
    <r>
      <rPr>
        <sz val="9"/>
        <color rgb="FF595959"/>
        <rFont val="Noto Sans CJK SC"/>
        <family val="2"/>
      </rPr>
      <t xml:space="preserve">月數 </t>
    </r>
    <r>
      <rPr>
        <sz val="9"/>
        <color rgb="FF595959"/>
        <rFont val="Arial"/>
        <family val="0"/>
        <charset val="1"/>
      </rPr>
      <t xml:space="preserve">÷ 12</t>
    </r>
  </si>
  <si>
    <t xml:space="preserve">折現年數：評價日 → 期末</t>
  </si>
  <si>
    <t xml:space="preserve">折現年數：評價日 → 期初</t>
  </si>
  <si>
    <r>
      <rPr>
        <b val="true"/>
        <sz val="10"/>
        <color rgb="FF1F3864"/>
        <rFont val="Noto Sans CJK SC"/>
        <family val="2"/>
      </rPr>
      <t xml:space="preserve">▸ 評等門檻（空間＝加權目標價 </t>
    </r>
    <r>
      <rPr>
        <b val="true"/>
        <sz val="10"/>
        <color rgb="FF1F3864"/>
        <rFont val="Arial"/>
        <family val="0"/>
        <charset val="1"/>
      </rPr>
      <t xml:space="preserve">÷ </t>
    </r>
    <r>
      <rPr>
        <b val="true"/>
        <sz val="10"/>
        <color rgb="FF1F3864"/>
        <rFont val="Noto Sans CJK SC"/>
        <family val="2"/>
      </rPr>
      <t xml:space="preserve">現價 − </t>
    </r>
    <r>
      <rPr>
        <b val="true"/>
        <sz val="10"/>
        <color rgb="FF1F3864"/>
        <rFont val="Arial"/>
        <family val="0"/>
        <charset val="1"/>
      </rPr>
      <t xml:space="preserve">1</t>
    </r>
    <r>
      <rPr>
        <b val="true"/>
        <sz val="10"/>
        <color rgb="FF1F3864"/>
        <rFont val="Noto Sans CJK SC"/>
        <family val="2"/>
      </rPr>
      <t xml:space="preserve">）</t>
    </r>
  </si>
  <si>
    <t xml:space="preserve">買進：空間下限</t>
  </si>
  <si>
    <r>
      <rPr>
        <sz val="9"/>
        <color rgb="FF595959"/>
        <rFont val="Noto Sans CJK SC"/>
        <family val="2"/>
      </rPr>
      <t xml:space="preserve">空間 ≥ 此值、終值占比 </t>
    </r>
    <r>
      <rPr>
        <sz val="9"/>
        <color rgb="FF595959"/>
        <rFont val="Arial"/>
        <family val="0"/>
        <charset val="1"/>
      </rPr>
      <t xml:space="preserve">&lt; </t>
    </r>
    <r>
      <rPr>
        <sz val="9"/>
        <color rgb="FF595959"/>
        <rFont val="Noto Sans CJK SC"/>
        <family val="2"/>
      </rPr>
      <t xml:space="preserve">上限，且股權募資未超標 → 買進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</si>
  <si>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Noto Sans CJK SC"/>
        <family val="2"/>
      </rPr>
      <t xml:space="preserve">買進：終值占 </t>
    </r>
    <r>
      <rPr>
        <sz val="10"/>
        <rFont val="Arial"/>
        <family val="0"/>
        <charset val="1"/>
      </rPr>
      <t xml:space="preserve">EV </t>
    </r>
    <r>
      <rPr>
        <sz val="10"/>
        <rFont val="Noto Sans CJK SC"/>
        <family val="2"/>
      </rPr>
      <t xml:space="preserve">上限</t>
    </r>
  </si>
  <si>
    <r>
      <rPr>
        <sz val="9"/>
        <color rgb="FF595959"/>
        <rFont val="Noto Sans CJK SC"/>
        <family val="2"/>
      </rPr>
      <t xml:space="preserve">終值占比達此值以上不給買進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</si>
  <si>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賣出：空間上限</t>
  </si>
  <si>
    <r>
      <rPr>
        <sz val="9"/>
        <color rgb="FF595959"/>
        <rFont val="Noto Sans CJK SC"/>
        <family val="2"/>
      </rPr>
      <t xml:space="preserve">空間 ≤ 此值 → 賣出；賣出門檻價＝現價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＋ 此值）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</si>
  <si>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Noto Sans CJK SC"/>
        <family val="2"/>
      </rPr>
      <t xml:space="preserve">股權募資上限（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現市值）</t>
    </r>
  </si>
  <si>
    <r>
      <rPr>
        <sz val="9"/>
        <color rgb="FF595959"/>
        <rFont val="Noto Sans CJK SC"/>
        <family val="2"/>
      </rPr>
      <t xml:space="preserve">五期股權募資超過現市值的此倍數：市場吸收能力存疑，禁止買進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</si>
  <si>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股權募資超標時的賣出：空間上限</t>
  </si>
  <si>
    <r>
      <rPr>
        <sz val="9"/>
        <color rgb="FF595959"/>
        <rFont val="Noto Sans CJK SC"/>
        <family val="2"/>
      </rPr>
      <t xml:space="preserve">股權募資超標且空間 ≤ 此值 → 賣出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</si>
  <si>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判斷句：距賣出門檻揭露（占現價）</t>
  </si>
  <si>
    <r>
      <rPr>
        <sz val="9"/>
        <color rgb="FF595959"/>
        <rFont val="Noto Sans CJK SC"/>
        <family val="2"/>
      </rPr>
      <t xml:space="preserve">任一情境與賣出門檻的距離小於現價的此比例時，判斷句揭露該距離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</si>
  <si>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Noto Sans CJK SC"/>
        <family val="2"/>
      </rPr>
      <t xml:space="preserve">終值占 </t>
    </r>
    <r>
      <rPr>
        <sz val="10"/>
        <rFont val="Arial"/>
        <family val="0"/>
        <charset val="1"/>
      </rPr>
      <t xml:space="preserve">EV </t>
    </r>
    <r>
      <rPr>
        <sz val="10"/>
        <rFont val="Noto Sans CJK SC"/>
        <family val="2"/>
      </rPr>
      <t xml:space="preserve">警示</t>
    </r>
  </si>
  <si>
    <r>
      <rPr>
        <sz val="9"/>
        <color rgb="FF595959"/>
        <rFont val="Noto Sans CJK SC"/>
        <family val="2"/>
      </rPr>
      <t xml:space="preserve">超過此值表示結論由終值假設決定（「檢查」頁與 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說明）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</si>
  <si>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b val="true"/>
        <sz val="10"/>
        <rFont val="Arial"/>
        <family val="0"/>
        <charset val="1"/>
      </rPr>
      <t xml:space="preserve">G</t>
    </r>
    <r>
      <rPr>
        <b val="true"/>
        <sz val="10"/>
        <rFont val="Noto Sans CJK SC"/>
        <family val="2"/>
      </rPr>
      <t xml:space="preserve">｜參考：</t>
    </r>
    <r>
      <rPr>
        <b val="true"/>
        <sz val="10"/>
        <rFont val="Arial"/>
        <family val="0"/>
        <charset val="1"/>
      </rPr>
      <t xml:space="preserve">1H26 </t>
    </r>
    <r>
      <rPr>
        <b val="true"/>
        <sz val="10"/>
        <rFont val="Noto Sans CJK SC"/>
        <family val="2"/>
      </rPr>
      <t xml:space="preserve">實際（季報，</t>
    </r>
    <r>
      <rPr>
        <b val="true"/>
        <sz val="10"/>
        <rFont val="Arial"/>
        <family val="0"/>
        <charset val="1"/>
      </rPr>
      <t xml:space="preserve">2026-01-01 </t>
    </r>
    <r>
      <rPr>
        <b val="true"/>
        <sz val="10"/>
        <rFont val="Noto Sans CJK SC"/>
        <family val="2"/>
      </rPr>
      <t xml:space="preserve">至 </t>
    </r>
    <r>
      <rPr>
        <b val="true"/>
        <sz val="10"/>
        <rFont val="Arial"/>
        <family val="0"/>
        <charset val="1"/>
      </rPr>
      <t xml:space="preserve">06-30</t>
    </r>
    <r>
      <rPr>
        <b val="true"/>
        <sz val="10"/>
        <rFont val="Noto Sans CJK SC"/>
        <family val="2"/>
      </rPr>
      <t xml:space="preserve">；硬編碼，勿改）</t>
    </r>
  </si>
  <si>
    <r>
      <rPr>
        <sz val="10"/>
        <rFont val="Arial"/>
        <family val="0"/>
        <charset val="1"/>
      </rPr>
      <t xml:space="preserve">2025-12-31 </t>
    </r>
    <r>
      <rPr>
        <sz val="10"/>
        <rFont val="Noto Sans CJK SC"/>
        <family val="2"/>
      </rPr>
      <t xml:space="preserve">現金</t>
    </r>
  </si>
  <si>
    <r>
      <rPr>
        <sz val="9"/>
        <color rgb="FF595959"/>
        <rFont val="Arial"/>
        <family val="0"/>
        <charset val="1"/>
      </rPr>
      <t xml:space="preserve">2025-12-31 </t>
    </r>
    <r>
      <rPr>
        <sz val="9"/>
        <color rgb="FF595959"/>
        <rFont val="Noto Sans CJK SC"/>
        <family val="2"/>
      </rPr>
      <t xml:space="preserve">現金及約當現金 </t>
    </r>
    <r>
      <rPr>
        <sz val="9"/>
        <color rgb="FF595959"/>
        <rFont val="Arial"/>
        <family val="0"/>
        <charset val="1"/>
      </rPr>
      <t xml:space="preserve">30,708</t>
    </r>
    <r>
      <rPr>
        <sz val="9"/>
        <color rgb="FF595959"/>
        <rFont val="Noto Sans CJK SC"/>
        <family val="2"/>
      </rPr>
      <t xml:space="preserve">＋有價證券 </t>
    </r>
    <r>
      <rPr>
        <sz val="9"/>
        <color rgb="FF595959"/>
        <rFont val="Arial"/>
        <family val="0"/>
        <charset val="1"/>
      </rPr>
      <t xml:space="preserve">96,135 − </t>
    </r>
    <r>
      <rPr>
        <sz val="9"/>
        <color rgb="FF595959"/>
        <rFont val="Noto Sans CJK SC"/>
        <family val="2"/>
      </rPr>
      <t xml:space="preserve">有價權益證券 </t>
    </r>
    <r>
      <rPr>
        <sz val="9"/>
        <color rgb="FF595959"/>
        <rFont val="Arial"/>
        <family val="0"/>
        <charset val="1"/>
      </rPr>
      <t xml:space="preserve">6,313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120,530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10-K </t>
    </r>
    <r>
      <rPr>
        <sz val="9"/>
        <color rgb="FF595959"/>
        <rFont val="Noto Sans CJK SC"/>
        <family val="2"/>
      </rPr>
      <t xml:space="preserve">經查核；模型現金口徑＝現金＋債權類有價證券，有價權益證券改列持股）</t>
    </r>
    <r>
      <rPr>
        <sz val="9"/>
        <color rgb="FF595959"/>
        <rFont val="Arial"/>
        <family val="0"/>
        <charset val="1"/>
      </rPr>
      <t xml:space="preserve">[Verified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Derived]</t>
    </r>
  </si>
  <si>
    <r>
      <rPr>
        <sz val="10"/>
        <rFont val="Noto Sans CJK SC"/>
        <family val="2"/>
      </rPr>
      <t xml:space="preserve">營運現金流 </t>
    </r>
    <r>
      <rPr>
        <sz val="10"/>
        <rFont val="Arial"/>
        <family val="0"/>
        <charset val="1"/>
      </rPr>
      <t xml:space="preserve">CFO</t>
    </r>
  </si>
  <si>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Noto Sans CJK SC"/>
        <family val="2"/>
      </rPr>
      <t xml:space="preserve">現金流量表：上半年營運現金流 </t>
    </r>
    <r>
      <rPr>
        <sz val="9"/>
        <color rgb="FF595959"/>
        <rFont val="Arial"/>
        <family val="0"/>
        <charset val="1"/>
      </rPr>
      <t xml:space="preserve">84,859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Q1 45,790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Q2 39,069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Noto Sans CJK SC"/>
        <family val="2"/>
      </rPr>
      <t xml:space="preserve">核閱數）</t>
    </r>
    <r>
      <rPr>
        <sz val="9"/>
        <color rgb="FF595959"/>
        <rFont val="Arial"/>
        <family val="0"/>
        <charset val="1"/>
      </rPr>
      <t xml:space="preserve">]</t>
    </r>
  </si>
  <si>
    <r>
      <rPr>
        <sz val="10"/>
        <rFont val="Noto Sans CJK SC"/>
        <family val="2"/>
      </rPr>
      <t xml:space="preserve">現金購置 </t>
    </r>
    <r>
      <rPr>
        <sz val="10"/>
        <rFont val="Arial"/>
        <family val="0"/>
        <charset val="1"/>
      </rPr>
      <t xml:space="preserve">PP&amp;E</t>
    </r>
  </si>
  <si>
    <r>
      <rPr>
        <sz val="9"/>
        <color rgb="FF595959"/>
        <rFont val="Noto Sans CJK SC"/>
        <family val="2"/>
      </rPr>
      <t xml:space="preserve">購置不動產與設備 </t>
    </r>
    <r>
      <rPr>
        <sz val="9"/>
        <color rgb="FF595959"/>
        <rFont val="Arial"/>
        <family val="0"/>
        <charset val="1"/>
      </rPr>
      <t xml:space="preserve">Q1 35,674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Q2 44,924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80,598</t>
    </r>
    <r>
      <rPr>
        <sz val="9"/>
        <color rgb="FF595959"/>
        <rFont val="Noto Sans CJK SC"/>
        <family val="2"/>
      </rPr>
      <t xml:space="preserve">（公司 </t>
    </r>
    <r>
      <rPr>
        <sz val="9"/>
        <color rgb="FF595959"/>
        <rFont val="Arial"/>
        <family val="0"/>
        <charset val="1"/>
      </rPr>
      <t xml:space="preserve">FCF </t>
    </r>
    <r>
      <rPr>
        <sz val="9"/>
        <color rgb="FF595959"/>
        <rFont val="Noto Sans CJK SC"/>
        <family val="2"/>
      </rPr>
      <t xml:space="preserve">定義；與指引 </t>
    </r>
    <r>
      <rPr>
        <sz val="9"/>
        <color rgb="FF595959"/>
        <rFont val="Arial"/>
        <family val="0"/>
        <charset val="1"/>
      </rPr>
      <t xml:space="preserve">195–205B </t>
    </r>
    <r>
      <rPr>
        <sz val="9"/>
        <color rgb="FF595959"/>
        <rFont val="Noto Sans CJK SC"/>
        <family val="2"/>
      </rPr>
      <t xml:space="preserve">同口徑）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</si>
  <si>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Arial"/>
        <family val="0"/>
        <charset val="1"/>
      </rPr>
      <t xml:space="preserve">CapEx </t>
    </r>
    <r>
      <rPr>
        <sz val="10"/>
        <rFont val="Noto Sans CJK SC"/>
        <family val="2"/>
      </rPr>
      <t xml:space="preserve">認列（含 </t>
    </r>
    <r>
      <rPr>
        <sz val="10"/>
        <rFont val="Arial"/>
        <family val="0"/>
        <charset val="1"/>
      </rPr>
      <t xml:space="preserve">OEM </t>
    </r>
    <r>
      <rPr>
        <sz val="10"/>
        <rFont val="Noto Sans CJK SC"/>
        <family val="2"/>
      </rPr>
      <t xml:space="preserve">融資）</t>
    </r>
  </si>
  <si>
    <r>
      <rPr>
        <sz val="9"/>
        <color rgb="FF595959"/>
        <rFont val="Noto Sans CJK SC"/>
        <family val="2"/>
      </rPr>
      <t xml:space="preserve">應計口徑未揭露，以現金購置代替；應計未付 </t>
    </r>
    <r>
      <rPr>
        <sz val="9"/>
        <color rgb="FF595959"/>
        <rFont val="Arial"/>
        <family val="0"/>
        <charset val="1"/>
      </rPr>
      <t xml:space="preserve">PP&amp;E 29,113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Noto Sans CJK SC"/>
        <family val="2"/>
      </rPr>
      <t xml:space="preserve">補充資訊）不在本列 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</si>
  <si>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Arial"/>
        <family val="0"/>
        <charset val="1"/>
      </rPr>
      <t xml:space="preserve">JV</t>
    </r>
    <r>
      <rPr>
        <sz val="10"/>
        <rFont val="Noto Sans CJK SC"/>
        <family val="2"/>
      </rPr>
      <t xml:space="preserve">＋策略投資出資</t>
    </r>
  </si>
  <si>
    <r>
      <rPr>
        <sz val="9"/>
        <color rgb="FF595959"/>
        <rFont val="Noto Sans CJK SC"/>
        <family val="2"/>
      </rPr>
      <t xml:space="preserve">購買非上市證券 </t>
    </r>
    <r>
      <rPr>
        <sz val="9"/>
        <color rgb="FF595959"/>
        <rFont val="Arial"/>
        <family val="0"/>
        <charset val="1"/>
      </rPr>
      <t xml:space="preserve">22,051</t>
    </r>
    <r>
      <rPr>
        <sz val="9"/>
        <color rgb="FF595959"/>
        <rFont val="Noto Sans CJK SC"/>
        <family val="2"/>
      </rPr>
      <t xml:space="preserve">（主要為 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條件式出資約 </t>
    </r>
    <r>
      <rPr>
        <sz val="9"/>
        <color rgb="FF595959"/>
        <rFont val="Arial"/>
        <family val="0"/>
        <charset val="1"/>
      </rPr>
      <t xml:space="preserve">20B</t>
    </r>
    <r>
      <rPr>
        <sz val="9"/>
        <color rgb="FF595959"/>
        <rFont val="Noto Sans CJK SC"/>
        <family val="2"/>
      </rPr>
      <t xml:space="preserve">）＋收購（</t>
    </r>
    <r>
      <rPr>
        <sz val="9"/>
        <color rgb="FF595959"/>
        <rFont val="Arial"/>
        <family val="0"/>
        <charset val="1"/>
      </rPr>
      <t xml:space="preserve">Wiz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Intersect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33,697</t>
    </r>
    <r>
      <rPr>
        <sz val="9"/>
        <color rgb="FF595959"/>
        <rFont val="Noto Sans CJK SC"/>
        <family val="2"/>
      </rPr>
      <t xml:space="preserve">＋其他投資 </t>
    </r>
    <r>
      <rPr>
        <sz val="9"/>
        <color rgb="FF595959"/>
        <rFont val="Arial"/>
        <family val="0"/>
        <charset val="1"/>
      </rPr>
      <t xml:space="preserve">1,359 − </t>
    </r>
    <r>
      <rPr>
        <sz val="9"/>
        <color rgb="FF595959"/>
        <rFont val="Noto Sans CJK SC"/>
        <family val="2"/>
      </rPr>
      <t xml:space="preserve">出售非上市證券 </t>
    </r>
    <r>
      <rPr>
        <sz val="9"/>
        <color rgb="FF595959"/>
        <rFont val="Arial"/>
        <family val="0"/>
        <charset val="1"/>
      </rPr>
      <t xml:space="preserve">1,667 [Derived]</t>
    </r>
  </si>
  <si>
    <t xml:space="preserve">借款</t>
  </si>
  <si>
    <r>
      <rPr>
        <sz val="9"/>
        <color rgb="FF595959"/>
        <rFont val="Noto Sans CJK SC"/>
        <family val="2"/>
      </rPr>
      <t xml:space="preserve">發債收入淨額 </t>
    </r>
    <r>
      <rPr>
        <sz val="9"/>
        <color rgb="FF595959"/>
        <rFont val="Arial"/>
        <family val="0"/>
        <charset val="1"/>
      </rPr>
      <t xml:space="preserve">56,226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2026Q1 </t>
    </r>
    <r>
      <rPr>
        <sz val="9"/>
        <color rgb="FF595959"/>
        <rFont val="Noto Sans CJK SC"/>
        <family val="2"/>
      </rPr>
      <t xml:space="preserve">美元 </t>
    </r>
    <r>
      <rPr>
        <sz val="9"/>
        <color rgb="FF595959"/>
        <rFont val="Arial"/>
        <family val="0"/>
        <charset val="1"/>
      </rPr>
      <t xml:space="preserve">20B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£5.5B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CHF3.1B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Q2 €9.0B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C$8.5B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¥576.5B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</si>
  <si>
    <t xml:space="preserve">還款</t>
  </si>
  <si>
    <r>
      <rPr>
        <sz val="9"/>
        <color rgb="FF595959"/>
        <rFont val="Noto Sans CJK SC"/>
        <family val="2"/>
      </rPr>
      <t xml:space="preserve">償還債務 </t>
    </r>
    <r>
      <rPr>
        <sz val="9"/>
        <color rgb="FF595959"/>
        <rFont val="Arial"/>
        <family val="0"/>
        <charset val="1"/>
      </rPr>
      <t xml:space="preserve">5,253 [Interested-party]</t>
    </r>
  </si>
  <si>
    <r>
      <rPr>
        <sz val="10"/>
        <rFont val="Arial"/>
        <family val="0"/>
        <charset val="1"/>
      </rPr>
      <t xml:space="preserve">capped call </t>
    </r>
    <r>
      <rPr>
        <sz val="10"/>
        <rFont val="Noto Sans CJK SC"/>
        <family val="2"/>
      </rPr>
      <t xml:space="preserve">支出</t>
    </r>
  </si>
  <si>
    <r>
      <rPr>
        <sz val="9"/>
        <color rgb="FF595959"/>
        <rFont val="Noto Sans CJK SC"/>
        <family val="2"/>
      </rPr>
      <t xml:space="preserve">強制轉換特別股的 </t>
    </r>
    <r>
      <rPr>
        <sz val="9"/>
        <color rgb="FF595959"/>
        <rFont val="Arial"/>
        <family val="0"/>
        <charset val="1"/>
      </rPr>
      <t xml:space="preserve">capped call </t>
    </r>
    <r>
      <rPr>
        <sz val="9"/>
        <color rgb="FF595959"/>
        <rFont val="Noto Sans CJK SC"/>
        <family val="2"/>
      </rPr>
      <t xml:space="preserve">權利金 </t>
    </r>
    <r>
      <rPr>
        <sz val="9"/>
        <color rgb="FF595959"/>
        <rFont val="Arial"/>
        <family val="0"/>
        <charset val="1"/>
      </rPr>
      <t xml:space="preserve">1,011</t>
    </r>
    <r>
      <rPr>
        <sz val="9"/>
        <color rgb="FF595959"/>
        <rFont val="Noto Sans CJK SC"/>
        <family val="2"/>
      </rPr>
      <t xml:space="preserve">（股東權益變動表）</t>
    </r>
    <r>
      <rPr>
        <sz val="9"/>
        <color rgb="FF595959"/>
        <rFont val="Arial"/>
        <family val="0"/>
        <charset val="1"/>
      </rPr>
      <t xml:space="preserve">[Interested-party]</t>
    </r>
  </si>
  <si>
    <t xml:space="preserve">私募股權</t>
  </si>
  <si>
    <r>
      <rPr>
        <sz val="9"/>
        <color rgb="FF595959"/>
        <rFont val="Noto Sans CJK SC"/>
        <family val="2"/>
      </rPr>
      <t xml:space="preserve">普通股發行淨額 </t>
    </r>
    <r>
      <rPr>
        <sz val="9"/>
        <color rgb="FF595959"/>
        <rFont val="Arial"/>
        <family val="0"/>
        <charset val="1"/>
      </rPr>
      <t xml:space="preserve">30,499</t>
    </r>
    <r>
      <rPr>
        <sz val="9"/>
        <color rgb="FF595959"/>
        <rFont val="Noto Sans CJK SC"/>
        <family val="2"/>
      </rPr>
      <t xml:space="preserve">（承銷 </t>
    </r>
    <r>
      <rPr>
        <sz val="9"/>
        <color rgb="FF595959"/>
        <rFont val="Arial"/>
        <family val="0"/>
        <charset val="1"/>
      </rPr>
      <t xml:space="preserve">20.5B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Berkshire </t>
    </r>
    <r>
      <rPr>
        <sz val="9"/>
        <color rgb="FF595959"/>
        <rFont val="Noto Sans CJK SC"/>
        <family val="2"/>
      </rPr>
      <t xml:space="preserve">私募 </t>
    </r>
    <r>
      <rPr>
        <sz val="9"/>
        <color rgb="FF595959"/>
        <rFont val="Arial"/>
        <family val="0"/>
        <charset val="1"/>
      </rPr>
      <t xml:space="preserve">10.0B</t>
    </r>
    <r>
      <rPr>
        <sz val="9"/>
        <color rgb="FF595959"/>
        <rFont val="Noto Sans CJK SC"/>
        <family val="2"/>
      </rPr>
      <t xml:space="preserve">）＋強制轉換特別股淨額 </t>
    </r>
    <r>
      <rPr>
        <sz val="9"/>
        <color rgb="FF595959"/>
        <rFont val="Arial"/>
        <family val="0"/>
        <charset val="1"/>
      </rPr>
      <t xml:space="preserve">19,063 [Interested-party]</t>
    </r>
  </si>
  <si>
    <t xml:space="preserve">利息費用</t>
  </si>
  <si>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Noto Sans CJK SC"/>
        <family val="2"/>
      </rPr>
      <t xml:space="preserve">利息費用 </t>
    </r>
    <r>
      <rPr>
        <sz val="9"/>
        <color rgb="FF595959"/>
        <rFont val="Arial"/>
        <family val="0"/>
        <charset val="1"/>
      </rPr>
      <t xml:space="preserve">Q1 533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Q2 1,278</t>
    </r>
    <r>
      <rPr>
        <sz val="9"/>
        <color rgb="FF595959"/>
        <rFont val="Noto Sans CJK SC"/>
        <family val="2"/>
      </rPr>
      <t xml:space="preserve">；現金利息未揭露 </t>
    </r>
    <r>
      <rPr>
        <sz val="9"/>
        <color rgb="FF595959"/>
        <rFont val="Arial"/>
        <family val="0"/>
        <charset val="1"/>
      </rPr>
      <t xml:space="preserve">[Interested-party]</t>
    </r>
  </si>
  <si>
    <t xml:space="preserve">租賃現金支付</t>
  </si>
  <si>
    <r>
      <rPr>
        <sz val="9"/>
        <color rgb="FF595959"/>
        <rFont val="Noto Sans CJK SC"/>
        <family val="2"/>
      </rPr>
      <t xml:space="preserve">營業租賃現金 </t>
    </r>
    <r>
      <rPr>
        <sz val="9"/>
        <color rgb="FF595959"/>
        <rFont val="Arial"/>
        <family val="0"/>
        <charset val="1"/>
      </rPr>
      <t xml:space="preserve">1,817</t>
    </r>
    <r>
      <rPr>
        <sz val="9"/>
        <color rgb="FF595959"/>
        <rFont val="Noto Sans CJK SC"/>
        <family val="2"/>
      </rPr>
      <t xml:space="preserve">＋融資租賃利息 </t>
    </r>
    <r>
      <rPr>
        <sz val="9"/>
        <color rgb="FF595959"/>
        <rFont val="Arial"/>
        <family val="0"/>
        <charset val="1"/>
      </rPr>
      <t xml:space="preserve">35</t>
    </r>
    <r>
      <rPr>
        <sz val="9"/>
        <color rgb="FF595959"/>
        <rFont val="Noto Sans CJK SC"/>
        <family val="2"/>
      </rPr>
      <t xml:space="preserve">＋本金 </t>
    </r>
    <r>
      <rPr>
        <sz val="9"/>
        <color rgb="FF595959"/>
        <rFont val="Arial"/>
        <family val="0"/>
        <charset val="1"/>
      </rPr>
      <t xml:space="preserve">840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Noto Sans CJK SC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補充資訊）；營業租賃已含在 </t>
    </r>
    <r>
      <rPr>
        <sz val="9"/>
        <color rgb="FF595959"/>
        <rFont val="Arial"/>
        <family val="0"/>
        <charset val="1"/>
      </rPr>
      <t xml:space="preserve">CFO </t>
    </r>
    <r>
      <rPr>
        <sz val="9"/>
        <color rgb="FF595959"/>
        <rFont val="Noto Sans CJK SC"/>
        <family val="2"/>
      </rPr>
      <t xml:space="preserve">內，僅供對照</t>
    </r>
  </si>
  <si>
    <t xml:space="preserve">營收</t>
  </si>
  <si>
    <r>
      <rPr>
        <sz val="9"/>
        <color rgb="FF595959"/>
        <rFont val="Noto Sans CJK SC"/>
        <family val="2"/>
      </rPr>
      <t xml:space="preserve">搜尋 </t>
    </r>
    <r>
      <rPr>
        <sz val="9"/>
        <color rgb="FF595959"/>
        <rFont val="Arial"/>
        <family val="0"/>
        <charset val="1"/>
      </rPr>
      <t xml:space="preserve">123,670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YouTube 20,938</t>
    </r>
    <r>
      <rPr>
        <sz val="9"/>
        <color rgb="FF595959"/>
        <rFont val="Noto Sans CJK SC"/>
        <family val="2"/>
      </rPr>
      <t xml:space="preserve">＋聯播網 </t>
    </r>
    <r>
      <rPr>
        <sz val="9"/>
        <color rgb="FF595959"/>
        <rFont val="Arial"/>
        <family val="0"/>
        <charset val="1"/>
      </rPr>
      <t xml:space="preserve">14,274</t>
    </r>
    <r>
      <rPr>
        <sz val="9"/>
        <color rgb="FF595959"/>
        <rFont val="Noto Sans CJK SC"/>
        <family val="2"/>
      </rPr>
      <t xml:space="preserve">＋訂閱平台裝置 </t>
    </r>
    <r>
      <rPr>
        <sz val="9"/>
        <color rgb="FF595959"/>
        <rFont val="Arial"/>
        <family val="0"/>
        <charset val="1"/>
      </rPr>
      <t xml:space="preserve">25,295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Cloud 44,796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Other Bets 793</t>
    </r>
    <r>
      <rPr>
        <sz val="9"/>
        <color rgb="FF595959"/>
        <rFont val="Noto Sans CJK SC"/>
        <family val="2"/>
      </rPr>
      <t xml:space="preserve">＋避險 −</t>
    </r>
    <r>
      <rPr>
        <sz val="9"/>
        <color rgb="FF595959"/>
        <rFont val="Arial"/>
        <family val="0"/>
        <charset val="1"/>
      </rPr>
      <t xml:space="preserve">74 [Interested-party]</t>
    </r>
  </si>
  <si>
    <r>
      <rPr>
        <sz val="10"/>
        <rFont val="Arial"/>
        <family val="0"/>
        <charset val="1"/>
      </rPr>
      <t xml:space="preserve">GAAP </t>
    </r>
    <r>
      <rPr>
        <sz val="10"/>
        <rFont val="Noto Sans CJK SC"/>
        <family val="2"/>
      </rPr>
      <t xml:space="preserve">營業損益</t>
    </r>
  </si>
  <si>
    <r>
      <rPr>
        <sz val="9"/>
        <color rgb="FF595959"/>
        <rFont val="Arial"/>
        <family val="0"/>
        <charset val="1"/>
      </rPr>
      <t xml:space="preserve">GAAP </t>
    </r>
    <r>
      <rPr>
        <sz val="9"/>
        <color rgb="FF595959"/>
        <rFont val="Noto Sans CJK SC"/>
        <family val="2"/>
      </rPr>
      <t xml:space="preserve">營業利益 </t>
    </r>
    <r>
      <rPr>
        <sz val="9"/>
        <color rgb="FF595959"/>
        <rFont val="Arial"/>
        <family val="0"/>
        <charset val="1"/>
      </rPr>
      <t xml:space="preserve">Q1 39,696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Q2 40,770 [Interested-party]</t>
    </r>
  </si>
  <si>
    <t xml:space="preserve">淨損</t>
  </si>
  <si>
    <r>
      <rPr>
        <sz val="9"/>
        <color rgb="FF595959"/>
        <rFont val="Noto Sans CJK SC"/>
        <family val="2"/>
      </rPr>
      <t xml:space="preserve">淨利 </t>
    </r>
    <r>
      <rPr>
        <sz val="9"/>
        <color rgb="FF595959"/>
        <rFont val="Arial"/>
        <family val="0"/>
        <charset val="1"/>
      </rPr>
      <t xml:space="preserve">Q1 62,578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Q2 112,193</t>
    </r>
    <r>
      <rPr>
        <sz val="9"/>
        <color rgb="FF595959"/>
        <rFont val="Noto Sans CJK SC"/>
        <family val="2"/>
      </rPr>
      <t xml:space="preserve">（含權益證券利益 </t>
    </r>
    <r>
      <rPr>
        <sz val="9"/>
        <color rgb="FF595959"/>
        <rFont val="Arial"/>
        <family val="0"/>
        <charset val="1"/>
      </rPr>
      <t xml:space="preserve">135,946</t>
    </r>
    <r>
      <rPr>
        <sz val="9"/>
        <color rgb="FF595959"/>
        <rFont val="Noto Sans CJK SC"/>
        <family val="2"/>
      </rPr>
      <t xml:space="preserve">，主要為 </t>
    </r>
    <r>
      <rPr>
        <sz val="9"/>
        <color rgb="FF595959"/>
        <rFont val="Arial"/>
        <family val="0"/>
        <charset val="1"/>
      </rPr>
      <t xml:space="preserve">SpaceX </t>
    </r>
    <r>
      <rPr>
        <sz val="9"/>
        <color rgb="FF595959"/>
        <rFont val="Noto Sans CJK SC"/>
        <family val="2"/>
      </rPr>
      <t xml:space="preserve">上市與 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重估，非營業）</t>
    </r>
    <r>
      <rPr>
        <sz val="9"/>
        <color rgb="FF595959"/>
        <rFont val="Arial"/>
        <family val="0"/>
        <charset val="1"/>
      </rPr>
      <t xml:space="preserve">[Interested-party]</t>
    </r>
  </si>
  <si>
    <t xml:space="preserve">遞延收入淨流入</t>
  </si>
  <si>
    <t xml:space="preserve">不適用（無客戶預付融資機制）</t>
  </si>
  <si>
    <t xml:space="preserve">D&amp;A</t>
  </si>
  <si>
    <r>
      <rPr>
        <sz val="9"/>
        <color rgb="FF595959"/>
        <rFont val="Noto Sans CJK SC"/>
        <family val="2"/>
      </rPr>
      <t xml:space="preserve">現金流量表不動產與設備折舊 </t>
    </r>
    <r>
      <rPr>
        <sz val="9"/>
        <color rgb="FF595959"/>
        <rFont val="Arial"/>
        <family val="0"/>
        <charset val="1"/>
      </rPr>
      <t xml:space="preserve">Q1 6,482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Q2 7,104 [Interested-party]</t>
    </r>
  </si>
  <si>
    <t xml:space="preserve">SBC</t>
  </si>
  <si>
    <r>
      <rPr>
        <sz val="9"/>
        <color rgb="FF595959"/>
        <rFont val="Noto Sans CJK SC"/>
        <family val="2"/>
      </rPr>
      <t xml:space="preserve">股權報酬費用 </t>
    </r>
    <r>
      <rPr>
        <sz val="9"/>
        <color rgb="FF595959"/>
        <rFont val="Arial"/>
        <family val="0"/>
        <charset val="1"/>
      </rPr>
      <t xml:space="preserve">14,708</t>
    </r>
    <r>
      <rPr>
        <sz val="9"/>
        <color rgb="FF595959"/>
        <rFont val="Noto Sans CJK SC"/>
        <family val="2"/>
      </rPr>
      <t xml:space="preserve">（現金流量表）</t>
    </r>
    <r>
      <rPr>
        <sz val="9"/>
        <color rgb="FF595959"/>
        <rFont val="Arial"/>
        <family val="0"/>
        <charset val="1"/>
      </rPr>
      <t xml:space="preserve">[Interested-party]</t>
    </r>
  </si>
  <si>
    <t xml:space="preserve">GAAP EPS</t>
  </si>
  <si>
    <r>
      <rPr>
        <sz val="9"/>
        <color rgb="FF595959"/>
        <rFont val="Arial"/>
        <family val="0"/>
        <charset val="1"/>
      </rPr>
      <t xml:space="preserve">GAAP </t>
    </r>
    <r>
      <rPr>
        <sz val="9"/>
        <color rgb="FF595959"/>
        <rFont val="Noto Sans CJK SC"/>
        <family val="2"/>
      </rPr>
      <t xml:space="preserve">稀釋 </t>
    </r>
    <r>
      <rPr>
        <sz val="9"/>
        <color rgb="FF595959"/>
        <rFont val="Arial"/>
        <family val="0"/>
        <charset val="1"/>
      </rPr>
      <t xml:space="preserve">EPS Q1 5.11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Q2 9.11</t>
    </r>
    <r>
      <rPr>
        <sz val="9"/>
        <color rgb="FF595959"/>
        <rFont val="Noto Sans CJK SC"/>
        <family val="2"/>
      </rPr>
      <t xml:space="preserve">（含權益證券利益）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</si>
  <si>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Arial"/>
        <family val="0"/>
        <charset val="1"/>
      </rPr>
      <t xml:space="preserve">EPS</t>
    </r>
    <r>
      <rPr>
        <sz val="10"/>
        <rFont val="Noto Sans CJK SC"/>
        <family val="2"/>
      </rPr>
      <t xml:space="preserve">（加回 </t>
    </r>
    <r>
      <rPr>
        <sz val="10"/>
        <rFont val="Arial"/>
        <family val="0"/>
        <charset val="1"/>
      </rPr>
      <t xml:space="preserve">SBC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</si>
  <si>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淨利＋</t>
    </r>
    <r>
      <rPr>
        <sz val="9"/>
        <color rgb="FF595959"/>
        <rFont val="Arial"/>
        <family val="0"/>
        <charset val="1"/>
      </rPr>
      <t xml:space="preserve">SBC) ÷ </t>
    </r>
    <r>
      <rPr>
        <sz val="9"/>
        <color rgb="FF595959"/>
        <rFont val="Noto Sans CJK SC"/>
        <family val="2"/>
      </rPr>
      <t xml:space="preserve">上半年平均稀釋加權股數 </t>
    </r>
    <r>
      <rPr>
        <sz val="9"/>
        <color rgb="FF595959"/>
        <rFont val="Arial"/>
        <family val="0"/>
        <charset val="1"/>
      </rPr>
      <t xml:space="preserve">12,274m [Derived]</t>
    </r>
    <r>
      <rPr>
        <sz val="9"/>
        <color rgb="FF595959"/>
        <rFont val="Noto Sans CJK SC"/>
        <family val="2"/>
      </rPr>
      <t xml:space="preserve">（含權益證券利益，與共識不可比）</t>
    </r>
  </si>
  <si>
    <t xml:space="preserve">股利支付（普通股＋特別股）</t>
  </si>
  <si>
    <r>
      <rPr>
        <sz val="9"/>
        <color rgb="FF595959"/>
        <rFont val="Noto Sans CJK SC"/>
        <family val="2"/>
      </rPr>
      <t xml:space="preserve">普通股股利支付 </t>
    </r>
    <r>
      <rPr>
        <sz val="9"/>
        <color rgb="FF595959"/>
        <rFont val="Arial"/>
        <family val="0"/>
        <charset val="1"/>
      </rPr>
      <t xml:space="preserve">5,231</t>
    </r>
    <r>
      <rPr>
        <sz val="9"/>
        <color rgb="FF595959"/>
        <rFont val="Noto Sans CJK SC"/>
        <family val="2"/>
      </rPr>
      <t xml:space="preserve">（每季 </t>
    </r>
    <r>
      <rPr>
        <sz val="9"/>
        <color rgb="FF595959"/>
        <rFont val="Arial"/>
        <family val="0"/>
        <charset val="1"/>
      </rPr>
      <t xml:space="preserve">0.22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</si>
  <si>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Noto Sans CJK SC"/>
        <family val="2"/>
      </rPr>
      <t xml:space="preserve">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Q1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Q2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</si>
  <si>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Q1 46.178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Q2 47.874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Q1 2026Q1 </t>
    </r>
    <r>
      <rPr>
        <sz val="9"/>
        <color rgb="FF595959"/>
        <rFont val="Noto Sans CJK SC"/>
        <family val="2"/>
      </rPr>
      <t xml:space="preserve">財報新聞稿（</t>
    </r>
    <r>
      <rPr>
        <sz val="9"/>
        <color rgb="FF595959"/>
        <rFont val="Arial"/>
        <family val="0"/>
        <charset val="1"/>
      </rPr>
      <t xml:space="preserve">8-K </t>
    </r>
    <r>
      <rPr>
        <sz val="9"/>
        <color rgb="FF595959"/>
        <rFont val="Noto Sans CJK SC"/>
        <family val="2"/>
      </rPr>
      <t xml:space="preserve">附件 </t>
    </r>
    <r>
      <rPr>
        <sz val="9"/>
        <color rgb="FF595959"/>
        <rFont val="Arial"/>
        <family val="0"/>
        <charset val="1"/>
      </rPr>
      <t xml:space="preserve">99.1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Q2 2026Q2 </t>
    </r>
    <r>
      <rPr>
        <sz val="9"/>
        <color rgb="FF595959"/>
        <rFont val="Noto Sans CJK SC"/>
        <family val="2"/>
      </rPr>
      <t xml:space="preserve">財報新聞稿（</t>
    </r>
    <r>
      <rPr>
        <sz val="9"/>
        <color rgb="FF595959"/>
        <rFont val="Arial"/>
        <family val="0"/>
        <charset val="1"/>
      </rPr>
      <t xml:space="preserve">8-K </t>
    </r>
    <r>
      <rPr>
        <sz val="9"/>
        <color rgb="FF595959"/>
        <rFont val="Noto Sans CJK SC"/>
        <family val="2"/>
      </rPr>
      <t xml:space="preserve">附件 </t>
    </r>
    <r>
      <rPr>
        <sz val="9"/>
        <color rgb="FF595959"/>
        <rFont val="Arial"/>
        <family val="0"/>
        <charset val="1"/>
      </rPr>
      <t xml:space="preserve">99.1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2026-07-22</t>
    </r>
    <r>
      <rPr>
        <sz val="9"/>
        <color rgb="FF595959"/>
        <rFont val="Noto Sans CJK SC"/>
        <family val="2"/>
      </rPr>
      <t xml:space="preserve">）＋</t>
    </r>
    <r>
      <rPr>
        <sz val="9"/>
        <color rgb="FF595959"/>
        <rFont val="Arial"/>
        <family val="0"/>
        <charset val="1"/>
      </rPr>
      <t xml:space="preserve">10-Q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2026-07-23</t>
    </r>
    <r>
      <rPr>
        <sz val="9"/>
        <color rgb="FF595959"/>
        <rFont val="Noto Sans CJK SC"/>
        <family val="2"/>
      </rPr>
      <t xml:space="preserve">）；公司不揭露調整後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Noto Sans CJK SC"/>
        <family val="2"/>
      </rPr>
      <t xml:space="preserve">；本列＝</t>
    </r>
    <r>
      <rPr>
        <sz val="9"/>
        <color rgb="FF595959"/>
        <rFont val="Arial"/>
        <family val="0"/>
        <charset val="1"/>
      </rPr>
      <t xml:space="preserve">GAAP </t>
    </r>
    <r>
      <rPr>
        <sz val="9"/>
        <color rgb="FF595959"/>
        <rFont val="Noto Sans CJK SC"/>
        <family val="2"/>
      </rPr>
      <t xml:space="preserve">營業利益＋現金流量表折舊（不動產與設備；無形資產攤銷未另列）。</t>
    </r>
    <r>
      <rPr>
        <sz val="9"/>
        <color rgb="FF595959"/>
        <rFont val="Arial"/>
        <family val="0"/>
        <charset val="1"/>
      </rPr>
      <t xml:space="preserve">MarketScreener </t>
    </r>
    <r>
      <rPr>
        <sz val="9"/>
        <color rgb="FF595959"/>
        <rFont val="Noto Sans CJK SC"/>
        <family val="2"/>
      </rPr>
      <t xml:space="preserve">共識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含加回 </t>
    </r>
    <r>
      <rPr>
        <sz val="9"/>
        <color rgb="FF595959"/>
        <rFont val="Arial"/>
        <family val="0"/>
        <charset val="1"/>
      </rPr>
      <t xml:space="preserve">SBC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v0.1a </t>
    </r>
    <r>
      <rPr>
        <sz val="9"/>
        <color rgb="FF595959"/>
        <rFont val="Noto Sans CJK SC"/>
        <family val="2"/>
      </rPr>
      <t xml:space="preserve">矛盾 </t>
    </r>
    <r>
      <rPr>
        <sz val="9"/>
        <color rgb="FF595959"/>
        <rFont val="Arial"/>
        <family val="0"/>
        <charset val="1"/>
      </rPr>
      <t xml:space="preserve">5</t>
    </r>
    <r>
      <rPr>
        <sz val="9"/>
        <color rgb="FF595959"/>
        <rFont val="Noto Sans CJK SC"/>
        <family val="2"/>
      </rPr>
      <t xml:space="preserve">），比較時口徑不同。</t>
    </r>
    <r>
      <rPr>
        <sz val="9"/>
        <color rgb="FF595959"/>
        <rFont val="Arial"/>
        <family val="0"/>
        <charset val="1"/>
      </rPr>
      <t xml:space="preserve">Q1 </t>
    </r>
    <r>
      <rPr>
        <sz val="9"/>
        <color rgb="FF595959"/>
        <rFont val="Noto Sans CJK SC"/>
        <family val="2"/>
      </rPr>
      <t xml:space="preserve">營業利益 </t>
    </r>
    <r>
      <rPr>
        <sz val="9"/>
        <color rgb="FF595959"/>
        <rFont val="Arial"/>
        <family val="0"/>
        <charset val="1"/>
      </rPr>
      <t xml:space="preserve">39.696</t>
    </r>
    <r>
      <rPr>
        <sz val="9"/>
        <color rgb="FF595959"/>
        <rFont val="Noto Sans CJK SC"/>
        <family val="2"/>
      </rPr>
      <t xml:space="preserve">＋折舊 </t>
    </r>
    <r>
      <rPr>
        <sz val="9"/>
        <color rgb="FF595959"/>
        <rFont val="Arial"/>
        <family val="0"/>
        <charset val="1"/>
      </rPr>
      <t xml:space="preserve">6.482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Q2 40.770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7.104 [Derived] [Derived]</t>
    </r>
  </si>
  <si>
    <t xml:space="preserve">回購（買回庫藏股）</t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</si>
  <si>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上半年未買回（</t>
    </r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Noto Sans CJK SC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11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2025H1 28,306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</si>
  <si>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b val="true"/>
        <sz val="10"/>
        <rFont val="Arial"/>
        <family val="0"/>
        <charset val="1"/>
      </rPr>
      <t xml:space="preserve">H</t>
    </r>
    <r>
      <rPr>
        <b val="true"/>
        <sz val="10"/>
        <rFont val="Noto Sans CJK SC"/>
        <family val="2"/>
      </rPr>
      <t xml:space="preserve">｜情境區間運算表（模擬運算表；由 </t>
    </r>
    <r>
      <rPr>
        <b val="true"/>
        <sz val="10"/>
        <rFont val="Arial"/>
        <family val="0"/>
        <charset val="1"/>
      </rPr>
      <t xml:space="preserve">Excel </t>
    </r>
    <r>
      <rPr>
        <b val="true"/>
        <sz val="10"/>
        <rFont val="Noto Sans CJK SC"/>
        <family val="2"/>
      </rPr>
      <t xml:space="preserve">自動計算，勿手動輸入）</t>
    </r>
  </si>
  <si>
    <r>
      <rPr>
        <sz val="9"/>
        <color rgb="FF595959"/>
        <rFont val="Noto Sans CJK SC"/>
        <family val="2"/>
      </rPr>
      <t xml:space="preserve">保守與積極情境的加權目標價（情境區間）；其餘手動輸入保留。資料表公式：</t>
    </r>
    <r>
      <rPr>
        <sz val="9"/>
        <color rgb="FF595959"/>
        <rFont val="Arial"/>
        <family val="0"/>
        <charset val="1"/>
      </rPr>
      <t xml:space="preserve">{=TABLE(,</t>
    </r>
    <r>
      <rPr>
        <sz val="9"/>
        <color rgb="FF595959"/>
        <rFont val="Noto Sans CJK SC"/>
        <family val="2"/>
      </rPr>
      <t xml:space="preserve">情境選擇</t>
    </r>
    <r>
      <rPr>
        <sz val="9"/>
        <color rgb="FF595959"/>
        <rFont val="Arial"/>
        <family val="0"/>
        <charset val="1"/>
      </rPr>
      <t xml:space="preserve">)}</t>
    </r>
  </si>
  <si>
    <t xml:space="preserve">情境區間運算表｜公式列（加權目標價／評等代碼）</t>
  </si>
  <si>
    <t xml:space="preserve">情境區間運算表｜保守 已交付＋已公開在建</t>
  </si>
  <si>
    <t xml:space="preserve">情境區間運算表｜基準 依資本支出指引</t>
  </si>
  <si>
    <r>
      <rPr>
        <sz val="10"/>
        <rFont val="Noto Sans CJK SC"/>
        <family val="2"/>
      </rPr>
      <t xml:space="preserve">情境區間運算表｜積極 依 </t>
    </r>
    <r>
      <rPr>
        <sz val="10"/>
        <rFont val="Arial"/>
        <family val="0"/>
        <charset val="1"/>
      </rPr>
      <t xml:space="preserve">2027 </t>
    </r>
    <r>
      <rPr>
        <sz val="10"/>
        <rFont val="Noto Sans CJK SC"/>
        <family val="2"/>
      </rPr>
      <t xml:space="preserve">擴張幅度</t>
    </r>
  </si>
  <si>
    <r>
      <rPr>
        <b val="true"/>
        <sz val="10"/>
        <rFont val="Arial"/>
        <family val="0"/>
        <charset val="1"/>
      </rPr>
      <t xml:space="preserve">I</t>
    </r>
    <r>
      <rPr>
        <b val="true"/>
        <sz val="10"/>
        <rFont val="Noto Sans CJK SC"/>
        <family val="2"/>
      </rPr>
      <t xml:space="preserve">｜市場共識（</t>
    </r>
    <r>
      <rPr>
        <b val="true"/>
        <sz val="10"/>
        <rFont val="Arial"/>
        <family val="0"/>
        <charset val="1"/>
      </rPr>
      <t xml:space="preserve">data/consensus_googl_20261008.json</t>
    </r>
    <r>
      <rPr>
        <b val="true"/>
        <sz val="10"/>
        <rFont val="Noto Sans CJK SC"/>
        <family val="2"/>
      </rPr>
      <t xml:space="preserve">；只讀，不增補數字；下游只引用本區）</t>
    </r>
  </si>
  <si>
    <r>
      <rPr>
        <sz val="9"/>
        <color rgb="FF595959"/>
        <rFont val="Noto Sans CJK SC"/>
        <family val="2"/>
      </rPr>
      <t xml:space="preserve">標記：</t>
    </r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＝可公開查證的事實（例如公司實際公布數字、收盤價）；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＝賣方分析師預估：有利益關係（投行業務、承銷——</t>
    </r>
    <r>
      <rPr>
        <sz val="9"/>
        <color rgb="FF595959"/>
        <rFont val="Arial"/>
        <family val="0"/>
        <charset val="1"/>
      </rPr>
      <t xml:space="preserve">Alphabet 2026-06 </t>
    </r>
    <r>
      <rPr>
        <sz val="9"/>
        <color rgb="FF595959"/>
        <rFont val="Noto Sans CJK SC"/>
        <family val="2"/>
      </rPr>
      <t xml:space="preserve">股權募資與 </t>
    </r>
    <r>
      <rPr>
        <sz val="9"/>
        <color rgb="FF595959"/>
        <rFont val="Arial"/>
        <family val="0"/>
        <charset val="1"/>
      </rPr>
      <t xml:space="preserve">2026-08 </t>
    </r>
    <r>
      <rPr>
        <sz val="9"/>
        <color rgb="FF595959"/>
        <rFont val="Noto Sans CJK SC"/>
        <family val="2"/>
      </rPr>
      <t xml:space="preserve">發債的承銷商包含多家覆蓋券商——偏多傾向），數字本身是意見而非事實</t>
    </r>
  </si>
  <si>
    <t xml:space="preserve">價格與目標價</t>
  </si>
  <si>
    <t xml:space="preserve">數值</t>
  </si>
  <si>
    <t xml:space="preserve">擷取日期</t>
  </si>
  <si>
    <t xml:space="preserve">標記</t>
  </si>
  <si>
    <t xml:space="preserve">來源</t>
  </si>
  <si>
    <t xml:space="preserve">備註</t>
  </si>
  <si>
    <t xml:space="preserve">共識｜現價參考（收盤）</t>
  </si>
  <si>
    <t xml:space="preserve">Verified</t>
  </si>
  <si>
    <r>
      <rPr>
        <sz val="9"/>
        <color rgb="FF595959"/>
        <rFont val="Arial"/>
        <family val="0"/>
        <charset val="1"/>
      </rPr>
      <t xml:space="preserve">StockAnalysis.com</t>
    </r>
    <r>
      <rPr>
        <sz val="9"/>
        <color rgb="FF595959"/>
        <rFont val="Noto Sans CJK SC"/>
        <family val="2"/>
      </rPr>
      <t xml:space="preserve">（歷史股價）｜</t>
    </r>
    <r>
      <rPr>
        <sz val="9"/>
        <color rgb="FF595959"/>
        <rFont val="Arial"/>
        <family val="0"/>
        <charset val="1"/>
      </rPr>
      <t xml:space="preserve">https://stockanalysis.com/stocks/googl/history/</t>
    </r>
  </si>
  <si>
    <r>
      <rPr>
        <sz val="9"/>
        <color rgb="FF595959"/>
        <rFont val="Noto Sans CJK SC"/>
        <family val="2"/>
      </rPr>
      <t xml:space="preserve">收盤日 </t>
    </r>
    <r>
      <rPr>
        <sz val="9"/>
        <color rgb="FF595959"/>
        <rFont val="Arial"/>
        <family val="0"/>
        <charset val="1"/>
      </rPr>
      <t xml:space="preserve">2026-10-07</t>
    </r>
  </si>
  <si>
    <t xml:space="preserve">共識｜目標價｜平均</t>
  </si>
  <si>
    <t xml:space="preserve">2026-10-08</t>
  </si>
  <si>
    <t xml:space="preserve">Interested-party</t>
  </si>
  <si>
    <r>
      <rPr>
        <sz val="9"/>
        <color rgb="FF595959"/>
        <rFont val="Arial"/>
        <family val="0"/>
        <charset val="1"/>
      </rPr>
      <t xml:space="preserve">S&amp;P Global Market Intelligence</t>
    </r>
    <r>
      <rPr>
        <sz val="9"/>
        <color rgb="FF595959"/>
        <rFont val="Noto Sans CJK SC"/>
        <family val="2"/>
      </rPr>
      <t xml:space="preserve">（經 </t>
    </r>
    <r>
      <rPr>
        <sz val="9"/>
        <color rgb="FF595959"/>
        <rFont val="Arial"/>
        <family val="0"/>
        <charset val="1"/>
      </rPr>
      <t xml:space="preserve">StockAnalysis.com</t>
    </r>
    <r>
      <rPr>
        <sz val="9"/>
        <color rgb="FF595959"/>
        <rFont val="Noto Sans CJK SC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https://stockanalysis.com/stocks/googl/forecast/</t>
    </r>
  </si>
  <si>
    <t xml:space="preserve">共識｜目標價｜中位數</t>
  </si>
  <si>
    <t xml:space="preserve">共識｜目標價｜最低</t>
  </si>
  <si>
    <t xml:space="preserve">共識｜目標價｜最高</t>
  </si>
  <si>
    <t xml:space="preserve">共識｜目標價｜分析師家數</t>
  </si>
  <si>
    <t xml:space="preserve">共識｜目標價｜共識評等</t>
  </si>
  <si>
    <t xml:space="preserve">Strong Buy</t>
  </si>
  <si>
    <r>
      <rPr>
        <sz val="10"/>
        <rFont val="Noto Sans CJK SC"/>
        <family val="2"/>
      </rPr>
      <t xml:space="preserve">共識｜目標價｜</t>
    </r>
    <r>
      <rPr>
        <sz val="10"/>
        <rFont val="Arial"/>
        <family val="0"/>
        <charset val="1"/>
      </rPr>
      <t xml:space="preserve">MarketBeat </t>
    </r>
    <r>
      <rPr>
        <sz val="10"/>
        <rFont val="Noto Sans CJK SC"/>
        <family val="2"/>
      </rPr>
      <t xml:space="preserve">對照平均</t>
    </r>
  </si>
  <si>
    <r>
      <rPr>
        <sz val="9"/>
        <color rgb="FF595959"/>
        <rFont val="Arial"/>
        <family val="0"/>
        <charset val="1"/>
      </rPr>
      <t xml:space="preserve">MarketBeat</t>
    </r>
    <r>
      <rPr>
        <sz val="9"/>
        <color rgb="FF595959"/>
        <rFont val="Noto Sans CJK SC"/>
        <family val="2"/>
      </rPr>
      <t xml:space="preserve">（自行彙整，獨立於 </t>
    </r>
    <r>
      <rPr>
        <sz val="9"/>
        <color rgb="FF595959"/>
        <rFont val="Arial"/>
        <family val="0"/>
        <charset val="1"/>
      </rPr>
      <t xml:space="preserve">S&amp;P</t>
    </r>
    <r>
      <rPr>
        <sz val="9"/>
        <color rgb="FF595959"/>
        <rFont val="Noto Sans CJK SC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https://www.marketbeat.com/stocks/NASDAQ/GOOGL/forecast/</t>
    </r>
  </si>
  <si>
    <r>
      <rPr>
        <sz val="10"/>
        <rFont val="Noto Sans CJK SC"/>
        <family val="2"/>
      </rPr>
      <t xml:space="preserve">共識｜目標價｜</t>
    </r>
    <r>
      <rPr>
        <sz val="10"/>
        <rFont val="Arial"/>
        <family val="0"/>
        <charset val="1"/>
      </rPr>
      <t xml:space="preserve">MarketBeat </t>
    </r>
    <r>
      <rPr>
        <sz val="10"/>
        <rFont val="Noto Sans CJK SC"/>
        <family val="2"/>
      </rPr>
      <t xml:space="preserve">對照家數</t>
    </r>
  </si>
  <si>
    <r>
      <rPr>
        <sz val="10"/>
        <rFont val="Noto Sans CJK SC"/>
        <family val="2"/>
      </rPr>
      <t xml:space="preserve">共識｜目標價｜</t>
    </r>
    <r>
      <rPr>
        <sz val="10"/>
        <rFont val="Arial"/>
        <family val="0"/>
        <charset val="1"/>
      </rPr>
      <t xml:space="preserve">MarketBeat </t>
    </r>
    <r>
      <rPr>
        <sz val="10"/>
        <rFont val="Noto Sans CJK SC"/>
        <family val="2"/>
      </rPr>
      <t xml:space="preserve">對照評等</t>
    </r>
  </si>
  <si>
    <t xml:space="preserve">Buy</t>
  </si>
  <si>
    <r>
      <rPr>
        <sz val="10"/>
        <rFont val="Noto Sans CJK SC"/>
        <family val="2"/>
      </rPr>
      <t xml:space="preserve">共識｜目標價｜</t>
    </r>
    <r>
      <rPr>
        <sz val="10"/>
        <rFont val="Arial"/>
        <family val="0"/>
        <charset val="1"/>
      </rPr>
      <t xml:space="preserve">Yahoo Finance </t>
    </r>
    <r>
      <rPr>
        <sz val="10"/>
        <rFont val="Noto Sans CJK SC"/>
        <family val="2"/>
      </rPr>
      <t xml:space="preserve">對照平均</t>
    </r>
  </si>
  <si>
    <r>
      <rPr>
        <sz val="9"/>
        <color rgb="FF595959"/>
        <rFont val="Arial"/>
        <family val="0"/>
        <charset val="1"/>
      </rPr>
      <t xml:space="preserve">Yahoo Finance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1y Target Est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S&amp;P </t>
    </r>
    <r>
      <rPr>
        <sz val="9"/>
        <color rgb="FF595959"/>
        <rFont val="Noto Sans CJK SC"/>
        <family val="2"/>
      </rPr>
      <t xml:space="preserve">同值，推測同源）｜</t>
    </r>
    <r>
      <rPr>
        <sz val="9"/>
        <color rgb="FF595959"/>
        <rFont val="Arial"/>
        <family val="0"/>
        <charset val="1"/>
      </rPr>
      <t xml:space="preserve">https://finance.yahoo.com/quote/GOOGL/</t>
    </r>
  </si>
  <si>
    <r>
      <rPr>
        <b val="true"/>
        <sz val="11"/>
        <color rgb="FFFFFFFF"/>
        <rFont val="Noto Sans CJK SC"/>
        <family val="2"/>
      </rPr>
      <t xml:space="preserve">評等分布（</t>
    </r>
    <r>
      <rPr>
        <b val="true"/>
        <sz val="11"/>
        <color rgb="FFFFFFFF"/>
        <rFont val="Arial"/>
        <family val="0"/>
        <charset val="1"/>
      </rPr>
      <t xml:space="preserve">2026-10</t>
    </r>
    <r>
      <rPr>
        <b val="true"/>
        <sz val="11"/>
        <color rgb="FFFFFFFF"/>
        <rFont val="Noto Sans CJK SC"/>
        <family val="2"/>
      </rPr>
      <t xml:space="preserve">）</t>
    </r>
  </si>
  <si>
    <t xml:space="preserve">共識｜評等分布｜強力買進</t>
  </si>
  <si>
    <t xml:space="preserve">共識｜評等分布｜買進</t>
  </si>
  <si>
    <t xml:space="preserve">共識｜評等分布｜持有</t>
  </si>
  <si>
    <t xml:space="preserve">共識｜評等分布｜賣出</t>
  </si>
  <si>
    <t xml:space="preserve">共識｜評等分布｜強力賣出</t>
  </si>
  <si>
    <t xml:space="preserve">共識｜評等分布｜合計</t>
  </si>
  <si>
    <r>
      <rPr>
        <b val="true"/>
        <sz val="11"/>
        <color rgb="FFFFFFFF"/>
        <rFont val="Noto Sans CJK SC"/>
        <family val="2"/>
      </rPr>
      <t xml:space="preserve">年度共識（</t>
    </r>
    <r>
      <rPr>
        <b val="true"/>
        <sz val="11"/>
        <color rgb="FFFFFFFF"/>
        <rFont val="Arial"/>
        <family val="0"/>
        <charset val="1"/>
      </rPr>
      <t xml:space="preserve">2026</t>
    </r>
    <r>
      <rPr>
        <b val="true"/>
        <sz val="11"/>
        <color rgb="FFFFFFFF"/>
        <rFont val="Noto Sans CJK SC"/>
        <family val="2"/>
      </rPr>
      <t xml:space="preserve">／</t>
    </r>
    <r>
      <rPr>
        <b val="true"/>
        <sz val="11"/>
        <color rgb="FFFFFFFF"/>
        <rFont val="Arial"/>
        <family val="0"/>
        <charset val="1"/>
      </rPr>
      <t xml:space="preserve">2027</t>
    </r>
    <r>
      <rPr>
        <b val="true"/>
        <sz val="11"/>
        <color rgb="FFFFFFFF"/>
        <rFont val="Noto Sans CJK SC"/>
        <family val="2"/>
      </rPr>
      <t xml:space="preserve">／</t>
    </r>
    <r>
      <rPr>
        <b val="true"/>
        <sz val="11"/>
        <color rgb="FFFFFFFF"/>
        <rFont val="Arial"/>
        <family val="0"/>
        <charset val="1"/>
      </rPr>
      <t xml:space="preserve">2028</t>
    </r>
    <r>
      <rPr>
        <b val="true"/>
        <sz val="11"/>
        <color rgb="FFFFFFFF"/>
        <rFont val="Noto Sans CJK SC"/>
        <family val="2"/>
      </rPr>
      <t xml:space="preserve">）</t>
    </r>
  </si>
  <si>
    <t xml:space="preserve">共識｜年度｜營收</t>
  </si>
  <si>
    <r>
      <rPr>
        <sz val="9"/>
        <color rgb="FF595959"/>
        <rFont val="Arial"/>
        <family val="0"/>
        <charset val="1"/>
      </rPr>
      <t xml:space="preserve">MarketScreener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S&amp;P Capital IQ </t>
    </r>
    <r>
      <rPr>
        <sz val="9"/>
        <color rgb="FF595959"/>
        <rFont val="Noto Sans CJK SC"/>
        <family val="2"/>
      </rPr>
      <t xml:space="preserve">系共識）｜</t>
    </r>
    <r>
      <rPr>
        <sz val="9"/>
        <color rgb="FF595959"/>
        <rFont val="Arial"/>
        <family val="0"/>
        <charset val="1"/>
      </rPr>
      <t xml:space="preserve">https://www.marketscreener.com/quote/stock/ALPHABET-INC-24203373/finances/</t>
    </r>
  </si>
  <si>
    <r>
      <rPr>
        <sz val="10"/>
        <rFont val="Noto Sans CJK SC"/>
        <family val="2"/>
      </rPr>
      <t xml:space="preserve">共識｜年度｜調整後 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</si>
  <si>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Noto Sans CJK SC"/>
        <family val="2"/>
      </rPr>
      <t xml:space="preserve">共識｜年度｜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</si>
  <si>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r>
      <rPr>
        <sz val="10"/>
        <rFont val="Noto Sans CJK SC"/>
        <family val="2"/>
      </rPr>
      <t xml:space="preserve">共識｜年度｜</t>
    </r>
    <r>
      <rPr>
        <sz val="10"/>
        <rFont val="Arial"/>
        <family val="0"/>
        <charset val="1"/>
      </rPr>
      <t xml:space="preserve">EBIT</t>
    </r>
  </si>
  <si>
    <t xml:space="preserve">共識｜年度｜淨利</t>
  </si>
  <si>
    <r>
      <rPr>
        <sz val="10"/>
        <rFont val="Noto Sans CJK SC"/>
        <family val="2"/>
      </rPr>
      <t xml:space="preserve">共識｜年度｜</t>
    </r>
    <r>
      <rPr>
        <sz val="10"/>
        <rFont val="Arial"/>
        <family val="0"/>
        <charset val="1"/>
      </rPr>
      <t xml:space="preserve">EPS</t>
    </r>
  </si>
  <si>
    <r>
      <rPr>
        <sz val="10"/>
        <rFont val="Noto Sans CJK SC"/>
        <family val="2"/>
      </rPr>
      <t xml:space="preserve">共識｜年度｜</t>
    </r>
    <r>
      <rPr>
        <sz val="10"/>
        <rFont val="Arial"/>
        <family val="0"/>
        <charset val="1"/>
      </rPr>
      <t xml:space="preserve">CapEx</t>
    </r>
  </si>
  <si>
    <t xml:space="preserve">共識｜年度｜自由現金流</t>
  </si>
  <si>
    <t xml:space="preserve">共識｜年度｜淨負債</t>
  </si>
  <si>
    <t xml:space="preserve">共識｜年度｜每股股利</t>
  </si>
  <si>
    <t xml:space="preserve">共識｜年度｜口徑說明</t>
  </si>
  <si>
    <r>
      <rPr>
        <sz val="10"/>
        <rFont val="Noto Sans CJK SC"/>
        <family val="2"/>
      </rPr>
      <t xml:space="preserve">營收、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EBIT</t>
    </r>
    <r>
      <rPr>
        <sz val="10"/>
        <rFont val="Noto Sans CJK SC"/>
        <family val="2"/>
      </rPr>
      <t xml:space="preserve">（＝</t>
    </r>
    <r>
      <rPr>
        <sz val="10"/>
        <rFont val="Arial"/>
        <family val="0"/>
        <charset val="1"/>
      </rPr>
      <t xml:space="preserve">GAAP </t>
    </r>
    <r>
      <rPr>
        <sz val="10"/>
        <rFont val="Noto Sans CJK SC"/>
        <family val="2"/>
      </rPr>
      <t xml:space="preserve">營業利益，</t>
    </r>
    <r>
      <rPr>
        <sz val="10"/>
        <rFont val="Arial"/>
        <family val="0"/>
        <charset val="1"/>
      </rPr>
      <t xml:space="preserve">2025 </t>
    </r>
    <r>
      <rPr>
        <sz val="10"/>
        <rFont val="Noto Sans CJK SC"/>
        <family val="2"/>
      </rPr>
      <t xml:space="preserve">實際 </t>
    </r>
    <r>
      <rPr>
        <sz val="10"/>
        <rFont val="Arial"/>
        <family val="0"/>
        <charset val="1"/>
      </rPr>
      <t xml:space="preserve">129.039 </t>
    </r>
    <r>
      <rPr>
        <sz val="10"/>
        <rFont val="Noto Sans CJK SC"/>
        <family val="2"/>
      </rPr>
      <t xml:space="preserve">與公司相同）、淨利與 </t>
    </r>
    <r>
      <rPr>
        <sz val="10"/>
        <rFont val="Arial"/>
        <family val="0"/>
        <charset val="1"/>
      </rPr>
      <t xml:space="preserve">EPS</t>
    </r>
    <r>
      <rPr>
        <sz val="10"/>
        <rFont val="Noto Sans CJK SC"/>
        <family val="2"/>
      </rPr>
      <t xml:space="preserve">（含權益證券未實現利益：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淨利 </t>
    </r>
    <r>
      <rPr>
        <sz val="10"/>
        <rFont val="Arial"/>
        <family val="0"/>
        <charset val="1"/>
      </rPr>
      <t xml:space="preserve">254.9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EPS 20.63 </t>
    </r>
    <r>
      <rPr>
        <sz val="10"/>
        <rFont val="Noto Sans CJK SC"/>
        <family val="2"/>
      </rPr>
      <t xml:space="preserve">含上半年 </t>
    </r>
    <r>
      <rPr>
        <sz val="10"/>
        <rFont val="Arial"/>
        <family val="0"/>
        <charset val="1"/>
      </rPr>
      <t xml:space="preserve">135.9 </t>
    </r>
    <r>
      <rPr>
        <sz val="10"/>
        <rFont val="Noto Sans CJK SC"/>
        <family val="2"/>
      </rPr>
      <t xml:space="preserve">的權益證券利益，故高於 </t>
    </r>
    <r>
      <rPr>
        <sz val="10"/>
        <rFont val="Arial"/>
        <family val="0"/>
        <charset val="1"/>
      </rPr>
      <t xml:space="preserve">2027</t>
    </r>
    <r>
      <rPr>
        <sz val="10"/>
        <rFont val="Noto Sans CJK SC"/>
        <family val="2"/>
      </rPr>
      <t xml:space="preserve">）、資本支出（購置不動產與設備）、</t>
    </r>
    <r>
      <rPr>
        <sz val="10"/>
        <rFont val="Arial"/>
        <family val="0"/>
        <charset val="1"/>
      </rPr>
      <t xml:space="preserve">FCF</t>
    </r>
    <r>
      <rPr>
        <sz val="10"/>
        <rFont val="Noto Sans CJK SC"/>
        <family val="2"/>
      </rPr>
      <t xml:space="preserve">、淨負債（負值＝淨現金）。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口徑＝營業利益＋折舊＋</t>
    </r>
    <r>
      <rPr>
        <sz val="10"/>
        <rFont val="Arial"/>
        <family val="0"/>
        <charset val="1"/>
      </rPr>
      <t xml:space="preserve">SBC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2025 </t>
    </r>
    <r>
      <rPr>
        <sz val="10"/>
        <rFont val="Noto Sans CJK SC"/>
        <family val="2"/>
      </rPr>
      <t xml:space="preserve">實際 </t>
    </r>
    <r>
      <rPr>
        <sz val="10"/>
        <rFont val="Arial"/>
        <family val="0"/>
        <charset val="1"/>
      </rPr>
      <t xml:space="preserve">175.128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129.039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21.136</t>
    </r>
    <r>
      <rPr>
        <sz val="10"/>
        <rFont val="Noto Sans CJK SC"/>
        <family val="2"/>
      </rPr>
      <t xml:space="preserve">（折舊）＋</t>
    </r>
    <r>
      <rPr>
        <sz val="10"/>
        <rFont val="Arial"/>
        <family val="0"/>
        <charset val="1"/>
      </rPr>
      <t xml:space="preserve">24.953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SBC</t>
    </r>
    <r>
      <rPr>
        <sz val="10"/>
        <rFont val="Noto Sans CJK SC"/>
        <family val="2"/>
      </rPr>
      <t xml:space="preserve">），兩者相加恰為 </t>
    </r>
    <r>
      <rPr>
        <sz val="10"/>
        <rFont val="Arial"/>
        <family val="0"/>
        <charset val="1"/>
      </rPr>
      <t xml:space="preserve">46.089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[Derived] </t>
    </r>
    <r>
      <rPr>
        <sz val="10"/>
        <rFont val="Noto Sans CJK SC"/>
        <family val="2"/>
      </rPr>
      <t xml:space="preserve">推得；</t>
    </r>
    <r>
      <rPr>
        <sz val="10"/>
        <rFont val="Arial"/>
        <family val="0"/>
        <charset val="1"/>
      </rPr>
      <t xml:space="preserve">MarketScreener </t>
    </r>
    <r>
      <rPr>
        <sz val="10"/>
        <rFont val="Noto Sans CJK SC"/>
        <family val="2"/>
      </rPr>
      <t xml:space="preserve">未說明）→ </t>
    </r>
    <r>
      <rPr>
        <sz val="10"/>
        <rFont val="Arial"/>
        <family val="0"/>
        <charset val="1"/>
      </rPr>
      <t xml:space="preserve">v0.1b </t>
    </r>
    <r>
      <rPr>
        <sz val="10"/>
        <rFont val="Noto Sans CJK SC"/>
        <family val="2"/>
      </rPr>
      <t xml:space="preserve">若以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率比較，需扣回 </t>
    </r>
    <r>
      <rPr>
        <sz val="10"/>
        <rFont val="Arial"/>
        <family val="0"/>
        <charset val="1"/>
      </rPr>
      <t xml:space="preserve">SBC </t>
    </r>
    <r>
      <rPr>
        <sz val="10"/>
        <rFont val="Noto Sans CJK SC"/>
        <family val="2"/>
      </rPr>
      <t xml:space="preserve">或改用營業利益＋折舊。</t>
    </r>
  </si>
  <si>
    <r>
      <rPr>
        <b val="true"/>
        <sz val="11"/>
        <color rgb="FFFFFFFF"/>
        <rFont val="Arial"/>
        <family val="0"/>
        <charset val="1"/>
      </rPr>
      <t xml:space="preserve">S&amp;P </t>
    </r>
    <r>
      <rPr>
        <b val="true"/>
        <sz val="11"/>
        <color rgb="FFFFFFFF"/>
        <rFont val="Noto Sans CJK SC"/>
        <family val="2"/>
      </rPr>
      <t xml:space="preserve">對照（經 </t>
    </r>
    <r>
      <rPr>
        <b val="true"/>
        <sz val="11"/>
        <color rgb="FFFFFFFF"/>
        <rFont val="Arial"/>
        <family val="0"/>
        <charset val="1"/>
      </rPr>
      <t xml:space="preserve">StockAnalysis.com</t>
    </r>
    <r>
      <rPr>
        <b val="true"/>
        <sz val="11"/>
        <color rgb="FFFFFFFF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</si>
  <si>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共識｜</t>
    </r>
    <r>
      <rPr>
        <sz val="10"/>
        <rFont val="Arial"/>
        <family val="0"/>
        <charset val="1"/>
      </rPr>
      <t xml:space="preserve">S&amp;P </t>
    </r>
    <r>
      <rPr>
        <sz val="10"/>
        <rFont val="Noto Sans CJK SC"/>
        <family val="2"/>
      </rPr>
      <t xml:space="preserve">對照｜營收（</t>
    </r>
    <r>
      <rPr>
        <sz val="10"/>
        <rFont val="Arial"/>
        <family val="0"/>
        <charset val="1"/>
      </rPr>
      <t xml:space="preserve">2026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2027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</si>
  <si>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S&amp;P Global</t>
    </r>
    <r>
      <rPr>
        <sz val="9"/>
        <color rgb="FF595959"/>
        <rFont val="Noto Sans CJK SC"/>
        <family val="2"/>
      </rPr>
      <t xml:space="preserve">（經 </t>
    </r>
    <r>
      <rPr>
        <sz val="9"/>
        <color rgb="FF595959"/>
        <rFont val="Arial"/>
        <family val="0"/>
        <charset val="1"/>
      </rPr>
      <t xml:space="preserve">StockAnalysis.com</t>
    </r>
    <r>
      <rPr>
        <sz val="9"/>
        <color rgb="FF595959"/>
        <rFont val="Noto Sans CJK SC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https://stockanalysis.com/stocks/googl/forecast/</t>
    </r>
  </si>
  <si>
    <r>
      <rPr>
        <sz val="10"/>
        <rFont val="Noto Sans CJK SC"/>
        <family val="2"/>
      </rPr>
      <t xml:space="preserve">共識｜</t>
    </r>
    <r>
      <rPr>
        <sz val="10"/>
        <rFont val="Arial"/>
        <family val="0"/>
        <charset val="1"/>
      </rPr>
      <t xml:space="preserve">S&amp;P </t>
    </r>
    <r>
      <rPr>
        <sz val="10"/>
        <rFont val="Noto Sans CJK SC"/>
        <family val="2"/>
      </rPr>
      <t xml:space="preserve">對照｜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營收區間（低／高）</t>
    </r>
  </si>
  <si>
    <r>
      <rPr>
        <sz val="10"/>
        <rFont val="Noto Sans CJK SC"/>
        <family val="2"/>
      </rPr>
      <t xml:space="preserve">共識｜</t>
    </r>
    <r>
      <rPr>
        <sz val="10"/>
        <rFont val="Arial"/>
        <family val="0"/>
        <charset val="1"/>
      </rPr>
      <t xml:space="preserve">S&amp;P </t>
    </r>
    <r>
      <rPr>
        <sz val="10"/>
        <rFont val="Noto Sans CJK SC"/>
        <family val="2"/>
      </rPr>
      <t xml:space="preserve">對照｜</t>
    </r>
    <r>
      <rPr>
        <sz val="10"/>
        <rFont val="Arial"/>
        <family val="0"/>
        <charset val="1"/>
      </rPr>
      <t xml:space="preserve">EPS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2027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</si>
  <si>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共識｜</t>
    </r>
    <r>
      <rPr>
        <sz val="10"/>
        <rFont val="Arial"/>
        <family val="0"/>
        <charset val="1"/>
      </rPr>
      <t xml:space="preserve">S&amp;P </t>
    </r>
    <r>
      <rPr>
        <sz val="10"/>
        <rFont val="Noto Sans CJK SC"/>
        <family val="2"/>
      </rPr>
      <t xml:space="preserve">對照｜</t>
    </r>
    <r>
      <rPr>
        <sz val="10"/>
        <rFont val="Arial"/>
        <family val="0"/>
        <charset val="1"/>
      </rPr>
      <t xml:space="preserve">2026 EPS </t>
    </r>
    <r>
      <rPr>
        <sz val="10"/>
        <rFont val="Noto Sans CJK SC"/>
        <family val="2"/>
      </rPr>
      <t xml:space="preserve">區間（低／高）</t>
    </r>
  </si>
  <si>
    <r>
      <rPr>
        <sz val="9"/>
        <color rgb="FF595959"/>
        <rFont val="Arial"/>
        <family val="0"/>
        <charset val="1"/>
      </rPr>
      <t xml:space="preserve">EPS </t>
    </r>
    <r>
      <rPr>
        <sz val="9"/>
        <color rgb="FF595959"/>
        <rFont val="Noto Sans CJK SC"/>
        <family val="2"/>
      </rPr>
      <t xml:space="preserve">口徑與 </t>
    </r>
    <r>
      <rPr>
        <sz val="9"/>
        <color rgb="FF595959"/>
        <rFont val="Arial"/>
        <family val="0"/>
        <charset val="1"/>
      </rPr>
      <t xml:space="preserve">MarketScreener </t>
    </r>
    <r>
      <rPr>
        <sz val="9"/>
        <color rgb="FF595959"/>
        <rFont val="Noto Sans CJK SC"/>
        <family val="2"/>
      </rPr>
      <t xml:space="preserve">不同：</t>
    </r>
    <r>
      <rPr>
        <sz val="9"/>
        <color rgb="FF595959"/>
        <rFont val="Arial"/>
        <family val="0"/>
        <charset val="1"/>
      </rPr>
      <t xml:space="preserve">12.15 </t>
    </r>
    <r>
      <rPr>
        <sz val="9"/>
        <color rgb="FF595959"/>
        <rFont val="Noto Sans CJK SC"/>
        <family val="2"/>
      </rPr>
      <t xml:space="preserve">推測排除權益證券利益（頁面標示 </t>
    </r>
    <r>
      <rPr>
        <sz val="9"/>
        <color rgb="FF595959"/>
        <rFont val="Arial"/>
        <family val="0"/>
        <charset val="1"/>
      </rPr>
      <t xml:space="preserve">EPS</t>
    </r>
    <r>
      <rPr>
        <sz val="9"/>
        <color rgb="FF595959"/>
        <rFont val="Noto Sans CJK SC"/>
        <family val="2"/>
      </rPr>
      <t xml:space="preserve">），</t>
    </r>
    <r>
      <rPr>
        <sz val="9"/>
        <color rgb="FF595959"/>
        <rFont val="Arial"/>
        <family val="0"/>
        <charset val="1"/>
      </rPr>
      <t xml:space="preserve">2028 </t>
    </r>
    <r>
      <rPr>
        <sz val="9"/>
        <color rgb="FF595959"/>
        <rFont val="Noto Sans CJK SC"/>
        <family val="2"/>
      </rPr>
      <t xml:space="preserve">起需付費</t>
    </r>
  </si>
  <si>
    <t xml:space="preserve">公司指引（管理層預估）</t>
  </si>
  <si>
    <r>
      <rPr>
        <sz val="10"/>
        <rFont val="Noto Sans CJK SC"/>
        <family val="2"/>
      </rPr>
      <t xml:space="preserve">共識｜公司指引｜</t>
    </r>
    <r>
      <rPr>
        <sz val="10"/>
        <rFont val="Arial"/>
        <family val="0"/>
        <charset val="1"/>
      </rPr>
      <t xml:space="preserve">2026 CapEx</t>
    </r>
    <r>
      <rPr>
        <sz val="10"/>
        <rFont val="Noto Sans CJK SC"/>
        <family val="2"/>
      </rPr>
      <t xml:space="preserve">（低／高）</t>
    </r>
  </si>
  <si>
    <t xml:space="preserve">未列</t>
  </si>
  <si>
    <r>
      <rPr>
        <sz val="9"/>
        <color rgb="FF595959"/>
        <rFont val="Arial"/>
        <family val="0"/>
        <charset val="1"/>
      </rPr>
      <t xml:space="preserve">2026Q2 </t>
    </r>
    <r>
      <rPr>
        <sz val="9"/>
        <color rgb="FF595959"/>
        <rFont val="Noto Sans CJK SC"/>
        <family val="2"/>
      </rPr>
      <t xml:space="preserve">法說（</t>
    </r>
    <r>
      <rPr>
        <sz val="9"/>
        <color rgb="FF595959"/>
        <rFont val="Arial"/>
        <family val="0"/>
        <charset val="1"/>
      </rPr>
      <t xml:space="preserve">2026-07-22</t>
    </r>
    <r>
      <rPr>
        <sz val="9"/>
        <color rgb="FF595959"/>
        <rFont val="Noto Sans CJK SC"/>
        <family val="2"/>
      </rPr>
      <t xml:space="preserve">；二手逐字稿）：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資本支出 </t>
    </r>
    <r>
      <rPr>
        <sz val="9"/>
        <color rgb="FF595959"/>
        <rFont val="Arial"/>
        <family val="0"/>
        <charset val="1"/>
      </rPr>
      <t xml:space="preserve">195–205B</t>
    </r>
    <r>
      <rPr>
        <sz val="9"/>
        <color rgb="FF595959"/>
        <rFont val="Noto Sans CJK SC"/>
        <family val="2"/>
      </rPr>
      <t xml:space="preserve">；公司不給營收或營業利益指引｜</t>
    </r>
    <r>
      <rPr>
        <sz val="9"/>
        <color rgb="FF595959"/>
        <rFont val="Arial"/>
        <family val="0"/>
        <charset val="1"/>
      </rPr>
      <t xml:space="preserve">https://www.benzinga.com/news/26/09/61834150</t>
    </r>
  </si>
  <si>
    <r>
      <rPr>
        <sz val="9"/>
        <color rgb="FF595959"/>
        <rFont val="Noto Sans CJK SC"/>
        <family val="2"/>
      </rPr>
      <t xml:space="preserve">公司指引屬利害關係人（管理層）預估；資本支出只見於法說（事實總帳 </t>
    </r>
    <r>
      <rPr>
        <sz val="9"/>
        <color rgb="FF595959"/>
        <rFont val="Arial"/>
        <family val="0"/>
        <charset val="1"/>
      </rPr>
      <t xml:space="preserve">guid.capex.2026.jul</t>
    </r>
    <r>
      <rPr>
        <sz val="9"/>
        <color rgb="FF595959"/>
        <rFont val="Noto Sans CJK SC"/>
        <family val="2"/>
      </rPr>
      <t xml:space="preserve">）。共識資本支出 </t>
    </r>
    <r>
      <rPr>
        <sz val="9"/>
        <color rgb="FF595959"/>
        <rFont val="Arial"/>
        <family val="0"/>
        <charset val="1"/>
      </rPr>
      <t xml:space="preserve">201.7 </t>
    </r>
    <r>
      <rPr>
        <sz val="9"/>
        <color rgb="FF595959"/>
        <rFont val="Noto Sans CJK SC"/>
        <family val="2"/>
      </rPr>
      <t xml:space="preserve">落在指引區間內</t>
    </r>
  </si>
  <si>
    <t xml:space="preserve">最新分析師動作</t>
  </si>
  <si>
    <r>
      <rPr>
        <sz val="10"/>
        <rFont val="Noto Sans CJK SC"/>
        <family val="2"/>
      </rPr>
      <t xml:space="preserve">共識｜分析師動作｜</t>
    </r>
    <r>
      <rPr>
        <sz val="10"/>
        <rFont val="Arial"/>
        <family val="0"/>
        <charset val="1"/>
      </rPr>
      <t xml:space="preserve">2026-10-07 Yorkville Ives &amp; Co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Daniel Ives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</si>
  <si>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TipRanks</t>
    </r>
    <r>
      <rPr>
        <sz val="9"/>
        <color rgb="FF595959"/>
        <rFont val="Noto Sans CJK SC"/>
        <family val="2"/>
      </rPr>
      <t xml:space="preserve">（經 </t>
    </r>
    <r>
      <rPr>
        <sz val="9"/>
        <color rgb="FF595959"/>
        <rFont val="Arial"/>
        <family val="0"/>
        <charset val="1"/>
      </rPr>
      <t xml:space="preserve">StockAnalysis.com</t>
    </r>
    <r>
      <rPr>
        <sz val="9"/>
        <color rgb="FF595959"/>
        <rFont val="Noto Sans CJK SC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https://stockanalysis.com/stocks/googl/forecast/</t>
    </r>
  </si>
  <si>
    <r>
      <rPr>
        <sz val="9"/>
        <color rgb="FF595959"/>
        <rFont val="Arial"/>
        <family val="0"/>
        <charset val="1"/>
      </rPr>
      <t xml:space="preserve">Buy</t>
    </r>
    <r>
      <rPr>
        <sz val="9"/>
        <color rgb="FF595959"/>
        <rFont val="Noto Sans CJK SC"/>
        <family val="2"/>
      </rPr>
      <t xml:space="preserve">（首次評等）</t>
    </r>
  </si>
  <si>
    <r>
      <rPr>
        <sz val="10"/>
        <rFont val="Noto Sans CJK SC"/>
        <family val="2"/>
      </rPr>
      <t xml:space="preserve">共識｜分析師動作｜</t>
    </r>
    <r>
      <rPr>
        <sz val="10"/>
        <rFont val="Arial"/>
        <family val="0"/>
        <charset val="1"/>
      </rPr>
      <t xml:space="preserve">2026-10-07 Morgan Stanley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Brian Nowak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</si>
  <si>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Buy</t>
    </r>
    <r>
      <rPr>
        <sz val="9"/>
        <color rgb="FF595959"/>
        <rFont val="Noto Sans CJK SC"/>
        <family val="2"/>
      </rPr>
      <t xml:space="preserve">（維持）</t>
    </r>
  </si>
  <si>
    <r>
      <rPr>
        <sz val="10"/>
        <rFont val="Noto Sans CJK SC"/>
        <family val="2"/>
      </rPr>
      <t xml:space="preserve">共識｜分析師動作｜</t>
    </r>
    <r>
      <rPr>
        <sz val="10"/>
        <rFont val="Arial"/>
        <family val="0"/>
        <charset val="1"/>
      </rPr>
      <t xml:space="preserve">2026-10-06 Guggenheim</t>
    </r>
  </si>
  <si>
    <r>
      <rPr>
        <sz val="10"/>
        <rFont val="Noto Sans CJK SC"/>
        <family val="2"/>
      </rPr>
      <t xml:space="preserve">共識｜分析師動作｜</t>
    </r>
    <r>
      <rPr>
        <sz val="10"/>
        <rFont val="Arial"/>
        <family val="0"/>
        <charset val="1"/>
      </rPr>
      <t xml:space="preserve">2026-10-06 Wells Fargo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Ken Gawrelski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</si>
  <si>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Buy</t>
    </r>
    <r>
      <rPr>
        <sz val="9"/>
        <color rgb="FF595959"/>
        <rFont val="Noto Sans CJK SC"/>
        <family val="2"/>
      </rPr>
      <t xml:space="preserve">（重申）</t>
    </r>
  </si>
  <si>
    <r>
      <rPr>
        <sz val="10"/>
        <rFont val="Noto Sans CJK SC"/>
        <family val="2"/>
      </rPr>
      <t xml:space="preserve">共識｜分析師動作｜</t>
    </r>
    <r>
      <rPr>
        <sz val="10"/>
        <rFont val="Arial"/>
        <family val="0"/>
        <charset val="1"/>
      </rPr>
      <t xml:space="preserve">2026-10-03 Cantor Fitzgerald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Deepak Mathivanan</t>
    </r>
    <r>
      <rPr>
        <sz val="10"/>
        <rFont val="Noto Sans CJK SC"/>
        <family val="2"/>
      </rPr>
      <t xml:space="preserve">）</t>
    </r>
  </si>
  <si>
    <t xml:space="preserve">來源與限制</t>
  </si>
  <si>
    <t xml:space="preserve">共識｜來源獨立性</t>
  </si>
  <si>
    <r>
      <rPr>
        <sz val="10"/>
        <rFont val="Arial"/>
        <family val="0"/>
        <charset val="1"/>
      </rPr>
      <t xml:space="preserve">StockAnalysis.com </t>
    </r>
    <r>
      <rPr>
        <sz val="10"/>
        <rFont val="Noto Sans CJK SC"/>
        <family val="2"/>
      </rPr>
      <t xml:space="preserve">的目標價、評等、營收與 </t>
    </r>
    <r>
      <rPr>
        <sz val="10"/>
        <rFont val="Arial"/>
        <family val="0"/>
        <charset val="1"/>
      </rPr>
      <t xml:space="preserve">EPS </t>
    </r>
    <r>
      <rPr>
        <sz val="10"/>
        <rFont val="Noto Sans CJK SC"/>
        <family val="2"/>
      </rPr>
      <t xml:space="preserve">引用 </t>
    </r>
    <r>
      <rPr>
        <sz val="10"/>
        <rFont val="Arial"/>
        <family val="0"/>
        <charset val="1"/>
      </rPr>
      <t xml:space="preserve">S&amp;P Global Market Intelligence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MarketScreener </t>
    </r>
    <r>
      <rPr>
        <sz val="10"/>
        <rFont val="Noto Sans CJK SC"/>
        <family val="2"/>
      </rPr>
      <t xml:space="preserve">的年度預估一般屬 </t>
    </r>
    <r>
      <rPr>
        <sz val="10"/>
        <rFont val="Arial"/>
        <family val="0"/>
        <charset val="1"/>
      </rPr>
      <t xml:space="preserve">S&amp;P Capital IQ </t>
    </r>
    <r>
      <rPr>
        <sz val="10"/>
        <rFont val="Noto Sans CJK SC"/>
        <family val="2"/>
      </rPr>
      <t xml:space="preserve">系；</t>
    </r>
    <r>
      <rPr>
        <sz val="10"/>
        <rFont val="Arial"/>
        <family val="0"/>
        <charset val="1"/>
      </rPr>
      <t xml:space="preserve">Yahoo Finance </t>
    </r>
    <r>
      <rPr>
        <sz val="10"/>
        <rFont val="Noto Sans CJK SC"/>
        <family val="2"/>
      </rPr>
      <t xml:space="preserve">分析頁 </t>
    </r>
    <r>
      <rPr>
        <sz val="10"/>
        <rFont val="Arial"/>
        <family val="0"/>
        <charset val="1"/>
      </rPr>
      <t xml:space="preserve">2026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2027 </t>
    </r>
    <r>
      <rPr>
        <sz val="10"/>
        <rFont val="Noto Sans CJK SC"/>
        <family val="2"/>
      </rPr>
      <t xml:space="preserve">營收 </t>
    </r>
    <r>
      <rPr>
        <sz val="10"/>
        <rFont val="Arial"/>
        <family val="0"/>
        <charset val="1"/>
      </rPr>
      <t xml:space="preserve">498.69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615.04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MarketScreener 498.690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615.038 </t>
    </r>
    <r>
      <rPr>
        <sz val="10"/>
        <rFont val="Noto Sans CJK SC"/>
        <family val="2"/>
      </rPr>
      <t xml:space="preserve">完全相同、與 </t>
    </r>
    <r>
      <rPr>
        <sz val="10"/>
        <rFont val="Arial"/>
        <family val="0"/>
        <charset val="1"/>
      </rPr>
      <t xml:space="preserve">StockAnalysis 498.74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614.95 </t>
    </r>
    <r>
      <rPr>
        <sz val="10"/>
        <rFont val="Noto Sans CJK SC"/>
        <family val="2"/>
      </rPr>
      <t xml:space="preserve">略異，三者視為同一或高度重疊的底層來源，不算獨立交叉驗證。</t>
    </r>
    <r>
      <rPr>
        <sz val="10"/>
        <rFont val="Arial"/>
        <family val="0"/>
        <charset val="1"/>
      </rPr>
      <t xml:space="preserve">MarketBeat </t>
    </r>
    <r>
      <rPr>
        <sz val="10"/>
        <rFont val="Noto Sans CJK SC"/>
        <family val="2"/>
      </rPr>
      <t xml:space="preserve">目標價與評等為自行彙整（獨立於 </t>
    </r>
    <r>
      <rPr>
        <sz val="10"/>
        <rFont val="Arial"/>
        <family val="0"/>
        <charset val="1"/>
      </rPr>
      <t xml:space="preserve">S&amp;P</t>
    </r>
    <r>
      <rPr>
        <sz val="10"/>
        <rFont val="Noto Sans CJK SC"/>
        <family val="2"/>
      </rPr>
      <t xml:space="preserve">），可作目標價的獨立交叉；</t>
    </r>
    <r>
      <rPr>
        <sz val="10"/>
        <rFont val="Arial"/>
        <family val="0"/>
        <charset val="1"/>
      </rPr>
      <t xml:space="preserve">Yahoo </t>
    </r>
    <r>
      <rPr>
        <sz val="10"/>
        <rFont val="Noto Sans CJK SC"/>
        <family val="2"/>
      </rPr>
      <t xml:space="preserve">目標價 </t>
    </r>
    <r>
      <rPr>
        <sz val="10"/>
        <rFont val="Arial"/>
        <family val="0"/>
        <charset val="1"/>
      </rPr>
      <t xml:space="preserve">429.47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S&amp;P </t>
    </r>
    <r>
      <rPr>
        <sz val="10"/>
        <rFont val="Noto Sans CJK SC"/>
        <family val="2"/>
      </rPr>
      <t xml:space="preserve">完全相同，推測同源。</t>
    </r>
  </si>
  <si>
    <t xml:space="preserve">資料檔說明</t>
  </si>
  <si>
    <r>
      <rPr>
        <sz val="10"/>
        <rFont val="Noto Sans CJK SC"/>
        <family val="2"/>
      </rPr>
      <t xml:space="preserve">共識｜未取得｜</t>
    </r>
    <r>
      <rPr>
        <sz val="10"/>
        <rFont val="Arial"/>
        <family val="0"/>
        <charset val="1"/>
      </rPr>
      <t xml:space="preserve">1</t>
    </r>
  </si>
  <si>
    <r>
      <rPr>
        <sz val="10"/>
        <rFont val="Noto Sans CJK SC"/>
        <family val="2"/>
      </rPr>
      <t xml:space="preserve">季度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與營業利益共識（</t>
    </r>
    <r>
      <rPr>
        <sz val="10"/>
        <rFont val="Arial"/>
        <family val="0"/>
        <charset val="1"/>
      </rPr>
      <t xml:space="preserve">Yahoo </t>
    </r>
    <r>
      <rPr>
        <sz val="10"/>
        <rFont val="Noto Sans CJK SC"/>
        <family val="2"/>
      </rPr>
      <t xml:space="preserve">只有營收與 </t>
    </r>
    <r>
      <rPr>
        <sz val="10"/>
        <rFont val="Arial"/>
        <family val="0"/>
        <charset val="1"/>
      </rPr>
      <t xml:space="preserve">EPS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MarketScreener </t>
    </r>
    <r>
      <rPr>
        <sz val="10"/>
        <rFont val="Noto Sans CJK SC"/>
        <family val="2"/>
      </rPr>
      <t xml:space="preserve">季度頁未取得）</t>
    </r>
  </si>
  <si>
    <r>
      <rPr>
        <sz val="10"/>
        <rFont val="Noto Sans CJK SC"/>
        <family val="2"/>
      </rPr>
      <t xml:space="preserve">共識｜未取得｜</t>
    </r>
    <r>
      <rPr>
        <sz val="10"/>
        <rFont val="Arial"/>
        <family val="0"/>
        <charset val="1"/>
      </rPr>
      <t xml:space="preserve">2</t>
    </r>
  </si>
  <si>
    <r>
      <rPr>
        <sz val="10"/>
        <rFont val="Arial"/>
        <family val="0"/>
        <charset val="1"/>
      </rPr>
      <t xml:space="preserve">S&amp;P 2028 </t>
    </r>
    <r>
      <rPr>
        <sz val="10"/>
        <rFont val="Noto Sans CJK SC"/>
        <family val="2"/>
      </rPr>
      <t xml:space="preserve">年度營收與 </t>
    </r>
    <r>
      <rPr>
        <sz val="10"/>
        <rFont val="Arial"/>
        <family val="0"/>
        <charset val="1"/>
      </rPr>
      <t xml:space="preserve">EPS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StockAnalysis </t>
    </r>
    <r>
      <rPr>
        <sz val="10"/>
        <rFont val="Noto Sans CJK SC"/>
        <family val="2"/>
      </rPr>
      <t xml:space="preserve">付費內容）</t>
    </r>
  </si>
  <si>
    <r>
      <rPr>
        <sz val="10"/>
        <rFont val="Noto Sans CJK SC"/>
        <family val="2"/>
      </rPr>
      <t xml:space="preserve">共識｜未取得｜</t>
    </r>
    <r>
      <rPr>
        <sz val="10"/>
        <rFont val="Arial"/>
        <family val="0"/>
        <charset val="1"/>
      </rPr>
      <t xml:space="preserve">3</t>
    </r>
  </si>
  <si>
    <r>
      <rPr>
        <sz val="10"/>
        <rFont val="Noto Sans CJK SC"/>
        <family val="2"/>
      </rPr>
      <t xml:space="preserve">第二個獨立的年度營收／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共識供應商（</t>
    </r>
    <r>
      <rPr>
        <sz val="10"/>
        <rFont val="Arial"/>
        <family val="0"/>
        <charset val="1"/>
      </rPr>
      <t xml:space="preserve">StockAnalysis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MarketScreener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Yahoo </t>
    </r>
    <r>
      <rPr>
        <sz val="10"/>
        <rFont val="Noto Sans CJK SC"/>
        <family val="2"/>
      </rPr>
      <t xml:space="preserve">視為同一或高度重疊底層）</t>
    </r>
  </si>
  <si>
    <r>
      <rPr>
        <sz val="10"/>
        <rFont val="Noto Sans CJK SC"/>
        <family val="2"/>
      </rPr>
      <t xml:space="preserve">判斷句門檻：與共識差距（營收、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</si>
  <si>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任一項差距絕對值超過此比例即視為分歧（</t>
    </r>
    <r>
      <rPr>
        <sz val="9"/>
        <color rgb="FF595959"/>
        <rFont val="Arial"/>
        <family val="0"/>
        <charset val="1"/>
      </rPr>
      <t xml:space="preserve">company.json → methodology.consensusGapTol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[Assumed]</t>
    </r>
  </si>
  <si>
    <t xml:space="preserve">差異原因門檻：利潤類利潤率差（百分點）</t>
  </si>
  <si>
    <r>
      <rPr>
        <sz val="9"/>
        <color rgb="FF595959"/>
        <rFont val="Noto Sans CJK SC"/>
        <family val="2"/>
      </rPr>
      <t xml:space="preserve">利潤類（調整後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Noto Sans CJK SC"/>
        <family val="2"/>
      </rPr>
      <t xml:space="preserve">、調整後營業利益）利潤率差超過此值須附差異原因；營收、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Noto Sans CJK SC"/>
        <family val="2"/>
      </rPr>
      <t xml:space="preserve">、淨負債、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用上一格（</t>
    </r>
    <r>
      <rPr>
        <sz val="9"/>
        <color rgb="FF595959"/>
        <rFont val="Arial"/>
        <family val="0"/>
        <charset val="1"/>
      </rPr>
      <t xml:space="preserve">company.json → methodology.profitMarginTolPt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</si>
  <si>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b val="true"/>
        <sz val="10"/>
        <rFont val="Arial"/>
        <family val="0"/>
        <charset val="1"/>
      </rPr>
      <t xml:space="preserve">J</t>
    </r>
    <r>
      <rPr>
        <b val="true"/>
        <sz val="10"/>
        <rFont val="Noto Sans CJK SC"/>
        <family val="2"/>
      </rPr>
      <t xml:space="preserve">｜季度追蹤：實際數、指引與拆分設定（</t>
    </r>
    <r>
      <rPr>
        <b val="true"/>
        <sz val="10"/>
        <rFont val="Arial"/>
        <family val="0"/>
        <charset val="1"/>
      </rPr>
      <t xml:space="preserve">company.json → quarterly</t>
    </r>
    <r>
      <rPr>
        <b val="true"/>
        <sz val="10"/>
        <rFont val="Noto Sans CJK SC"/>
        <family val="2"/>
      </rPr>
      <t xml:space="preserve">；實際數預設空白，財報公布後填入藍字格）</t>
    </r>
  </si>
  <si>
    <t xml:space="preserve">季度</t>
  </si>
  <si>
    <t xml:space="preserve">Q3 2026</t>
  </si>
  <si>
    <t xml:space="preserve">Q4 2026</t>
  </si>
  <si>
    <t xml:space="preserve">Q1 2027</t>
  </si>
  <si>
    <t xml:space="preserve">Q2 2027</t>
  </si>
  <si>
    <t xml:space="preserve">Q3 2027</t>
  </si>
  <si>
    <t xml:space="preserve">Q4 2027</t>
  </si>
  <si>
    <t xml:space="preserve">說明</t>
  </si>
  <si>
    <r>
      <rPr>
        <sz val="10"/>
        <rFont val="Noto Sans CJK SC"/>
        <family val="2"/>
      </rPr>
      <t xml:space="preserve">季度｜所屬期間（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2H26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2027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</si>
  <si>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company.json </t>
    </r>
    <r>
      <rPr>
        <sz val="9"/>
        <color rgb="FF595959"/>
        <rFont val="Noto Sans CJK SC"/>
        <family val="2"/>
      </rPr>
      <t xml:space="preserve">設定；拆分公式依此建置（改動需重建）</t>
    </r>
  </si>
  <si>
    <r>
      <rPr>
        <sz val="10"/>
        <rFont val="Noto Sans CJK SC"/>
        <family val="2"/>
      </rPr>
      <t xml:space="preserve">季度｜焦點季（</t>
    </r>
    <r>
      <rPr>
        <sz val="10"/>
        <rFont val="Arial"/>
        <family val="0"/>
        <charset val="1"/>
      </rPr>
      <t xml:space="preserve">1–6</t>
    </r>
    <r>
      <rPr>
        <sz val="10"/>
        <rFont val="Noto Sans CJK SC"/>
        <family val="2"/>
      </rPr>
      <t xml:space="preserve">）</t>
    </r>
  </si>
  <si>
    <t xml:space="preserve">「季度追蹤」分頁第一屏與「摘要」驗證點顯示的季度；財報公布後改為下一季</t>
  </si>
  <si>
    <r>
      <rPr>
        <sz val="10"/>
        <rFont val="Noto Sans CJK SC"/>
        <family val="2"/>
      </rPr>
      <t xml:space="preserve">季度｜營收起點（</t>
    </r>
    <r>
      <rPr>
        <sz val="10"/>
        <rFont val="Arial"/>
        <family val="0"/>
        <charset val="1"/>
      </rPr>
      <t xml:space="preserve">2026Q2 </t>
    </r>
    <r>
      <rPr>
        <sz val="10"/>
        <rFont val="Noto Sans CJK SC"/>
        <family val="2"/>
      </rPr>
      <t xml:space="preserve">實際營收）</t>
    </r>
  </si>
  <si>
    <r>
      <rPr>
        <sz val="9"/>
        <color rgb="FF595959"/>
        <rFont val="Noto Sans CJK SC"/>
        <family val="2"/>
      </rPr>
      <t xml:space="preserve">營收拆分 </t>
    </r>
    <r>
      <rPr>
        <sz val="9"/>
        <color rgb="FF595959"/>
        <rFont val="Arial"/>
        <family val="0"/>
        <charset val="1"/>
      </rPr>
      <t xml:space="preserve">anchor </t>
    </r>
    <r>
      <rPr>
        <sz val="9"/>
        <color rgb="FF595959"/>
        <rFont val="Noto Sans CJK SC"/>
        <family val="2"/>
      </rPr>
      <t xml:space="preserve">用：從此值逐季線性爬升 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</si>
  <si>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Noto Sans CJK SC"/>
        <family val="2"/>
      </rPr>
      <t xml:space="preserve">季度｜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起點（第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期期初 </t>
    </r>
    <r>
      <rPr>
        <sz val="10"/>
        <rFont val="Arial"/>
        <family val="0"/>
        <charset val="1"/>
      </rPr>
      <t xml:space="preserve">Accepted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</si>
  <si>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評價日（</t>
    </r>
    <r>
      <rPr>
        <sz val="9"/>
        <color rgb="FF595959"/>
        <rFont val="Arial"/>
        <family val="0"/>
        <charset val="1"/>
      </rPr>
      <t xml:space="preserve">2026-06-30</t>
    </r>
    <r>
      <rPr>
        <sz val="9"/>
        <color rgb="FF595959"/>
        <rFont val="Noto Sans CJK SC"/>
        <family val="2"/>
      </rPr>
      <t xml:space="preserve">）對外 </t>
    </r>
    <r>
      <rPr>
        <sz val="9"/>
        <color rgb="FF595959"/>
        <rFont val="Arial"/>
        <family val="0"/>
        <charset val="1"/>
      </rPr>
      <t xml:space="preserve">AI MW-IT </t>
    </r>
    <r>
      <rPr>
        <sz val="9"/>
        <color rgb="FF595959"/>
        <rFont val="Noto Sans CJK SC"/>
        <family val="2"/>
      </rPr>
      <t xml:space="preserve">未揭露：第三方估計 </t>
    </r>
    <r>
      <rPr>
        <sz val="9"/>
        <color rgb="FF595959"/>
        <rFont val="Arial"/>
        <family val="0"/>
        <charset val="1"/>
      </rPr>
      <t xml:space="preserve">1,901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晶片功耗 </t>
    </r>
    <r>
      <rPr>
        <sz val="9"/>
        <color rgb="FF595959"/>
        <rFont val="Arial"/>
        <family val="0"/>
        <charset val="1"/>
      </rPr>
      <t xml:space="preserve">× 1.65 × </t>
    </r>
    <r>
      <rPr>
        <sz val="9"/>
        <color rgb="FF595959"/>
        <rFont val="Noto Sans CJK SC"/>
        <family val="2"/>
      </rPr>
      <t xml:space="preserve">對外 </t>
    </r>
    <r>
      <rPr>
        <sz val="9"/>
        <color rgb="FF595959"/>
        <rFont val="Arial"/>
        <family val="0"/>
        <charset val="1"/>
      </rPr>
      <t xml:space="preserve">30%</t>
    </r>
    <r>
      <rPr>
        <sz val="9"/>
        <color rgb="FF595959"/>
        <rFont val="Noto Sans CJK SC"/>
        <family val="2"/>
      </rPr>
      <t xml:space="preserve">，事實總帳 </t>
    </r>
    <r>
      <rPr>
        <sz val="9"/>
        <color rgb="FF595959"/>
        <rFont val="Arial"/>
        <family val="0"/>
        <charset val="1"/>
      </rPr>
      <t xml:space="preserve">mw.ext.it.2026q2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Assumed]</t>
    </r>
  </si>
  <si>
    <t xml:space="preserve">季度實際｜營收</t>
  </si>
  <si>
    <t xml:space="preserve">實際數（公司公布）；空白＝待公布</t>
  </si>
  <si>
    <r>
      <rPr>
        <sz val="10"/>
        <rFont val="Noto Sans CJK SC"/>
        <family val="2"/>
      </rPr>
      <t xml:space="preserve">季度實際｜調整後 </t>
    </r>
    <r>
      <rPr>
        <sz val="10"/>
        <rFont val="Arial"/>
        <family val="0"/>
        <charset val="1"/>
      </rPr>
      <t xml:space="preserve">EBITDA</t>
    </r>
  </si>
  <si>
    <t xml:space="preserve">季度實際｜調整後營業利益</t>
  </si>
  <si>
    <r>
      <rPr>
        <sz val="10"/>
        <rFont val="Noto Sans CJK SC"/>
        <family val="2"/>
      </rPr>
      <t xml:space="preserve">季度實際｜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</t>
    </r>
  </si>
  <si>
    <r>
      <rPr>
        <sz val="10"/>
        <rFont val="Noto Sans CJK SC"/>
        <family val="2"/>
      </rPr>
      <t xml:space="preserve">季度實際｜季末對外 </t>
    </r>
    <r>
      <rPr>
        <sz val="10"/>
        <rFont val="Arial"/>
        <family val="0"/>
        <charset val="1"/>
      </rPr>
      <t xml:space="preserve">AI MW</t>
    </r>
    <r>
      <rPr>
        <sz val="10"/>
        <rFont val="Noto Sans CJK SC"/>
        <family val="2"/>
      </rPr>
      <t xml:space="preserve">（未揭露）</t>
    </r>
  </si>
  <si>
    <t xml:space="preserve">季度實際｜來源</t>
  </si>
  <si>
    <t xml:space="preserve">季度實際｜日期</t>
  </si>
  <si>
    <t xml:space="preserve">季度實際｜標記</t>
  </si>
  <si>
    <r>
      <rPr>
        <sz val="10"/>
        <rFont val="Noto Sans CJK SC"/>
        <family val="2"/>
      </rPr>
      <t xml:space="preserve">期間指引｜</t>
    </r>
    <r>
      <rPr>
        <sz val="10"/>
        <rFont val="Arial"/>
        <family val="0"/>
        <charset val="1"/>
      </rPr>
      <t xml:space="preserve">2H26 CapEx</t>
    </r>
    <r>
      <rPr>
        <sz val="10"/>
        <rFont val="Noto Sans CJK SC"/>
        <family val="2"/>
      </rPr>
      <t xml:space="preserve">（毛額）（全年低／全年高／扣除 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實際）</t>
    </r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</si>
  <si>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全年資本支出指引 </t>
    </r>
    <r>
      <rPr>
        <sz val="9"/>
        <color rgb="FF595959"/>
        <rFont val="Arial"/>
        <family val="0"/>
        <charset val="1"/>
      </rPr>
      <t xml:space="preserve">195–205</t>
    </r>
    <r>
      <rPr>
        <sz val="9"/>
        <color rgb="FF595959"/>
        <rFont val="Noto Sans CJK SC"/>
        <family val="2"/>
      </rPr>
      <t xml:space="preserve">（法說二手逐字稿；</t>
    </r>
    <r>
      <rPr>
        <sz val="9"/>
        <color rgb="FF595959"/>
        <rFont val="Arial"/>
        <family val="0"/>
        <charset val="1"/>
      </rPr>
      <t xml:space="preserve">2026-07 </t>
    </r>
    <r>
      <rPr>
        <sz val="9"/>
        <color rgb="FF595959"/>
        <rFont val="Noto Sans CJK SC"/>
        <family val="2"/>
      </rPr>
      <t xml:space="preserve">上修）− 上半年實際＝下半年隱含指引 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Noto Sans CJK SC"/>
        <family val="2"/>
      </rPr>
      <t xml:space="preserve">；公司未給營收指引；只用於判斷季度差距是否為「拆法」</t>
    </r>
  </si>
  <si>
    <t xml:space="preserve">支出與資金 — 五層支出、四層來源、現金橋</t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</si>
  <si>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實際（季報現金流量表口徑）＋下半年模型；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以後為純模型。瀑布以「融資前現金」決定需求並直接由各支出列加總，因此沒有循環參照</t>
    </r>
  </si>
  <si>
    <t xml:space="preserve">公式／來源說明</t>
  </si>
  <si>
    <t xml:space="preserve">支出（五層）</t>
  </si>
  <si>
    <r>
      <rPr>
        <sz val="10"/>
        <rFont val="Noto Sans CJK SC"/>
        <family val="2"/>
      </rPr>
      <t xml:space="preserve">① 毛 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（認列，備忘）</t>
    </r>
  </si>
  <si>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實際認列 </t>
    </r>
    <r>
      <rPr>
        <sz val="9"/>
        <color rgb="FF595959"/>
        <rFont val="Arial"/>
        <family val="0"/>
        <charset val="1"/>
      </rPr>
      <t xml:space="preserve">80.598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Noto Sans CJK SC"/>
        <family val="2"/>
      </rPr>
      <t xml:space="preserve">模型；對照公司全年指引 </t>
    </r>
    <r>
      <rPr>
        <sz val="9"/>
        <color rgb="FF595959"/>
        <rFont val="Arial"/>
        <family val="0"/>
        <charset val="1"/>
      </rPr>
      <t xml:space="preserve">195–205</t>
    </r>
    <r>
      <rPr>
        <sz val="9"/>
        <color rgb="FF595959"/>
        <rFont val="Noto Sans CJK SC"/>
        <family val="2"/>
      </rPr>
      <t xml:space="preserve">。備忘列：用途合計採現金口徑，不用這一列</t>
    </r>
  </si>
  <si>
    <t xml:space="preserve">　客戶預付率</t>
  </si>
  <si>
    <r>
      <rPr>
        <sz val="10"/>
        <rFont val="Noto Sans CJK SC"/>
        <family val="2"/>
      </rPr>
      <t xml:space="preserve">　客戶預付金額（抵減，</t>
    </r>
    <r>
      <rPr>
        <sz val="10"/>
        <rFont val="Arial"/>
        <family val="0"/>
        <charset val="1"/>
      </rPr>
      <t xml:space="preserve">2H </t>
    </r>
    <r>
      <rPr>
        <sz val="10"/>
        <rFont val="Noto Sans CJK SC"/>
        <family val="2"/>
      </rPr>
      <t xml:space="preserve">起）</t>
    </r>
  </si>
  <si>
    <r>
      <rPr>
        <sz val="9"/>
        <color rgb="FF595959"/>
        <rFont val="Noto Sans CJK SC"/>
        <family val="2"/>
      </rPr>
      <t xml:space="preserve">＝成長型 </t>
    </r>
    <r>
      <rPr>
        <sz val="9"/>
        <color rgb="FF595959"/>
        <rFont val="Arial"/>
        <family val="0"/>
        <charset val="1"/>
      </rPr>
      <t xml:space="preserve">CapEx × </t>
    </r>
    <r>
      <rPr>
        <sz val="9"/>
        <color rgb="FF595959"/>
        <rFont val="Noto Sans CJK SC"/>
        <family val="2"/>
      </rPr>
      <t xml:space="preserve">預付比率（汰換 </t>
    </r>
    <r>
      <rPr>
        <sz val="9"/>
        <color rgb="FF595959"/>
        <rFont val="Arial"/>
        <family val="0"/>
        <charset val="1"/>
      </rPr>
      <t xml:space="preserve">CapEx </t>
    </r>
    <r>
      <rPr>
        <sz val="9"/>
        <color rgb="FF595959"/>
        <rFont val="Noto Sans CJK SC"/>
        <family val="2"/>
      </rPr>
      <t xml:space="preserve">不計）；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的預付已含在實際 </t>
    </r>
    <r>
      <rPr>
        <sz val="9"/>
        <color rgb="FF595959"/>
        <rFont val="Arial"/>
        <family val="0"/>
        <charset val="1"/>
      </rPr>
      <t xml:space="preserve">CFO </t>
    </r>
    <r>
      <rPr>
        <sz val="9"/>
        <color rgb="FF595959"/>
        <rFont val="Noto Sans CJK SC"/>
        <family val="2"/>
      </rPr>
      <t xml:space="preserve">內，不重複計入</t>
    </r>
  </si>
  <si>
    <t xml:space="preserve">　合約負債期初（客戶預付餘額）</t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</si>
  <si>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期初＝</t>
    </r>
    <r>
      <rPr>
        <sz val="9"/>
        <color rgb="FF595959"/>
        <rFont val="Arial"/>
        <family val="0"/>
        <charset val="1"/>
      </rPr>
      <t xml:space="preserve">6/30 </t>
    </r>
    <r>
      <rPr>
        <sz val="9"/>
        <color rgb="FF595959"/>
        <rFont val="Noto Sans CJK SC"/>
        <family val="2"/>
      </rPr>
      <t xml:space="preserve">季報遞延營收</t>
    </r>
  </si>
  <si>
    <t xml:space="preserve">　合約負債利息累積（重大財務組成，非現金）</t>
  </si>
  <si>
    <r>
      <rPr>
        <sz val="9"/>
        <color rgb="FF595959"/>
        <rFont val="Noto Sans CJK SC"/>
        <family val="2"/>
      </rPr>
      <t xml:space="preserve">＝隱含利率 </t>
    </r>
    <r>
      <rPr>
        <sz val="9"/>
        <color rgb="FF595959"/>
        <rFont val="Arial"/>
        <family val="0"/>
        <charset val="1"/>
      </rPr>
      <t xml:space="preserve">×(</t>
    </r>
    <r>
      <rPr>
        <sz val="9"/>
        <color rgb="FF595959"/>
        <rFont val="Noto Sans CJK SC"/>
        <family val="2"/>
      </rPr>
      <t xml:space="preserve">期初合約負債＋本期預付流入 </t>
    </r>
    <r>
      <rPr>
        <sz val="9"/>
        <color rgb="FF595959"/>
        <rFont val="Arial"/>
        <family val="0"/>
        <charset val="1"/>
      </rPr>
      <t xml:space="preserve">× ½)× </t>
    </r>
    <r>
      <rPr>
        <sz val="9"/>
        <color rgb="FF595959"/>
        <rFont val="Noto Sans CJK SC"/>
        <family val="2"/>
      </rPr>
      <t xml:space="preserve">期間長度；進損益利息、不進現金（</t>
    </r>
    <r>
      <rPr>
        <sz val="9"/>
        <color rgb="FF595959"/>
        <rFont val="Arial"/>
        <family val="0"/>
        <charset val="1"/>
      </rPr>
      <t xml:space="preserve">v0.1b</t>
    </r>
    <r>
      <rPr>
        <sz val="9"/>
        <color rgb="FF595959"/>
        <rFont val="Noto Sans CJK SC"/>
        <family val="2"/>
      </rPr>
      <t xml:space="preserve">）</t>
    </r>
  </si>
  <si>
    <t xml:space="preserve">　預付認列（非現金營收）</t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</si>
  <si>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期初合約負債＋累積利息</t>
    </r>
    <r>
      <rPr>
        <sz val="9"/>
        <color rgb="FF595959"/>
        <rFont val="Arial"/>
        <family val="0"/>
        <charset val="1"/>
      </rPr>
      <t xml:space="preserve">) ÷ </t>
    </r>
    <r>
      <rPr>
        <sz val="9"/>
        <color rgb="FF595959"/>
        <rFont val="Noto Sans CJK SC"/>
        <family val="2"/>
      </rPr>
      <t xml:space="preserve">認列年數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期間長度；這部分營收已在預付時收現，自營運來源扣除</t>
    </r>
  </si>
  <si>
    <t xml:space="preserve">　合約負債期末</t>
  </si>
  <si>
    <t xml:space="preserve">＝期初＋預付流入＋累積利息−認列</t>
  </si>
  <si>
    <r>
      <rPr>
        <sz val="10"/>
        <rFont val="Arial"/>
        <family val="0"/>
        <charset val="1"/>
      </rPr>
      <t xml:space="preserve">① CapEx</t>
    </r>
    <r>
      <rPr>
        <sz val="10"/>
        <rFont val="Noto Sans CJK SC"/>
        <family val="2"/>
      </rPr>
      <t xml:space="preserve">（用途用：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現金／</t>
    </r>
    <r>
      <rPr>
        <sz val="10"/>
        <rFont val="Arial"/>
        <family val="0"/>
        <charset val="1"/>
      </rPr>
      <t xml:space="preserve">2H </t>
    </r>
    <r>
      <rPr>
        <sz val="10"/>
        <rFont val="Noto Sans CJK SC"/>
        <family val="2"/>
      </rPr>
      <t xml:space="preserve">毛額）</t>
    </r>
  </si>
  <si>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採現金流量表的現金購置 </t>
    </r>
    <r>
      <rPr>
        <sz val="9"/>
        <color rgb="FF595959"/>
        <rFont val="Arial"/>
        <family val="0"/>
        <charset val="1"/>
      </rPr>
      <t xml:space="preserve">80.598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Noto Sans CJK SC"/>
        <family val="2"/>
      </rPr>
      <t xml:space="preserve">起採毛額，客戶預付在來源端抵回（避免重複計入）</t>
    </r>
  </si>
  <si>
    <r>
      <rPr>
        <sz val="10"/>
        <rFont val="Noto Sans CJK SC"/>
        <family val="2"/>
      </rPr>
      <t xml:space="preserve">② 在帳現金租金（備忘，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已含在 </t>
    </r>
    <r>
      <rPr>
        <sz val="10"/>
        <rFont val="Arial"/>
        <family val="0"/>
        <charset val="1"/>
      </rPr>
      <t xml:space="preserve">CFO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</si>
  <si>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見『租賃與承諾』頁；</t>
    </r>
    <r>
      <rPr>
        <sz val="9"/>
        <color rgb="FF595959"/>
        <rFont val="Arial"/>
        <family val="0"/>
        <charset val="1"/>
      </rPr>
      <t xml:space="preserve">2030 </t>
    </r>
    <r>
      <rPr>
        <sz val="9"/>
        <color rgb="FF595959"/>
        <rFont val="Noto Sans CJK SC"/>
        <family val="2"/>
      </rPr>
      <t xml:space="preserve">後尚有 </t>
    </r>
    <r>
      <rPr>
        <sz val="9"/>
        <color rgb="FF595959"/>
        <rFont val="Arial"/>
        <family val="0"/>
        <charset val="1"/>
      </rPr>
      <t xml:space="preserve">9.707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欄僅 </t>
    </r>
    <r>
      <rPr>
        <sz val="9"/>
        <color rgb="FF595959"/>
        <rFont val="Arial"/>
        <family val="0"/>
        <charset val="1"/>
      </rPr>
      <t xml:space="preserve">2H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租金 </t>
    </r>
    <r>
      <rPr>
        <sz val="9"/>
        <color rgb="FF595959"/>
        <rFont val="Arial"/>
        <family val="0"/>
        <charset val="1"/>
      </rPr>
      <t xml:space="preserve">2.692 </t>
    </r>
    <r>
      <rPr>
        <sz val="9"/>
        <color rgb="FF595959"/>
        <rFont val="Noto Sans CJK SC"/>
        <family val="2"/>
      </rPr>
      <t xml:space="preserve">已含在實際 </t>
    </r>
    <r>
      <rPr>
        <sz val="9"/>
        <color rgb="FF595959"/>
        <rFont val="Arial"/>
        <family val="0"/>
        <charset val="1"/>
      </rPr>
      <t xml:space="preserve">CFO </t>
    </r>
    <r>
      <rPr>
        <sz val="9"/>
        <color rgb="FF595959"/>
        <rFont val="Noto Sans CJK SC"/>
        <family val="2"/>
      </rPr>
      <t xml:space="preserve">內</t>
    </r>
  </si>
  <si>
    <t xml:space="preserve">② 表外現金租金（未起租）</t>
  </si>
  <si>
    <r>
      <rPr>
        <sz val="9"/>
        <color rgb="FF595959"/>
        <rFont val="Noto Sans CJK SC"/>
        <family val="2"/>
      </rPr>
      <t xml:space="preserve">已簽約未起租租賃 </t>
    </r>
    <r>
      <rPr>
        <sz val="9"/>
        <color rgb="FF595959"/>
        <rFont val="Arial"/>
        <family val="0"/>
        <charset val="1"/>
      </rPr>
      <t xml:space="preserve">85.2 </t>
    </r>
    <r>
      <rPr>
        <sz val="9"/>
        <color rgb="FF595959"/>
        <rFont val="Noto Sans CJK SC"/>
        <family val="2"/>
      </rPr>
      <t xml:space="preserve">的現金路徑</t>
    </r>
  </si>
  <si>
    <t xml:space="preserve">　租金合計</t>
  </si>
  <si>
    <r>
      <rPr>
        <sz val="9"/>
        <color rgb="FF595959"/>
        <rFont val="Noto Sans CJK SC"/>
        <family val="2"/>
      </rPr>
      <t xml:space="preserve">＝在帳融資租賃現金＋未起租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融資部分比例（</t>
    </r>
    <r>
      <rPr>
        <sz val="9"/>
        <color rgb="FF595959"/>
        <rFont val="Arial"/>
        <family val="0"/>
        <charset val="1"/>
      </rPr>
      <t xml:space="preserve">MAG v0.1b</t>
    </r>
    <r>
      <rPr>
        <sz val="9"/>
        <color rgb="FF595959"/>
        <rFont val="Noto Sans CJK SC"/>
        <family val="2"/>
      </rPr>
      <t xml:space="preserve">：營業租賃已含在分部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Noto Sans CJK SC"/>
        <family val="2"/>
      </rPr>
      <t xml:space="preserve">，不重複扣除；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雲端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推得、未扣租金）</t>
    </r>
  </si>
  <si>
    <r>
      <rPr>
        <sz val="10"/>
        <rFont val="Noto Sans CJK SC"/>
        <family val="2"/>
      </rPr>
      <t xml:space="preserve">③ 存量債務利息（備忘，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已含在 </t>
    </r>
    <r>
      <rPr>
        <sz val="10"/>
        <rFont val="Arial"/>
        <family val="0"/>
        <charset val="1"/>
      </rPr>
      <t xml:space="preserve">CFO</t>
    </r>
    <r>
      <rPr>
        <sz val="10"/>
        <rFont val="Noto Sans CJK SC"/>
        <family val="2"/>
      </rPr>
      <t xml:space="preserve">）</t>
    </r>
  </si>
  <si>
    <t xml:space="preserve">　期初累積現金</t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</si>
  <si>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自 </t>
    </r>
    <r>
      <rPr>
        <sz val="9"/>
        <color rgb="FF595959"/>
        <rFont val="Arial"/>
        <family val="0"/>
        <charset val="1"/>
      </rPr>
      <t xml:space="preserve">2025-12-31 </t>
    </r>
    <r>
      <rPr>
        <sz val="9"/>
        <color rgb="FF595959"/>
        <rFont val="Noto Sans CJK SC"/>
        <family val="2"/>
      </rPr>
      <t xml:space="preserve">起算；之後＝前期期末累積現金</t>
    </r>
  </si>
  <si>
    <t xml:space="preserve">　新債利率</t>
  </si>
  <si>
    <r>
      <rPr>
        <sz val="9"/>
        <color rgb="FF595959"/>
        <rFont val="Arial"/>
        <family val="0"/>
        <charset val="1"/>
      </rPr>
      <t xml:space="preserve">CDS </t>
    </r>
    <r>
      <rPr>
        <sz val="9"/>
        <color rgb="FF595959"/>
        <rFont val="Noto Sans CJK SC"/>
        <family val="2"/>
      </rPr>
      <t xml:space="preserve">開關：＋</t>
    </r>
    <r>
      <rPr>
        <sz val="9"/>
        <color rgb="FF595959"/>
        <rFont val="Arial"/>
        <family val="0"/>
        <charset val="1"/>
      </rPr>
      <t xml:space="preserve">MAX(0,CDS−450)×0.4bp/bp</t>
    </r>
  </si>
  <si>
    <t xml:space="preserve">③ 新債利息（瀑布）</t>
  </si>
  <si>
    <r>
      <rPr>
        <sz val="9"/>
        <color rgb="FF595959"/>
        <rFont val="Noto Sans CJK SC"/>
        <family val="2"/>
      </rPr>
      <t xml:space="preserve">＝新債利率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期間長度</t>
    </r>
    <r>
      <rPr>
        <sz val="9"/>
        <color rgb="FF595959"/>
        <rFont val="Arial"/>
        <family val="0"/>
        <charset val="1"/>
      </rPr>
      <t xml:space="preserve">×(</t>
    </r>
    <r>
      <rPr>
        <sz val="9"/>
        <color rgb="FF595959"/>
        <rFont val="Noto Sans CJK SC"/>
        <family val="2"/>
      </rPr>
      <t xml:space="preserve">期初新債＋本期舉借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；見下方「期前融資瀑布」</t>
    </r>
  </si>
  <si>
    <t xml:space="preserve">　利息合計</t>
  </si>
  <si>
    <r>
      <rPr>
        <sz val="10"/>
        <rFont val="Arial"/>
        <family val="0"/>
        <charset val="1"/>
      </rPr>
      <t xml:space="preserve">④ JV</t>
    </r>
    <r>
      <rPr>
        <sz val="10"/>
        <rFont val="Noto Sans CJK SC"/>
        <family val="2"/>
      </rPr>
      <t xml:space="preserve">／策略投資出資</t>
    </r>
  </si>
  <si>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55.44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JV 0.000</t>
    </r>
    <r>
      <rPr>
        <sz val="9"/>
        <color rgb="FF595959"/>
        <rFont val="Noto Sans CJK SC"/>
        <family val="2"/>
      </rPr>
      <t xml:space="preserve">＋策略投資 </t>
    </r>
    <r>
      <rPr>
        <sz val="9"/>
        <color rgb="FF595959"/>
        <rFont val="Arial"/>
        <family val="0"/>
        <charset val="1"/>
      </rPr>
      <t xml:space="preserve">55.440</t>
    </r>
    <r>
      <rPr>
        <sz val="9"/>
        <color rgb="FF595959"/>
        <rFont val="Noto Sans CJK SC"/>
        <family val="2"/>
      </rPr>
      <t xml:space="preserve">）＋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Noto Sans CJK SC"/>
        <family val="2"/>
      </rPr>
      <t xml:space="preserve">模型。</t>
    </r>
    <r>
      <rPr>
        <sz val="9"/>
        <color rgb="FF595959"/>
        <rFont val="Arial"/>
        <family val="0"/>
        <charset val="1"/>
      </rPr>
      <t xml:space="preserve">GOOGL </t>
    </r>
    <r>
      <rPr>
        <sz val="9"/>
        <color rgb="FF595959"/>
        <rFont val="Noto Sans CJK SC"/>
        <family val="2"/>
      </rPr>
      <t xml:space="preserve">不發股息</t>
    </r>
  </si>
  <si>
    <t xml:space="preserve">⑧ 股利（普通股＋特別股）</t>
  </si>
  <si>
    <r>
      <rPr>
        <sz val="9"/>
        <color rgb="FF595959"/>
        <rFont val="Noto Sans CJK SC"/>
        <family val="2"/>
      </rPr>
      <t xml:space="preserve">普通股＝每股每季 </t>
    </r>
    <r>
      <rPr>
        <sz val="9"/>
        <color rgb="FF595959"/>
        <rFont val="Arial"/>
        <family val="0"/>
        <charset val="1"/>
      </rPr>
      <t xml:space="preserve">× 4 × </t>
    </r>
    <r>
      <rPr>
        <sz val="9"/>
        <color rgb="FF595959"/>
        <rFont val="Noto Sans CJK SC"/>
        <family val="2"/>
      </rPr>
      <t xml:space="preserve">期間長度 </t>
    </r>
    <r>
      <rPr>
        <sz val="9"/>
        <color rgb="FF595959"/>
        <rFont val="Arial"/>
        <family val="0"/>
        <charset val="1"/>
      </rPr>
      <t xml:space="preserve">×(</t>
    </r>
    <r>
      <rPr>
        <sz val="9"/>
        <color rgb="FF595959"/>
        <rFont val="Noto Sans CJK SC"/>
        <family val="2"/>
      </rPr>
      <t xml:space="preserve">基礎股數＋前期累計瀑布新股＋已強制轉換特別股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＋特別股股利；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實際＋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Noto Sans CJK SC"/>
        <family val="2"/>
      </rPr>
      <t xml:space="preserve">模型（</t>
    </r>
    <r>
      <rPr>
        <sz val="9"/>
        <color rgb="FF595959"/>
        <rFont val="Arial"/>
        <family val="0"/>
        <charset val="1"/>
      </rPr>
      <t xml:space="preserve">v0.1b</t>
    </r>
    <r>
      <rPr>
        <sz val="9"/>
        <color rgb="FF595959"/>
        <rFont val="Noto Sans CJK SC"/>
        <family val="2"/>
      </rPr>
      <t xml:space="preserve">）</t>
    </r>
  </si>
  <si>
    <t xml:space="preserve">⑨ 回購（瀑布：現金不足時先減）</t>
  </si>
  <si>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實際＋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Noto Sans CJK SC"/>
        <family val="2"/>
      </rPr>
      <t xml:space="preserve">瀑布後實際回購；計畫與被迫減少見下方「期前融資瀑布」（</t>
    </r>
    <r>
      <rPr>
        <sz val="9"/>
        <color rgb="FF595959"/>
        <rFont val="Arial"/>
        <family val="0"/>
        <charset val="1"/>
      </rPr>
      <t xml:space="preserve">MAG v0.1b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</si>
  <si>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　電力（</t>
    </r>
    <r>
      <rPr>
        <sz val="10"/>
        <rFont val="Arial"/>
        <family val="0"/>
        <charset val="1"/>
      </rPr>
      <t xml:space="preserve">overlay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</si>
  <si>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＝已連網 </t>
    </r>
    <r>
      <rPr>
        <sz val="9"/>
        <color rgb="FF595959"/>
        <rFont val="Arial"/>
        <family val="0"/>
        <charset val="1"/>
      </rPr>
      <t xml:space="preserve">MW×8760×PUE×</t>
    </r>
    <r>
      <rPr>
        <sz val="9"/>
        <color rgb="FF595959"/>
        <rFont val="Noto Sans CJK SC"/>
        <family val="2"/>
      </rPr>
      <t xml:space="preserve">電價</t>
    </r>
    <r>
      <rPr>
        <sz val="9"/>
        <color rgb="FF595959"/>
        <rFont val="Arial"/>
        <family val="0"/>
        <charset val="1"/>
      </rPr>
      <t xml:space="preserve">÷1e9×</t>
    </r>
    <r>
      <rPr>
        <sz val="9"/>
        <color rgb="FF595959"/>
        <rFont val="Noto Sans CJK SC"/>
        <family val="2"/>
      </rPr>
      <t xml:space="preserve">期間係數。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率已含電費，預設關閉</t>
    </r>
  </si>
  <si>
    <r>
      <rPr>
        <sz val="10"/>
        <rFont val="Noto Sans CJK SC"/>
        <family val="2"/>
      </rPr>
      <t xml:space="preserve">　維護（</t>
    </r>
    <r>
      <rPr>
        <sz val="10"/>
        <rFont val="Arial"/>
        <family val="0"/>
        <charset val="1"/>
      </rPr>
      <t xml:space="preserve">overlay</t>
    </r>
    <r>
      <rPr>
        <sz val="10"/>
        <rFont val="Noto Sans CJK SC"/>
        <family val="2"/>
      </rPr>
      <t xml:space="preserve">）</t>
    </r>
  </si>
  <si>
    <t xml:space="preserve">⑤ 排程還本（季報到期表）</t>
  </si>
  <si>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實際還款 </t>
    </r>
    <r>
      <rPr>
        <sz val="9"/>
        <color rgb="FF595959"/>
        <rFont val="Arial"/>
        <family val="0"/>
        <charset val="1"/>
      </rPr>
      <t xml:space="preserve">5.253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Noto Sans CJK SC"/>
        <family val="2"/>
      </rPr>
      <t xml:space="preserve">到期表 </t>
    </r>
    <r>
      <rPr>
        <sz val="9"/>
        <color rgb="FF595959"/>
        <rFont val="Arial"/>
        <family val="0"/>
        <charset val="1"/>
      </rPr>
      <t xml:space="preserve">2.0</t>
    </r>
  </si>
  <si>
    <r>
      <rPr>
        <sz val="10"/>
        <rFont val="Arial"/>
        <family val="0"/>
        <charset val="1"/>
      </rPr>
      <t xml:space="preserve">⑥ capped call </t>
    </r>
    <r>
      <rPr>
        <sz val="10"/>
        <rFont val="Noto Sans CJK SC"/>
        <family val="2"/>
      </rPr>
      <t xml:space="preserve">支出（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實際）</t>
    </r>
  </si>
  <si>
    <r>
      <rPr>
        <sz val="9"/>
        <color rgb="FF595959"/>
        <rFont val="Noto Sans CJK SC"/>
        <family val="2"/>
      </rPr>
      <t xml:space="preserve">可轉債配套 </t>
    </r>
    <r>
      <rPr>
        <sz val="9"/>
        <color rgb="FF595959"/>
        <rFont val="Arial"/>
        <family val="0"/>
        <charset val="1"/>
      </rPr>
      <t xml:space="preserve">capped call </t>
    </r>
    <r>
      <rPr>
        <sz val="9"/>
        <color rgb="FF595959"/>
        <rFont val="Noto Sans CJK SC"/>
        <family val="2"/>
      </rPr>
      <t xml:space="preserve">現金支出（未見揭露，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</si>
  <si>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⑦ 現金稅（</t>
    </r>
    <r>
      <rPr>
        <sz val="10"/>
        <rFont val="Arial"/>
        <family val="0"/>
        <charset val="1"/>
      </rPr>
      <t xml:space="preserve">2H </t>
    </r>
    <r>
      <rPr>
        <sz val="10"/>
        <rFont val="Noto Sans CJK SC"/>
        <family val="2"/>
      </rPr>
      <t xml:space="preserve">起）</t>
    </r>
  </si>
  <si>
    <r>
      <rPr>
        <sz val="9"/>
        <color rgb="FF595959"/>
        <rFont val="Noto Sans CJK SC"/>
        <family val="2"/>
      </rPr>
      <t xml:space="preserve">＝稅率 </t>
    </r>
    <r>
      <rPr>
        <sz val="9"/>
        <color rgb="FF595959"/>
        <rFont val="Arial"/>
        <family val="0"/>
        <charset val="1"/>
      </rPr>
      <t xml:space="preserve">× MAX(0, </t>
    </r>
    <r>
      <rPr>
        <sz val="9"/>
        <color rgb="FF595959"/>
        <rFont val="Noto Sans CJK SC"/>
        <family val="2"/>
      </rPr>
      <t xml:space="preserve">損益 </t>
    </r>
    <r>
      <rPr>
        <sz val="9"/>
        <color rgb="FF595959"/>
        <rFont val="Arial"/>
        <family val="0"/>
        <charset val="1"/>
      </rPr>
      <t xml:space="preserve">EBITDA − </t>
    </r>
    <r>
      <rPr>
        <sz val="9"/>
        <color rgb="FF595959"/>
        <rFont val="Noto Sans CJK SC"/>
        <family val="2"/>
      </rPr>
      <t xml:space="preserve">車隊 </t>
    </r>
    <r>
      <rPr>
        <sz val="9"/>
        <color rgb="FF595959"/>
        <rFont val="Arial"/>
        <family val="0"/>
        <charset val="1"/>
      </rPr>
      <t xml:space="preserve">D&amp;A − </t>
    </r>
    <r>
      <rPr>
        <sz val="9"/>
        <color rgb="FF595959"/>
        <rFont val="Noto Sans CJK SC"/>
        <family val="2"/>
      </rPr>
      <t xml:space="preserve">存量利息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的稅已含在 </t>
    </r>
    <r>
      <rPr>
        <sz val="9"/>
        <color rgb="FF595959"/>
        <rFont val="Arial"/>
        <family val="0"/>
        <charset val="1"/>
      </rPr>
      <t xml:space="preserve">CFO </t>
    </r>
    <r>
      <rPr>
        <sz val="9"/>
        <color rgb="FF595959"/>
        <rFont val="Noto Sans CJK SC"/>
        <family val="2"/>
      </rPr>
      <t xml:space="preserve">內（</t>
    </r>
    <r>
      <rPr>
        <sz val="9"/>
        <color rgb="FF595959"/>
        <rFont val="Arial"/>
        <family val="0"/>
        <charset val="1"/>
      </rPr>
      <t xml:space="preserve">v0.1b</t>
    </r>
    <r>
      <rPr>
        <sz val="9"/>
        <color rgb="FF595959"/>
        <rFont val="Noto Sans CJK SC"/>
        <family val="2"/>
      </rPr>
      <t xml:space="preserve">）</t>
    </r>
  </si>
  <si>
    <t xml:space="preserve">用途合計（現金口徑）</t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</si>
  <si>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部分採季報現金流量表口徑（現金購置、還款、</t>
    </r>
    <r>
      <rPr>
        <sz val="9"/>
        <color rgb="FF595959"/>
        <rFont val="Arial"/>
        <family val="0"/>
        <charset val="1"/>
      </rPr>
      <t xml:space="preserve">JV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capped call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的利息與租金已含在 </t>
    </r>
    <r>
      <rPr>
        <sz val="9"/>
        <color rgb="FF595959"/>
        <rFont val="Arial"/>
        <family val="0"/>
        <charset val="1"/>
      </rPr>
      <t xml:space="preserve">CFO </t>
    </r>
    <r>
      <rPr>
        <sz val="9"/>
        <color rgb="FF595959"/>
        <rFont val="Noto Sans CJK SC"/>
        <family val="2"/>
      </rPr>
      <t xml:space="preserve">內，不重複列</t>
    </r>
  </si>
  <si>
    <t xml:space="preserve">來源（四層）</t>
  </si>
  <si>
    <r>
      <rPr>
        <sz val="10"/>
        <rFont val="Arial"/>
        <family val="0"/>
        <charset val="1"/>
      </rPr>
      <t xml:space="preserve">Ⓐ0 1H26 </t>
    </r>
    <r>
      <rPr>
        <sz val="10"/>
        <rFont val="Noto Sans CJK SC"/>
        <family val="2"/>
      </rPr>
      <t xml:space="preserve">實際營運現金流（</t>
    </r>
    <r>
      <rPr>
        <sz val="10"/>
        <rFont val="Arial"/>
        <family val="0"/>
        <charset val="1"/>
      </rPr>
      <t xml:space="preserve">CFO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</si>
  <si>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季報實際值，取代模型推算；已含 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的利息、租金與客戶預付</t>
    </r>
  </si>
  <si>
    <r>
      <rPr>
        <sz val="10"/>
        <rFont val="Arial"/>
        <family val="0"/>
        <charset val="1"/>
      </rPr>
      <t xml:space="preserve">Ⓐ RPO </t>
    </r>
    <r>
      <rPr>
        <sz val="10"/>
        <rFont val="Noto Sans CJK SC"/>
        <family val="2"/>
      </rPr>
      <t xml:space="preserve">現金（</t>
    </r>
    <r>
      <rPr>
        <sz val="10"/>
        <rFont val="Arial"/>
        <family val="0"/>
        <charset val="1"/>
      </rPr>
      <t xml:space="preserve">2H </t>
    </r>
    <r>
      <rPr>
        <sz val="10"/>
        <rFont val="Noto Sans CJK SC"/>
        <family val="2"/>
      </rPr>
      <t xml:space="preserve">起）</t>
    </r>
  </si>
  <si>
    <t xml:space="preserve">Ⓑ 新簽約現金</t>
  </si>
  <si>
    <t xml:space="preserve">Ⓒ 非算力服務現金</t>
  </si>
  <si>
    <r>
      <rPr>
        <sz val="10"/>
        <rFont val="Arial"/>
        <family val="0"/>
        <charset val="1"/>
      </rPr>
      <t xml:space="preserve">Ⓒ2 </t>
    </r>
    <r>
      <rPr>
        <sz val="10"/>
        <rFont val="Noto Sans CJK SC"/>
        <family val="2"/>
      </rPr>
      <t xml:space="preserve">其他事業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2H </t>
    </r>
    <r>
      <rPr>
        <sz val="10"/>
        <rFont val="Noto Sans CJK SC"/>
        <family val="2"/>
      </rPr>
      <t xml:space="preserve">起）</t>
    </r>
  </si>
  <si>
    <r>
      <rPr>
        <sz val="9"/>
        <color rgb="FF595959"/>
        <rFont val="Noto Sans CJK SC"/>
        <family val="2"/>
      </rPr>
      <t xml:space="preserve">非核心事業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Noto Sans CJK SC"/>
        <family val="2"/>
      </rPr>
      <t xml:space="preserve">（負值＝燒錢），視為現金（</t>
    </r>
    <r>
      <rPr>
        <sz val="9"/>
        <color rgb="FF595959"/>
        <rFont val="Arial"/>
        <family val="0"/>
        <charset val="1"/>
      </rPr>
      <t xml:space="preserve">v0.1b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</si>
  <si>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Ⓒ3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2H </t>
    </r>
    <r>
      <rPr>
        <sz val="10"/>
        <rFont val="Noto Sans CJK SC"/>
        <family val="2"/>
      </rPr>
      <t xml:space="preserve">起）</t>
    </r>
  </si>
  <si>
    <r>
      <rPr>
        <sz val="9"/>
        <color rgb="FF595959"/>
        <rFont val="Noto Sans CJK SC"/>
        <family val="2"/>
      </rPr>
      <t xml:space="preserve">各線 </t>
    </r>
    <r>
      <rPr>
        <sz val="9"/>
        <color rgb="FF595959"/>
        <rFont val="Arial"/>
        <family val="0"/>
        <charset val="1"/>
      </rPr>
      <t xml:space="preserve">EBITDA − </t>
    </r>
    <r>
      <rPr>
        <sz val="9"/>
        <color rgb="FF595959"/>
        <rFont val="Noto Sans CJK SC"/>
        <family val="2"/>
      </rPr>
      <t xml:space="preserve">其他攤銷（視為等額現金支出），視為現金（現金稅另列於用途；</t>
    </r>
    <r>
      <rPr>
        <sz val="9"/>
        <color rgb="FF595959"/>
        <rFont val="Arial"/>
        <family val="0"/>
        <charset val="1"/>
      </rPr>
      <t xml:space="preserve">MAG v0.1b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</si>
  <si>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Ⓒ4 </t>
    </r>
    <r>
      <rPr>
        <sz val="10"/>
        <rFont val="Noto Sans CJK SC"/>
        <family val="2"/>
      </rPr>
      <t xml:space="preserve">減：延誤罰則（營業費用）</t>
    </r>
  </si>
  <si>
    <r>
      <rPr>
        <sz val="9"/>
        <color rgb="FF595959"/>
        <rFont val="Noto Sans CJK SC"/>
        <family val="2"/>
      </rPr>
      <t xml:space="preserve">建設延誤期間應計費而未計費營收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罰則比例（預設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v0.2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</si>
  <si>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Ⓒ5 </t>
    </r>
    <r>
      <rPr>
        <sz val="10"/>
        <rFont val="Noto Sans CJK SC"/>
        <family val="2"/>
      </rPr>
      <t xml:space="preserve">加回：股權報酬（非現金）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</si>
  <si>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SBC </t>
    </r>
    <r>
      <rPr>
        <sz val="9"/>
        <color rgb="FF595959"/>
        <rFont val="Noto Sans CJK SC"/>
        <family val="2"/>
      </rPr>
      <t xml:space="preserve">占營收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模型期總營收（分部營業利益已扣 </t>
    </r>
    <r>
      <rPr>
        <sz val="9"/>
        <color rgb="FF595959"/>
        <rFont val="Arial"/>
        <family val="0"/>
        <charset val="1"/>
      </rPr>
      <t xml:space="preserve">SBC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已含在實際 </t>
    </r>
    <r>
      <rPr>
        <sz val="9"/>
        <color rgb="FF595959"/>
        <rFont val="Arial"/>
        <family val="0"/>
        <charset val="1"/>
      </rPr>
      <t xml:space="preserve">CFO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MAG v0.1b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</si>
  <si>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Ⓒ6 </t>
    </r>
    <r>
      <rPr>
        <sz val="10"/>
        <rFont val="Noto Sans CJK SC"/>
        <family val="2"/>
      </rPr>
      <t xml:space="preserve">首期營運資金變動（上年同期實際）</t>
    </r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</si>
  <si>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剩餘季度＝上一年度同期實際（流入為正；</t>
    </r>
    <r>
      <rPr>
        <sz val="9"/>
        <color rgb="FF595959"/>
        <rFont val="Arial"/>
        <family val="0"/>
        <charset val="1"/>
      </rPr>
      <t xml:space="preserve">10-Q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10-K </t>
    </r>
    <r>
      <rPr>
        <sz val="9"/>
        <color rgb="FF595959"/>
        <rFont val="Noto Sans CJK SC"/>
        <family val="2"/>
      </rPr>
      <t xml:space="preserve">現金流量表 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Noto Sans CJK SC"/>
        <family val="2"/>
      </rPr>
      <t xml:space="preserve">）；之後年度資金模型不計營運資金（</t>
    </r>
    <r>
      <rPr>
        <sz val="9"/>
        <color rgb="FF595959"/>
        <rFont val="Arial"/>
        <family val="0"/>
        <charset val="1"/>
      </rPr>
      <t xml:space="preserve">MAG v0.1b r2 C14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</si>
  <si>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Ⓓ 客戶預付（</t>
    </r>
    <r>
      <rPr>
        <sz val="10"/>
        <rFont val="Arial"/>
        <family val="0"/>
        <charset val="1"/>
      </rPr>
      <t xml:space="preserve">2H </t>
    </r>
    <r>
      <rPr>
        <sz val="10"/>
        <rFont val="Noto Sans CJK SC"/>
        <family val="2"/>
      </rPr>
      <t xml:space="preserve">起）</t>
    </r>
  </si>
  <si>
    <r>
      <rPr>
        <sz val="10"/>
        <rFont val="Arial"/>
        <family val="0"/>
        <charset val="1"/>
      </rPr>
      <t xml:space="preserve">Ⓓ2 </t>
    </r>
    <r>
      <rPr>
        <sz val="10"/>
        <rFont val="Noto Sans CJK SC"/>
        <family val="2"/>
      </rPr>
      <t xml:space="preserve">減：預付認列（非現金營收）</t>
    </r>
  </si>
  <si>
    <r>
      <rPr>
        <sz val="9"/>
        <color rgb="FF595959"/>
        <rFont val="Noto Sans CJK SC"/>
        <family val="2"/>
      </rPr>
      <t xml:space="preserve">營收中由合約負債轉入的部分已在預付時收現，不重複計入服務現金（</t>
    </r>
    <r>
      <rPr>
        <sz val="9"/>
        <color rgb="FF595959"/>
        <rFont val="Arial"/>
        <family val="0"/>
        <charset val="1"/>
      </rPr>
      <t xml:space="preserve">v0.1b</t>
    </r>
    <r>
      <rPr>
        <sz val="9"/>
        <color rgb="FF595959"/>
        <rFont val="Noto Sans CJK SC"/>
        <family val="2"/>
      </rPr>
      <t xml:space="preserve">）</t>
    </r>
  </si>
  <si>
    <t xml:space="preserve">營運來源合計</t>
  </si>
  <si>
    <r>
      <rPr>
        <b val="true"/>
        <sz val="10"/>
        <rFont val="Noto Sans CJK SC"/>
        <family val="2"/>
      </rPr>
      <t xml:space="preserve">自由現金流（</t>
    </r>
    <r>
      <rPr>
        <b val="true"/>
        <sz val="10"/>
        <rFont val="Arial"/>
        <family val="0"/>
        <charset val="1"/>
      </rPr>
      <t xml:space="preserve">FCF</t>
    </r>
    <r>
      <rPr>
        <b val="true"/>
        <sz val="10"/>
        <rFont val="Noto Sans CJK SC"/>
        <family val="2"/>
      </rPr>
      <t xml:space="preserve">＝營運現金 − 現金資本支出）</t>
    </r>
  </si>
  <si>
    <r>
      <rPr>
        <sz val="9"/>
        <color rgb="FF595959"/>
        <rFont val="Noto Sans CJK SC"/>
        <family val="2"/>
      </rPr>
      <t xml:space="preserve">公司定義近似：營運來源（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含 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CFO</t>
    </r>
    <r>
      <rPr>
        <sz val="9"/>
        <color rgb="FF595959"/>
        <rFont val="Noto Sans CJK SC"/>
        <family val="2"/>
      </rPr>
      <t xml:space="preserve">）− 現金稅 − 利息 − 現金資本支出（不扣融資租賃本金）；一頁摘要「</t>
    </r>
    <r>
      <rPr>
        <sz val="9"/>
        <color rgb="FF595959"/>
        <rFont val="Arial"/>
        <family val="0"/>
        <charset val="1"/>
      </rPr>
      <t xml:space="preserve">FCF </t>
    </r>
    <r>
      <rPr>
        <sz val="9"/>
        <color rgb="FF595959"/>
        <rFont val="Noto Sans CJK SC"/>
        <family val="2"/>
      </rPr>
      <t xml:space="preserve">首次為負的年份」（</t>
    </r>
    <r>
      <rPr>
        <sz val="9"/>
        <color rgb="FF595959"/>
        <rFont val="Arial"/>
        <family val="0"/>
        <charset val="1"/>
      </rPr>
      <t xml:space="preserve">MAG v0.1b</t>
    </r>
    <r>
      <rPr>
        <sz val="9"/>
        <color rgb="FF595959"/>
        <rFont val="Noto Sans CJK SC"/>
        <family val="2"/>
      </rPr>
      <t xml:space="preserve">）</t>
    </r>
  </si>
  <si>
    <t xml:space="preserve">Ⓔ 股權／可轉債（融資）</t>
  </si>
  <si>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股權 </t>
    </r>
    <r>
      <rPr>
        <sz val="9"/>
        <color rgb="FF595959"/>
        <rFont val="Arial"/>
        <family val="0"/>
        <charset val="1"/>
      </rPr>
      <t xml:space="preserve">49.6</t>
    </r>
    <r>
      <rPr>
        <sz val="9"/>
        <color rgb="FF595959"/>
        <rFont val="Noto Sans CJK SC"/>
        <family val="2"/>
      </rPr>
      <t xml:space="preserve">（普通股 </t>
    </r>
    <r>
      <rPr>
        <sz val="9"/>
        <color rgb="FF595959"/>
        <rFont val="Arial"/>
        <family val="0"/>
        <charset val="1"/>
      </rPr>
      <t xml:space="preserve">30.5</t>
    </r>
    <r>
      <rPr>
        <sz val="9"/>
        <color rgb="FF595959"/>
        <rFont val="Noto Sans CJK SC"/>
        <family val="2"/>
      </rPr>
      <t xml:space="preserve">＋強制轉換特別股 </t>
    </r>
    <r>
      <rPr>
        <sz val="9"/>
        <color rgb="FF595959"/>
        <rFont val="Arial"/>
        <family val="0"/>
        <charset val="1"/>
      </rPr>
      <t xml:space="preserve">19.1</t>
    </r>
    <r>
      <rPr>
        <sz val="9"/>
        <color rgb="FF595959"/>
        <rFont val="Noto Sans CJK SC"/>
        <family val="2"/>
      </rPr>
      <t xml:space="preserve">）＋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Noto Sans CJK SC"/>
        <family val="2"/>
      </rPr>
      <t xml:space="preserve">期後股權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（瀑布另計）</t>
    </r>
  </si>
  <si>
    <r>
      <rPr>
        <sz val="10"/>
        <rFont val="Arial"/>
        <family val="0"/>
        <charset val="1"/>
      </rPr>
      <t xml:space="preserve">Ⓕ 1H26 </t>
    </r>
    <r>
      <rPr>
        <sz val="10"/>
        <rFont val="Noto Sans CJK SC"/>
        <family val="2"/>
      </rPr>
      <t xml:space="preserve">實際借款（融資）</t>
    </r>
  </si>
  <si>
    <r>
      <rPr>
        <sz val="9"/>
        <color rgb="FF595959"/>
        <rFont val="Noto Sans CJK SC"/>
        <family val="2"/>
      </rPr>
      <t xml:space="preserve">季報：</t>
    </r>
    <r>
      <rPr>
        <sz val="9"/>
        <color rgb="FF595959"/>
        <rFont val="Arial"/>
        <family val="0"/>
        <charset val="1"/>
      </rPr>
      <t xml:space="preserve">H1 </t>
    </r>
    <r>
      <rPr>
        <sz val="9"/>
        <color rgb="FF595959"/>
        <rFont val="Noto Sans CJK SC"/>
        <family val="2"/>
      </rPr>
      <t xml:space="preserve">借款 </t>
    </r>
    <r>
      <rPr>
        <sz val="9"/>
        <color rgb="FF595959"/>
        <rFont val="Arial"/>
        <family val="0"/>
        <charset val="1"/>
      </rPr>
      <t xml:space="preserve">56.226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2026-03 </t>
    </r>
    <r>
      <rPr>
        <sz val="9"/>
        <color rgb="FF595959"/>
        <rFont val="Noto Sans CJK SC"/>
        <family val="2"/>
      </rPr>
      <t xml:space="preserve">可轉債）</t>
    </r>
  </si>
  <si>
    <t xml:space="preserve">Ⓖ 瀑布：新債（額度＋資產層）</t>
  </si>
  <si>
    <t xml:space="preserve">見下方「期前融資瀑布」</t>
  </si>
  <si>
    <r>
      <rPr>
        <sz val="10"/>
        <rFont val="Arial"/>
        <family val="0"/>
        <charset val="1"/>
      </rPr>
      <t xml:space="preserve">Ⓖ2 </t>
    </r>
    <r>
      <rPr>
        <sz val="10"/>
        <rFont val="Noto Sans CJK SC"/>
        <family val="2"/>
      </rPr>
      <t xml:space="preserve">瀑布：可轉債</t>
    </r>
  </si>
  <si>
    <r>
      <rPr>
        <sz val="9"/>
        <color rgb="FF595959"/>
        <rFont val="Noto Sans CJK SC"/>
        <family val="2"/>
      </rPr>
      <t xml:space="preserve">資產擔保融資用罄後、股權之前；每年不超過可轉債上限（</t>
    </r>
    <r>
      <rPr>
        <sz val="9"/>
        <color rgb="FF595959"/>
        <rFont val="Arial"/>
        <family val="0"/>
        <charset val="1"/>
      </rPr>
      <t xml:space="preserve">v0.1b</t>
    </r>
    <r>
      <rPr>
        <sz val="9"/>
        <color rgb="FF595959"/>
        <rFont val="Noto Sans CJK SC"/>
        <family val="2"/>
      </rPr>
      <t xml:space="preserve">）</t>
    </r>
  </si>
  <si>
    <t xml:space="preserve">Ⓗ 瀑布：股權募資</t>
  </si>
  <si>
    <t xml:space="preserve">債務與可轉債用罄後的殘差；每年不超過股權吸收上限</t>
  </si>
  <si>
    <t xml:space="preserve">Ⓘ 瀑布：高息債（股權上限溢出）</t>
  </si>
  <si>
    <r>
      <rPr>
        <sz val="9"/>
        <color rgb="FF595959"/>
        <rFont val="Noto Sans CJK SC"/>
        <family val="2"/>
      </rPr>
      <t xml:space="preserve">股權超過每年上限的部分；不受 </t>
    </r>
    <r>
      <rPr>
        <sz val="9"/>
        <color rgb="FF595959"/>
        <rFont val="Arial"/>
        <family val="0"/>
        <charset val="1"/>
      </rPr>
      <t xml:space="preserve">backlog </t>
    </r>
    <r>
      <rPr>
        <sz val="9"/>
        <color rgb="FF595959"/>
        <rFont val="Noto Sans CJK SC"/>
        <family val="2"/>
      </rPr>
      <t xml:space="preserve">上限約束</t>
    </r>
  </si>
  <si>
    <t xml:space="preserve">總來源（含融資）</t>
  </si>
  <si>
    <t xml:space="preserve">缺口與現金橋</t>
  </si>
  <si>
    <r>
      <rPr>
        <sz val="10"/>
        <rFont val="Noto Sans CJK SC"/>
        <family val="2"/>
      </rPr>
      <t xml:space="preserve">　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其他／受限現金調節</t>
    </r>
  </si>
  <si>
    <r>
      <rPr>
        <sz val="9"/>
        <color rgb="FF595959"/>
        <rFont val="Noto Sans CJK SC"/>
        <family val="2"/>
      </rPr>
      <t xml:space="preserve">使 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實際流量接回 </t>
    </r>
    <r>
      <rPr>
        <sz val="9"/>
        <color rgb="FF595959"/>
        <rFont val="Arial"/>
        <family val="0"/>
        <charset val="1"/>
      </rPr>
      <t xml:space="preserve">6/30 </t>
    </r>
    <r>
      <rPr>
        <sz val="9"/>
        <color rgb="FF595959"/>
        <rFont val="Noto Sans CJK SC"/>
        <family val="2"/>
      </rPr>
      <t xml:space="preserve">現金餘額；差額來自受限現金重分類與未逐項列出的項目</t>
    </r>
  </si>
  <si>
    <t xml:space="preserve">營運缺口（不含融資、不含還本）</t>
  </si>
  <si>
    <r>
      <rPr>
        <sz val="9"/>
        <color rgb="FF595959"/>
        <rFont val="Noto Sans CJK SC"/>
        <family val="2"/>
      </rPr>
      <t xml:space="preserve">本業能不能自給：營運來源 −（用途 − 排程還本 − </t>
    </r>
    <r>
      <rPr>
        <sz val="9"/>
        <color rgb="FF595959"/>
        <rFont val="Arial"/>
        <family val="0"/>
        <charset val="1"/>
      </rPr>
      <t xml:space="preserve">capped call</t>
    </r>
    <r>
      <rPr>
        <sz val="9"/>
        <color rgb="FF595959"/>
        <rFont val="Noto Sans CJK SC"/>
        <family val="2"/>
      </rPr>
      <t xml:space="preserve">）</t>
    </r>
  </si>
  <si>
    <t xml:space="preserve">期間缺口（含融資）</t>
  </si>
  <si>
    <t xml:space="preserve">期末累積現金</t>
  </si>
  <si>
    <t xml:space="preserve">期前融資：每期末不低於最低現金</t>
  </si>
  <si>
    <r>
      <rPr>
        <b val="true"/>
        <sz val="10"/>
        <rFont val="Noto Sans CJK SC"/>
        <family val="2"/>
      </rPr>
      <t xml:space="preserve">租賃負債（期末剩餘租金現值；調整後槓桿用，</t>
    </r>
    <r>
      <rPr>
        <b val="true"/>
        <sz val="10"/>
        <rFont val="Arial"/>
        <family val="0"/>
        <charset val="1"/>
      </rPr>
      <t xml:space="preserve">v0.2</t>
    </r>
    <r>
      <rPr>
        <b val="true"/>
        <sz val="10"/>
        <rFont val="Noto Sans CJK SC"/>
        <family val="2"/>
      </rPr>
      <t xml:space="preserve">）</t>
    </r>
  </si>
  <si>
    <t xml:space="preserve">租賃折現率（加權平均）</t>
  </si>
  <si>
    <r>
      <rPr>
        <sz val="9"/>
        <color rgb="FF595959"/>
        <rFont val="Arial"/>
        <family val="0"/>
        <charset val="1"/>
      </rPr>
      <t xml:space="preserve">10-K FY2026 </t>
    </r>
    <r>
      <rPr>
        <sz val="9"/>
        <color rgb="FF595959"/>
        <rFont val="Noto Sans CJK SC"/>
        <family val="2"/>
      </rPr>
      <t xml:space="preserve">營業／融資租賃加權平均折現率（事實總帳 </t>
    </r>
    <r>
      <rPr>
        <sz val="9"/>
        <color rgb="FF595959"/>
        <rFont val="Arial"/>
        <family val="0"/>
        <charset val="1"/>
      </rPr>
      <t xml:space="preserve">lease.discRate.fy26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company.json → leases.liability.discRate</t>
    </r>
  </si>
  <si>
    <t xml:space="preserve">在帳租約：模型期後尾端年數</t>
  </si>
  <si>
    <r>
      <rPr>
        <sz val="9"/>
        <color rgb="FF595959"/>
        <rFont val="Noto Sans CJK SC"/>
        <family val="2"/>
      </rPr>
      <t xml:space="preserve">到期表 </t>
    </r>
    <r>
      <rPr>
        <sz val="9"/>
        <color rgb="FF595959"/>
        <rFont val="Arial"/>
        <family val="0"/>
        <charset val="1"/>
      </rPr>
      <t xml:space="preserve">2030 </t>
    </r>
    <r>
      <rPr>
        <sz val="9"/>
        <color rgb="FF595959"/>
        <rFont val="Noto Sans CJK SC"/>
        <family val="2"/>
      </rPr>
      <t xml:space="preserve">後的未折現付款平均分攤年數（</t>
    </r>
    <r>
      <rPr>
        <sz val="9"/>
        <color rgb="FF595959"/>
        <rFont val="Arial"/>
        <family val="0"/>
        <charset val="1"/>
      </rPr>
      <t xml:space="preserve">10-K </t>
    </r>
    <r>
      <rPr>
        <sz val="9"/>
        <color rgb="FF595959"/>
        <rFont val="Noto Sans CJK SC"/>
        <family val="2"/>
      </rPr>
      <t xml:space="preserve">營業租賃加權平均剩餘期限 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Noto Sans CJK SC"/>
        <family val="2"/>
      </rPr>
      <t xml:space="preserve">年）</t>
    </r>
    <r>
      <rPr>
        <sz val="9"/>
        <color rgb="FF595959"/>
        <rFont val="Arial"/>
        <family val="0"/>
        <charset val="1"/>
      </rPr>
      <t xml:space="preserve">[Derived]</t>
    </r>
  </si>
  <si>
    <t xml:space="preserve">在帳租賃負債（期末）</t>
  </si>
  <si>
    <r>
      <rPr>
        <sz val="9"/>
        <color rgb="FF595959"/>
        <rFont val="Noto Sans CJK SC"/>
        <family val="2"/>
      </rPr>
      <t xml:space="preserve">＝期末之後各期到期表現金（期中付款）＋模型期後尾端 </t>
    </r>
    <r>
      <rPr>
        <sz val="9"/>
        <color rgb="FF595959"/>
        <rFont val="Arial"/>
        <family val="0"/>
        <charset val="1"/>
      </rPr>
      <t xml:space="preserve">9.707</t>
    </r>
    <r>
      <rPr>
        <sz val="9"/>
        <color rgb="FF595959"/>
        <rFont val="Noto Sans CJK SC"/>
        <family val="2"/>
      </rPr>
      <t xml:space="preserve">（平均分攤、年中付款）的現值</t>
    </r>
  </si>
  <si>
    <t xml:space="preserve">未起租租約已起租部分的租賃負債（期末）</t>
  </si>
  <si>
    <r>
      <rPr>
        <sz val="9"/>
        <color rgb="FF595959"/>
        <rFont val="Noto Sans CJK SC"/>
        <family val="2"/>
      </rPr>
      <t xml:space="preserve">每季起租 總額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季數、每筆季末付租：已起租各筆剩餘租金現值合計（延誤連動部分起算季延後 延誤月數 </t>
    </r>
    <r>
      <rPr>
        <sz val="9"/>
        <color rgb="FF595959"/>
        <rFont val="Arial"/>
        <family val="0"/>
        <charset val="1"/>
      </rPr>
      <t xml:space="preserve">÷ 3</t>
    </r>
    <r>
      <rPr>
        <sz val="9"/>
        <color rgb="FF595959"/>
        <rFont val="Noto Sans CJK SC"/>
        <family val="2"/>
      </rPr>
      <t xml:space="preserve">）</t>
    </r>
  </si>
  <si>
    <t xml:space="preserve">租賃負債合計（期末）</t>
  </si>
  <si>
    <t xml:space="preserve">期前融資瀑布（缺口在需要前一期先融好：額度 → 資產層新債 → 股權）</t>
  </si>
  <si>
    <t xml:space="preserve">用途（不含新債利息）</t>
  </si>
  <si>
    <t xml:space="preserve">避免循環參照：直接由各支出列加總</t>
  </si>
  <si>
    <t xml:space="preserve">新債期初餘額</t>
  </si>
  <si>
    <r>
      <rPr>
        <sz val="10"/>
        <rFont val="Noto Sans CJK SC"/>
        <family val="2"/>
      </rPr>
      <t xml:space="preserve">新債利率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期間長度</t>
    </r>
  </si>
  <si>
    <t xml:space="preserve">高息債期初餘額</t>
  </si>
  <si>
    <t xml:space="preserve">可轉債（瀑布）期初餘額</t>
  </si>
  <si>
    <r>
      <rPr>
        <sz val="10"/>
        <rFont val="Noto Sans CJK SC"/>
        <family val="2"/>
      </rPr>
      <t xml:space="preserve">可轉債票息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期間長度</t>
    </r>
  </si>
  <si>
    <r>
      <rPr>
        <sz val="10"/>
        <rFont val="Noto Sans CJK SC"/>
        <family val="2"/>
      </rPr>
      <t xml:space="preserve">高息債利率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期間長度</t>
    </r>
  </si>
  <si>
    <t xml:space="preserve">融資前現金（扣既有新債利息）</t>
  </si>
  <si>
    <t xml:space="preserve">融資需求（補足至最低現金）</t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</si>
  <si>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MAX(0, </t>
    </r>
    <r>
      <rPr>
        <sz val="9"/>
        <color rgb="FF595959"/>
        <rFont val="Noto Sans CJK SC"/>
        <family val="2"/>
      </rPr>
      <t xml:space="preserve">最低現金 −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融資前現金 − 實際回購</t>
    </r>
    <r>
      <rPr>
        <sz val="9"/>
        <color rgb="FF595959"/>
        <rFont val="Arial"/>
        <family val="0"/>
        <charset val="1"/>
      </rPr>
      <t xml:space="preserve">))</t>
    </r>
  </si>
  <si>
    <r>
      <rPr>
        <sz val="10"/>
        <rFont val="Noto Sans CJK SC"/>
        <family val="2"/>
      </rPr>
      <t xml:space="preserve">回購計畫（基準年額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期間長度）</t>
    </r>
  </si>
  <si>
    <r>
      <rPr>
        <sz val="9"/>
        <color rgb="FF595959"/>
        <rFont val="Arial"/>
        <family val="0"/>
        <charset val="1"/>
      </rPr>
      <t xml:space="preserve">MAG v0.1b</t>
    </r>
    <r>
      <rPr>
        <sz val="9"/>
        <color rgb="FF595959"/>
        <rFont val="Noto Sans CJK SC"/>
        <family val="2"/>
      </rPr>
      <t xml:space="preserve">：瀑布第二步（現金之後、新債之前）</t>
    </r>
  </si>
  <si>
    <t xml:space="preserve">回購（實際，減少後）</t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</si>
  <si>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MIN(</t>
    </r>
    <r>
      <rPr>
        <sz val="9"/>
        <color rgb="FF595959"/>
        <rFont val="Noto Sans CJK SC"/>
        <family val="2"/>
      </rPr>
      <t xml:space="preserve">計畫</t>
    </r>
    <r>
      <rPr>
        <sz val="9"/>
        <color rgb="FF595959"/>
        <rFont val="Arial"/>
        <family val="0"/>
        <charset val="1"/>
      </rPr>
      <t xml:space="preserve">, MAX(</t>
    </r>
    <r>
      <rPr>
        <sz val="9"/>
        <color rgb="FF595959"/>
        <rFont val="Noto Sans CJK SC"/>
        <family val="2"/>
      </rPr>
      <t xml:space="preserve">下限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Noto Sans CJK SC"/>
        <family val="2"/>
      </rPr>
      <t xml:space="preserve">融資前現金 − 最低現金</t>
    </r>
    <r>
      <rPr>
        <sz val="9"/>
        <color rgb="FF595959"/>
        <rFont val="Arial"/>
        <family val="0"/>
        <charset val="1"/>
      </rPr>
      <t xml:space="preserve">))</t>
    </r>
  </si>
  <si>
    <t xml:space="preserve">回購被迫減少</t>
  </si>
  <si>
    <t xml:space="preserve">＝計畫 − 實際（一頁摘要「回購被迫減少的年份與金額」）</t>
  </si>
  <si>
    <t xml:space="preserve">回購股數</t>
  </si>
  <si>
    <r>
      <rPr>
        <sz val="9"/>
        <color rgb="FF595959"/>
        <rFont val="Noto Sans CJK SC"/>
        <family val="2"/>
      </rPr>
      <t xml:space="preserve">＝實際回購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發行參考價（現價）</t>
    </r>
  </si>
  <si>
    <r>
      <rPr>
        <sz val="10"/>
        <rFont val="Noto Sans CJK SC"/>
        <family val="2"/>
      </rPr>
      <t xml:space="preserve">期初 </t>
    </r>
    <r>
      <rPr>
        <sz val="10"/>
        <rFont val="Arial"/>
        <family val="0"/>
        <charset val="1"/>
      </rPr>
      <t xml:space="preserve">backlog</t>
    </r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</si>
  <si>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期初＝</t>
    </r>
    <r>
      <rPr>
        <sz val="9"/>
        <color rgb="FF595959"/>
        <rFont val="Arial"/>
        <family val="0"/>
        <charset val="1"/>
      </rPr>
      <t xml:space="preserve">6/30 RPO 0.0</t>
    </r>
    <r>
      <rPr>
        <sz val="9"/>
        <color rgb="FF595959"/>
        <rFont val="Noto Sans CJK SC"/>
        <family val="2"/>
      </rPr>
      <t xml:space="preserve">＋期後新增 </t>
    </r>
    <r>
      <rPr>
        <sz val="9"/>
        <color rgb="FF595959"/>
        <rFont val="Arial"/>
        <family val="0"/>
        <charset val="1"/>
      </rPr>
      <t xml:space="preserve">0.0</t>
    </r>
  </si>
  <si>
    <r>
      <rPr>
        <sz val="10"/>
        <rFont val="Noto Sans CJK SC"/>
        <family val="2"/>
      </rPr>
      <t xml:space="preserve">　新簽合約增量（年化增量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年期）</t>
    </r>
  </si>
  <si>
    <r>
      <rPr>
        <sz val="10"/>
        <rFont val="Noto Sans CJK SC"/>
        <family val="2"/>
      </rPr>
      <t xml:space="preserve">期末 </t>
    </r>
    <r>
      <rPr>
        <sz val="10"/>
        <rFont val="Arial"/>
        <family val="0"/>
        <charset val="1"/>
      </rPr>
      <t xml:space="preserve">backlog</t>
    </r>
  </si>
  <si>
    <t xml:space="preserve">＝期初 − 排程認列 − 新簽約認列 ＋ 新簽合約增量</t>
  </si>
  <si>
    <t xml:space="preserve">既有債務＋期後可轉債（期末）</t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</si>
  <si>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依到期表遞減的既有本金，若關閉攤還則維持 </t>
    </r>
    <r>
      <rPr>
        <sz val="9"/>
        <color rgb="FF595959"/>
        <rFont val="Arial"/>
        <family val="0"/>
        <charset val="1"/>
      </rPr>
      <t xml:space="preserve">101.085)</t>
    </r>
    <r>
      <rPr>
        <sz val="9"/>
        <color rgb="FF595959"/>
        <rFont val="Noto Sans CJK SC"/>
        <family val="2"/>
      </rPr>
      <t xml:space="preserve">＋期後新發可轉債 </t>
    </r>
    <r>
      <rPr>
        <sz val="9"/>
        <color rgb="FF595959"/>
        <rFont val="Arial"/>
        <family val="0"/>
        <charset val="1"/>
      </rPr>
      <t xml:space="preserve">0</t>
    </r>
  </si>
  <si>
    <r>
      <rPr>
        <sz val="10"/>
        <rFont val="Noto Sans CJK SC"/>
        <family val="2"/>
      </rPr>
      <t xml:space="preserve">債務上限（投資級：倍數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當期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；或債務／</t>
    </r>
    <r>
      <rPr>
        <sz val="10"/>
        <rFont val="Arial"/>
        <family val="0"/>
        <charset val="1"/>
      </rPr>
      <t xml:space="preserve">backlog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</si>
  <si>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leaseAdj</t>
    </r>
    <r>
      <rPr>
        <sz val="9"/>
        <color rgb="FF595959"/>
        <rFont val="Noto Sans CJK SC"/>
        <family val="2"/>
      </rPr>
      <t xml:space="preserve">：總債務 ≤ 倍數 </t>
    </r>
    <r>
      <rPr>
        <sz val="9"/>
        <color rgb="FF595959"/>
        <rFont val="Arial"/>
        <family val="0"/>
        <charset val="1"/>
      </rPr>
      <t xml:space="preserve">×(</t>
    </r>
    <r>
      <rPr>
        <sz val="9"/>
        <color rgb="FF595959"/>
        <rFont val="Noto Sans CJK SC"/>
        <family val="2"/>
      </rPr>
      <t xml:space="preserve">損益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Noto Sans CJK SC"/>
        <family val="2"/>
      </rPr>
      <t xml:space="preserve">＋租金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（年化）− 租賃負債（</t>
    </r>
    <r>
      <rPr>
        <sz val="9"/>
        <color rgb="FF595959"/>
        <rFont val="Arial"/>
        <family val="0"/>
        <charset val="1"/>
      </rPr>
      <t xml:space="preserve">v0.2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Noto Sans CJK SC"/>
        <family val="2"/>
      </rPr>
      <t xml:space="preserve">：總債務 ≤ 倍數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損益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Noto Sans CJK SC"/>
        <family val="2"/>
      </rPr>
      <t xml:space="preserve">（年化）；</t>
    </r>
    <r>
      <rPr>
        <sz val="9"/>
        <color rgb="FF595959"/>
        <rFont val="Arial"/>
        <family val="0"/>
        <charset val="1"/>
      </rPr>
      <t xml:space="preserve">backlog</t>
    </r>
    <r>
      <rPr>
        <sz val="9"/>
        <color rgb="FF595959"/>
        <rFont val="Noto Sans CJK SC"/>
        <family val="2"/>
      </rPr>
      <t xml:space="preserve">：總債務 ≤ 倍數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期末 </t>
    </r>
    <r>
      <rPr>
        <sz val="9"/>
        <color rgb="FF595959"/>
        <rFont val="Arial"/>
        <family val="0"/>
        <charset val="1"/>
      </rPr>
      <t xml:space="preserve">backlog</t>
    </r>
    <r>
      <rPr>
        <sz val="9"/>
        <color rgb="FF595959"/>
        <rFont val="Noto Sans CJK SC"/>
        <family val="2"/>
      </rPr>
      <t xml:space="preserve">（模板）</t>
    </r>
  </si>
  <si>
    <t xml:space="preserve">未動用額度（期初）</t>
  </si>
  <si>
    <t xml:space="preserve">新債可借上限</t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</si>
  <si>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MAX(</t>
    </r>
    <r>
      <rPr>
        <sz val="9"/>
        <color rgb="FF595959"/>
        <rFont val="Noto Sans CJK SC"/>
        <family val="2"/>
      </rPr>
      <t xml:space="preserve">上限 − 既有債務 − 期初新債 − 期初瀑布可轉債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Noto Sans CJK SC"/>
        <family val="2"/>
      </rPr>
      <t xml:space="preserve">未動用額度</t>
    </r>
    <r>
      <rPr>
        <sz val="9"/>
        <color rgb="FF595959"/>
        <rFont val="Arial"/>
        <family val="0"/>
        <charset val="1"/>
      </rPr>
      <t xml:space="preserve">)</t>
    </r>
  </si>
  <si>
    <t xml:space="preserve">新債舉借</t>
  </si>
  <si>
    <r>
      <rPr>
        <sz val="9"/>
        <color rgb="FF595959"/>
        <rFont val="Noto Sans CJK SC"/>
        <family val="2"/>
      </rPr>
      <t xml:space="preserve">期前融資：期初到位，當期全額計息，所以需求要除以 </t>
    </r>
    <r>
      <rPr>
        <sz val="9"/>
        <color rgb="FF595959"/>
        <rFont val="Arial"/>
        <family val="0"/>
        <charset val="1"/>
      </rPr>
      <t xml:space="preserve">(1−</t>
    </r>
    <r>
      <rPr>
        <sz val="9"/>
        <color rgb="FF595959"/>
        <rFont val="Noto Sans CJK SC"/>
        <family val="2"/>
      </rPr>
      <t xml:space="preserve">利率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期間</t>
    </r>
    <r>
      <rPr>
        <sz val="9"/>
        <color rgb="FF595959"/>
        <rFont val="Arial"/>
        <family val="0"/>
        <charset val="1"/>
      </rPr>
      <t xml:space="preserve">)</t>
    </r>
  </si>
  <si>
    <t xml:space="preserve">債務後剩餘需求</t>
  </si>
  <si>
    <t xml:space="preserve">可轉債可發行上限</t>
  </si>
  <si>
    <r>
      <rPr>
        <sz val="9"/>
        <color rgb="FF595959"/>
        <rFont val="Noto Sans CJK SC"/>
        <family val="2"/>
      </rPr>
      <t xml:space="preserve">＝每年上限（隨情境）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期間長度</t>
    </r>
  </si>
  <si>
    <t xml:space="preserve">可轉債發行</t>
  </si>
  <si>
    <t xml:space="preserve">期前融資：期初到位、當期全額計息</t>
  </si>
  <si>
    <t xml:space="preserve">可轉債後剩餘需求</t>
  </si>
  <si>
    <t xml:space="preserve">每年股權吸收上限</t>
  </si>
  <si>
    <r>
      <rPr>
        <sz val="9"/>
        <color rgb="FF595959"/>
        <rFont val="Noto Sans CJK SC"/>
        <family val="2"/>
      </rPr>
      <t xml:space="preserve">＝現市值（發行參考價 </t>
    </r>
    <r>
      <rPr>
        <sz val="9"/>
        <color rgb="FF595959"/>
        <rFont val="Arial"/>
        <family val="0"/>
        <charset val="1"/>
      </rPr>
      <t xml:space="preserve">× 12.23bn </t>
    </r>
    <r>
      <rPr>
        <sz val="9"/>
        <color rgb="FF595959"/>
        <rFont val="Noto Sans CJK SC"/>
        <family val="2"/>
      </rPr>
      <t xml:space="preserve">股）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上限 </t>
    </r>
    <r>
      <rPr>
        <sz val="9"/>
        <color rgb="FF595959"/>
        <rFont val="Arial"/>
        <family val="0"/>
        <charset val="1"/>
      </rPr>
      <t xml:space="preserve">% × </t>
    </r>
    <r>
      <rPr>
        <sz val="9"/>
        <color rgb="FF595959"/>
        <rFont val="Noto Sans CJK SC"/>
        <family val="2"/>
      </rPr>
      <t xml:space="preserve">期間長度</t>
    </r>
  </si>
  <si>
    <t xml:space="preserve">股權募資</t>
  </si>
  <si>
    <t xml:space="preserve">高息債舉借（溢出）</t>
  </si>
  <si>
    <t xml:space="preserve">新債＋高息債利息（期初餘額＋本期舉借）</t>
  </si>
  <si>
    <r>
      <rPr>
        <sz val="9"/>
        <color rgb="FF595959"/>
        <rFont val="Noto Sans CJK SC"/>
        <family val="2"/>
      </rPr>
      <t xml:space="preserve">含瀑布可轉債票息（</t>
    </r>
    <r>
      <rPr>
        <sz val="9"/>
        <color rgb="FF595959"/>
        <rFont val="Arial"/>
        <family val="0"/>
        <charset val="1"/>
      </rPr>
      <t xml:space="preserve">v0.1b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</si>
  <si>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發行價（現價</t>
    </r>
    <r>
      <rPr>
        <sz val="10"/>
        <rFont val="Arial"/>
        <family val="0"/>
        <charset val="1"/>
      </rPr>
      <t xml:space="preserve">×(1−</t>
    </r>
    <r>
      <rPr>
        <sz val="10"/>
        <rFont val="Noto Sans CJK SC"/>
        <family val="2"/>
      </rPr>
      <t xml:space="preserve">折價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）</t>
    </r>
  </si>
  <si>
    <t xml:space="preserve">新發行股數</t>
  </si>
  <si>
    <t xml:space="preserve">累計新股</t>
  </si>
  <si>
    <t xml:space="preserve">新債期末餘額</t>
  </si>
  <si>
    <t xml:space="preserve">未動用額度（期末）</t>
  </si>
  <si>
    <t xml:space="preserve">高息債期末餘額</t>
  </si>
  <si>
    <t xml:space="preserve">可轉債（瀑布）期末餘額</t>
  </si>
  <si>
    <t xml:space="preserve">期末總債務（既有＋可轉債＋新債＋高息債）</t>
  </si>
  <si>
    <t xml:space="preserve">融資前累積現金</t>
  </si>
  <si>
    <t xml:space="preserve">若不做任何新融資的累積現金；負值＝外部資金需求</t>
  </si>
  <si>
    <t xml:space="preserve">四層橋（驗算）</t>
  </si>
  <si>
    <r>
      <rPr>
        <sz val="10"/>
        <rFont val="Noto Sans CJK SC"/>
        <family val="2"/>
      </rPr>
      <t xml:space="preserve">期初現金（</t>
    </r>
    <r>
      <rPr>
        <sz val="10"/>
        <rFont val="Arial"/>
        <family val="0"/>
        <charset val="1"/>
      </rPr>
      <t xml:space="preserve">2025-12-31</t>
    </r>
    <r>
      <rPr>
        <sz val="10"/>
        <rFont val="Noto Sans CJK SC"/>
        <family val="2"/>
      </rPr>
      <t xml:space="preserve">）</t>
    </r>
  </si>
  <si>
    <t xml:space="preserve">＋ 營運缺口合計</t>
  </si>
  <si>
    <t xml:space="preserve">＋ 股權／可轉債合計</t>
  </si>
  <si>
    <r>
      <rPr>
        <sz val="10"/>
        <rFont val="Noto Sans CJK SC"/>
        <family val="2"/>
      </rPr>
      <t xml:space="preserve">＋ 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實際借款</t>
    </r>
  </si>
  <si>
    <r>
      <rPr>
        <sz val="10"/>
        <rFont val="Arial"/>
        <family val="0"/>
        <charset val="1"/>
      </rPr>
      <t xml:space="preserve">− capped call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1H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</si>
  <si>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＋ 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其他／受限現金調節</t>
    </r>
  </si>
  <si>
    <t xml:space="preserve">＋ 瀑布新債＋可轉債＋股權＋高息債合計</t>
  </si>
  <si>
    <t xml:space="preserve">− 排程還本合計</t>
  </si>
  <si>
    <t xml:space="preserve">＝ 期末現金（橋算）</t>
  </si>
  <si>
    <t xml:space="preserve">對照：期末累積現金（表算）</t>
  </si>
  <si>
    <r>
      <rPr>
        <b val="true"/>
        <sz val="10"/>
        <rFont val="Noto Sans CJK SC"/>
        <family val="2"/>
      </rPr>
      <t xml:space="preserve">差異（應為 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</si>
  <si>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若不為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，表示公式鏈被改壞</t>
    </r>
  </si>
  <si>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全年備忘（對照公司指引）</t>
    </r>
  </si>
  <si>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總營收（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實際＋</t>
    </r>
    <r>
      <rPr>
        <sz val="10"/>
        <rFont val="Arial"/>
        <family val="0"/>
        <charset val="1"/>
      </rPr>
      <t xml:space="preserve">2H </t>
    </r>
    <r>
      <rPr>
        <sz val="10"/>
        <rFont val="Noto Sans CJK SC"/>
        <family val="2"/>
      </rPr>
      <t xml:space="preserve">模型）</t>
    </r>
  </si>
  <si>
    <t xml:space="preserve">公司指引 未給全年營收指引</t>
  </si>
  <si>
    <r>
      <rPr>
        <sz val="10"/>
        <rFont val="Arial"/>
        <family val="0"/>
        <charset val="1"/>
      </rPr>
      <t xml:space="preserve">2026 CapEx </t>
    </r>
    <r>
      <rPr>
        <sz val="10"/>
        <rFont val="Noto Sans CJK SC"/>
        <family val="2"/>
      </rPr>
      <t xml:space="preserve">認列（</t>
    </r>
    <r>
      <rPr>
        <sz val="10"/>
        <rFont val="Arial"/>
        <family val="0"/>
        <charset val="1"/>
      </rPr>
      <t xml:space="preserve">1H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2H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</si>
  <si>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公司指引 </t>
    </r>
    <r>
      <rPr>
        <sz val="9"/>
        <color rgb="FF595959"/>
        <rFont val="Arial"/>
        <family val="0"/>
        <charset val="1"/>
      </rPr>
      <t xml:space="preserve">195–205</t>
    </r>
    <r>
      <rPr>
        <sz val="9"/>
        <color rgb="FF595959"/>
        <rFont val="Noto Sans CJK SC"/>
        <family val="2"/>
      </rPr>
      <t xml:space="preserve">（法說會（</t>
    </r>
    <r>
      <rPr>
        <sz val="9"/>
        <color rgb="FF595959"/>
        <rFont val="Arial"/>
        <family val="0"/>
        <charset val="1"/>
      </rPr>
      <t xml:space="preserve">2026-07-22</t>
    </r>
    <r>
      <rPr>
        <sz val="9"/>
        <color rgb="FF595959"/>
        <rFont val="Noto Sans CJK SC"/>
        <family val="2"/>
      </rPr>
      <t xml:space="preserve">，二手逐字稿 </t>
    </r>
    <r>
      <rPr>
        <sz val="9"/>
        <color rgb="FF595959"/>
        <rFont val="Arial"/>
        <family val="0"/>
        <charset val="1"/>
      </rPr>
      <t xml:space="preserve">Benzinga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W.Media </t>
    </r>
    <r>
      <rPr>
        <sz val="9"/>
        <color rgb="FF595959"/>
        <rFont val="Noto Sans CJK SC"/>
        <family val="2"/>
      </rPr>
      <t xml:space="preserve">同數字）；新聞稿與 </t>
    </r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Noto Sans CJK SC"/>
        <family val="2"/>
      </rPr>
      <t xml:space="preserve">未列金額 </t>
    </r>
    <r>
      <rPr>
        <sz val="9"/>
        <color rgb="FF595959"/>
        <rFont val="Arial"/>
        <family val="0"/>
        <charset val="1"/>
      </rPr>
      <t xml:space="preserve">[Interested-party]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</si>
  <si>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利息（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實際＋</t>
    </r>
    <r>
      <rPr>
        <sz val="10"/>
        <rFont val="Arial"/>
        <family val="0"/>
        <charset val="1"/>
      </rPr>
      <t xml:space="preserve">2H </t>
    </r>
    <r>
      <rPr>
        <sz val="10"/>
        <rFont val="Noto Sans CJK SC"/>
        <family val="2"/>
      </rPr>
      <t xml:space="preserve">模型）</t>
    </r>
  </si>
  <si>
    <t xml:space="preserve">公司未提供季度利息指引</t>
  </si>
  <si>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租賃現金（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實際＋</t>
    </r>
    <r>
      <rPr>
        <sz val="10"/>
        <rFont val="Arial"/>
        <family val="0"/>
        <charset val="1"/>
      </rPr>
      <t xml:space="preserve">2H </t>
    </r>
    <r>
      <rPr>
        <sz val="10"/>
        <rFont val="Noto Sans CJK SC"/>
        <family val="2"/>
      </rPr>
      <t xml:space="preserve">模型）</t>
    </r>
  </si>
  <si>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實際支付 </t>
    </r>
    <r>
      <rPr>
        <sz val="9"/>
        <color rgb="FF595959"/>
        <rFont val="Arial"/>
        <family val="0"/>
        <charset val="1"/>
      </rPr>
      <t xml:space="preserve">2.692</t>
    </r>
  </si>
  <si>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排程還本（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實際＋</t>
    </r>
    <r>
      <rPr>
        <sz val="10"/>
        <rFont val="Arial"/>
        <family val="0"/>
        <charset val="1"/>
      </rPr>
      <t xml:space="preserve">2H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</si>
  <si>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實際還款 </t>
    </r>
    <r>
      <rPr>
        <sz val="9"/>
        <color rgb="FF595959"/>
        <rFont val="Arial"/>
        <family val="0"/>
        <charset val="1"/>
      </rPr>
      <t xml:space="preserve">5.253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Noto Sans CJK SC"/>
        <family val="2"/>
      </rPr>
      <t xml:space="preserve">到期表 </t>
    </r>
    <r>
      <rPr>
        <sz val="9"/>
        <color rgb="FF595959"/>
        <rFont val="Arial"/>
        <family val="0"/>
        <charset val="1"/>
      </rPr>
      <t xml:space="preserve">2.0</t>
    </r>
  </si>
  <si>
    <t xml:space="preserve">季度追蹤 — 焦點季的模型／共識／指引／實際與差距（由年度模型拆分；只用於追蹤，不影響年度數字與目標價）</t>
  </si>
  <si>
    <r>
      <rPr>
        <sz val="9"/>
        <color rgb="FF595959"/>
        <rFont val="Noto Sans CJK SC"/>
        <family val="2"/>
      </rPr>
      <t xml:space="preserve">設定與實際數在『輸入與假設』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區，共識在 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區；缺資料顯示「不適用」，實際數空白＝待公布。差距超過門檻的項目附差異原因（拆法＝所屬期間合計差距在門檻內）。第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區為 </t>
    </r>
    <r>
      <rPr>
        <sz val="9"/>
        <color rgb="FF595959"/>
        <rFont val="Arial"/>
        <family val="0"/>
        <charset val="1"/>
      </rPr>
      <t xml:space="preserve">6 </t>
    </r>
    <r>
      <rPr>
        <sz val="9"/>
        <color rgb="FF595959"/>
        <rFont val="Noto Sans CJK SC"/>
        <family val="2"/>
      </rPr>
      <t xml:space="preserve">季路徑與拆分明細（預設收合）。</t>
    </r>
  </si>
  <si>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｜焦點季（『輸入與假設』</t>
    </r>
    <r>
      <rPr>
        <b val="true"/>
        <sz val="10"/>
        <rFont val="Arial"/>
        <family val="0"/>
        <charset val="1"/>
      </rPr>
      <t xml:space="preserve">J </t>
    </r>
    <r>
      <rPr>
        <b val="true"/>
        <sz val="10"/>
        <rFont val="Noto Sans CJK SC"/>
        <family val="2"/>
      </rPr>
      <t xml:space="preserve">區選擇）：模型／共識／指引／實際與差距</t>
    </r>
  </si>
  <si>
    <t xml:space="preserve">指標</t>
  </si>
  <si>
    <t xml:space="preserve">模型</t>
  </si>
  <si>
    <t xml:space="preserve">共識</t>
  </si>
  <si>
    <r>
      <rPr>
        <b val="true"/>
        <sz val="11"/>
        <color rgb="FFFFFFFF"/>
        <rFont val="Noto Sans CJK SC"/>
        <family val="2"/>
      </rPr>
      <t xml:space="preserve">模型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Noto Sans CJK SC"/>
        <family val="2"/>
      </rPr>
      <t xml:space="preserve">共識</t>
    </r>
  </si>
  <si>
    <t xml:space="preserve">指引（低）</t>
  </si>
  <si>
    <t xml:space="preserve">指引（高）</t>
  </si>
  <si>
    <r>
      <rPr>
        <b val="true"/>
        <sz val="11"/>
        <color rgb="FFFFFFFF"/>
        <rFont val="Noto Sans CJK SC"/>
        <family val="2"/>
      </rPr>
      <t xml:space="preserve">模型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Noto Sans CJK SC"/>
        <family val="2"/>
      </rPr>
      <t xml:space="preserve">指引中點</t>
    </r>
  </si>
  <si>
    <t xml:space="preserve">實際</t>
  </si>
  <si>
    <r>
      <rPr>
        <b val="true"/>
        <sz val="11"/>
        <color rgb="FFFFFFFF"/>
        <rFont val="Noto Sans CJK SC"/>
        <family val="2"/>
      </rPr>
      <t xml:space="preserve">實際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Noto Sans CJK SC"/>
        <family val="2"/>
      </rPr>
      <t xml:space="preserve">模型</t>
    </r>
  </si>
  <si>
    <r>
      <rPr>
        <b val="true"/>
        <sz val="11"/>
        <color rgb="FFFFFFFF"/>
        <rFont val="Noto Sans CJK SC"/>
        <family val="2"/>
      </rPr>
      <t xml:space="preserve">實際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Noto Sans CJK SC"/>
        <family val="2"/>
      </rPr>
      <t xml:space="preserve">共識</t>
    </r>
  </si>
  <si>
    <r>
      <rPr>
        <b val="true"/>
        <sz val="11"/>
        <color rgb="FFFFFFFF"/>
        <rFont val="Noto Sans CJK SC"/>
        <family val="2"/>
      </rPr>
      <t xml:space="preserve">實際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Noto Sans CJK SC"/>
        <family val="2"/>
      </rPr>
      <t xml:space="preserve">指引中點</t>
    </r>
  </si>
  <si>
    <r>
      <rPr>
        <b val="true"/>
        <sz val="11"/>
        <color rgb="FFFFFFFF"/>
        <rFont val="Noto Sans CJK SC"/>
        <family val="2"/>
      </rPr>
      <t xml:space="preserve">利潤率 </t>
    </r>
    <r>
      <rPr>
        <b val="true"/>
        <sz val="11"/>
        <color rgb="FFFFFFFF"/>
        <rFont val="Arial"/>
        <family val="0"/>
        <charset val="1"/>
      </rPr>
      <t xml:space="preserve">pt</t>
    </r>
    <r>
      <rPr>
        <b val="true"/>
        <sz val="11"/>
        <color rgb="FFFFFFFF"/>
        <rFont val="Noto Sans CJK SC"/>
        <family val="2"/>
      </rPr>
      <t xml:space="preserve">：模型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Noto Sans CJK SC"/>
        <family val="2"/>
      </rPr>
      <t xml:space="preserve">共識</t>
    </r>
  </si>
  <si>
    <r>
      <rPr>
        <b val="true"/>
        <sz val="11"/>
        <color rgb="FFFFFFFF"/>
        <rFont val="Noto Sans CJK SC"/>
        <family val="2"/>
      </rPr>
      <t xml:space="preserve">模型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Noto Sans CJK SC"/>
        <family val="2"/>
      </rPr>
      <t xml:space="preserve">指引</t>
    </r>
  </si>
  <si>
    <r>
      <rPr>
        <b val="true"/>
        <sz val="11"/>
        <color rgb="FFFFFFFF"/>
        <rFont val="Noto Sans CJK SC"/>
        <family val="2"/>
      </rPr>
      <t xml:space="preserve">實際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Noto Sans CJK SC"/>
        <family val="2"/>
      </rPr>
      <t xml:space="preserve">指引</t>
    </r>
  </si>
  <si>
    <t xml:space="preserve">焦點｜營收</t>
  </si>
  <si>
    <t xml:space="preserve">不適用</t>
  </si>
  <si>
    <r>
      <rPr>
        <sz val="10"/>
        <rFont val="Noto Sans CJK SC"/>
        <family val="2"/>
      </rPr>
      <t xml:space="preserve">焦點｜調整後 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</si>
  <si>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Noto Sans CJK SC"/>
        <family val="2"/>
      </rPr>
      <t xml:space="preserve">焦點｜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</si>
  <si>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t xml:space="preserve">焦點｜調整後營業利益</t>
  </si>
  <si>
    <r>
      <rPr>
        <sz val="10"/>
        <rFont val="Noto Sans CJK SC"/>
        <family val="2"/>
      </rPr>
      <t xml:space="preserve">焦點｜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</t>
    </r>
  </si>
  <si>
    <r>
      <rPr>
        <sz val="10"/>
        <rFont val="Noto Sans CJK SC"/>
        <family val="2"/>
      </rPr>
      <t xml:space="preserve">焦點｜季末已連網 </t>
    </r>
    <r>
      <rPr>
        <sz val="10"/>
        <rFont val="Arial"/>
        <family val="0"/>
        <charset val="1"/>
      </rPr>
      <t xml:space="preserve">MW-IT</t>
    </r>
  </si>
  <si>
    <t xml:space="preserve">焦點｜季度</t>
  </si>
  <si>
    <t xml:space="preserve">焦點｜差異原因</t>
  </si>
  <si>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Noto Sans CJK SC"/>
        <family val="2"/>
      </rPr>
      <t xml:space="preserve">｜</t>
    </r>
    <r>
      <rPr>
        <b val="true"/>
        <sz val="10"/>
        <rFont val="Arial"/>
        <family val="0"/>
        <charset val="1"/>
      </rPr>
      <t xml:space="preserve">6 </t>
    </r>
    <r>
      <rPr>
        <b val="true"/>
        <sz val="10"/>
        <rFont val="Noto Sans CJK SC"/>
        <family val="2"/>
      </rPr>
      <t xml:space="preserve">季路徑、共識、指引、實際與差距（明細；第 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Noto Sans CJK SC"/>
        <family val="2"/>
      </rPr>
      <t xml:space="preserve">區以焦點季引用本區）</t>
    </r>
  </si>
  <si>
    <t xml:space="preserve">所屬期間</t>
  </si>
  <si>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2H26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2027</t>
    </r>
  </si>
  <si>
    <t xml:space="preserve">季序</t>
  </si>
  <si>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率直線的 </t>
    </r>
    <r>
      <rPr>
        <sz val="9"/>
        <color rgb="FF595959"/>
        <rFont val="Arial"/>
        <family val="0"/>
        <charset val="1"/>
      </rPr>
      <t xml:space="preserve">x </t>
    </r>
    <r>
      <rPr>
        <sz val="9"/>
        <color rgb="FF595959"/>
        <rFont val="Noto Sans CJK SC"/>
        <family val="2"/>
      </rPr>
      <t xml:space="preserve">軸</t>
    </r>
  </si>
  <si>
    <r>
      <rPr>
        <sz val="10"/>
        <rFont val="Noto Sans CJK SC"/>
        <family val="2"/>
      </rPr>
      <t xml:space="preserve">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Noto Sans CJK SC"/>
        <family val="2"/>
      </rPr>
      <t xml:space="preserve">（模型）</t>
    </r>
  </si>
  <si>
    <r>
      <rPr>
        <sz val="9"/>
        <color rgb="FF595959"/>
        <rFont val="Noto Sans CJK SC"/>
        <family val="2"/>
      </rPr>
      <t xml:space="preserve">期初與期末 </t>
    </r>
    <r>
      <rPr>
        <sz val="9"/>
        <color rgb="FF595959"/>
        <rFont val="Arial"/>
        <family val="0"/>
        <charset val="1"/>
      </rPr>
      <t xml:space="preserve">Accepted </t>
    </r>
    <r>
      <rPr>
        <sz val="9"/>
        <color rgb="FF595959"/>
        <rFont val="Noto Sans CJK SC"/>
        <family val="2"/>
      </rPr>
      <t xml:space="preserve">之間線性內插；第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期起點見 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區</t>
    </r>
  </si>
  <si>
    <r>
      <rPr>
        <sz val="10"/>
        <rFont val="Noto Sans CJK SC"/>
        <family val="2"/>
      </rPr>
      <t xml:space="preserve">平均在役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Billable</t>
    </r>
    <r>
      <rPr>
        <sz val="10"/>
        <rFont val="Noto Sans CJK SC"/>
        <family val="2"/>
      </rPr>
      <t xml:space="preserve">，拆分依據）</t>
    </r>
  </si>
  <si>
    <r>
      <rPr>
        <sz val="9"/>
        <color rgb="FF595959"/>
        <rFont val="Noto Sans CJK SC"/>
        <family val="2"/>
      </rPr>
      <t xml:space="preserve">期初與期末 </t>
    </r>
    <r>
      <rPr>
        <sz val="9"/>
        <color rgb="FF595959"/>
        <rFont val="Arial"/>
        <family val="0"/>
        <charset val="1"/>
      </rPr>
      <t xml:space="preserve">Billable </t>
    </r>
    <r>
      <rPr>
        <sz val="9"/>
        <color rgb="FF595959"/>
        <rFont val="Noto Sans CJK SC"/>
        <family val="2"/>
      </rPr>
      <t xml:space="preserve">之間線性內插的季平均</t>
    </r>
  </si>
  <si>
    <r>
      <rPr>
        <sz val="10"/>
        <rFont val="Noto Sans CJK SC"/>
        <family val="2"/>
      </rPr>
      <t xml:space="preserve">季內新增 </t>
    </r>
    <r>
      <rPr>
        <sz val="10"/>
        <rFont val="Arial"/>
        <family val="0"/>
        <charset val="1"/>
      </rPr>
      <t xml:space="preserve">Accepted MW</t>
    </r>
  </si>
  <si>
    <r>
      <rPr>
        <sz val="9"/>
        <color rgb="FF595959"/>
        <rFont val="Arial"/>
        <family val="0"/>
        <charset val="1"/>
      </rPr>
      <t xml:space="preserve">CapEx </t>
    </r>
    <r>
      <rPr>
        <sz val="9"/>
        <color rgb="FF595959"/>
        <rFont val="Noto Sans CJK SC"/>
        <family val="2"/>
      </rPr>
      <t xml:space="preserve">拆分依據</t>
    </r>
  </si>
  <si>
    <t xml:space="preserve">營收（模型）</t>
  </si>
  <si>
    <r>
      <rPr>
        <sz val="9"/>
        <color rgb="FF595959"/>
        <rFont val="Noto Sans CJK SC"/>
        <family val="2"/>
      </rPr>
      <t xml:space="preserve">拆分方法見『輸入與假設』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區與 </t>
    </r>
    <r>
      <rPr>
        <sz val="9"/>
        <color rgb="FF595959"/>
        <rFont val="Arial"/>
        <family val="0"/>
        <charset val="1"/>
      </rPr>
      <t xml:space="preserve">HTML</t>
    </r>
    <r>
      <rPr>
        <sz val="9"/>
        <color rgb="FF595959"/>
        <rFont val="Noto Sans CJK SC"/>
        <family val="2"/>
      </rPr>
      <t xml:space="preserve">「拆分方法」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</si>
  <si>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率直線｜各期營收合計 </t>
    </r>
    <r>
      <rPr>
        <sz val="10"/>
        <rFont val="Arial"/>
        <family val="0"/>
        <charset val="1"/>
      </rPr>
      <t xml:space="preserve">S</t>
    </r>
  </si>
  <si>
    <r>
      <rPr>
        <sz val="9"/>
        <color rgb="FF595959"/>
        <rFont val="Noto Sans CJK SC"/>
        <family val="2"/>
      </rPr>
      <t xml:space="preserve">欄＝期間（</t>
    </r>
    <r>
      <rPr>
        <sz val="9"/>
        <color rgb="FF595959"/>
        <rFont val="Arial"/>
        <family val="0"/>
        <charset val="1"/>
      </rPr>
      <t xml:space="preserve">2H26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2027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</si>
  <si>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率直線｜營收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季序合計 </t>
    </r>
    <r>
      <rPr>
        <sz val="10"/>
        <rFont val="Arial"/>
        <family val="0"/>
        <charset val="1"/>
      </rPr>
      <t xml:space="preserve">T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</si>
  <si>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率直線｜年度 </t>
    </r>
    <r>
      <rPr>
        <sz val="10"/>
        <rFont val="Arial"/>
        <family val="0"/>
        <charset val="1"/>
      </rPr>
      <t xml:space="preserve">EBITDA E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</si>
  <si>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率直線｜截距 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／斜率 </t>
    </r>
    <r>
      <rPr>
        <sz val="10"/>
        <rFont val="Arial"/>
        <family val="0"/>
        <charset val="1"/>
      </rPr>
      <t xml:space="preserve">b</t>
    </r>
  </si>
  <si>
    <r>
      <rPr>
        <sz val="9"/>
        <color rgb="FF595959"/>
        <rFont val="Noto Sans CJK SC"/>
        <family val="2"/>
      </rPr>
      <t xml:space="preserve">解兩式：</t>
    </r>
    <r>
      <rPr>
        <sz val="9"/>
        <color rgb="FF595959"/>
        <rFont val="Arial"/>
        <family val="0"/>
        <charset val="1"/>
      </rPr>
      <t xml:space="preserve">Σ</t>
    </r>
    <r>
      <rPr>
        <sz val="9"/>
        <color rgb="FF595959"/>
        <rFont val="Noto Sans CJK SC"/>
        <family val="2"/>
      </rPr>
      <t xml:space="preserve">營收</t>
    </r>
    <r>
      <rPr>
        <sz val="9"/>
        <color rgb="FF595959"/>
        <rFont val="Arial"/>
        <family val="0"/>
        <charset val="1"/>
      </rPr>
      <t xml:space="preserve">×(a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b×</t>
    </r>
    <r>
      <rPr>
        <sz val="9"/>
        <color rgb="FF595959"/>
        <rFont val="Noto Sans CJK SC"/>
        <family val="2"/>
      </rPr>
      <t xml:space="preserve">季序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＝各期年度 </t>
    </r>
    <r>
      <rPr>
        <sz val="9"/>
        <color rgb="FF595959"/>
        <rFont val="Arial"/>
        <family val="0"/>
        <charset val="1"/>
      </rPr>
      <t xml:space="preserve">EBITDA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</si>
  <si>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率（模型）</t>
    </r>
  </si>
  <si>
    <r>
      <rPr>
        <sz val="9"/>
        <color rgb="FF595959"/>
        <rFont val="Noto Sans CJK SC"/>
        <family val="2"/>
      </rPr>
      <t xml:space="preserve">跨季一條直線，季度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加總＝年度</t>
    </r>
  </si>
  <si>
    <r>
      <rPr>
        <sz val="10"/>
        <rFont val="Noto Sans CJK SC"/>
        <family val="2"/>
      </rPr>
      <t xml:space="preserve">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（模型）</t>
    </r>
  </si>
  <si>
    <t xml:space="preserve">車隊折舊（模型）</t>
  </si>
  <si>
    <r>
      <rPr>
        <sz val="9"/>
        <color rgb="FF595959"/>
        <rFont val="Noto Sans CJK SC"/>
        <family val="2"/>
      </rPr>
      <t xml:space="preserve">＝期間 </t>
    </r>
    <r>
      <rPr>
        <sz val="9"/>
        <color rgb="FF595959"/>
        <rFont val="Arial"/>
        <family val="0"/>
        <charset val="1"/>
      </rPr>
      <t xml:space="preserve">D&amp;A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AI</t>
    </r>
    <r>
      <rPr>
        <sz val="9"/>
        <color rgb="FF595959"/>
        <rFont val="Noto Sans CJK SC"/>
        <family val="2"/>
      </rPr>
      <t xml:space="preserve">＋非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分池）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期內季數</t>
    </r>
  </si>
  <si>
    <t xml:space="preserve">其他攤銷（模型）</t>
  </si>
  <si>
    <r>
      <rPr>
        <sz val="9"/>
        <color rgb="FF595959"/>
        <rFont val="Noto Sans CJK SC"/>
        <family val="2"/>
      </rPr>
      <t xml:space="preserve">＝期間非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事業其他攤銷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季營收占比（</t>
    </r>
    <r>
      <rPr>
        <sz val="9"/>
        <color rgb="FF595959"/>
        <rFont val="Arial"/>
        <family val="0"/>
        <charset val="1"/>
      </rPr>
      <t xml:space="preserve">MAG v0.1b</t>
    </r>
    <r>
      <rPr>
        <sz val="9"/>
        <color rgb="FF595959"/>
        <rFont val="Noto Sans CJK SC"/>
        <family val="2"/>
      </rPr>
      <t xml:space="preserve">）</t>
    </r>
  </si>
  <si>
    <t xml:space="preserve">調整後營業利益（模型）</t>
  </si>
  <si>
    <r>
      <rPr>
        <sz val="9"/>
        <color rgb="FF595959"/>
        <rFont val="Noto Sans CJK SC"/>
        <family val="2"/>
      </rPr>
      <t xml:space="preserve">＝調整後 </t>
    </r>
    <r>
      <rPr>
        <sz val="9"/>
        <color rgb="FF595959"/>
        <rFont val="Arial"/>
        <family val="0"/>
        <charset val="1"/>
      </rPr>
      <t xml:space="preserve">EBITDA − </t>
    </r>
    <r>
      <rPr>
        <sz val="9"/>
        <color rgb="FF595959"/>
        <rFont val="Noto Sans CJK SC"/>
        <family val="2"/>
      </rPr>
      <t xml:space="preserve">車隊折舊 − 其他攤銷（未扣 </t>
    </r>
    <r>
      <rPr>
        <sz val="9"/>
        <color rgb="FF595959"/>
        <rFont val="Arial"/>
        <family val="0"/>
        <charset val="1"/>
      </rPr>
      <t xml:space="preserve">SBC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</si>
  <si>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（毛額）（模型）</t>
    </r>
  </si>
  <si>
    <r>
      <rPr>
        <sz val="9"/>
        <color rgb="FF595959"/>
        <rFont val="Noto Sans CJK SC"/>
        <family val="2"/>
      </rPr>
      <t xml:space="preserve">依季內新增 </t>
    </r>
    <r>
      <rPr>
        <sz val="9"/>
        <color rgb="FF595959"/>
        <rFont val="Arial"/>
        <family val="0"/>
        <charset val="1"/>
      </rPr>
      <t xml:space="preserve">Accepted MW</t>
    </r>
  </si>
  <si>
    <t xml:space="preserve">共識｜營收</t>
  </si>
  <si>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區季度共識 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</si>
  <si>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Noto Sans CJK SC"/>
        <family val="2"/>
      </rPr>
      <t xml:space="preserve">共識｜調整後 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</si>
  <si>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Noto Sans CJK SC"/>
        <family val="2"/>
      </rPr>
      <t xml:space="preserve">共識｜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 </t>
    </r>
    <r>
      <rPr>
        <sz val="10"/>
        <rFont val="Arial"/>
        <family val="0"/>
        <charset val="1"/>
      </rPr>
      <t xml:space="preserve">[Derived]</t>
    </r>
  </si>
  <si>
    <r>
      <rPr>
        <sz val="9"/>
        <color rgb="FF595959"/>
        <rFont val="Noto Sans CJK SC"/>
        <family val="2"/>
      </rPr>
      <t xml:space="preserve">＝共識 </t>
    </r>
    <r>
      <rPr>
        <sz val="9"/>
        <color rgb="FF595959"/>
        <rFont val="Arial"/>
        <family val="0"/>
        <charset val="1"/>
      </rPr>
      <t xml:space="preserve">EBITDA ÷ </t>
    </r>
    <r>
      <rPr>
        <sz val="9"/>
        <color rgb="FF595959"/>
        <rFont val="Noto Sans CJK SC"/>
        <family val="2"/>
      </rPr>
      <t xml:space="preserve">共識營收</t>
    </r>
  </si>
  <si>
    <r>
      <rPr>
        <sz val="10"/>
        <rFont val="Noto Sans CJK SC"/>
        <family val="2"/>
      </rPr>
      <t xml:space="preserve">共識 </t>
    </r>
    <r>
      <rPr>
        <sz val="10"/>
        <rFont val="Arial"/>
        <family val="0"/>
        <charset val="1"/>
      </rPr>
      <t xml:space="preserve">EBIT</t>
    </r>
    <r>
      <rPr>
        <sz val="10"/>
        <rFont val="Noto Sans CJK SC"/>
        <family val="2"/>
      </rPr>
      <t xml:space="preserve">（供應商口徑）</t>
    </r>
  </si>
  <si>
    <t xml:space="preserve">口徑未揭露：只列不比較</t>
  </si>
  <si>
    <t xml:space="preserve">實際｜營收</t>
  </si>
  <si>
    <r>
      <rPr>
        <sz val="10"/>
        <rFont val="Noto Sans CJK SC"/>
        <family val="2"/>
      </rPr>
      <t xml:space="preserve">實際｜調整後 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</si>
  <si>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Noto Sans CJK SC"/>
        <family val="2"/>
      </rPr>
      <t xml:space="preserve">實際｜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</si>
  <si>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r>
      <rPr>
        <sz val="9"/>
        <color rgb="FF595959"/>
        <rFont val="Noto Sans CJK SC"/>
        <family val="2"/>
      </rPr>
      <t xml:space="preserve">＝實際 </t>
    </r>
    <r>
      <rPr>
        <sz val="9"/>
        <color rgb="FF595959"/>
        <rFont val="Arial"/>
        <family val="0"/>
        <charset val="1"/>
      </rPr>
      <t xml:space="preserve">EBITDA ÷ </t>
    </r>
    <r>
      <rPr>
        <sz val="9"/>
        <color rgb="FF595959"/>
        <rFont val="Noto Sans CJK SC"/>
        <family val="2"/>
      </rPr>
      <t xml:space="preserve">實際營收</t>
    </r>
  </si>
  <si>
    <t xml:space="preserve">實際｜調整後營業利益</t>
  </si>
  <si>
    <r>
      <rPr>
        <sz val="10"/>
        <rFont val="Noto Sans CJK SC"/>
        <family val="2"/>
      </rPr>
      <t xml:space="preserve">實際｜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</t>
    </r>
  </si>
  <si>
    <r>
      <rPr>
        <sz val="10"/>
        <rFont val="Noto Sans CJK SC"/>
        <family val="2"/>
      </rPr>
      <t xml:space="preserve">實際｜季末對外 </t>
    </r>
    <r>
      <rPr>
        <sz val="10"/>
        <rFont val="Arial"/>
        <family val="0"/>
        <charset val="1"/>
      </rPr>
      <t xml:space="preserve">AI MW</t>
    </r>
    <r>
      <rPr>
        <sz val="10"/>
        <rFont val="Noto Sans CJK SC"/>
        <family val="2"/>
      </rPr>
      <t xml:space="preserve">（未揭露）</t>
    </r>
  </si>
  <si>
    <r>
      <rPr>
        <sz val="10"/>
        <rFont val="Noto Sans CJK SC"/>
        <family val="2"/>
      </rPr>
      <t xml:space="preserve">差距｜營收｜模型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</si>
  <si>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差距｜營收｜模型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</si>
  <si>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差距｜營收｜實際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</si>
  <si>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差距｜營收｜實際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</si>
  <si>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差距｜營收｜實際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</si>
  <si>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</si>
  <si>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</si>
  <si>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</si>
  <si>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</si>
  <si>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</si>
  <si>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共識（利潤率 </t>
    </r>
    <r>
      <rPr>
        <sz val="10"/>
        <rFont val="Arial"/>
        <family val="0"/>
        <charset val="1"/>
      </rPr>
      <t xml:space="preserve">pt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</si>
  <si>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指引中點（利潤率 </t>
    </r>
    <r>
      <rPr>
        <sz val="10"/>
        <rFont val="Arial"/>
        <family val="0"/>
        <charset val="1"/>
      </rPr>
      <t xml:space="preserve">pt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</si>
  <si>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模型（利潤率 </t>
    </r>
    <r>
      <rPr>
        <sz val="10"/>
        <rFont val="Arial"/>
        <family val="0"/>
        <charset val="1"/>
      </rPr>
      <t xml:space="preserve">pt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</si>
  <si>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共識（利潤率 </t>
    </r>
    <r>
      <rPr>
        <sz val="10"/>
        <rFont val="Arial"/>
        <family val="0"/>
        <charset val="1"/>
      </rPr>
      <t xml:space="preserve">pt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</si>
  <si>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指引中點（利潤率 </t>
    </r>
    <r>
      <rPr>
        <sz val="10"/>
        <rFont val="Arial"/>
        <family val="0"/>
        <charset val="1"/>
      </rPr>
      <t xml:space="preserve">pt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</si>
  <si>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差距｜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</si>
  <si>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差距｜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</si>
  <si>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差距｜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</si>
  <si>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差距｜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</si>
  <si>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差距｜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</si>
  <si>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差距｜調整後營業利益｜模型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</si>
  <si>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差距｜調整後營業利益｜模型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</si>
  <si>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差距｜調整後營業利益｜實際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</si>
  <si>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差距｜調整後營業利益｜實際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</si>
  <si>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差距｜調整後營業利益｜實際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</si>
  <si>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差距｜調整後營業利益｜模型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共識（利潤率 </t>
    </r>
    <r>
      <rPr>
        <sz val="10"/>
        <rFont val="Arial"/>
        <family val="0"/>
        <charset val="1"/>
      </rPr>
      <t xml:space="preserve">pt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</si>
  <si>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差距｜調整後營業利益｜模型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指引中點（利潤率 </t>
    </r>
    <r>
      <rPr>
        <sz val="10"/>
        <rFont val="Arial"/>
        <family val="0"/>
        <charset val="1"/>
      </rPr>
      <t xml:space="preserve">pt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</si>
  <si>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差距｜調整後營業利益｜實際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模型（利潤率 </t>
    </r>
    <r>
      <rPr>
        <sz val="10"/>
        <rFont val="Arial"/>
        <family val="0"/>
        <charset val="1"/>
      </rPr>
      <t xml:space="preserve">pt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</si>
  <si>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差距｜調整後營業利益｜實際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共識（利潤率 </t>
    </r>
    <r>
      <rPr>
        <sz val="10"/>
        <rFont val="Arial"/>
        <family val="0"/>
        <charset val="1"/>
      </rPr>
      <t xml:space="preserve">pt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</si>
  <si>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差距｜調整後營業利益｜實際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指引中點（利潤率 </t>
    </r>
    <r>
      <rPr>
        <sz val="10"/>
        <rFont val="Arial"/>
        <family val="0"/>
        <charset val="1"/>
      </rPr>
      <t xml:space="preserve">pt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</si>
  <si>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差距｜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</si>
  <si>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差距｜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</si>
  <si>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差距｜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</si>
  <si>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差距｜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</si>
  <si>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差距｜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</si>
  <si>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差距｜季末已連網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Noto Sans CJK SC"/>
        <family val="2"/>
      </rPr>
      <t xml:space="preserve">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</si>
  <si>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差距｜季末已連網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Noto Sans CJK SC"/>
        <family val="2"/>
      </rPr>
      <t xml:space="preserve">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</si>
  <si>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差距｜季末已連網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Noto Sans CJK SC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</si>
  <si>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差距｜季末已連網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Noto Sans CJK SC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</si>
  <si>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差距｜季末已連網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Noto Sans CJK SC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</si>
  <si>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合計基準｜營收｜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</si>
  <si>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t xml:space="preserve">所屬期間的季度共識合計</t>
  </si>
  <si>
    <r>
      <rPr>
        <sz val="10"/>
        <rFont val="Noto Sans CJK SC"/>
        <family val="2"/>
      </rPr>
      <t xml:space="preserve">拆解｜營收｜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共識｜水準</t>
    </r>
  </si>
  <si>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模型期間 − 比較期間</t>
    </r>
    <r>
      <rPr>
        <sz val="9"/>
        <color rgb="FF595959"/>
        <rFont val="Arial"/>
        <family val="0"/>
        <charset val="1"/>
      </rPr>
      <t xml:space="preserve">) × </t>
    </r>
    <r>
      <rPr>
        <sz val="9"/>
        <color rgb="FF595959"/>
        <rFont val="Noto Sans CJK SC"/>
        <family val="2"/>
      </rPr>
      <t xml:space="preserve">比較的季占比</t>
    </r>
  </si>
  <si>
    <r>
      <rPr>
        <sz val="10"/>
        <rFont val="Noto Sans CJK SC"/>
        <family val="2"/>
      </rPr>
      <t xml:space="preserve">拆解｜營收｜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共識｜分配</t>
    </r>
  </si>
  <si>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模型季占比 − 比較季占比</t>
    </r>
    <r>
      <rPr>
        <sz val="9"/>
        <color rgb="FF595959"/>
        <rFont val="Arial"/>
        <family val="0"/>
        <charset val="1"/>
      </rPr>
      <t xml:space="preserve">) × </t>
    </r>
    <r>
      <rPr>
        <sz val="9"/>
        <color rgb="FF595959"/>
        <rFont val="Noto Sans CJK SC"/>
        <family val="2"/>
      </rPr>
      <t xml:space="preserve">模型期間；水準＋分配＝季度差距</t>
    </r>
  </si>
  <si>
    <r>
      <rPr>
        <sz val="10"/>
        <rFont val="Noto Sans CJK SC"/>
        <family val="2"/>
      </rPr>
      <t xml:space="preserve">原因｜營收｜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</si>
  <si>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原因類型｜營收｜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</si>
  <si>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原因｜營收｜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</si>
  <si>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原因類型｜營收｜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</si>
  <si>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原因｜營收｜實際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</si>
  <si>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原因類型｜營收｜實際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</si>
  <si>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合計基準｜調整後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</si>
  <si>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拆解｜調整後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共識｜水準</t>
    </r>
  </si>
  <si>
    <r>
      <rPr>
        <sz val="10"/>
        <rFont val="Noto Sans CJK SC"/>
        <family val="2"/>
      </rPr>
      <t xml:space="preserve">拆解｜調整後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共識｜分配</t>
    </r>
  </si>
  <si>
    <r>
      <rPr>
        <sz val="10"/>
        <rFont val="Noto Sans CJK SC"/>
        <family val="2"/>
      </rPr>
      <t xml:space="preserve">原因｜調整後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</si>
  <si>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原因類型｜調整後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</si>
  <si>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原因｜調整後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</si>
  <si>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原因類型｜調整後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</si>
  <si>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原因｜調整後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</si>
  <si>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原因類型｜調整後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</si>
  <si>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原因｜調整後營業利益｜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</si>
  <si>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原因類型｜調整後營業利益｜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</si>
  <si>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原因｜調整後營業利益｜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</si>
  <si>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原因類型｜調整後營業利益｜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</si>
  <si>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原因｜調整後營業利益｜實際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</si>
  <si>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原因類型｜調整後營業利益｜實際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</si>
  <si>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原因｜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</si>
  <si>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原因類型｜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</si>
  <si>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原因｜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</si>
  <si>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原因類型｜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</si>
  <si>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原因｜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</si>
  <si>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原因類型｜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</si>
  <si>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原因｜季末已連網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</si>
  <si>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原因類型｜季末已連網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</si>
  <si>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原因｜季末已連網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</si>
  <si>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原因類型｜季末已連網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</si>
  <si>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原因｜季末已連網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Noto Sans CJK SC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</si>
  <si>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原因類型｜季末已連網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Noto Sans CJK SC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</si>
  <si>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t xml:space="preserve">差異原因（一行）</t>
  </si>
  <si>
    <t xml:space="preserve">原因標籤｜營收</t>
  </si>
  <si>
    <r>
      <rPr>
        <sz val="10"/>
        <rFont val="Noto Sans CJK SC"/>
        <family val="2"/>
      </rPr>
      <t xml:space="preserve">原因標籤｜調整後 </t>
    </r>
    <r>
      <rPr>
        <sz val="10"/>
        <rFont val="Arial"/>
        <family val="0"/>
        <charset val="1"/>
      </rPr>
      <t xml:space="preserve">EBITDA</t>
    </r>
  </si>
  <si>
    <t xml:space="preserve">原因標籤｜調整後營業利益</t>
  </si>
  <si>
    <r>
      <rPr>
        <sz val="10"/>
        <rFont val="Noto Sans CJK SC"/>
        <family val="2"/>
      </rPr>
      <t xml:space="preserve">原因標籤｜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</t>
    </r>
  </si>
  <si>
    <r>
      <rPr>
        <sz val="10"/>
        <rFont val="Noto Sans CJK SC"/>
        <family val="2"/>
      </rPr>
      <t xml:space="preserve">原因標籤｜季末已連網 </t>
    </r>
    <r>
      <rPr>
        <sz val="10"/>
        <rFont val="Arial"/>
        <family val="0"/>
        <charset val="1"/>
      </rPr>
      <t xml:space="preserve">MW-IT</t>
    </r>
  </si>
  <si>
    <t xml:space="preserve">句｜營收</t>
  </si>
  <si>
    <r>
      <rPr>
        <sz val="10"/>
        <rFont val="Noto Sans CJK SC"/>
        <family val="2"/>
      </rPr>
      <t xml:space="preserve">句｜調整後 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</si>
  <si>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Noto Sans CJK SC"/>
        <family val="2"/>
      </rPr>
      <t xml:space="preserve">句｜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</si>
  <si>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t xml:space="preserve">句｜調整後營業利益</t>
  </si>
  <si>
    <r>
      <rPr>
        <sz val="10"/>
        <rFont val="Noto Sans CJK SC"/>
        <family val="2"/>
      </rPr>
      <t xml:space="preserve">句｜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</t>
    </r>
  </si>
  <si>
    <r>
      <rPr>
        <sz val="10"/>
        <rFont val="Noto Sans CJK SC"/>
        <family val="2"/>
      </rPr>
      <t xml:space="preserve">句｜季末已連網 </t>
    </r>
    <r>
      <rPr>
        <sz val="10"/>
        <rFont val="Arial"/>
        <family val="0"/>
        <charset val="1"/>
      </rPr>
      <t xml:space="preserve">MW-IT</t>
    </r>
  </si>
  <si>
    <r>
      <rPr>
        <b val="true"/>
        <sz val="10"/>
        <rFont val="Noto Sans CJK SC"/>
        <family val="2"/>
      </rPr>
      <t xml:space="preserve">核對｜季度加總 − 年度模型（應為 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；欄＝期間 </t>
    </r>
    <r>
      <rPr>
        <b val="true"/>
        <sz val="10"/>
        <rFont val="Arial"/>
        <family val="0"/>
        <charset val="1"/>
      </rPr>
      <t xml:space="preserve">2H26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2027</t>
    </r>
    <r>
      <rPr>
        <b val="true"/>
        <sz val="10"/>
        <rFont val="Noto Sans CJK SC"/>
        <family val="2"/>
      </rPr>
      <t xml:space="preserve">）</t>
    </r>
  </si>
  <si>
    <t xml:space="preserve">核對｜營收</t>
  </si>
  <si>
    <r>
      <rPr>
        <sz val="10"/>
        <rFont val="Noto Sans CJK SC"/>
        <family val="2"/>
      </rPr>
      <t xml:space="preserve">核對｜調整後 </t>
    </r>
    <r>
      <rPr>
        <sz val="10"/>
        <rFont val="Arial"/>
        <family val="0"/>
        <charset val="1"/>
      </rPr>
      <t xml:space="preserve">EBITDA</t>
    </r>
  </si>
  <si>
    <t xml:space="preserve">核對｜調整後營業利益</t>
  </si>
  <si>
    <r>
      <rPr>
        <sz val="10"/>
        <rFont val="Noto Sans CJK SC"/>
        <family val="2"/>
      </rPr>
      <t xml:space="preserve">核對｜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</t>
    </r>
  </si>
  <si>
    <t xml:space="preserve">核對｜車隊折舊</t>
  </si>
  <si>
    <r>
      <rPr>
        <b val="true"/>
        <sz val="14"/>
        <rFont val="Noto Sans CJK SC"/>
        <family val="2"/>
      </rPr>
      <t xml:space="preserve">產能與收入 — 合約排程 </t>
    </r>
    <r>
      <rPr>
        <b val="true"/>
        <sz val="14"/>
        <rFont val="Arial"/>
        <family val="0"/>
        <charset val="1"/>
      </rPr>
      <t xml:space="preserve">vs </t>
    </r>
    <r>
      <rPr>
        <b val="true"/>
        <sz val="14"/>
        <rFont val="Noto Sans CJK SC"/>
        <family val="2"/>
      </rPr>
      <t xml:space="preserve">機房產能</t>
    </r>
  </si>
  <si>
    <r>
      <rPr>
        <sz val="9"/>
        <color rgb="FF595959"/>
        <rFont val="Noto Sans CJK SC"/>
        <family val="2"/>
      </rPr>
      <t xml:space="preserve">兩條線獨立產生後相減：排程</t>
    </r>
    <r>
      <rPr>
        <sz val="9"/>
        <color rgb="FF595959"/>
        <rFont val="Arial"/>
        <family val="0"/>
        <charset val="1"/>
      </rPr>
      <t xml:space="preserve">&gt;</t>
    </r>
    <r>
      <rPr>
        <sz val="9"/>
        <color rgb="FF595959"/>
        <rFont val="Noto Sans CJK SC"/>
        <family val="2"/>
      </rPr>
      <t xml:space="preserve">容量→瓶頸（收不到）；容量</t>
    </r>
    <r>
      <rPr>
        <sz val="9"/>
        <color rgb="FF595959"/>
        <rFont val="Arial"/>
        <family val="0"/>
        <charset val="1"/>
      </rPr>
      <t xml:space="preserve">&gt;</t>
    </r>
    <r>
      <rPr>
        <sz val="9"/>
        <color rgb="FF595959"/>
        <rFont val="Noto Sans CJK SC"/>
        <family val="2"/>
      </rPr>
      <t xml:space="preserve">排程→剩餘產能（要靠新簽約賣掉）</t>
    </r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</si>
  <si>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欄口徑：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為年底存量；標示「（模型期）」的收入列只含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下半年——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Noto Sans CJK SC"/>
        <family val="2"/>
      </rPr>
      <t xml:space="preserve">桶自 </t>
    </r>
    <r>
      <rPr>
        <sz val="9"/>
        <color rgb="FF595959"/>
        <rFont val="Arial"/>
        <family val="0"/>
        <charset val="1"/>
      </rPr>
      <t xml:space="preserve">2026-06-30 </t>
    </r>
    <r>
      <rPr>
        <sz val="9"/>
        <color rgb="FF595959"/>
        <rFont val="Noto Sans CJK SC"/>
        <family val="2"/>
      </rPr>
      <t xml:space="preserve">起算，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收入已實現、不再受產能約束。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實際單列，兩者相加即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全年（見本頁「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全年」列）。</t>
    </r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</si>
  <si>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的模型期只有下半年；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已實現的營收單列於下方</t>
    </r>
  </si>
  <si>
    <t xml:space="preserve">只用於下方三處：容量上限、電力、維護——把年率換算成該期金額</t>
  </si>
  <si>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A</t>
    </r>
    <r>
      <rPr>
        <b val="true"/>
        <sz val="10"/>
        <rFont val="Noto Sans CJK SC"/>
        <family val="2"/>
      </rPr>
      <t xml:space="preserve">）機房：容量上限</t>
    </r>
  </si>
  <si>
    <r>
      <rPr>
        <sz val="10"/>
        <rFont val="Arial"/>
        <family val="0"/>
        <charset val="1"/>
      </rPr>
      <t xml:space="preserve">Accepted MW</t>
    </r>
    <r>
      <rPr>
        <sz val="10"/>
        <rFont val="Noto Sans CJK SC"/>
        <family val="2"/>
      </rPr>
      <t xml:space="preserve">（已驗收，單調不減）</t>
    </r>
  </si>
  <si>
    <t xml:space="preserve">引擎規則：不得低於前期（產能不會消失）</t>
  </si>
  <si>
    <r>
      <rPr>
        <sz val="10"/>
        <rFont val="Arial"/>
        <family val="0"/>
        <charset val="1"/>
      </rPr>
      <t xml:space="preserve">Billable MW</t>
    </r>
    <r>
      <rPr>
        <sz val="10"/>
        <rFont val="Noto Sans CJK SC"/>
        <family val="2"/>
      </rPr>
      <t xml:space="preserve">（上限為 </t>
    </r>
    <r>
      <rPr>
        <sz val="10"/>
        <rFont val="Arial"/>
        <family val="0"/>
        <charset val="1"/>
      </rPr>
      <t xml:space="preserve">Accepted</t>
    </r>
    <r>
      <rPr>
        <sz val="10"/>
        <rFont val="Noto Sans CJK SC"/>
        <family val="2"/>
      </rPr>
      <t xml:space="preserve">）</t>
    </r>
  </si>
  <si>
    <t xml:space="preserve">引擎規則：可計費不得超過已驗收</t>
  </si>
  <si>
    <r>
      <rPr>
        <sz val="10"/>
        <rFont val="Arial"/>
        <family val="0"/>
        <charset val="1"/>
      </rPr>
      <t xml:space="preserve">Billable MW</t>
    </r>
    <r>
      <rPr>
        <sz val="10"/>
        <rFont val="Noto Sans CJK SC"/>
        <family val="2"/>
      </rPr>
      <t xml:space="preserve">（延誤後，計費用）</t>
    </r>
  </si>
  <si>
    <r>
      <rPr>
        <sz val="9"/>
        <color rgb="FF595959"/>
        <rFont val="Noto Sans CJK SC"/>
        <family val="2"/>
      </rPr>
      <t xml:space="preserve">＝上列往後平移建設延誤月數（以期間長度線性內插；評價日之前取期初校準值）；延誤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時＝上列；見（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）區（</t>
    </r>
    <r>
      <rPr>
        <sz val="9"/>
        <color rgb="FF595959"/>
        <rFont val="Arial"/>
        <family val="0"/>
        <charset val="1"/>
      </rPr>
      <t xml:space="preserve">v0.2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</si>
  <si>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期初在役 </t>
    </r>
    <r>
      <rPr>
        <sz val="10"/>
        <rFont val="Arial"/>
        <family val="0"/>
        <charset val="1"/>
      </rPr>
      <t xml:space="preserve">MW</t>
    </r>
  </si>
  <si>
    <t xml:space="preserve">前期期末＝本期期初（延誤後）</t>
  </si>
  <si>
    <r>
      <rPr>
        <sz val="10"/>
        <rFont val="Noto Sans CJK SC"/>
        <family val="2"/>
      </rPr>
      <t xml:space="preserve">平均在役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欄為下半年平均）</t>
    </r>
  </si>
  <si>
    <r>
      <rPr>
        <sz val="9"/>
        <color rgb="FF595959"/>
        <rFont val="Noto Sans CJK SC"/>
        <family val="2"/>
      </rPr>
      <t xml:space="preserve">開關在輸入頁：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期初</t>
    </r>
    <r>
      <rPr>
        <sz val="9"/>
        <color rgb="FF595959"/>
        <rFont val="Arial"/>
        <family val="0"/>
        <charset val="1"/>
      </rPr>
      <t xml:space="preserve">+</t>
    </r>
    <r>
      <rPr>
        <sz val="9"/>
        <color rgb="FF595959"/>
        <rFont val="Noto Sans CJK SC"/>
        <family val="2"/>
      </rPr>
      <t xml:space="preserve">期末</t>
    </r>
    <r>
      <rPr>
        <sz val="9"/>
        <color rgb="FF595959"/>
        <rFont val="Arial"/>
        <family val="0"/>
        <charset val="1"/>
      </rPr>
      <t xml:space="preserve">)/2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＝期末全期化</t>
    </r>
  </si>
  <si>
    <t xml:space="preserve">容量上限（模型期最多能交付的收入）</t>
  </si>
  <si>
    <r>
      <rPr>
        <sz val="9"/>
        <color rgb="FF595959"/>
        <rFont val="Noto Sans CJK SC"/>
        <family val="2"/>
      </rPr>
      <t xml:space="preserve">＝平均在役 </t>
    </r>
    <r>
      <rPr>
        <sz val="9"/>
        <color rgb="FF595959"/>
        <rFont val="Arial"/>
        <family val="0"/>
        <charset val="1"/>
      </rPr>
      <t xml:space="preserve">MW ×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年收入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利用率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期間係數。只看機房，不看合約</t>
    </r>
  </si>
  <si>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B</t>
    </r>
    <r>
      <rPr>
        <b val="true"/>
        <sz val="10"/>
        <rFont val="Noto Sans CJK SC"/>
        <family val="2"/>
      </rPr>
      <t xml:space="preserve">）合約：排程 </t>
    </r>
    <r>
      <rPr>
        <b val="true"/>
        <sz val="10"/>
        <rFont val="Arial"/>
        <family val="0"/>
        <charset val="1"/>
      </rPr>
      <t xml:space="preserve">RPO</t>
    </r>
  </si>
  <si>
    <r>
      <rPr>
        <sz val="10"/>
        <rFont val="Noto Sans CJK SC"/>
        <family val="2"/>
      </rPr>
      <t xml:space="preserve">排程 </t>
    </r>
    <r>
      <rPr>
        <sz val="10"/>
        <rFont val="Arial"/>
        <family val="0"/>
        <charset val="1"/>
      </rPr>
      <t xml:space="preserve">RPO</t>
    </r>
    <r>
      <rPr>
        <sz val="10"/>
        <rFont val="Noto Sans CJK SC"/>
        <family val="2"/>
      </rPr>
      <t xml:space="preserve">（模型期，依季報桶分攤）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</si>
  <si>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(6/30 RPO</t>
    </r>
    <r>
      <rPr>
        <sz val="9"/>
        <color rgb="FF595959"/>
        <rFont val="Noto Sans CJK SC"/>
        <family val="2"/>
      </rPr>
      <t xml:space="preserve">＋評價日後新增</t>
    </r>
    <r>
      <rPr>
        <sz val="9"/>
        <color rgb="FF595959"/>
        <rFont val="Arial"/>
        <family val="0"/>
        <charset val="1"/>
      </rPr>
      <t xml:space="preserve">)×</t>
    </r>
    <r>
      <rPr>
        <sz val="9"/>
        <color rgb="FF595959"/>
        <rFont val="Noto Sans CJK SC"/>
        <family val="2"/>
      </rPr>
      <t xml:space="preserve">本期權重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權重合計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五期認列比例。只看合約，不看機房</t>
    </r>
  </si>
  <si>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）兩條線相減</t>
    </r>
  </si>
  <si>
    <t xml:space="preserve">產能瓶頸（模型期：排程 − 容量）</t>
  </si>
  <si>
    <t xml:space="preserve">合約有、機房沒有 → 本期收不到，且不遞延到下期（保守處理）</t>
  </si>
  <si>
    <r>
      <rPr>
        <sz val="10"/>
        <rFont val="Noto Sans CJK SC"/>
        <family val="2"/>
      </rPr>
      <t xml:space="preserve">期初 </t>
    </r>
    <r>
      <rPr>
        <sz val="10"/>
        <rFont val="Arial"/>
        <family val="0"/>
        <charset val="1"/>
      </rPr>
      <t xml:space="preserve">RPO </t>
    </r>
    <r>
      <rPr>
        <sz val="10"/>
        <rFont val="Noto Sans CJK SC"/>
        <family val="2"/>
      </rPr>
      <t xml:space="preserve">轉換收入（模型期）</t>
    </r>
  </si>
  <si>
    <r>
      <rPr>
        <sz val="9"/>
        <color rgb="FF595959"/>
        <rFont val="Noto Sans CJK SC"/>
        <family val="2"/>
      </rPr>
      <t xml:space="preserve">＝排程 − 瓶頸。當瓶頸</t>
    </r>
    <r>
      <rPr>
        <sz val="9"/>
        <color rgb="FF595959"/>
        <rFont val="Arial"/>
        <family val="0"/>
        <charset val="1"/>
      </rPr>
      <t xml:space="preserve">&gt;0 </t>
    </r>
    <r>
      <rPr>
        <sz val="9"/>
        <color rgb="FF595959"/>
        <rFont val="Noto Sans CJK SC"/>
        <family val="2"/>
      </rPr>
      <t xml:space="preserve">時，此值恆等於容量上限</t>
    </r>
  </si>
  <si>
    <r>
      <rPr>
        <sz val="10"/>
        <rFont val="Noto Sans CJK SC"/>
        <family val="2"/>
      </rPr>
      <t xml:space="preserve">未被期初 </t>
    </r>
    <r>
      <rPr>
        <sz val="10"/>
        <rFont val="Arial"/>
        <family val="0"/>
        <charset val="1"/>
      </rPr>
      <t xml:space="preserve">RPO </t>
    </r>
    <r>
      <rPr>
        <sz val="10"/>
        <rFont val="Noto Sans CJK SC"/>
        <family val="2"/>
      </rPr>
      <t xml:space="preserve">占用的產能</t>
    </r>
  </si>
  <si>
    <t xml:space="preserve">容量 − 排程。機房有、期初合約沒占滿 → 要靠新簽約</t>
  </si>
  <si>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驅動時固定 </t>
    </r>
    <r>
      <rPr>
        <sz val="9"/>
        <color rgb="FF595959"/>
        <rFont val="Arial"/>
        <family val="0"/>
        <charset val="1"/>
      </rPr>
      <t xml:space="preserve">100%</t>
    </r>
  </si>
  <si>
    <t xml:space="preserve">新簽約收入</t>
  </si>
  <si>
    <r>
      <rPr>
        <sz val="9"/>
        <color rgb="FF595959"/>
        <rFont val="Noto Sans CJK SC"/>
        <family val="2"/>
      </rPr>
      <t xml:space="preserve">超出期初 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Noto Sans CJK SC"/>
        <family val="2"/>
      </rPr>
      <t xml:space="preserve">的產能收入（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驅動，簽約率 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Noto Sans CJK SC"/>
        <family val="2"/>
      </rPr>
      <t xml:space="preserve">）</t>
    </r>
  </si>
  <si>
    <t xml:space="preserve">未售產能（浪費）</t>
  </si>
  <si>
    <r>
      <rPr>
        <sz val="9"/>
        <color rgb="FF595959"/>
        <rFont val="Noto Sans CJK SC"/>
        <family val="2"/>
      </rPr>
      <t xml:space="preserve">蓋好但賣不掉（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驅動時為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</si>
  <si>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損益用算力收入（模型期＝</t>
    </r>
    <r>
      <rPr>
        <sz val="10"/>
        <rFont val="Arial"/>
        <family val="0"/>
        <charset val="1"/>
      </rPr>
      <t xml:space="preserve">RPO </t>
    </r>
    <r>
      <rPr>
        <sz val="10"/>
        <rFont val="Noto Sans CJK SC"/>
        <family val="2"/>
      </rPr>
      <t xml:space="preserve">轉換＋新簽約）</t>
    </r>
  </si>
  <si>
    <t xml:space="preserve">損益與評價頁的算力收入由此連結，確保現金與損益同一組數字</t>
  </si>
  <si>
    <r>
      <rPr>
        <sz val="10"/>
        <rFont val="Noto Sans CJK SC"/>
        <family val="2"/>
      </rPr>
      <t xml:space="preserve">核對：算力收入 − 平均在役 </t>
    </r>
    <r>
      <rPr>
        <sz val="10"/>
        <rFont val="Arial"/>
        <family val="0"/>
        <charset val="1"/>
      </rPr>
      <t xml:space="preserve">MW ×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× </t>
    </r>
    <r>
      <rPr>
        <sz val="10"/>
        <rFont val="Noto Sans CJK SC"/>
        <family val="2"/>
      </rPr>
      <t xml:space="preserve">利用率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期間</t>
    </r>
  </si>
  <si>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驅動時應為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：營收可追溯為 </t>
    </r>
    <r>
      <rPr>
        <sz val="9"/>
        <color rgb="FF595959"/>
        <rFont val="Arial"/>
        <family val="0"/>
        <charset val="1"/>
      </rPr>
      <t xml:space="preserve">MW ×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年收入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利用率（</t>
    </r>
    <r>
      <rPr>
        <sz val="9"/>
        <color rgb="FF595959"/>
        <rFont val="Arial"/>
        <family val="0"/>
        <charset val="1"/>
      </rPr>
      <t xml:space="preserve">v0.1b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</si>
  <si>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對照：評價日起 </t>
    </r>
    <r>
      <rPr>
        <sz val="10"/>
        <rFont val="Arial"/>
        <family val="0"/>
        <charset val="1"/>
      </rPr>
      <t xml:space="preserve">36 </t>
    </r>
    <r>
      <rPr>
        <sz val="10"/>
        <rFont val="Noto Sans CJK SC"/>
        <family val="2"/>
      </rPr>
      <t xml:space="preserve">個月營收權重</t>
    </r>
  </si>
  <si>
    <r>
      <rPr>
        <sz val="9"/>
        <color rgb="FF595959"/>
        <rFont val="Arial"/>
        <family val="0"/>
        <charset val="1"/>
      </rPr>
      <t xml:space="preserve">RPO 36 </t>
    </r>
    <r>
      <rPr>
        <sz val="9"/>
        <color rgb="FF595959"/>
        <rFont val="Noto Sans CJK SC"/>
        <family val="2"/>
      </rPr>
      <t xml:space="preserve">個月內轉換的對照用（只作對照，不驅動營收）</t>
    </r>
  </si>
  <si>
    <r>
      <rPr>
        <sz val="10"/>
        <rFont val="Noto Sans CJK SC"/>
        <family val="2"/>
      </rPr>
      <t xml:space="preserve">對照：評價日起 </t>
    </r>
    <r>
      <rPr>
        <sz val="10"/>
        <rFont val="Arial"/>
        <family val="0"/>
        <charset val="1"/>
      </rPr>
      <t xml:space="preserve">36 </t>
    </r>
    <r>
      <rPr>
        <sz val="10"/>
        <rFont val="Noto Sans CJK SC"/>
        <family val="2"/>
      </rPr>
      <t xml:space="preserve">個月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驅動營收</t>
    </r>
  </si>
  <si>
    <r>
      <rPr>
        <sz val="9"/>
        <color rgb="FF595959"/>
        <rFont val="Noto Sans CJK SC"/>
        <family val="2"/>
      </rPr>
      <t xml:space="preserve">合計對照季報 </t>
    </r>
    <r>
      <rPr>
        <sz val="9"/>
        <color rgb="FF595959"/>
        <rFont val="Arial"/>
        <family val="0"/>
        <charset val="1"/>
      </rPr>
      <t xml:space="preserve">RPO 519.5 × 36 </t>
    </r>
    <r>
      <rPr>
        <sz val="9"/>
        <color rgb="FF595959"/>
        <rFont val="Noto Sans CJK SC"/>
        <family val="2"/>
      </rPr>
      <t xml:space="preserve">個月內 </t>
    </r>
    <r>
      <rPr>
        <sz val="9"/>
        <color rgb="FF595959"/>
        <rFont val="Arial"/>
        <family val="0"/>
        <charset val="1"/>
      </rPr>
      <t xml:space="preserve">59%</t>
    </r>
    <r>
      <rPr>
        <sz val="9"/>
        <color rgb="FF595959"/>
        <rFont val="Noto Sans CJK SC"/>
        <family val="2"/>
      </rPr>
      <t xml:space="preserve">（含非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事業 </t>
    </r>
    <r>
      <rPr>
        <sz val="9"/>
        <color rgb="FF595959"/>
        <rFont val="Arial"/>
        <family val="0"/>
        <charset val="1"/>
      </rPr>
      <t xml:space="preserve">RPO</t>
    </r>
    <r>
      <rPr>
        <sz val="9"/>
        <color rgb="FF595959"/>
        <rFont val="Noto Sans CJK SC"/>
        <family val="2"/>
      </rPr>
      <t xml:space="preserve">）；差額不回推每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單價</t>
    </r>
  </si>
  <si>
    <r>
      <rPr>
        <sz val="10"/>
        <rFont val="Arial"/>
        <family val="0"/>
        <charset val="1"/>
      </rPr>
      <t xml:space="preserve">1H26 </t>
    </r>
    <r>
      <rPr>
        <sz val="10"/>
        <rFont val="Noto Sans CJK SC"/>
        <family val="2"/>
      </rPr>
      <t xml:space="preserve">實際營收（季報，已實現）</t>
    </r>
  </si>
  <si>
    <r>
      <rPr>
        <sz val="9"/>
        <color rgb="FF595959"/>
        <rFont val="Arial"/>
        <family val="0"/>
        <charset val="1"/>
      </rPr>
      <t xml:space="preserve">2026-01-01 </t>
    </r>
    <r>
      <rPr>
        <sz val="9"/>
        <color rgb="FF595959"/>
        <rFont val="Noto Sans CJK SC"/>
        <family val="2"/>
      </rPr>
      <t xml:space="preserve">至 </t>
    </r>
    <r>
      <rPr>
        <sz val="9"/>
        <color rgb="FF595959"/>
        <rFont val="Arial"/>
        <family val="0"/>
        <charset val="1"/>
      </rPr>
      <t xml:space="preserve">06-30 </t>
    </r>
    <r>
      <rPr>
        <sz val="9"/>
        <color rgb="FF595959"/>
        <rFont val="Noto Sans CJK SC"/>
        <family val="2"/>
      </rPr>
      <t xml:space="preserve">已認列營收。已實現，不受下半年產能約束，故不進入上方的瓶頸計算</t>
    </r>
  </si>
  <si>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全年總營收（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實際＋模型期算力＋服務＋非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事業）</t>
    </r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</si>
  <si>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欄對照公司全年指引 未給全年營收指引；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以後即為該年度總營收</t>
    </r>
  </si>
  <si>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）收入 → 現金：三道折扣</t>
    </r>
  </si>
  <si>
    <r>
      <rPr>
        <sz val="10"/>
        <rFont val="Noto Sans CJK SC"/>
        <family val="2"/>
      </rPr>
      <t xml:space="preserve">信用損失（期初 </t>
    </r>
    <r>
      <rPr>
        <sz val="10"/>
        <rFont val="Arial"/>
        <family val="0"/>
        <charset val="1"/>
      </rPr>
      <t xml:space="preserve">RPO </t>
    </r>
    <r>
      <rPr>
        <sz val="10"/>
        <rFont val="Noto Sans CJK SC"/>
        <family val="2"/>
      </rPr>
      <t xml:space="preserve">部分）</t>
    </r>
  </si>
  <si>
    <r>
      <rPr>
        <sz val="9"/>
        <color rgb="FF595959"/>
        <rFont val="Noto Sans CJK SC"/>
        <family val="2"/>
      </rPr>
      <t xml:space="preserve">＝收入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違約率 </t>
    </r>
    <r>
      <rPr>
        <sz val="9"/>
        <color rgb="FF595959"/>
        <rFont val="Arial"/>
        <family val="0"/>
        <charset val="1"/>
      </rPr>
      <t xml:space="preserve">× (1−</t>
    </r>
    <r>
      <rPr>
        <sz val="9"/>
        <color rgb="FF595959"/>
        <rFont val="Noto Sans CJK SC"/>
        <family val="2"/>
      </rPr>
      <t xml:space="preserve">回收率</t>
    </r>
    <r>
      <rPr>
        <sz val="9"/>
        <color rgb="FF595959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</si>
  <si>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收現（期初 </t>
    </r>
    <r>
      <rPr>
        <sz val="10"/>
        <rFont val="Arial"/>
        <family val="0"/>
        <charset val="1"/>
      </rPr>
      <t xml:space="preserve">RPO </t>
    </r>
    <r>
      <rPr>
        <sz val="10"/>
        <rFont val="Noto Sans CJK SC"/>
        <family val="2"/>
      </rPr>
      <t xml:space="preserve">部分）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</si>
  <si>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率（損益與資金共用）</t>
    </r>
  </si>
  <si>
    <t xml:space="preserve">起始→穩態線性爬升</t>
  </si>
  <si>
    <t xml:space="preserve">模型期總營收（算力＋服務）</t>
  </si>
  <si>
    <r>
      <rPr>
        <sz val="10"/>
        <rFont val="Arial"/>
        <family val="0"/>
        <charset val="1"/>
      </rPr>
      <t xml:space="preserve">EBITDAR </t>
    </r>
    <r>
      <rPr>
        <sz val="10"/>
        <rFont val="Noto Sans CJK SC"/>
        <family val="2"/>
      </rPr>
      <t xml:space="preserve">率（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率＋租金</t>
    </r>
    <r>
      <rPr>
        <sz val="10"/>
        <rFont val="Arial"/>
        <family val="0"/>
        <charset val="1"/>
      </rPr>
      <t xml:space="preserve">÷</t>
    </r>
    <r>
      <rPr>
        <sz val="10"/>
        <rFont val="Noto Sans CJK SC"/>
        <family val="2"/>
      </rPr>
      <t xml:space="preserve">營收）</t>
    </r>
  </si>
  <si>
    <r>
      <rPr>
        <sz val="9"/>
        <color rgb="FF595959"/>
        <rFont val="Noto Sans CJK SC"/>
        <family val="2"/>
      </rPr>
      <t xml:space="preserve">租金前的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率。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已扣租金，而資金模型把租金列在支出端，所以要加回，避免重複扣除</t>
    </r>
  </si>
  <si>
    <r>
      <rPr>
        <sz val="10"/>
        <rFont val="Arial"/>
        <family val="0"/>
        <charset val="1"/>
      </rPr>
      <t xml:space="preserve">RPO </t>
    </r>
    <r>
      <rPr>
        <sz val="10"/>
        <rFont val="Noto Sans CJK SC"/>
        <family val="2"/>
      </rPr>
      <t xml:space="preserve">現金（可支應資本用途）</t>
    </r>
  </si>
  <si>
    <r>
      <rPr>
        <sz val="9"/>
        <color rgb="FF595959"/>
        <rFont val="Arial"/>
        <family val="0"/>
        <charset val="1"/>
      </rPr>
      <t xml:space="preserve">×EBITDAR </t>
    </r>
    <r>
      <rPr>
        <sz val="9"/>
        <color rgb="FF595959"/>
        <rFont val="Noto Sans CJK SC"/>
        <family val="2"/>
      </rPr>
      <t xml:space="preserve">率。租金與利息在支出頁單獨列示</t>
    </r>
  </si>
  <si>
    <t xml:space="preserve">新簽約現金</t>
  </si>
  <si>
    <r>
      <rPr>
        <sz val="9"/>
        <color rgb="FF595959"/>
        <rFont val="Noto Sans CJK SC"/>
        <family val="2"/>
      </rPr>
      <t xml:space="preserve">同樣扣信用損失、乘 </t>
    </r>
    <r>
      <rPr>
        <sz val="9"/>
        <color rgb="FF595959"/>
        <rFont val="Arial"/>
        <family val="0"/>
        <charset val="1"/>
      </rPr>
      <t xml:space="preserve">EBITDAR </t>
    </r>
    <r>
      <rPr>
        <sz val="9"/>
        <color rgb="FF595959"/>
        <rFont val="Noto Sans CJK SC"/>
        <family val="2"/>
      </rPr>
      <t xml:space="preserve">率</t>
    </r>
  </si>
  <si>
    <r>
      <rPr>
        <b val="true"/>
        <sz val="10"/>
        <rFont val="Noto Sans CJK SC"/>
        <family val="2"/>
      </rPr>
      <t xml:space="preserve">讀法：</t>
    </r>
    <r>
      <rPr>
        <b val="true"/>
        <sz val="10"/>
        <rFont val="Arial"/>
        <family val="0"/>
        <charset val="1"/>
      </rPr>
      <t xml:space="preserve">2026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2H</t>
    </r>
    <r>
      <rPr>
        <b val="true"/>
        <sz val="10"/>
        <rFont val="Noto Sans CJK SC"/>
        <family val="2"/>
      </rPr>
      <t xml:space="preserve">）與 </t>
    </r>
    <r>
      <rPr>
        <b val="true"/>
        <sz val="10"/>
        <rFont val="Arial"/>
        <family val="0"/>
        <charset val="1"/>
      </rPr>
      <t xml:space="preserve">2027 </t>
    </r>
    <r>
      <rPr>
        <b val="true"/>
        <sz val="10"/>
        <rFont val="Noto Sans CJK SC"/>
        <family val="2"/>
      </rPr>
      <t xml:space="preserve">瓶頸</t>
    </r>
    <r>
      <rPr>
        <b val="true"/>
        <sz val="10"/>
        <rFont val="Arial"/>
        <family val="0"/>
        <charset val="1"/>
      </rPr>
      <t xml:space="preserve">&gt;0</t>
    </r>
    <r>
      <rPr>
        <b val="true"/>
        <sz val="10"/>
        <rFont val="Noto Sans CJK SC"/>
        <family val="2"/>
      </rPr>
      <t xml:space="preserve">，合約多於機房；</t>
    </r>
    <r>
      <rPr>
        <b val="true"/>
        <sz val="10"/>
        <rFont val="Arial"/>
        <family val="0"/>
        <charset val="1"/>
      </rPr>
      <t xml:space="preserve">2028 </t>
    </r>
    <r>
      <rPr>
        <b val="true"/>
        <sz val="10"/>
        <rFont val="Noto Sans CJK SC"/>
        <family val="2"/>
      </rPr>
      <t xml:space="preserve">起反轉，收入愈來愈靠『新簽約收入』這一列。</t>
    </r>
  </si>
  <si>
    <r>
      <rPr>
        <sz val="9"/>
        <color rgb="FF595959"/>
        <rFont val="Noto Sans CJK SC"/>
        <family val="2"/>
      </rPr>
      <t xml:space="preserve">把『新產能簽約率』調到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，就能看到只靠期初 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Noto Sans CJK SC"/>
        <family val="2"/>
      </rPr>
      <t xml:space="preserve">的資金缺口有多大——這是最重要的一個壓力測試。</t>
    </r>
  </si>
  <si>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E</t>
    </r>
    <r>
      <rPr>
        <b val="true"/>
        <sz val="10"/>
        <rFont val="Noto Sans CJK SC"/>
        <family val="2"/>
      </rPr>
      <t xml:space="preserve">）建設延誤（</t>
    </r>
    <r>
      <rPr>
        <b val="true"/>
        <sz val="10"/>
        <rFont val="Arial"/>
        <family val="0"/>
        <charset val="1"/>
      </rPr>
      <t xml:space="preserve">v0.2</t>
    </r>
    <r>
      <rPr>
        <b val="true"/>
        <sz val="10"/>
        <rFont val="Noto Sans CJK SC"/>
        <family val="2"/>
      </rPr>
      <t xml:space="preserve">）：計費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Noto Sans CJK SC"/>
        <family val="2"/>
      </rPr>
      <t xml:space="preserve">往後平移；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Noto Sans CJK SC"/>
        <family val="2"/>
      </rPr>
      <t xml:space="preserve">資本支出與客戶出資照原時程；折舊自投入使用時點起算</t>
    </r>
  </si>
  <si>
    <t xml:space="preserve">建設延誤月數｜保守 已交付＋已公開在建</t>
  </si>
  <si>
    <r>
      <rPr>
        <sz val="9"/>
        <color rgb="FF595959"/>
        <rFont val="Arial"/>
        <family val="0"/>
        <charset val="1"/>
      </rPr>
      <t xml:space="preserve">company.json → scenarios.delayMonths</t>
    </r>
    <r>
      <rPr>
        <sz val="9"/>
        <color rgb="FF595959"/>
        <rFont val="Noto Sans CJK SC"/>
        <family val="2"/>
      </rPr>
      <t xml:space="preserve">；依據見該欄 </t>
    </r>
    <r>
      <rPr>
        <sz val="9"/>
        <color rgb="FF595959"/>
        <rFont val="Arial"/>
        <family val="0"/>
        <charset val="1"/>
      </rPr>
      <t xml:space="preserve">note [Assumed]</t>
    </r>
  </si>
  <si>
    <t xml:space="preserve">建設延誤月數｜基準 依資本支出指引</t>
  </si>
  <si>
    <r>
      <rPr>
        <sz val="10"/>
        <rFont val="Noto Sans CJK SC"/>
        <family val="2"/>
      </rPr>
      <t xml:space="preserve">建設延誤月數｜積極 依 </t>
    </r>
    <r>
      <rPr>
        <sz val="10"/>
        <rFont val="Arial"/>
        <family val="0"/>
        <charset val="1"/>
      </rPr>
      <t xml:space="preserve">2027 </t>
    </r>
    <r>
      <rPr>
        <sz val="10"/>
        <rFont val="Noto Sans CJK SC"/>
        <family val="2"/>
      </rPr>
      <t xml:space="preserve">擴張幅度</t>
    </r>
  </si>
  <si>
    <t xml:space="preserve">建設延誤月數（目前情境）</t>
  </si>
  <si>
    <r>
      <rPr>
        <sz val="9"/>
        <color rgb="FF595959"/>
        <rFont val="Noto Sans CJK SC"/>
        <family val="2"/>
      </rPr>
      <t xml:space="preserve">＝依『輸入與假設』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區情境選擇器；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＝不延誤（＝</t>
    </r>
    <r>
      <rPr>
        <sz val="9"/>
        <color rgb="FF595959"/>
        <rFont val="Arial"/>
        <family val="0"/>
        <charset val="1"/>
      </rPr>
      <t xml:space="preserve">v0.1</t>
    </r>
    <r>
      <rPr>
        <sz val="9"/>
        <color rgb="FF595959"/>
        <rFont val="Noto Sans CJK SC"/>
        <family val="2"/>
      </rPr>
      <t xml:space="preserve">）</t>
    </r>
  </si>
  <si>
    <t xml:space="preserve">期末時點（評價日起，年）</t>
  </si>
  <si>
    <t xml:space="preserve">＝累計期間長度</t>
  </si>
  <si>
    <r>
      <rPr>
        <sz val="10"/>
        <rFont val="Noto Sans CJK SC"/>
        <family val="2"/>
      </rPr>
      <t xml:space="preserve">成長型 </t>
    </r>
    <r>
      <rPr>
        <sz val="10"/>
        <rFont val="Arial"/>
        <family val="0"/>
        <charset val="1"/>
      </rPr>
      <t xml:space="preserve">CapEx </t>
    </r>
    <r>
      <rPr>
        <sz val="10"/>
        <rFont val="Noto Sans CJK SC"/>
        <family val="2"/>
      </rPr>
      <t xml:space="preserve">累計（原時程，評價日起）</t>
    </r>
  </si>
  <si>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與網通照原併網時程採購、交貨等電（客戶出資覆蓋比同樣依原時程）</t>
    </r>
  </si>
  <si>
    <t xml:space="preserve">已投入使用累計（延誤後）</t>
  </si>
  <si>
    <r>
      <rPr>
        <sz val="9"/>
        <color rgb="FF595959"/>
        <rFont val="Noto Sans CJK SC"/>
        <family val="2"/>
      </rPr>
      <t xml:space="preserve">＝上列往後平移建設延誤月數（線性內插）；延誤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時＝上列</t>
    </r>
  </si>
  <si>
    <r>
      <rPr>
        <sz val="10"/>
        <rFont val="Noto Sans CJK SC"/>
        <family val="2"/>
      </rPr>
      <t xml:space="preserve">本期投入使用的成長型 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（折舊基礎）</t>
    </r>
  </si>
  <si>
    <r>
      <rPr>
        <sz val="9"/>
        <color rgb="FF595959"/>
        <rFont val="Noto Sans CJK SC"/>
        <family val="2"/>
      </rPr>
      <t xml:space="preserve">車隊折舊自投入使用時點起算（『輸入與假設』期初毛 </t>
    </r>
    <r>
      <rPr>
        <sz val="9"/>
        <color rgb="FF595959"/>
        <rFont val="Arial"/>
        <family val="0"/>
        <charset val="1"/>
      </rPr>
      <t xml:space="preserve">PP&amp;E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D&amp;A </t>
    </r>
    <r>
      <rPr>
        <sz val="9"/>
        <color rgb="FF595959"/>
        <rFont val="Noto Sans CJK SC"/>
        <family val="2"/>
      </rPr>
      <t xml:space="preserve">引用此列）</t>
    </r>
  </si>
  <si>
    <t xml:space="preserve">閒置資本（已支出未產生收入，期末）</t>
  </si>
  <si>
    <r>
      <rPr>
        <sz val="9"/>
        <color rgb="FF595959"/>
        <rFont val="Noto Sans CJK SC"/>
        <family val="2"/>
      </rPr>
      <t xml:space="preserve">＝原時程累計 − 已投入使用累計；延誤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時為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。一頁摘要以一句呈現峰值</t>
    </r>
  </si>
  <si>
    <r>
      <rPr>
        <sz val="10"/>
        <rFont val="Noto Sans CJK SC"/>
        <family val="2"/>
      </rPr>
      <t xml:space="preserve">未起租租約起租連動比例（</t>
    </r>
    <r>
      <rPr>
        <sz val="10"/>
        <rFont val="Arial"/>
        <family val="0"/>
        <charset val="1"/>
      </rPr>
      <t xml:space="preserve">delayLink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</si>
  <si>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未起租租金中此比例的起租時點隨延誤月數後移（開發商交付晚），其餘照原時程（</t>
    </r>
    <r>
      <rPr>
        <sz val="9"/>
        <color rgb="FF595959"/>
        <rFont val="Arial"/>
        <family val="0"/>
        <charset val="1"/>
      </rPr>
      <t xml:space="preserve">company.json → leases.uncommenced.delayLink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Noto Sans CJK SC"/>
        <family val="2"/>
      </rPr>
      <t xml:space="preserve">；替代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</t>
    </r>
  </si>
  <si>
    <r>
      <rPr>
        <sz val="10"/>
        <rFont val="Noto Sans CJK SC"/>
        <family val="2"/>
      </rPr>
      <t xml:space="preserve">延誤罰則（應計費而未計費營收的 </t>
    </r>
    <r>
      <rPr>
        <sz val="10"/>
        <rFont val="Arial"/>
        <family val="0"/>
        <charset val="1"/>
      </rPr>
      <t xml:space="preserve">%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</si>
  <si>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公司未揭露合約條款：預設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（不存在／未揭露）；敏感度 </t>
    </r>
    <r>
      <rPr>
        <sz val="9"/>
        <color rgb="FF595959"/>
        <rFont val="Arial"/>
        <family val="0"/>
        <charset val="1"/>
      </rPr>
      <t xml:space="preserve">5%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10%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company.json → defaults.delayPenalty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[Assumed]</t>
    </r>
  </si>
  <si>
    <t xml:space="preserve">表外現金租金：全部隨延誤平移（對照）</t>
  </si>
  <si>
    <r>
      <rPr>
        <sz val="9"/>
        <color rgb="FF595959"/>
        <rFont val="Noto Sans CJK SC"/>
        <family val="2"/>
      </rPr>
      <t xml:space="preserve">＝未起租排程的起算季延後 延誤月數 </t>
    </r>
    <r>
      <rPr>
        <sz val="9"/>
        <color rgb="FF595959"/>
        <rFont val="Arial"/>
        <family val="0"/>
        <charset val="1"/>
      </rPr>
      <t xml:space="preserve">÷ 3 </t>
    </r>
    <r>
      <rPr>
        <sz val="9"/>
        <color rgb="FF595959"/>
        <rFont val="Noto Sans CJK SC"/>
        <family val="2"/>
      </rPr>
      <t xml:space="preserve">季（其餘同『輸入與假設』表外現金租金）</t>
    </r>
  </si>
  <si>
    <t xml:space="preserve">表外現金租金（未起租，延誤連動後）</t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</si>
  <si>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(1 − </t>
    </r>
    <r>
      <rPr>
        <sz val="9"/>
        <color rgb="FF595959"/>
        <rFont val="Noto Sans CJK SC"/>
        <family val="2"/>
      </rPr>
      <t xml:space="preserve">連動比例</t>
    </r>
    <r>
      <rPr>
        <sz val="9"/>
        <color rgb="FF595959"/>
        <rFont val="Arial"/>
        <family val="0"/>
        <charset val="1"/>
      </rPr>
      <t xml:space="preserve">)× </t>
    </r>
    <r>
      <rPr>
        <sz val="9"/>
        <color rgb="FF595959"/>
        <rFont val="Noto Sans CJK SC"/>
        <family val="2"/>
      </rPr>
      <t xml:space="preserve">原排程＋連動比例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平移後排程；延誤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時＝原排程（『各期收支』租金引用此列）</t>
    </r>
  </si>
  <si>
    <t xml:space="preserve">容量上限（未延誤，對照）</t>
  </si>
  <si>
    <r>
      <rPr>
        <sz val="9"/>
        <color rgb="FF595959"/>
        <rFont val="Noto Sans CJK SC"/>
        <family val="2"/>
      </rPr>
      <t xml:space="preserve">＝未延誤的平均可計費 </t>
    </r>
    <r>
      <rPr>
        <sz val="9"/>
        <color rgb="FF595959"/>
        <rFont val="Arial"/>
        <family val="0"/>
        <charset val="1"/>
      </rPr>
      <t xml:space="preserve">MW ×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年收入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利用率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期間長度</t>
    </r>
  </si>
  <si>
    <t xml:space="preserve">應計費而未計費營收（延誤造成）</t>
  </si>
  <si>
    <t xml:space="preserve">＝未延誤容量上限 − 延誤後容量上限</t>
  </si>
  <si>
    <t xml:space="preserve">延誤罰則（營業費用）</t>
  </si>
  <si>
    <r>
      <rPr>
        <sz val="9"/>
        <color rgb="FF595959"/>
        <rFont val="Noto Sans CJK SC"/>
        <family val="2"/>
      </rPr>
      <t xml:space="preserve">＝罰則比例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應計費而未計費營收；扣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Noto Sans CJK SC"/>
        <family val="2"/>
      </rPr>
      <t xml:space="preserve">、營運來源、稅基與債務上限。客戶預付不因延誤退還（已知限制）</t>
    </r>
  </si>
  <si>
    <r>
      <rPr>
        <b val="true"/>
        <sz val="14"/>
        <rFont val="Noto Sans CJK SC"/>
        <family val="2"/>
      </rPr>
      <t xml:space="preserve">站點租賃 — 公司揭露 </t>
    </r>
    <r>
      <rPr>
        <b val="true"/>
        <sz val="14"/>
        <rFont val="Arial"/>
        <family val="0"/>
        <charset val="1"/>
      </rPr>
      <t xml:space="preserve">vs </t>
    </r>
    <r>
      <rPr>
        <b val="true"/>
        <sz val="14"/>
        <rFont val="Noto Sans CJK SC"/>
        <family val="2"/>
      </rPr>
      <t xml:space="preserve">季報總額（檢驗租金路徑用）</t>
    </r>
  </si>
  <si>
    <r>
      <rPr>
        <sz val="9"/>
        <color rgb="FF595959"/>
        <rFont val="Noto Sans CJK SC"/>
        <family val="2"/>
      </rPr>
      <t xml:space="preserve">季報不揭露逐站租金；下表為具名站點（</t>
    </r>
    <r>
      <rPr>
        <sz val="9"/>
        <color rgb="FF595959"/>
        <rFont val="Arial"/>
        <family val="0"/>
        <charset val="1"/>
      </rPr>
      <t xml:space="preserve">company.json → defaults.sites</t>
    </r>
    <r>
      <rPr>
        <sz val="9"/>
        <color rgb="FF595959"/>
        <rFont val="Noto Sans CJK SC"/>
        <family val="2"/>
      </rPr>
      <t xml:space="preserve">），有租約金額者用來檢驗『每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年租金』與模型租金路徑是否一致</t>
    </r>
  </si>
  <si>
    <t xml:space="preserve">站點</t>
  </si>
  <si>
    <t xml:space="preserve">營運方</t>
  </si>
  <si>
    <r>
      <rPr>
        <b val="true"/>
        <sz val="11"/>
        <color rgb="FFFFFFFF"/>
        <rFont val="Noto Sans CJK SC"/>
        <family val="2"/>
      </rPr>
      <t xml:space="preserve">契約 </t>
    </r>
    <r>
      <rPr>
        <b val="true"/>
        <sz val="11"/>
        <color rgb="FFFFFFFF"/>
        <rFont val="Arial"/>
        <family val="0"/>
        <charset val="1"/>
      </rPr>
      <t xml:space="preserve">MW</t>
    </r>
  </si>
  <si>
    <r>
      <rPr>
        <b val="true"/>
        <sz val="11"/>
        <color rgb="FFFFFFFF"/>
        <rFont val="Noto Sans CJK SC"/>
        <family val="2"/>
      </rPr>
      <t xml:space="preserve">已驗收 </t>
    </r>
    <r>
      <rPr>
        <b val="true"/>
        <sz val="11"/>
        <color rgb="FFFFFFFF"/>
        <rFont val="Arial"/>
        <family val="0"/>
        <charset val="1"/>
      </rPr>
      <t xml:space="preserve">MW</t>
    </r>
  </si>
  <si>
    <r>
      <rPr>
        <b val="true"/>
        <sz val="11"/>
        <color rgb="FFFFFFFF"/>
        <rFont val="Noto Sans CJK SC"/>
        <family val="2"/>
      </rPr>
      <t xml:space="preserve">合約總值 </t>
    </r>
    <r>
      <rPr>
        <b val="true"/>
        <sz val="11"/>
        <color rgb="FFFFFFFF"/>
        <rFont val="Arial"/>
        <family val="0"/>
        <charset val="1"/>
      </rPr>
      <t xml:space="preserve">$bn</t>
    </r>
  </si>
  <si>
    <t xml:space="preserve">年期</t>
  </si>
  <si>
    <r>
      <rPr>
        <b val="true"/>
        <sz val="11"/>
        <color rgb="FFFFFFFF"/>
        <rFont val="Noto Sans CJK SC"/>
        <family val="2"/>
      </rPr>
      <t xml:space="preserve">年租金 </t>
    </r>
    <r>
      <rPr>
        <b val="true"/>
        <sz val="11"/>
        <color rgb="FFFFFFFF"/>
        <rFont val="Arial"/>
        <family val="0"/>
        <charset val="1"/>
      </rPr>
      <t xml:space="preserve">$bn</t>
    </r>
  </si>
  <si>
    <r>
      <rPr>
        <b val="true"/>
        <sz val="11"/>
        <color rgb="FFFFFFFF"/>
        <rFont val="Noto Sans CJK SC"/>
        <family val="2"/>
      </rPr>
      <t xml:space="preserve">每 </t>
    </r>
    <r>
      <rPr>
        <b val="true"/>
        <sz val="11"/>
        <color rgb="FFFFFFFF"/>
        <rFont val="Arial"/>
        <family val="0"/>
        <charset val="1"/>
      </rPr>
      <t xml:space="preserve">MW </t>
    </r>
    <r>
      <rPr>
        <b val="true"/>
        <sz val="11"/>
        <color rgb="FFFFFFFF"/>
        <rFont val="Noto Sans CJK SC"/>
        <family val="2"/>
      </rPr>
      <t xml:space="preserve">年租金 </t>
    </r>
    <r>
      <rPr>
        <b val="true"/>
        <sz val="11"/>
        <color rgb="FFFFFFFF"/>
        <rFont val="Arial"/>
        <family val="0"/>
        <charset val="1"/>
      </rPr>
      <t xml:space="preserve">$m</t>
    </r>
  </si>
  <si>
    <t xml:space="preserve">時程</t>
  </si>
  <si>
    <t xml:space="preserve">季報對應</t>
  </si>
  <si>
    <t xml:space="preserve">Mesa, AZ</t>
  </si>
  <si>
    <r>
      <rPr>
        <sz val="9"/>
        <color rgb="FF595959"/>
        <rFont val="Arial"/>
        <family val="0"/>
        <charset val="1"/>
      </rPr>
      <t xml:space="preserve">Google </t>
    </r>
    <r>
      <rPr>
        <sz val="9"/>
        <color rgb="FF595959"/>
        <rFont val="Noto Sans CJK SC"/>
        <family val="2"/>
      </rPr>
      <t xml:space="preserve">自建</t>
    </r>
  </si>
  <si>
    <t xml:space="preserve">未揭露</t>
  </si>
  <si>
    <t xml:space="preserve">—</t>
  </si>
  <si>
    <r>
      <rPr>
        <sz val="9"/>
        <color rgb="FF595959"/>
        <rFont val="Arial"/>
        <family val="0"/>
        <charset val="1"/>
      </rPr>
      <t xml:space="preserve">Epoch AI </t>
    </r>
    <r>
      <rPr>
        <sz val="9"/>
        <color rgb="FF595959"/>
        <rFont val="Noto Sans CJK SC"/>
        <family val="2"/>
      </rPr>
      <t xml:space="preserve">資料中心目錄：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Noto Sans CJK SC"/>
        <family val="2"/>
      </rPr>
      <t xml:space="preserve">電力 </t>
    </r>
    <r>
      <rPr>
        <sz val="9"/>
        <color rgb="FF595959"/>
        <rFont val="Arial"/>
        <family val="0"/>
        <charset val="1"/>
      </rPr>
      <t xml:space="preserve">183 MW</t>
    </r>
    <r>
      <rPr>
        <sz val="9"/>
        <color rgb="FF595959"/>
        <rFont val="Noto Sans CJK SC"/>
        <family val="2"/>
      </rPr>
      <t xml:space="preserve">（估計 </t>
    </r>
    <r>
      <rPr>
        <sz val="9"/>
        <color rgb="FF595959"/>
        <rFont val="Arial"/>
        <family val="0"/>
        <charset val="1"/>
      </rPr>
      <t xml:space="preserve">2026-08-15 </t>
    </r>
    <r>
      <rPr>
        <sz val="9"/>
        <color rgb="FF595959"/>
        <rFont val="Noto Sans CJK SC"/>
        <family val="2"/>
      </rPr>
      <t xml:space="preserve">營運；事實總帳 </t>
    </r>
    <r>
      <rPr>
        <sz val="9"/>
        <color rgb="FF595959"/>
        <rFont val="Arial"/>
        <family val="0"/>
        <charset val="1"/>
      </rPr>
      <t xml:space="preserve">mw.site.mesa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</t>
    </r>
    <r>
      <rPr>
        <sz val="9"/>
        <color rgb="FF595959"/>
        <rFont val="Noto Sans CJK SC"/>
        <family val="2"/>
      </rPr>
      <t xml:space="preserve">第三方</t>
    </r>
    <r>
      <rPr>
        <sz val="9"/>
        <color rgb="FF595959"/>
        <rFont val="Arial"/>
        <family val="0"/>
        <charset val="1"/>
      </rPr>
      <t xml:space="preserve">]</t>
    </r>
  </si>
  <si>
    <t xml:space="preserve">具名站點合計</t>
  </si>
  <si>
    <r>
      <rPr>
        <sz val="9"/>
        <color rgb="FF595959"/>
        <rFont val="Noto Sans CJK SC"/>
        <family val="2"/>
      </rPr>
      <t xml:space="preserve">加權每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年租金＝具名站點的市場基準（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欄＝有租約金額站點的契約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；沒有時為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，不適用）</t>
    </r>
  </si>
  <si>
    <r>
      <rPr>
        <b val="true"/>
        <sz val="10"/>
        <rFont val="Noto Sans CJK SC"/>
        <family val="2"/>
      </rPr>
      <t xml:space="preserve">對帳：具名站點 </t>
    </r>
    <r>
      <rPr>
        <b val="true"/>
        <sz val="10"/>
        <rFont val="Arial"/>
        <family val="0"/>
        <charset val="1"/>
      </rPr>
      <t xml:space="preserve">vs </t>
    </r>
    <r>
      <rPr>
        <b val="true"/>
        <sz val="10"/>
        <rFont val="Noto Sans CJK SC"/>
        <family val="2"/>
      </rPr>
      <t xml:space="preserve">季報租賃承諾總額</t>
    </r>
  </si>
  <si>
    <t xml:space="preserve">季報在帳租賃（未折現，已起租）</t>
  </si>
  <si>
    <t xml:space="preserve">company.json → leases.facts.onBal</t>
  </si>
  <si>
    <t xml:space="preserve">季報未起租租賃（未折現）</t>
  </si>
  <si>
    <t xml:space="preserve">company.json → leases.facts.notCommenced</t>
  </si>
  <si>
    <t xml:space="preserve">季報單站按造價計租上限</t>
  </si>
  <si>
    <r>
      <rPr>
        <sz val="9"/>
        <color rgb="FF595959"/>
        <rFont val="Arial"/>
        <family val="0"/>
        <charset val="1"/>
      </rPr>
      <t xml:space="preserve">company.json → leases.facts.singleCap</t>
    </r>
    <r>
      <rPr>
        <sz val="9"/>
        <color rgb="FF595959"/>
        <rFont val="Noto Sans CJK SC"/>
        <family val="2"/>
      </rPr>
      <t xml:space="preserve">（無則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）</t>
    </r>
  </si>
  <si>
    <t xml:space="preserve">季報已揭露租賃承諾合計</t>
  </si>
  <si>
    <t xml:space="preserve">未折現金額</t>
  </si>
  <si>
    <t xml:space="preserve">減：具名站點合約總值</t>
  </si>
  <si>
    <t xml:space="preserve">＝ 未具名站點（殘差）</t>
  </si>
  <si>
    <t xml:space="preserve">未具名站點；公司不揭露逐站租金，殘差大是必然</t>
  </si>
  <si>
    <t xml:space="preserve">殘差占季報總額</t>
  </si>
  <si>
    <r>
      <rPr>
        <b val="true"/>
        <sz val="10"/>
        <rFont val="Noto Sans CJK SC"/>
        <family val="2"/>
      </rPr>
      <t xml:space="preserve">檢驗：模型租金路徑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在役 </t>
    </r>
    <r>
      <rPr>
        <b val="true"/>
        <sz val="10"/>
        <rFont val="Arial"/>
        <family val="0"/>
        <charset val="1"/>
      </rPr>
      <t xml:space="preserve">MW vs </t>
    </r>
    <r>
      <rPr>
        <b val="true"/>
        <sz val="10"/>
        <rFont val="Noto Sans CJK SC"/>
        <family val="2"/>
      </rPr>
      <t xml:space="preserve">市場基準</t>
    </r>
  </si>
  <si>
    <t xml:space="preserve">模型租金（在帳＋表外）</t>
  </si>
  <si>
    <r>
      <rPr>
        <sz val="10"/>
        <rFont val="Noto Sans CJK SC"/>
        <family val="2"/>
      </rPr>
      <t xml:space="preserve">平均在役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（已連網）</t>
    </r>
  </si>
  <si>
    <r>
      <rPr>
        <b val="true"/>
        <sz val="10"/>
        <rFont val="Noto Sans CJK SC"/>
        <family val="2"/>
      </rPr>
      <t xml:space="preserve">模型每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Noto Sans CJK SC"/>
        <family val="2"/>
      </rPr>
      <t xml:space="preserve">年租金</t>
    </r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</si>
  <si>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欄只含下半年租金、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取全期平均，略有低估</t>
    </r>
  </si>
  <si>
    <t xml:space="preserve">第三方租賃占比</t>
  </si>
  <si>
    <r>
      <rPr>
        <sz val="9"/>
        <color rgb="FF595959"/>
        <rFont val="Noto Sans CJK SC"/>
        <family val="2"/>
      </rPr>
      <t xml:space="preserve">其餘為自建，成本走 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company.json → leases.facts.share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</si>
  <si>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Noto Sans CJK SC"/>
        <family val="2"/>
      </rPr>
      <t xml:space="preserve">基準租金（</t>
    </r>
    <r>
      <rPr>
        <sz val="10"/>
        <rFont val="Arial"/>
        <family val="0"/>
        <charset val="1"/>
      </rPr>
      <t xml:space="preserve">MW×</t>
    </r>
    <r>
      <rPr>
        <sz val="10"/>
        <rFont val="Noto Sans CJK SC"/>
        <family val="2"/>
      </rPr>
      <t xml:space="preserve">市場基準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占比）</t>
    </r>
  </si>
  <si>
    <r>
      <rPr>
        <sz val="9"/>
        <color rgb="FF595959"/>
        <rFont val="Noto Sans CJK SC"/>
        <family val="2"/>
      </rPr>
      <t xml:space="preserve">具名站點有租約金額時才有意義；否則為 </t>
    </r>
    <r>
      <rPr>
        <sz val="9"/>
        <color rgb="FF595959"/>
        <rFont val="Arial"/>
        <family val="0"/>
        <charset val="1"/>
      </rPr>
      <t xml:space="preserve">0</t>
    </r>
  </si>
  <si>
    <t xml:space="preserve">差額（基準 − 模型）</t>
  </si>
  <si>
    <t xml:space="preserve">正值＝模型租金可能低估的金額</t>
  </si>
  <si>
    <t xml:space="preserve">五期差額合計</t>
  </si>
  <si>
    <r>
      <rPr>
        <b val="true"/>
        <sz val="14"/>
        <rFont val="Noto Sans CJK SC"/>
        <family val="2"/>
      </rPr>
      <t xml:space="preserve">債務明細 — 季報（</t>
    </r>
    <r>
      <rPr>
        <b val="true"/>
        <sz val="14"/>
        <rFont val="Arial"/>
        <family val="0"/>
        <charset val="1"/>
      </rPr>
      <t xml:space="preserve">2026-06-30</t>
    </r>
    <r>
      <rPr>
        <b val="true"/>
        <sz val="14"/>
        <rFont val="Noto Sans CJK SC"/>
        <family val="2"/>
      </rPr>
      <t xml:space="preserve">）逐筆＋存量利息推導</t>
    </r>
  </si>
  <si>
    <r>
      <rPr>
        <sz val="9"/>
        <color rgb="FF595959"/>
        <rFont val="Noto Sans CJK SC"/>
        <family val="2"/>
      </rPr>
      <t xml:space="preserve">有效利率為現金票息口徑（可轉債＝票息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到期累積倍數，本金以到期累積本金計）。本頁算出的存量利息連回『輸入』頁，再進入支出與資金頁</t>
    </r>
  </si>
  <si>
    <t xml:space="preserve">工具</t>
  </si>
  <si>
    <t xml:space="preserve">類別</t>
  </si>
  <si>
    <t xml:space="preserve">到期</t>
  </si>
  <si>
    <t xml:space="preserve">有效利率</t>
  </si>
  <si>
    <r>
      <rPr>
        <b val="true"/>
        <sz val="11"/>
        <color rgb="FFFFFFFF"/>
        <rFont val="Arial"/>
        <family val="0"/>
        <charset val="1"/>
      </rPr>
      <t xml:space="preserve">6/30 </t>
    </r>
    <r>
      <rPr>
        <b val="true"/>
        <sz val="11"/>
        <color rgb="FFFFFFFF"/>
        <rFont val="Noto Sans CJK SC"/>
        <family val="2"/>
      </rPr>
      <t xml:space="preserve">本金</t>
    </r>
  </si>
  <si>
    <t xml:space="preserve">年化利息</t>
  </si>
  <si>
    <r>
      <rPr>
        <sz val="10"/>
        <rFont val="Arial"/>
        <family val="0"/>
        <charset val="1"/>
      </rPr>
      <t xml:space="preserve">2016 </t>
    </r>
    <r>
      <rPr>
        <sz val="10"/>
        <rFont val="Noto Sans CJK SC"/>
        <family val="2"/>
      </rPr>
      <t xml:space="preserve">美元票據（</t>
    </r>
    <r>
      <rPr>
        <sz val="10"/>
        <rFont val="Arial"/>
        <family val="0"/>
        <charset val="1"/>
      </rPr>
      <t xml:space="preserve">2.0B</t>
    </r>
    <r>
      <rPr>
        <sz val="10"/>
        <rFont val="Noto Sans CJK SC"/>
        <family val="2"/>
      </rPr>
      <t xml:space="preserve">）</t>
    </r>
  </si>
  <si>
    <t xml:space="preserve">無擔保</t>
  </si>
  <si>
    <t xml:space="preserve">2026-08</t>
  </si>
  <si>
    <r>
      <rPr>
        <sz val="9"/>
        <color rgb="FF595959"/>
        <rFont val="Arial"/>
        <family val="0"/>
        <charset val="1"/>
      </rPr>
      <t xml:space="preserve">10-Q 2026Q2 </t>
    </r>
    <r>
      <rPr>
        <sz val="9"/>
        <color rgb="FF595959"/>
        <rFont val="Noto Sans CJK SC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Noto Sans CJK SC"/>
        <family val="2"/>
      </rPr>
      <t xml:space="preserve">：面額 </t>
    </r>
    <r>
      <rPr>
        <sz val="9"/>
        <color rgb="FF595959"/>
        <rFont val="Arial"/>
        <family val="0"/>
        <charset val="1"/>
      </rPr>
      <t xml:space="preserve">2,000</t>
    </r>
    <r>
      <rPr>
        <sz val="9"/>
        <color rgb="FF595959"/>
        <rFont val="Noto Sans CJK SC"/>
        <family val="2"/>
      </rPr>
      <t xml:space="preserve">、票面 </t>
    </r>
    <r>
      <rPr>
        <sz val="9"/>
        <color rgb="FF595959"/>
        <rFont val="Arial"/>
        <family val="0"/>
        <charset val="1"/>
      </rPr>
      <t xml:space="preserve">2.00%</t>
    </r>
    <r>
      <rPr>
        <sz val="9"/>
        <color rgb="FF595959"/>
        <rFont val="Noto Sans CJK SC"/>
        <family val="2"/>
      </rPr>
      <t xml:space="preserve">、有效利率 </t>
    </r>
    <r>
      <rPr>
        <sz val="9"/>
        <color rgb="FF595959"/>
        <rFont val="Arial"/>
        <family val="0"/>
        <charset val="1"/>
      </rPr>
      <t xml:space="preserve">2.23%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到期 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</si>
  <si>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Arial"/>
        <family val="0"/>
        <charset val="1"/>
      </rPr>
      <t xml:space="preserve">2020 </t>
    </r>
    <r>
      <rPr>
        <sz val="10"/>
        <rFont val="Noto Sans CJK SC"/>
        <family val="2"/>
      </rPr>
      <t xml:space="preserve">美元票據（</t>
    </r>
    <r>
      <rPr>
        <sz val="10"/>
        <rFont val="Arial"/>
        <family val="0"/>
        <charset val="1"/>
      </rPr>
      <t xml:space="preserve">9.0B</t>
    </r>
    <r>
      <rPr>
        <sz val="10"/>
        <rFont val="Noto Sans CJK SC"/>
        <family val="2"/>
      </rPr>
      <t xml:space="preserve">）</t>
    </r>
  </si>
  <si>
    <t xml:space="preserve">2040-08</t>
  </si>
  <si>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Noto Sans CJK SC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Noto Sans CJK SC"/>
        <family val="2"/>
      </rPr>
      <t xml:space="preserve">：面額 </t>
    </r>
    <r>
      <rPr>
        <sz val="9"/>
        <color rgb="FF595959"/>
        <rFont val="Arial"/>
        <family val="0"/>
        <charset val="1"/>
      </rPr>
      <t xml:space="preserve">9,000</t>
    </r>
    <r>
      <rPr>
        <sz val="9"/>
        <color rgb="FF595959"/>
        <rFont val="Noto Sans CJK SC"/>
        <family val="2"/>
      </rPr>
      <t xml:space="preserve">、有效利率 </t>
    </r>
    <r>
      <rPr>
        <sz val="9"/>
        <color rgb="FF595959"/>
        <rFont val="Arial"/>
        <family val="0"/>
        <charset val="1"/>
      </rPr>
      <t xml:space="preserve">0.93%–2.33%</t>
    </r>
    <r>
      <rPr>
        <sz val="9"/>
        <color rgb="FF595959"/>
        <rFont val="Noto Sans CJK SC"/>
        <family val="2"/>
      </rPr>
      <t xml:space="preserve">（取中點）、到期 </t>
    </r>
    <r>
      <rPr>
        <sz val="9"/>
        <color rgb="FF595959"/>
        <rFont val="Arial"/>
        <family val="0"/>
        <charset val="1"/>
      </rPr>
      <t xml:space="preserve">2027–2060</t>
    </r>
    <r>
      <rPr>
        <sz val="9"/>
        <color rgb="FF595959"/>
        <rFont val="Noto Sans CJK SC"/>
        <family val="2"/>
      </rPr>
      <t xml:space="preserve">；到期日取區間中段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</si>
  <si>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Arial"/>
        <family val="0"/>
        <charset val="1"/>
      </rPr>
      <t xml:space="preserve">2025 </t>
    </r>
    <r>
      <rPr>
        <sz val="10"/>
        <rFont val="Noto Sans CJK SC"/>
        <family val="2"/>
      </rPr>
      <t xml:space="preserve">美元票據（</t>
    </r>
    <r>
      <rPr>
        <sz val="10"/>
        <rFont val="Arial"/>
        <family val="0"/>
        <charset val="1"/>
      </rPr>
      <t xml:space="preserve">22.5B</t>
    </r>
    <r>
      <rPr>
        <sz val="10"/>
        <rFont val="Noto Sans CJK SC"/>
        <family val="2"/>
      </rPr>
      <t xml:space="preserve">；含浮動 </t>
    </r>
    <r>
      <rPr>
        <sz val="10"/>
        <rFont val="Arial"/>
        <family val="0"/>
        <charset val="1"/>
      </rPr>
      <t xml:space="preserve">0.5B</t>
    </r>
    <r>
      <rPr>
        <sz val="10"/>
        <rFont val="Noto Sans CJK SC"/>
        <family val="2"/>
      </rPr>
      <t xml:space="preserve">）</t>
    </r>
  </si>
  <si>
    <t xml:space="preserve">2045-05</t>
  </si>
  <si>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Noto Sans CJK SC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Noto Sans CJK SC"/>
        <family val="2"/>
      </rPr>
      <t xml:space="preserve">：面額 </t>
    </r>
    <r>
      <rPr>
        <sz val="9"/>
        <color rgb="FF595959"/>
        <rFont val="Arial"/>
        <family val="0"/>
        <charset val="1"/>
      </rPr>
      <t xml:space="preserve">22,500</t>
    </r>
    <r>
      <rPr>
        <sz val="9"/>
        <color rgb="FF595959"/>
        <rFont val="Noto Sans CJK SC"/>
        <family val="2"/>
      </rPr>
      <t xml:space="preserve">、有效利率 </t>
    </r>
    <r>
      <rPr>
        <sz val="9"/>
        <color rgb="FF595959"/>
        <rFont val="Arial"/>
        <family val="0"/>
        <charset val="1"/>
      </rPr>
      <t xml:space="preserve">4.00%–5.79%</t>
    </r>
    <r>
      <rPr>
        <sz val="9"/>
        <color rgb="FF595959"/>
        <rFont val="Noto Sans CJK SC"/>
        <family val="2"/>
      </rPr>
      <t xml:space="preserve">（取中點）、到期 </t>
    </r>
    <r>
      <rPr>
        <sz val="9"/>
        <color rgb="FF595959"/>
        <rFont val="Arial"/>
        <family val="0"/>
        <charset val="1"/>
      </rPr>
      <t xml:space="preserve">2028–2075</t>
    </r>
    <r>
      <rPr>
        <sz val="9"/>
        <color rgb="FF595959"/>
        <rFont val="Noto Sans CJK SC"/>
        <family val="2"/>
      </rPr>
      <t xml:space="preserve">；到期日取區間中段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</si>
  <si>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Arial"/>
        <family val="0"/>
        <charset val="1"/>
      </rPr>
      <t xml:space="preserve">2025 </t>
    </r>
    <r>
      <rPr>
        <sz val="10"/>
        <rFont val="Noto Sans CJK SC"/>
        <family val="2"/>
      </rPr>
      <t xml:space="preserve">歐元票據</t>
    </r>
  </si>
  <si>
    <t xml:space="preserve">2042-11</t>
  </si>
  <si>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Noto Sans CJK SC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Noto Sans CJK SC"/>
        <family val="2"/>
      </rPr>
      <t xml:space="preserve">：面額 </t>
    </r>
    <r>
      <rPr>
        <sz val="9"/>
        <color rgb="FF595959"/>
        <rFont val="Arial"/>
        <family val="0"/>
        <charset val="1"/>
      </rPr>
      <t xml:space="preserve">15,074</t>
    </r>
    <r>
      <rPr>
        <sz val="9"/>
        <color rgb="FF595959"/>
        <rFont val="Noto Sans CJK SC"/>
        <family val="2"/>
      </rPr>
      <t xml:space="preserve">（含匯率）、有效利率 </t>
    </r>
    <r>
      <rPr>
        <sz val="9"/>
        <color rgb="FF595959"/>
        <rFont val="Arial"/>
        <family val="0"/>
        <charset val="1"/>
      </rPr>
      <t xml:space="preserve">2.57%–4.51%</t>
    </r>
    <r>
      <rPr>
        <sz val="9"/>
        <color rgb="FF595959"/>
        <rFont val="Noto Sans CJK SC"/>
        <family val="2"/>
      </rPr>
      <t xml:space="preserve">（取中點）、到期 </t>
    </r>
    <r>
      <rPr>
        <sz val="9"/>
        <color rgb="FF595959"/>
        <rFont val="Arial"/>
        <family val="0"/>
        <charset val="1"/>
      </rPr>
      <t xml:space="preserve">2028–2064 [Assumed </t>
    </r>
    <r>
      <rPr>
        <sz val="9"/>
        <color rgb="FF595959"/>
        <rFont val="Noto Sans CJK SC"/>
        <family val="2"/>
      </rPr>
      <t xml:space="preserve">到期日</t>
    </r>
    <r>
      <rPr>
        <sz val="9"/>
        <color rgb="FF595959"/>
        <rFont val="Arial"/>
        <family val="0"/>
        <charset val="1"/>
      </rPr>
      <t xml:space="preserve">]</t>
    </r>
  </si>
  <si>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美元票據（</t>
    </r>
    <r>
      <rPr>
        <sz val="10"/>
        <rFont val="Arial"/>
        <family val="0"/>
        <charset val="1"/>
      </rPr>
      <t xml:space="preserve">20.0B</t>
    </r>
    <r>
      <rPr>
        <sz val="10"/>
        <rFont val="Noto Sans CJK SC"/>
        <family val="2"/>
      </rPr>
      <t xml:space="preserve">）</t>
    </r>
  </si>
  <si>
    <t xml:space="preserve">2041-02</t>
  </si>
  <si>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Noto Sans CJK SC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Noto Sans CJK SC"/>
        <family val="2"/>
      </rPr>
      <t xml:space="preserve">：面額 </t>
    </r>
    <r>
      <rPr>
        <sz val="9"/>
        <color rgb="FF595959"/>
        <rFont val="Arial"/>
        <family val="0"/>
        <charset val="1"/>
      </rPr>
      <t xml:space="preserve">20,000</t>
    </r>
    <r>
      <rPr>
        <sz val="9"/>
        <color rgb="FF595959"/>
        <rFont val="Noto Sans CJK SC"/>
        <family val="2"/>
      </rPr>
      <t xml:space="preserve">、加權票面 </t>
    </r>
    <r>
      <rPr>
        <sz val="9"/>
        <color rgb="FF595959"/>
        <rFont val="Arial"/>
        <family val="0"/>
        <charset val="1"/>
      </rPr>
      <t xml:space="preserve">4.80%</t>
    </r>
    <r>
      <rPr>
        <sz val="9"/>
        <color rgb="FF595959"/>
        <rFont val="Noto Sans CJK SC"/>
        <family val="2"/>
      </rPr>
      <t xml:space="preserve">、加權年限 </t>
    </r>
    <r>
      <rPr>
        <sz val="9"/>
        <color rgb="FF595959"/>
        <rFont val="Arial"/>
        <family val="0"/>
        <charset val="1"/>
      </rPr>
      <t xml:space="preserve">15 </t>
    </r>
    <r>
      <rPr>
        <sz val="9"/>
        <color rgb="FF595959"/>
        <rFont val="Noto Sans CJK SC"/>
        <family val="2"/>
      </rPr>
      <t xml:space="preserve">年（</t>
    </r>
    <r>
      <rPr>
        <sz val="9"/>
        <color rgb="FF595959"/>
        <rFont val="Arial"/>
        <family val="0"/>
        <charset val="1"/>
      </rPr>
      <t xml:space="preserve">2026Q1 </t>
    </r>
    <r>
      <rPr>
        <sz val="9"/>
        <color rgb="FF595959"/>
        <rFont val="Noto Sans CJK SC"/>
        <family val="2"/>
      </rPr>
      <t xml:space="preserve">發行）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</si>
  <si>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英鎊票據（</t>
    </r>
    <r>
      <rPr>
        <sz val="10"/>
        <rFont val="Arial"/>
        <family val="0"/>
        <charset val="1"/>
      </rPr>
      <t xml:space="preserve">£5.5B</t>
    </r>
    <r>
      <rPr>
        <sz val="10"/>
        <rFont val="Noto Sans CJK SC"/>
        <family val="2"/>
      </rPr>
      <t xml:space="preserve">）</t>
    </r>
  </si>
  <si>
    <t xml:space="preserve">2057-02</t>
  </si>
  <si>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Noto Sans CJK SC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Noto Sans CJK SC"/>
        <family val="2"/>
      </rPr>
      <t xml:space="preserve">：面額 </t>
    </r>
    <r>
      <rPr>
        <sz val="9"/>
        <color rgb="FF595959"/>
        <rFont val="Arial"/>
        <family val="0"/>
        <charset val="1"/>
      </rPr>
      <t xml:space="preserve">7,263</t>
    </r>
    <r>
      <rPr>
        <sz val="9"/>
        <color rgb="FF595959"/>
        <rFont val="Noto Sans CJK SC"/>
        <family val="2"/>
      </rPr>
      <t xml:space="preserve">、加權票面 </t>
    </r>
    <r>
      <rPr>
        <sz val="9"/>
        <color rgb="FF595959"/>
        <rFont val="Arial"/>
        <family val="0"/>
        <charset val="1"/>
      </rPr>
      <t xml:space="preserve">5.31%</t>
    </r>
    <r>
      <rPr>
        <sz val="9"/>
        <color rgb="FF595959"/>
        <rFont val="Noto Sans CJK SC"/>
        <family val="2"/>
      </rPr>
      <t xml:space="preserve">、加權年限 </t>
    </r>
    <r>
      <rPr>
        <sz val="9"/>
        <color rgb="FF595959"/>
        <rFont val="Arial"/>
        <family val="0"/>
        <charset val="1"/>
      </rPr>
      <t xml:space="preserve">31 </t>
    </r>
    <r>
      <rPr>
        <sz val="9"/>
        <color rgb="FF595959"/>
        <rFont val="Noto Sans CJK SC"/>
        <family val="2"/>
      </rPr>
      <t xml:space="preserve">年 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</si>
  <si>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瑞士法郎票據（</t>
    </r>
    <r>
      <rPr>
        <sz val="10"/>
        <rFont val="Arial"/>
        <family val="0"/>
        <charset val="1"/>
      </rPr>
      <t xml:space="preserve">CHF3.1B</t>
    </r>
    <r>
      <rPr>
        <sz val="10"/>
        <rFont val="Noto Sans CJK SC"/>
        <family val="2"/>
      </rPr>
      <t xml:space="preserve">）</t>
    </r>
  </si>
  <si>
    <t xml:space="preserve">2036-02</t>
  </si>
  <si>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Noto Sans CJK SC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Noto Sans CJK SC"/>
        <family val="2"/>
      </rPr>
      <t xml:space="preserve">：面額 </t>
    </r>
    <r>
      <rPr>
        <sz val="9"/>
        <color rgb="FF595959"/>
        <rFont val="Arial"/>
        <family val="0"/>
        <charset val="1"/>
      </rPr>
      <t xml:space="preserve">3,772</t>
    </r>
    <r>
      <rPr>
        <sz val="9"/>
        <color rgb="FF595959"/>
        <rFont val="Noto Sans CJK SC"/>
        <family val="2"/>
      </rPr>
      <t xml:space="preserve">、加權票面 </t>
    </r>
    <r>
      <rPr>
        <sz val="9"/>
        <color rgb="FF595959"/>
        <rFont val="Arial"/>
        <family val="0"/>
        <charset val="1"/>
      </rPr>
      <t xml:space="preserve">1.06%</t>
    </r>
    <r>
      <rPr>
        <sz val="9"/>
        <color rgb="FF595959"/>
        <rFont val="Noto Sans CJK SC"/>
        <family val="2"/>
      </rPr>
      <t xml:space="preserve">、加權年限 </t>
    </r>
    <r>
      <rPr>
        <sz val="9"/>
        <color rgb="FF595959"/>
        <rFont val="Arial"/>
        <family val="0"/>
        <charset val="1"/>
      </rPr>
      <t xml:space="preserve">10 </t>
    </r>
    <r>
      <rPr>
        <sz val="9"/>
        <color rgb="FF595959"/>
        <rFont val="Noto Sans CJK SC"/>
        <family val="2"/>
      </rPr>
      <t xml:space="preserve">年 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</si>
  <si>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歐元票據（€</t>
    </r>
    <r>
      <rPr>
        <sz val="10"/>
        <rFont val="Arial"/>
        <family val="0"/>
        <charset val="1"/>
      </rPr>
      <t xml:space="preserve">9.0B</t>
    </r>
    <r>
      <rPr>
        <sz val="10"/>
        <rFont val="Noto Sans CJK SC"/>
        <family val="2"/>
      </rPr>
      <t xml:space="preserve">）</t>
    </r>
  </si>
  <si>
    <t xml:space="preserve">2039-05</t>
  </si>
  <si>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Noto Sans CJK SC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Noto Sans CJK SC"/>
        <family val="2"/>
      </rPr>
      <t xml:space="preserve">：面額 </t>
    </r>
    <r>
      <rPr>
        <sz val="9"/>
        <color rgb="FF595959"/>
        <rFont val="Arial"/>
        <family val="0"/>
        <charset val="1"/>
      </rPr>
      <t xml:space="preserve">10,239</t>
    </r>
    <r>
      <rPr>
        <sz val="9"/>
        <color rgb="FF595959"/>
        <rFont val="Noto Sans CJK SC"/>
        <family val="2"/>
      </rPr>
      <t xml:space="preserve">、加權票面 </t>
    </r>
    <r>
      <rPr>
        <sz val="9"/>
        <color rgb="FF595959"/>
        <rFont val="Arial"/>
        <family val="0"/>
        <charset val="1"/>
      </rPr>
      <t xml:space="preserve">3.90%</t>
    </r>
    <r>
      <rPr>
        <sz val="9"/>
        <color rgb="FF595959"/>
        <rFont val="Noto Sans CJK SC"/>
        <family val="2"/>
      </rPr>
      <t xml:space="preserve">、加權年限 </t>
    </r>
    <r>
      <rPr>
        <sz val="9"/>
        <color rgb="FF595959"/>
        <rFont val="Arial"/>
        <family val="0"/>
        <charset val="1"/>
      </rPr>
      <t xml:space="preserve">13 </t>
    </r>
    <r>
      <rPr>
        <sz val="9"/>
        <color rgb="FF595959"/>
        <rFont val="Noto Sans CJK SC"/>
        <family val="2"/>
      </rPr>
      <t xml:space="preserve">年 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</si>
  <si>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加幣票據（</t>
    </r>
    <r>
      <rPr>
        <sz val="10"/>
        <rFont val="Arial"/>
        <family val="0"/>
        <charset val="1"/>
      </rPr>
      <t xml:space="preserve">C$8.5B</t>
    </r>
    <r>
      <rPr>
        <sz val="10"/>
        <rFont val="Noto Sans CJK SC"/>
        <family val="2"/>
      </rPr>
      <t xml:space="preserve">）</t>
    </r>
  </si>
  <si>
    <t xml:space="preserve">2041-05</t>
  </si>
  <si>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Noto Sans CJK SC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Noto Sans CJK SC"/>
        <family val="2"/>
      </rPr>
      <t xml:space="preserve">：面額 </t>
    </r>
    <r>
      <rPr>
        <sz val="9"/>
        <color rgb="FF595959"/>
        <rFont val="Arial"/>
        <family val="0"/>
        <charset val="1"/>
      </rPr>
      <t xml:space="preserve">5,985</t>
    </r>
    <r>
      <rPr>
        <sz val="9"/>
        <color rgb="FF595959"/>
        <rFont val="Noto Sans CJK SC"/>
        <family val="2"/>
      </rPr>
      <t xml:space="preserve">、加權票面 </t>
    </r>
    <r>
      <rPr>
        <sz val="9"/>
        <color rgb="FF595959"/>
        <rFont val="Arial"/>
        <family val="0"/>
        <charset val="1"/>
      </rPr>
      <t xml:space="preserve">4.35%</t>
    </r>
    <r>
      <rPr>
        <sz val="9"/>
        <color rgb="FF595959"/>
        <rFont val="Noto Sans CJK SC"/>
        <family val="2"/>
      </rPr>
      <t xml:space="preserve">、加權年限 </t>
    </r>
    <r>
      <rPr>
        <sz val="9"/>
        <color rgb="FF595959"/>
        <rFont val="Arial"/>
        <family val="0"/>
        <charset val="1"/>
      </rPr>
      <t xml:space="preserve">15 </t>
    </r>
    <r>
      <rPr>
        <sz val="9"/>
        <color rgb="FF595959"/>
        <rFont val="Noto Sans CJK SC"/>
        <family val="2"/>
      </rPr>
      <t xml:space="preserve">年 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</si>
  <si>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日圓票據（</t>
    </r>
    <r>
      <rPr>
        <sz val="10"/>
        <rFont val="Arial"/>
        <family val="0"/>
        <charset val="1"/>
      </rPr>
      <t xml:space="preserve">¥576.5B</t>
    </r>
    <r>
      <rPr>
        <sz val="10"/>
        <rFont val="Noto Sans CJK SC"/>
        <family val="2"/>
      </rPr>
      <t xml:space="preserve">）</t>
    </r>
  </si>
  <si>
    <t xml:space="preserve">2034-05</t>
  </si>
  <si>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Noto Sans CJK SC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Noto Sans CJK SC"/>
        <family val="2"/>
      </rPr>
      <t xml:space="preserve">：面額 </t>
    </r>
    <r>
      <rPr>
        <sz val="9"/>
        <color rgb="FF595959"/>
        <rFont val="Arial"/>
        <family val="0"/>
        <charset val="1"/>
      </rPr>
      <t xml:space="preserve">3,566</t>
    </r>
    <r>
      <rPr>
        <sz val="9"/>
        <color rgb="FF595959"/>
        <rFont val="Noto Sans CJK SC"/>
        <family val="2"/>
      </rPr>
      <t xml:space="preserve">、加權票面 </t>
    </r>
    <r>
      <rPr>
        <sz val="9"/>
        <color rgb="FF595959"/>
        <rFont val="Arial"/>
        <family val="0"/>
        <charset val="1"/>
      </rPr>
      <t xml:space="preserve">2.65%</t>
    </r>
    <r>
      <rPr>
        <sz val="9"/>
        <color rgb="FF595959"/>
        <rFont val="Noto Sans CJK SC"/>
        <family val="2"/>
      </rPr>
      <t xml:space="preserve">、加權年限 </t>
    </r>
    <r>
      <rPr>
        <sz val="9"/>
        <color rgb="FF595959"/>
        <rFont val="Arial"/>
        <family val="0"/>
        <charset val="1"/>
      </rPr>
      <t xml:space="preserve">8 </t>
    </r>
    <r>
      <rPr>
        <sz val="9"/>
        <color rgb="FF595959"/>
        <rFont val="Noto Sans CJK SC"/>
        <family val="2"/>
      </rPr>
      <t xml:space="preserve">年 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</si>
  <si>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Noto Sans CJK SC"/>
        <family val="2"/>
      </rPr>
      <t xml:space="preserve">其他長期債（含信用額度動用 </t>
    </r>
    <r>
      <rPr>
        <sz val="10"/>
        <rFont val="Arial"/>
        <family val="0"/>
        <charset val="1"/>
      </rPr>
      <t xml:space="preserve">1.3B</t>
    </r>
    <r>
      <rPr>
        <sz val="10"/>
        <rFont val="Noto Sans CJK SC"/>
        <family val="2"/>
      </rPr>
      <t xml:space="preserve">）</t>
    </r>
  </si>
  <si>
    <t xml:space="preserve">2030-04</t>
  </si>
  <si>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Noto Sans CJK SC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Noto Sans CJK SC"/>
        <family val="2"/>
      </rPr>
      <t xml:space="preserve">：其他長期債 </t>
    </r>
    <r>
      <rPr>
        <sz val="9"/>
        <color rgb="FF595959"/>
        <rFont val="Arial"/>
        <family val="0"/>
        <charset val="1"/>
      </rPr>
      <t xml:space="preserve">1,686</t>
    </r>
    <r>
      <rPr>
        <sz val="9"/>
        <color rgb="FF595959"/>
        <rFont val="Noto Sans CJK SC"/>
        <family val="2"/>
      </rPr>
      <t xml:space="preserve">；信用額度動用 </t>
    </r>
    <r>
      <rPr>
        <sz val="9"/>
        <color rgb="FF595959"/>
        <rFont val="Arial"/>
        <family val="0"/>
        <charset val="1"/>
      </rPr>
      <t xml:space="preserve">1,300 </t>
    </r>
    <r>
      <rPr>
        <sz val="9"/>
        <color rgb="FF595959"/>
        <rFont val="Noto Sans CJK SC"/>
        <family val="2"/>
      </rPr>
      <t xml:space="preserve">利率 </t>
    </r>
    <r>
      <rPr>
        <sz val="9"/>
        <color rgb="FF595959"/>
        <rFont val="Arial"/>
        <family val="0"/>
        <charset val="1"/>
      </rPr>
      <t xml:space="preserve">SOFR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1.5%–2.25%</t>
    </r>
    <r>
      <rPr>
        <sz val="9"/>
        <color rgb="FF595959"/>
        <rFont val="Noto Sans CJK SC"/>
        <family val="2"/>
      </rPr>
      <t xml:space="preserve">（約 </t>
    </r>
    <r>
      <rPr>
        <sz val="9"/>
        <color rgb="FF595959"/>
        <rFont val="Arial"/>
        <family val="0"/>
        <charset val="1"/>
      </rPr>
      <t xml:space="preserve">5.9%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Noto Sans CJK SC"/>
        <family val="2"/>
      </rPr>
      <t xml:space="preserve">）、至 </t>
    </r>
    <r>
      <rPr>
        <sz val="9"/>
        <color rgb="FF595959"/>
        <rFont val="Arial"/>
        <family val="0"/>
        <charset val="1"/>
      </rPr>
      <t xml:space="preserve">2030-04 </t>
    </r>
    <r>
      <rPr>
        <sz val="9"/>
        <color rgb="FF595959"/>
        <rFont val="Noto Sans CJK SC"/>
        <family val="2"/>
      </rPr>
      <t xml:space="preserve">到期</t>
    </r>
  </si>
  <si>
    <r>
      <rPr>
        <b val="true"/>
        <sz val="10"/>
        <rFont val="Noto Sans CJK SC"/>
        <family val="2"/>
      </rPr>
      <t xml:space="preserve">合計（</t>
    </r>
    <r>
      <rPr>
        <b val="true"/>
        <sz val="10"/>
        <rFont val="Arial"/>
        <family val="0"/>
        <charset val="1"/>
      </rPr>
      <t xml:space="preserve">6/30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</si>
  <si>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應等於最新季報本金合計 </t>
    </r>
    <r>
      <rPr>
        <sz val="9"/>
        <color rgb="FF595959"/>
        <rFont val="Arial"/>
        <family val="0"/>
        <charset val="1"/>
      </rPr>
      <t xml:space="preserve">101.085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company.json → latestQuarter.debtPrincipal</t>
    </r>
    <r>
      <rPr>
        <sz val="9"/>
        <color rgb="FF595959"/>
        <rFont val="Noto Sans CJK SC"/>
        <family val="2"/>
      </rPr>
      <t xml:space="preserve">）</t>
    </r>
  </si>
  <si>
    <t xml:space="preserve">加權有效利率</t>
  </si>
  <si>
    <r>
      <rPr>
        <sz val="9"/>
        <color rgb="FF595959"/>
        <rFont val="Noto Sans CJK SC"/>
        <family val="2"/>
      </rPr>
      <t xml:space="preserve">＝年化利息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本金（</t>
    </r>
    <r>
      <rPr>
        <sz val="9"/>
        <color rgb="FF595959"/>
        <rFont val="Arial"/>
        <family val="0"/>
        <charset val="1"/>
      </rPr>
      <t xml:space="preserve">company.json → debt.instruments </t>
    </r>
    <r>
      <rPr>
        <sz val="9"/>
        <color rgb="FF595959"/>
        <rFont val="Noto Sans CJK SC"/>
        <family val="2"/>
      </rPr>
      <t xml:space="preserve">的有效利率）</t>
    </r>
  </si>
  <si>
    <t xml:space="preserve">評價日後新發可轉債</t>
  </si>
  <si>
    <r>
      <rPr>
        <sz val="9"/>
        <color rgb="FF595959"/>
        <rFont val="Arial"/>
        <family val="0"/>
        <charset val="1"/>
      </rPr>
      <t xml:space="preserve">company.json → debt.convertible</t>
    </r>
    <r>
      <rPr>
        <sz val="9"/>
        <color rgb="FF595959"/>
        <rFont val="Noto Sans CJK SC"/>
        <family val="2"/>
      </rPr>
      <t xml:space="preserve">（期後新發；不在五期還本表內，只計利息）</t>
    </r>
  </si>
  <si>
    <r>
      <rPr>
        <b val="true"/>
        <sz val="10"/>
        <rFont val="Noto Sans CJK SC"/>
        <family val="2"/>
      </rPr>
      <t xml:space="preserve">可轉債逐檔（若轉換法：有效轉換價 </t>
    </r>
    <r>
      <rPr>
        <b val="true"/>
        <sz val="10"/>
        <rFont val="Arial"/>
        <family val="0"/>
        <charset val="1"/>
      </rPr>
      <t xml:space="preserve">&lt; </t>
    </r>
    <r>
      <rPr>
        <b val="true"/>
        <sz val="10"/>
        <rFont val="Noto Sans CJK SC"/>
        <family val="2"/>
      </rPr>
      <t xml:space="preserve">判斷價 → 視為轉股，不計利息與還本）</t>
    </r>
  </si>
  <si>
    <t xml:space="preserve">可轉債</t>
  </si>
  <si>
    <t xml:space="preserve">票息</t>
  </si>
  <si>
    <t xml:space="preserve">原始本金</t>
  </si>
  <si>
    <t xml:space="preserve">到期累積倍數</t>
  </si>
  <si>
    <t xml:space="preserve">轉換價</t>
  </si>
  <si>
    <t xml:space="preserve">到期所屬模型期</t>
  </si>
  <si>
    <r>
      <rPr>
        <b val="true"/>
        <sz val="11"/>
        <color rgb="FFFFFFFF"/>
        <rFont val="Noto Sans CJK SC"/>
        <family val="2"/>
      </rPr>
      <t xml:space="preserve">強制轉換（</t>
    </r>
    <r>
      <rPr>
        <b val="true"/>
        <sz val="11"/>
        <color rgb="FFFFFFFF"/>
        <rFont val="Arial"/>
        <family val="0"/>
        <charset val="1"/>
      </rPr>
      <t xml:space="preserve">1</t>
    </r>
    <r>
      <rPr>
        <b val="true"/>
        <sz val="11"/>
        <color rgb="FFFFFFFF"/>
        <rFont val="Noto Sans CJK SC"/>
        <family val="2"/>
      </rPr>
      <t xml:space="preserve">＝是）</t>
    </r>
  </si>
  <si>
    <r>
      <rPr>
        <sz val="10"/>
        <rFont val="Arial"/>
        <family val="0"/>
        <charset val="1"/>
      </rPr>
      <t xml:space="preserve">6.25% </t>
    </r>
    <r>
      <rPr>
        <sz val="10"/>
        <rFont val="Noto Sans CJK SC"/>
        <family val="2"/>
      </rPr>
      <t xml:space="preserve">強制轉換特別股（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系列，</t>
    </r>
    <r>
      <rPr>
        <sz val="10"/>
        <rFont val="Arial"/>
        <family val="0"/>
        <charset val="1"/>
      </rPr>
      <t xml:space="preserve">2026-06</t>
    </r>
    <r>
      <rPr>
        <sz val="10"/>
        <rFont val="Noto Sans CJK SC"/>
        <family val="2"/>
      </rPr>
      <t xml:space="preserve">）</t>
    </r>
  </si>
  <si>
    <t xml:space="preserve">2029-05</t>
  </si>
  <si>
    <r>
      <rPr>
        <sz val="9"/>
        <color rgb="FF595959"/>
        <rFont val="Noto Sans CJK SC"/>
        <family val="2"/>
      </rPr>
      <t xml:space="preserve">清算價 </t>
    </r>
    <r>
      <rPr>
        <sz val="9"/>
        <color rgb="FF595959"/>
        <rFont val="Arial"/>
        <family val="0"/>
        <charset val="1"/>
      </rPr>
      <t xml:space="preserve">$19.25B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19.25M </t>
    </r>
    <r>
      <rPr>
        <sz val="9"/>
        <color rgb="FF595959"/>
        <rFont val="Noto Sans CJK SC"/>
        <family val="2"/>
      </rPr>
      <t xml:space="preserve">股 </t>
    </r>
    <r>
      <rPr>
        <sz val="9"/>
        <color rgb="FF595959"/>
        <rFont val="Arial"/>
        <family val="0"/>
        <charset val="1"/>
      </rPr>
      <t xml:space="preserve">× $1,000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385M </t>
    </r>
    <r>
      <rPr>
        <sz val="9"/>
        <color rgb="FF595959"/>
        <rFont val="Noto Sans CJK SC"/>
        <family val="2"/>
      </rPr>
      <t xml:space="preserve">存託股）；</t>
    </r>
    <r>
      <rPr>
        <sz val="9"/>
        <color rgb="FF595959"/>
        <rFont val="Arial"/>
        <family val="0"/>
        <charset val="1"/>
      </rPr>
      <t xml:space="preserve">2029-05-15 </t>
    </r>
    <r>
      <rPr>
        <sz val="9"/>
        <color rgb="FF595959"/>
        <rFont val="Noto Sans CJK SC"/>
        <family val="2"/>
      </rPr>
      <t xml:space="preserve">強制轉換：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系列每股轉 </t>
    </r>
    <r>
      <rPr>
        <sz val="9"/>
        <color rgb="FF595959"/>
        <rFont val="Arial"/>
        <family val="0"/>
        <charset val="1"/>
      </rPr>
      <t xml:space="preserve">2.2520–2.8160 </t>
    </r>
    <r>
      <rPr>
        <sz val="9"/>
        <color rgb="FF595959"/>
        <rFont val="Noto Sans CJK SC"/>
        <family val="2"/>
      </rPr>
      <t xml:space="preserve">股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股、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系列 </t>
    </r>
    <r>
      <rPr>
        <sz val="9"/>
        <color rgb="FF595959"/>
        <rFont val="Arial"/>
        <family val="0"/>
        <charset val="1"/>
      </rPr>
      <t xml:space="preserve">2.2740–2.8420 </t>
    </r>
    <r>
      <rPr>
        <sz val="9"/>
        <color rgb="FF595959"/>
        <rFont val="Noto Sans CJK SC"/>
        <family val="2"/>
      </rPr>
      <t xml:space="preserve">股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股 → </t>
    </r>
    <r>
      <rPr>
        <sz val="9"/>
        <color rgb="FF595959"/>
        <rFont val="Arial"/>
        <family val="0"/>
        <charset val="1"/>
      </rPr>
      <t xml:space="preserve">43.6–54.6M </t>
    </r>
    <r>
      <rPr>
        <sz val="9"/>
        <color rgb="FF595959"/>
        <rFont val="Noto Sans CJK SC"/>
        <family val="2"/>
      </rPr>
      <t xml:space="preserve">股，一律轉股，取稀釋最大 </t>
    </r>
    <r>
      <rPr>
        <sz val="9"/>
        <color rgb="FF595959"/>
        <rFont val="Arial"/>
        <family val="0"/>
        <charset val="1"/>
      </rPr>
      <t xml:space="preserve">54.6M </t>
    </r>
    <r>
      <rPr>
        <sz val="9"/>
        <color rgb="FF595959"/>
        <rFont val="Noto Sans CJK SC"/>
        <family val="2"/>
      </rPr>
      <t xml:space="preserve">股（轉換價下限約 </t>
    </r>
    <r>
      <rPr>
        <sz val="9"/>
        <color rgb="FF595959"/>
        <rFont val="Arial"/>
        <family val="0"/>
        <charset val="1"/>
      </rPr>
      <t xml:space="preserve">$352.56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8-K 2026-06-05 [Interested-party]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6.25% </t>
    </r>
    <r>
      <rPr>
        <sz val="9"/>
        <color rgb="FF595959"/>
        <rFont val="Noto Sans CJK SC"/>
        <family val="2"/>
      </rPr>
      <t xml:space="preserve">股利列於 </t>
    </r>
    <r>
      <rPr>
        <sz val="9"/>
        <color rgb="FF595959"/>
        <rFont val="Arial"/>
        <family val="0"/>
        <charset val="1"/>
      </rPr>
      <t xml:space="preserve">defaults.dividend.preferred</t>
    </r>
    <r>
      <rPr>
        <sz val="9"/>
        <color rgb="FF595959"/>
        <rFont val="Noto Sans CJK SC"/>
        <family val="2"/>
      </rPr>
      <t xml:space="preserve">；權益，不列債務本金；</t>
    </r>
    <r>
      <rPr>
        <sz val="9"/>
        <color rgb="FF595959"/>
        <rFont val="Arial"/>
        <family val="0"/>
        <charset val="1"/>
      </rPr>
      <t xml:space="preserve">capped call </t>
    </r>
    <r>
      <rPr>
        <sz val="9"/>
        <color rgb="FF595959"/>
        <rFont val="Noto Sans CJK SC"/>
        <family val="2"/>
      </rPr>
      <t xml:space="preserve">上限 </t>
    </r>
    <r>
      <rPr>
        <sz val="9"/>
        <color rgb="FF595959"/>
        <rFont val="Arial"/>
        <family val="0"/>
        <charset val="1"/>
      </rPr>
      <t xml:space="preserve">532.67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</t>
    </r>
    <r>
      <rPr>
        <sz val="9"/>
        <color rgb="FF595959"/>
        <rFont val="Noto Sans CJK SC"/>
        <family val="2"/>
      </rPr>
      <t xml:space="preserve">）／</t>
    </r>
    <r>
      <rPr>
        <sz val="9"/>
        <color rgb="FF595959"/>
        <rFont val="Arial"/>
        <family val="0"/>
        <charset val="1"/>
      </rPr>
      <t xml:space="preserve">527.80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）未建模</t>
    </r>
  </si>
  <si>
    <r>
      <rPr>
        <sz val="9"/>
        <color rgb="FF595959"/>
        <rFont val="Noto Sans CJK SC"/>
        <family val="2"/>
      </rPr>
      <t xml:space="preserve">到期所屬模型期：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＝首期 …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Noto Sans CJK SC"/>
        <family val="2"/>
      </rPr>
      <t xml:space="preserve">＝末期、</t>
    </r>
    <r>
      <rPr>
        <sz val="9"/>
        <color rgb="FF595959"/>
        <rFont val="Arial"/>
        <family val="0"/>
        <charset val="1"/>
      </rPr>
      <t xml:space="preserve">5</t>
    </r>
    <r>
      <rPr>
        <sz val="9"/>
        <color rgb="FF595959"/>
        <rFont val="Noto Sans CJK SC"/>
        <family val="2"/>
      </rPr>
      <t xml:space="preserve">＝模型期後（建置時依期末日推算）</t>
    </r>
  </si>
  <si>
    <t xml:space="preserve">可轉債（推導）</t>
  </si>
  <si>
    <t xml:space="preserve">到期本金</t>
  </si>
  <si>
    <t xml:space="preserve">若轉換股數</t>
  </si>
  <si>
    <t xml:space="preserve">有效轉換價</t>
  </si>
  <si>
    <t xml:space="preserve">融資分類</t>
  </si>
  <si>
    <t xml:space="preserve">評價第一輪</t>
  </si>
  <si>
    <t xml:space="preserve">評價第二輪</t>
  </si>
  <si>
    <t xml:space="preserve">合計</t>
  </si>
  <si>
    <r>
      <rPr>
        <sz val="9"/>
        <color rgb="FF595959"/>
        <rFont val="Noto Sans CJK SC"/>
        <family val="2"/>
      </rPr>
      <t xml:space="preserve">分類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＝轉股（若轉換法）、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＝債務。強制轉換者一律為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。融資分類判斷價＝股權發行價；評價第一輪＝現價；第二輪＝</t>
    </r>
    <r>
      <rPr>
        <sz val="9"/>
        <color rgb="FF595959"/>
        <rFont val="Arial"/>
        <family val="0"/>
        <charset val="1"/>
      </rPr>
      <t xml:space="preserve">MIN(</t>
    </r>
    <r>
      <rPr>
        <sz val="9"/>
        <color rgb="FF595959"/>
        <rFont val="Noto Sans CJK SC"/>
        <family val="2"/>
      </rPr>
      <t xml:space="preserve">現價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Noto Sans CJK SC"/>
        <family val="2"/>
      </rPr>
      <t xml:space="preserve">第一輪加權目標價</t>
    </r>
    <r>
      <rPr>
        <sz val="9"/>
        <color rgb="FF595959"/>
        <rFont val="Arial"/>
        <family val="0"/>
        <charset val="1"/>
      </rPr>
      <t xml:space="preserve">)</t>
    </r>
  </si>
  <si>
    <t xml:space="preserve">存量利息推導（本金依季報到期表遞減）</t>
  </si>
  <si>
    <t xml:space="preserve">期初本金</t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</si>
  <si>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期初為 </t>
    </r>
    <r>
      <rPr>
        <sz val="9"/>
        <color rgb="FF595959"/>
        <rFont val="Arial"/>
        <family val="0"/>
        <charset val="1"/>
      </rPr>
      <t xml:space="preserve">6/30 </t>
    </r>
    <r>
      <rPr>
        <sz val="9"/>
        <color rgb="FF595959"/>
        <rFont val="Noto Sans CJK SC"/>
        <family val="2"/>
      </rPr>
      <t xml:space="preserve">本金（模型期起點）</t>
    </r>
  </si>
  <si>
    <t xml:space="preserve">排程還本</t>
  </si>
  <si>
    <t xml:space="preserve">季報到期表</t>
  </si>
  <si>
    <t xml:space="preserve">期末本金</t>
  </si>
  <si>
    <t xml:space="preserve">平均本金</t>
  </si>
  <si>
    <t xml:space="preserve">存量債務利息</t>
  </si>
  <si>
    <r>
      <rPr>
        <sz val="9"/>
        <color rgb="FF595959"/>
        <rFont val="Noto Sans CJK SC"/>
        <family val="2"/>
      </rPr>
      <t xml:space="preserve">＝平均本金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加權有效利率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期間長度。限制：假設利率組合不變；可轉債折價攤銷（非現金）不計</t>
    </r>
  </si>
  <si>
    <t xml:space="preserve">期後新發可轉債利息</t>
  </si>
  <si>
    <t xml:space="preserve">可轉債到期還本（債務處理）</t>
  </si>
  <si>
    <t xml:space="preserve">融資分類為債務的可轉債，到期當期以到期累積本金現金還本</t>
  </si>
  <si>
    <t xml:space="preserve">可轉債期末餘額（債務處理）</t>
  </si>
  <si>
    <t xml:space="preserve">到期累積本金；關閉攤還時維持全額</t>
  </si>
  <si>
    <t xml:space="preserve">可轉債票息（債務處理）</t>
  </si>
  <si>
    <r>
      <rPr>
        <sz val="9"/>
        <color rgb="FF595959"/>
        <rFont val="Noto Sans CJK SC"/>
        <family val="2"/>
      </rPr>
      <t xml:space="preserve">＝原始本金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票息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期間長度；到期當期計半期</t>
    </r>
  </si>
  <si>
    <t xml:space="preserve">首期新增借款利息校準</t>
  </si>
  <si>
    <r>
      <rPr>
        <sz val="9"/>
        <color rgb="FF595959"/>
        <rFont val="Noto Sans CJK SC"/>
        <family val="2"/>
      </rPr>
      <t xml:space="preserve">讓首期模型利息對上公司季度利息指引的校準值（</t>
    </r>
    <r>
      <rPr>
        <sz val="9"/>
        <color rgb="FF595959"/>
        <rFont val="Arial"/>
        <family val="0"/>
        <charset val="1"/>
      </rPr>
      <t xml:space="preserve">company.json → defaults.intCal</t>
    </r>
    <r>
      <rPr>
        <sz val="9"/>
        <color rgb="FF595959"/>
        <rFont val="Noto Sans CJK SC"/>
        <family val="2"/>
      </rPr>
      <t xml:space="preserve">）；無指引時為 </t>
    </r>
    <r>
      <rPr>
        <sz val="9"/>
        <color rgb="FF595959"/>
        <rFont val="Arial"/>
        <family val="0"/>
        <charset val="1"/>
      </rPr>
      <t xml:space="preserve">0</t>
    </r>
  </si>
  <si>
    <t xml:space="preserve">存量利息合計（連回輸入頁）</t>
  </si>
  <si>
    <t xml:space="preserve">＝存量債務利息＋期後新發可轉債利息＋可轉債票息＋首期校準</t>
  </si>
  <si>
    <t xml:space="preserve">新債與新股（類資產負債表：現金、債務、股本、槓桿）</t>
  </si>
  <si>
    <r>
      <rPr>
        <sz val="9"/>
        <color rgb="FF595959"/>
        <rFont val="Noto Sans CJK SC"/>
        <family val="2"/>
      </rPr>
      <t xml:space="preserve">全部為連結公式。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欄的現金自 </t>
    </r>
    <r>
      <rPr>
        <sz val="9"/>
        <color rgb="FF595959"/>
        <rFont val="Arial"/>
        <family val="0"/>
        <charset val="1"/>
      </rPr>
      <t xml:space="preserve">2026-06-30 </t>
    </r>
    <r>
      <rPr>
        <sz val="9"/>
        <color rgb="FF595959"/>
        <rFont val="Noto Sans CJK SC"/>
        <family val="2"/>
      </rPr>
      <t xml:space="preserve">起算（模型期），與 </t>
    </r>
    <r>
      <rPr>
        <sz val="9"/>
        <color rgb="FF595959"/>
        <rFont val="Arial"/>
        <family val="0"/>
        <charset val="1"/>
      </rPr>
      <t xml:space="preserve">HTML</t>
    </r>
    <r>
      <rPr>
        <sz val="9"/>
        <color rgb="FF595959"/>
        <rFont val="Noto Sans CJK SC"/>
        <family val="2"/>
      </rPr>
      <t xml:space="preserve">『資產與負債 → 新債與新股』同口徑</t>
    </r>
  </si>
  <si>
    <t xml:space="preserve">現金</t>
  </si>
  <si>
    <t xml:space="preserve">期初現金</t>
  </si>
  <si>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6/30 </t>
    </r>
    <r>
      <rPr>
        <sz val="9"/>
        <color rgb="FF595959"/>
        <rFont val="Noto Sans CJK SC"/>
        <family val="2"/>
      </rPr>
      <t xml:space="preserve">現金（模型期起點）</t>
    </r>
  </si>
  <si>
    <t xml:space="preserve">營運收支淨額（含期後股權／可轉債，不含瀑布）</t>
  </si>
  <si>
    <t xml:space="preserve">＝融資前累積現金的當期變動；負值即當期外部資金需求</t>
  </si>
  <si>
    <t xml:space="preserve">＋ 瀑布：新債（額度＋資產層）</t>
  </si>
  <si>
    <t xml:space="preserve">＋ 瀑布：可轉債</t>
  </si>
  <si>
    <t xml:space="preserve">＋ 瀑布：高息債</t>
  </si>
  <si>
    <t xml:space="preserve">＋ 瀑布：股權募資</t>
  </si>
  <si>
    <t xml:space="preserve">− 回購（瀑布第二步）</t>
  </si>
  <si>
    <t xml:space="preserve">− 新融資利息（新債＋可轉債＋高息債）</t>
  </si>
  <si>
    <t xml:space="preserve">期末現金</t>
  </si>
  <si>
    <t xml:space="preserve">應等於『各期收支』期末累積現金（見下列驗算）</t>
  </si>
  <si>
    <t xml:space="preserve">　驗算：與各期收支期末現金差異</t>
  </si>
  <si>
    <r>
      <rPr>
        <sz val="9"/>
        <color rgb="FF595959"/>
        <rFont val="Noto Sans CJK SC"/>
        <family val="2"/>
      </rPr>
      <t xml:space="preserve">應為 </t>
    </r>
    <r>
      <rPr>
        <sz val="9"/>
        <color rgb="FF595959"/>
        <rFont val="Arial"/>
        <family val="0"/>
        <charset val="1"/>
      </rPr>
      <t xml:space="preserve">0</t>
    </r>
  </si>
  <si>
    <t xml:space="preserve">債務</t>
  </si>
  <si>
    <t xml:space="preserve">既有債務期初（季報本金）</t>
  </si>
  <si>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＝其他借款＋債務處理可轉債到期本金（轉股處理者不列）</t>
    </r>
  </si>
  <si>
    <t xml:space="preserve">− 排程還本（模型期）</t>
  </si>
  <si>
    <t xml:space="preserve">既有債務期末</t>
  </si>
  <si>
    <t xml:space="preserve">＝依到期表遞減（關閉攤還時維持期初）</t>
  </si>
  <si>
    <t xml:space="preserve">＋ 期後新發可轉債</t>
  </si>
  <si>
    <t xml:space="preserve">＋ 瀑布新債餘額</t>
  </si>
  <si>
    <t xml:space="preserve">＋ 瀑布可轉債餘額</t>
  </si>
  <si>
    <t xml:space="preserve">＋ 高息債餘額</t>
  </si>
  <si>
    <t xml:space="preserve">總債務</t>
  </si>
  <si>
    <t xml:space="preserve">應等於『各期收支』期末總債務</t>
  </si>
  <si>
    <t xml:space="preserve">淨負債（總債務 − 期末現金）</t>
  </si>
  <si>
    <t xml:space="preserve">股本</t>
  </si>
  <si>
    <r>
      <rPr>
        <sz val="10"/>
        <rFont val="Noto Sans CJK SC"/>
        <family val="2"/>
      </rPr>
      <t xml:space="preserve">基礎股數（含 </t>
    </r>
    <r>
      <rPr>
        <sz val="10"/>
        <rFont val="Arial"/>
        <family val="0"/>
        <charset val="1"/>
      </rPr>
      <t xml:space="preserve">ATM </t>
    </r>
    <r>
      <rPr>
        <sz val="10"/>
        <rFont val="Noto Sans CJK SC"/>
        <family val="2"/>
      </rPr>
      <t xml:space="preserve">上限、</t>
    </r>
    <r>
      <rPr>
        <sz val="10"/>
        <rFont val="Arial"/>
        <family val="0"/>
        <charset val="1"/>
      </rPr>
      <t xml:space="preserve">SBC </t>
    </r>
    <r>
      <rPr>
        <sz val="10"/>
        <rFont val="Noto Sans CJK SC"/>
        <family val="2"/>
      </rPr>
      <t xml:space="preserve">稀釋）</t>
    </r>
  </si>
  <si>
    <t xml:space="preserve">＋ 本期新股</t>
  </si>
  <si>
    <t xml:space="preserve">總股數（期末）</t>
  </si>
  <si>
    <t xml:space="preserve">＝基礎股數＋累計新股</t>
  </si>
  <si>
    <t xml:space="preserve">槓桿</t>
  </si>
  <si>
    <r>
      <rPr>
        <sz val="10"/>
        <rFont val="Noto Sans CJK SC"/>
        <family val="2"/>
      </rPr>
      <t xml:space="preserve">債務上限（債務／</t>
    </r>
    <r>
      <rPr>
        <sz val="10"/>
        <rFont val="Arial"/>
        <family val="0"/>
        <charset val="1"/>
      </rPr>
      <t xml:space="preserve">backlog × </t>
    </r>
    <r>
      <rPr>
        <sz val="10"/>
        <rFont val="Noto Sans CJK SC"/>
        <family val="2"/>
      </rPr>
      <t xml:space="preserve">期末 </t>
    </r>
    <r>
      <rPr>
        <sz val="10"/>
        <rFont val="Arial"/>
        <family val="0"/>
        <charset val="1"/>
      </rPr>
      <t xml:space="preserve">backlog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</si>
  <si>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總債務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期末 </t>
    </r>
    <r>
      <rPr>
        <sz val="10"/>
        <rFont val="Arial"/>
        <family val="0"/>
        <charset val="1"/>
      </rPr>
      <t xml:space="preserve">backlog</t>
    </r>
  </si>
  <si>
    <r>
      <rPr>
        <sz val="9"/>
        <color rgb="FF595959"/>
        <rFont val="Noto Sans CJK SC"/>
        <family val="2"/>
      </rPr>
      <t xml:space="preserve">高息債不受 </t>
    </r>
    <r>
      <rPr>
        <sz val="9"/>
        <color rgb="FF595959"/>
        <rFont val="Arial"/>
        <family val="0"/>
        <charset val="1"/>
      </rPr>
      <t xml:space="preserve">backlog </t>
    </r>
    <r>
      <rPr>
        <sz val="9"/>
        <color rgb="FF595959"/>
        <rFont val="Noto Sans CJK SC"/>
        <family val="2"/>
      </rPr>
      <t xml:space="preserve">上限約束</t>
    </r>
  </si>
  <si>
    <r>
      <rPr>
        <sz val="10"/>
        <rFont val="Noto Sans CJK SC"/>
        <family val="2"/>
      </rPr>
      <t xml:space="preserve">總債務 </t>
    </r>
    <r>
      <rPr>
        <sz val="10"/>
        <rFont val="Arial"/>
        <family val="0"/>
        <charset val="1"/>
      </rPr>
      <t xml:space="preserve">÷ EBITDA</t>
    </r>
    <r>
      <rPr>
        <sz val="10"/>
        <rFont val="Noto Sans CJK SC"/>
        <family val="2"/>
      </rPr>
      <t xml:space="preserve">（年化）</t>
    </r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</si>
  <si>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模型期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以模型期長度年化</t>
    </r>
  </si>
  <si>
    <t xml:space="preserve">租賃負債（期末）</t>
  </si>
  <si>
    <r>
      <rPr>
        <sz val="9"/>
        <color rgb="FF595959"/>
        <rFont val="Noto Sans CJK SC"/>
        <family val="2"/>
      </rPr>
      <t xml:space="preserve">見『各期收支』租賃負債（期末剩餘租金現值，</t>
    </r>
    <r>
      <rPr>
        <sz val="9"/>
        <color rgb="FF595959"/>
        <rFont val="Arial"/>
        <family val="0"/>
        <charset val="1"/>
      </rPr>
      <t xml:space="preserve">5.7%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</si>
  <si>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EBITDAR</t>
    </r>
    <r>
      <rPr>
        <sz val="10"/>
        <rFont val="Noto Sans CJK SC"/>
        <family val="2"/>
      </rPr>
      <t xml:space="preserve">（年化＝</t>
    </r>
    <r>
      <rPr>
        <sz val="10"/>
        <rFont val="Arial"/>
        <family val="0"/>
        <charset val="1"/>
      </rPr>
      <t xml:space="preserve">(EBITDA</t>
    </r>
    <r>
      <rPr>
        <sz val="10"/>
        <rFont val="Noto Sans CJK SC"/>
        <family val="2"/>
      </rPr>
      <t xml:space="preserve">＋租金</t>
    </r>
    <r>
      <rPr>
        <sz val="10"/>
        <rFont val="Arial"/>
        <family val="0"/>
        <charset val="1"/>
      </rPr>
      <t xml:space="preserve">) ÷ </t>
    </r>
    <r>
      <rPr>
        <sz val="10"/>
        <rFont val="Noto Sans CJK SC"/>
        <family val="2"/>
      </rPr>
      <t xml:space="preserve">期間長度）</t>
    </r>
  </si>
  <si>
    <r>
      <rPr>
        <b val="true"/>
        <sz val="10"/>
        <rFont val="Noto Sans CJK SC"/>
        <family val="2"/>
      </rPr>
      <t xml:space="preserve">調整後槓桿（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Noto Sans CJK SC"/>
        <family val="2"/>
      </rPr>
      <t xml:space="preserve">總債務＋租賃負債</t>
    </r>
    <r>
      <rPr>
        <b val="true"/>
        <sz val="10"/>
        <rFont val="Arial"/>
        <family val="0"/>
        <charset val="1"/>
      </rPr>
      <t xml:space="preserve">) ÷ EBITDAR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</si>
  <si>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S&amp;P </t>
    </r>
    <r>
      <rPr>
        <sz val="9"/>
        <color rgb="FF595959"/>
        <rFont val="Noto Sans CJK SC"/>
        <family val="2"/>
      </rPr>
      <t xml:space="preserve">降評門檻 </t>
    </r>
    <r>
      <rPr>
        <sz val="9"/>
        <color rgb="FF595959"/>
        <rFont val="Arial"/>
        <family val="0"/>
        <charset val="1"/>
      </rPr>
      <t xml:space="preserve">&gt;4.5×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[Interested-party] </t>
    </r>
    <r>
      <rPr>
        <sz val="9"/>
        <color rgb="FF595959"/>
        <rFont val="Noto Sans CJK SC"/>
        <family val="2"/>
      </rPr>
      <t xml:space="preserve">二手轉述）；</t>
    </r>
    <r>
      <rPr>
        <sz val="9"/>
        <color rgb="FF595959"/>
        <rFont val="Arial"/>
        <family val="0"/>
        <charset val="1"/>
      </rPr>
      <t xml:space="preserve">S&amp;P </t>
    </r>
    <r>
      <rPr>
        <sz val="9"/>
        <color rgb="FF595959"/>
        <rFont val="Noto Sans CJK SC"/>
        <family val="2"/>
      </rPr>
      <t xml:space="preserve">自身口徑另含全部未起租承諾與無條件採購義務，較本列高（見報告）</t>
    </r>
  </si>
  <si>
    <t xml:space="preserve">距投資級上限的空間（上限 − 調整後槓桿）</t>
  </si>
  <si>
    <t xml:space="preserve">負值＝超過上限：需股權或失去投資級</t>
  </si>
  <si>
    <r>
      <rPr>
        <b val="true"/>
        <sz val="14"/>
        <rFont val="Noto Sans CJK SC"/>
        <family val="2"/>
      </rPr>
      <t xml:space="preserve">租賃與承諾 — 季報（</t>
    </r>
    <r>
      <rPr>
        <b val="true"/>
        <sz val="14"/>
        <rFont val="Arial"/>
        <family val="0"/>
        <charset val="1"/>
      </rPr>
      <t xml:space="preserve">2026-06-30</t>
    </r>
    <r>
      <rPr>
        <b val="true"/>
        <sz val="14"/>
        <rFont val="Noto Sans CJK SC"/>
        <family val="2"/>
      </rPr>
      <t xml:space="preserve">）原始揭露</t>
    </r>
  </si>
  <si>
    <t xml:space="preserve">本頁為硬編碼的申報數字（藍字），支出與資金頁的租金與還本列由此而來</t>
  </si>
  <si>
    <t xml:space="preserve">在帳租賃到期表（未折現）</t>
  </si>
  <si>
    <r>
      <rPr>
        <b val="true"/>
        <sz val="11"/>
        <color rgb="FFFFFFFF"/>
        <rFont val="Arial"/>
        <family val="0"/>
        <charset val="1"/>
      </rPr>
      <t xml:space="preserve">2026 </t>
    </r>
    <r>
      <rPr>
        <b val="true"/>
        <sz val="11"/>
        <color rgb="FFFFFFFF"/>
        <rFont val="Noto Sans CJK SC"/>
        <family val="2"/>
      </rPr>
      <t xml:space="preserve">下半</t>
    </r>
  </si>
  <si>
    <t xml:space="preserve">其後</t>
  </si>
  <si>
    <t xml:space="preserve">營業租賃付款</t>
  </si>
  <si>
    <t xml:space="preserve">融資租賃付款</t>
  </si>
  <si>
    <t xml:space="preserve">合計（＝支出頁「在帳現金租金」）</t>
  </si>
  <si>
    <r>
      <rPr>
        <sz val="9"/>
        <color rgb="FF595959"/>
        <rFont val="Noto Sans CJK SC"/>
        <family val="2"/>
      </rPr>
      <t xml:space="preserve">營業租賃負債現值 </t>
    </r>
    <r>
      <rPr>
        <sz val="9"/>
        <color rgb="FF595959"/>
        <rFont val="Arial"/>
        <family val="0"/>
        <charset val="1"/>
      </rPr>
      <t xml:space="preserve">18.037</t>
    </r>
    <r>
      <rPr>
        <sz val="9"/>
        <color rgb="FF595959"/>
        <rFont val="Noto Sans CJK SC"/>
        <family val="2"/>
      </rPr>
      <t xml:space="preserve">、融資租賃 </t>
    </r>
    <r>
      <rPr>
        <sz val="9"/>
        <color rgb="FF595959"/>
        <rFont val="Arial"/>
        <family val="0"/>
        <charset val="1"/>
      </rPr>
      <t xml:space="preserve">2.59</t>
    </r>
    <r>
      <rPr>
        <sz val="9"/>
        <color rgb="FF595959"/>
        <rFont val="Noto Sans CJK SC"/>
        <family val="2"/>
      </rPr>
      <t xml:space="preserve">；年報加權剩餘租期 </t>
    </r>
    <r>
      <rPr>
        <sz val="9"/>
        <color rgb="FF595959"/>
        <rFont val="Arial"/>
        <family val="0"/>
        <charset val="1"/>
      </rPr>
      <t xml:space="preserve">12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14 </t>
    </r>
    <r>
      <rPr>
        <sz val="9"/>
        <color rgb="FF595959"/>
        <rFont val="Noto Sans CJK SC"/>
        <family val="2"/>
      </rPr>
      <t xml:space="preserve">年、折現率 </t>
    </r>
    <r>
      <rPr>
        <sz val="9"/>
        <color rgb="FF595959"/>
        <rFont val="Arial"/>
        <family val="0"/>
        <charset val="1"/>
      </rPr>
      <t xml:space="preserve">5.7% [Verified]</t>
    </r>
  </si>
  <si>
    <t xml:space="preserve">債務本金到期表</t>
  </si>
  <si>
    <t xml:space="preserve">本金（＝支出頁「排程還本」）</t>
  </si>
  <si>
    <r>
      <rPr>
        <sz val="9"/>
        <color rgb="FF595959"/>
        <rFont val="Noto Sans CJK SC"/>
        <family val="2"/>
      </rPr>
      <t xml:space="preserve">其他借款到期表（</t>
    </r>
    <r>
      <rPr>
        <sz val="9"/>
        <color rgb="FF595959"/>
        <rFont val="Arial"/>
        <family val="0"/>
        <charset val="1"/>
      </rPr>
      <t xml:space="preserve">company.json → debt.amortization</t>
    </r>
    <r>
      <rPr>
        <sz val="9"/>
        <color rgb="FF595959"/>
        <rFont val="Noto Sans CJK SC"/>
        <family val="2"/>
      </rPr>
      <t xml:space="preserve">）；可轉債到期還本依融資分類另計，見『資產負債</t>
    </r>
    <r>
      <rPr>
        <sz val="9"/>
        <color rgb="FF595959"/>
        <rFont val="Arial"/>
        <family val="0"/>
        <charset val="1"/>
      </rPr>
      <t xml:space="preserve">_</t>
    </r>
    <r>
      <rPr>
        <sz val="9"/>
        <color rgb="FF595959"/>
        <rFont val="Noto Sans CJK SC"/>
        <family val="2"/>
      </rPr>
      <t xml:space="preserve">既有債務』逐檔表</t>
    </r>
  </si>
  <si>
    <t xml:space="preserve">表外與契約性承諾（未入表）</t>
  </si>
  <si>
    <t xml:space="preserve">金額</t>
  </si>
  <si>
    <t xml:space="preserve">入表？</t>
  </si>
  <si>
    <t xml:space="preserve">模型位置</t>
  </si>
  <si>
    <t xml:space="preserve">未起租租賃（未折現）</t>
  </si>
  <si>
    <t xml:space="preserve">季報揭露之已簽約未起租租賃</t>
  </si>
  <si>
    <t xml:space="preserve">否</t>
  </si>
  <si>
    <t xml:space="preserve">表外現金租金</t>
  </si>
  <si>
    <t xml:space="preserve">單站按造價計租，上限</t>
  </si>
  <si>
    <r>
      <rPr>
        <sz val="9"/>
        <color rgb="FF595959"/>
        <rFont val="Noto Sans CJK SC"/>
        <family val="2"/>
      </rPr>
      <t xml:space="preserve">無此類揭露時為 </t>
    </r>
    <r>
      <rPr>
        <sz val="9"/>
        <color rgb="FF595959"/>
        <rFont val="Arial"/>
        <family val="0"/>
        <charset val="1"/>
      </rPr>
      <t xml:space="preserve">0</t>
    </r>
  </si>
  <si>
    <r>
      <rPr>
        <sz val="9"/>
        <color rgb="FF595959"/>
        <rFont val="Arial"/>
        <family val="0"/>
        <charset val="1"/>
      </rPr>
      <t xml:space="preserve">company.json → defaults.facility</t>
    </r>
    <r>
      <rPr>
        <sz val="9"/>
        <color rgb="FF595959"/>
        <rFont val="Noto Sans CJK SC"/>
        <family val="2"/>
      </rPr>
      <t xml:space="preserve">（信用額度 </t>
    </r>
    <r>
      <rPr>
        <sz val="9"/>
        <color rgb="FF595959"/>
        <rFont val="Arial"/>
        <family val="0"/>
        <charset val="1"/>
      </rPr>
      <t xml:space="preserve">11.7B</t>
    </r>
    <r>
      <rPr>
        <sz val="9"/>
        <color rgb="FF595959"/>
        <rFont val="Noto Sans CJK SC"/>
        <family val="2"/>
      </rPr>
      <t xml:space="preserve">（已動用 </t>
    </r>
    <r>
      <rPr>
        <sz val="9"/>
        <color rgb="FF595959"/>
        <rFont val="Arial"/>
        <family val="0"/>
        <charset val="1"/>
      </rPr>
      <t xml:space="preserve">1.3B</t>
    </r>
    <r>
      <rPr>
        <sz val="9"/>
        <color rgb="FF595959"/>
        <rFont val="Noto Sans CJK SC"/>
        <family val="2"/>
      </rPr>
      <t xml:space="preserve">）；商業本票額度 </t>
    </r>
    <r>
      <rPr>
        <sz val="9"/>
        <color rgb="FF595959"/>
        <rFont val="Arial"/>
        <family val="0"/>
        <charset val="1"/>
      </rPr>
      <t xml:space="preserve">25B </t>
    </r>
    <r>
      <rPr>
        <sz val="9"/>
        <color rgb="FF595959"/>
        <rFont val="Noto Sans CJK SC"/>
        <family val="2"/>
      </rPr>
      <t xml:space="preserve">未動用）</t>
    </r>
  </si>
  <si>
    <t xml:space="preserve">否（來源）</t>
  </si>
  <si>
    <t xml:space="preserve">瀑布：未動用額度</t>
  </si>
  <si>
    <t xml:space="preserve">已揭露金額之承諾合計（未起租＋單站上限）</t>
  </si>
  <si>
    <t xml:space="preserve">模型表外租金五期合計</t>
  </si>
  <si>
    <t xml:space="preserve">模型表外租金尾端（模型期後未付＝總額 − 五期）</t>
  </si>
  <si>
    <r>
      <rPr>
        <b val="true"/>
        <sz val="10"/>
        <rFont val="Noto Sans CJK SC"/>
        <family val="2"/>
      </rPr>
      <t xml:space="preserve">模型路徑合計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已承諾（≥</t>
    </r>
    <r>
      <rPr>
        <b val="true"/>
        <sz val="10"/>
        <rFont val="Arial"/>
        <family val="0"/>
        <charset val="1"/>
      </rPr>
      <t xml:space="preserve">0.8 </t>
    </r>
    <r>
      <rPr>
        <b val="true"/>
        <sz val="10"/>
        <rFont val="Noto Sans CJK SC"/>
        <family val="2"/>
      </rPr>
      <t xml:space="preserve">為合理）</t>
    </r>
  </si>
  <si>
    <t xml:space="preserve">起租排程依季報附註（起租期間與期限）平均分攤；五期＋尾端＝未起租總額</t>
  </si>
  <si>
    <t xml:space="preserve">損益（類損益表）— 與資金模型同一組收入</t>
  </si>
  <si>
    <r>
      <rPr>
        <sz val="9"/>
        <color rgb="FF595959"/>
        <rFont val="Noto Sans CJK SC"/>
        <family val="2"/>
      </rPr>
      <t xml:space="preserve">算力收入、</t>
    </r>
    <r>
      <rPr>
        <sz val="9"/>
        <color rgb="FF595959"/>
        <rFont val="Arial"/>
        <family val="0"/>
        <charset val="1"/>
      </rPr>
      <t xml:space="preserve">Cash CapEx</t>
    </r>
    <r>
      <rPr>
        <sz val="9"/>
        <color rgb="FF595959"/>
        <rFont val="Noto Sans CJK SC"/>
        <family val="2"/>
      </rPr>
      <t xml:space="preserve">、利息皆由前面分頁連結而來；改資金假設，此頁會跟著動</t>
    </r>
  </si>
  <si>
    <t xml:space="preserve">損益表</t>
  </si>
  <si>
    <t xml:space="preserve">算力收入</t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</si>
  <si>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Noto Sans CJK SC"/>
        <family val="2"/>
      </rPr>
      <t xml:space="preserve">轉換＋新簽約</t>
    </r>
  </si>
  <si>
    <t xml:space="preserve">非算力服務</t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</si>
  <si>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</t>
    </r>
  </si>
  <si>
    <r>
      <rPr>
        <sz val="9"/>
        <color rgb="FF595959"/>
        <rFont val="Noto Sans CJK SC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事業各線合計（</t>
    </r>
    <r>
      <rPr>
        <sz val="9"/>
        <color rgb="FF595959"/>
        <rFont val="Arial"/>
        <family val="0"/>
        <charset val="1"/>
      </rPr>
      <t xml:space="preserve">B2</t>
    </r>
    <r>
      <rPr>
        <sz val="9"/>
        <color rgb="FF595959"/>
        <rFont val="Noto Sans CJK SC"/>
        <family val="2"/>
      </rPr>
      <t xml:space="preserve">）</t>
    </r>
  </si>
  <si>
    <t xml:space="preserve">總營收</t>
  </si>
  <si>
    <t xml:space="preserve">延誤罰則（服務抵減，營業費用）</t>
  </si>
  <si>
    <r>
      <rPr>
        <sz val="10"/>
        <rFont val="Noto Sans CJK SC"/>
        <family val="2"/>
      </rPr>
      <t xml:space="preserve">營業利益（</t>
    </r>
    <r>
      <rPr>
        <sz val="10"/>
        <rFont val="Arial"/>
        <family val="0"/>
        <charset val="1"/>
      </rPr>
      <t xml:space="preserve">EBIT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</si>
  <si>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算力＋服務營收</t>
    </r>
    <r>
      <rPr>
        <sz val="9"/>
        <color rgb="FF595959"/>
        <rFont val="Arial"/>
        <family val="0"/>
        <charset val="1"/>
      </rPr>
      <t xml:space="preserve">)×EBITDA </t>
    </r>
    <r>
      <rPr>
        <sz val="9"/>
        <color rgb="FF595959"/>
        <rFont val="Noto Sans CJK SC"/>
        <family val="2"/>
      </rPr>
      <t xml:space="preserve">率＋其他事業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Noto Sans CJK SC"/>
        <family val="2"/>
      </rPr>
      <t xml:space="preserve">＋非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事業 </t>
    </r>
    <r>
      <rPr>
        <sz val="9"/>
        <color rgb="FF595959"/>
        <rFont val="Arial"/>
        <family val="0"/>
        <charset val="1"/>
      </rPr>
      <t xml:space="preserve">EBITDA − </t>
    </r>
    <r>
      <rPr>
        <sz val="9"/>
        <color rgb="FF595959"/>
        <rFont val="Noto Sans CJK SC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事業其他攤銷 − 延誤罰則 − 車隊 </t>
    </r>
    <r>
      <rPr>
        <sz val="9"/>
        <color rgb="FF595959"/>
        <rFont val="Arial"/>
        <family val="0"/>
        <charset val="1"/>
      </rPr>
      <t xml:space="preserve">D&amp;A</t>
    </r>
  </si>
  <si>
    <t xml:space="preserve">利息（含瀑布新債）</t>
  </si>
  <si>
    <t xml:space="preserve">預付財務組成利息（非現金）</t>
  </si>
  <si>
    <r>
      <rPr>
        <sz val="9"/>
        <color rgb="FF595959"/>
        <rFont val="Noto Sans CJK SC"/>
        <family val="2"/>
      </rPr>
      <t xml:space="preserve">客戶預付的重大財務組成：合約負債以隱含利率累積的利息（</t>
    </r>
    <r>
      <rPr>
        <sz val="9"/>
        <color rgb="FF595959"/>
        <rFont val="Arial"/>
        <family val="0"/>
        <charset val="1"/>
      </rPr>
      <t xml:space="preserve">v0.1b</t>
    </r>
    <r>
      <rPr>
        <sz val="9"/>
        <color rgb="FF595959"/>
        <rFont val="Noto Sans CJK SC"/>
        <family val="2"/>
      </rPr>
      <t xml:space="preserve">）</t>
    </r>
  </si>
  <si>
    <t xml:space="preserve">稅前損益</t>
  </si>
  <si>
    <r>
      <rPr>
        <sz val="10"/>
        <rFont val="Arial"/>
        <family val="0"/>
        <charset val="1"/>
      </rPr>
      <t xml:space="preserve">NOL </t>
    </r>
    <r>
      <rPr>
        <sz val="10"/>
        <rFont val="Noto Sans CJK SC"/>
        <family val="2"/>
      </rPr>
      <t xml:space="preserve">期初餘額</t>
    </r>
  </si>
  <si>
    <r>
      <rPr>
        <sz val="9"/>
        <color rgb="FF595959"/>
        <rFont val="Arial"/>
        <family val="0"/>
        <charset val="1"/>
      </rPr>
      <t xml:space="preserve">6/30 </t>
    </r>
    <r>
      <rPr>
        <sz val="9"/>
        <color rgb="FF595959"/>
        <rFont val="Noto Sans CJK SC"/>
        <family val="2"/>
      </rPr>
      <t xml:space="preserve">累積虧損約 </t>
    </r>
    <r>
      <rPr>
        <sz val="9"/>
        <color rgb="FF595959"/>
        <rFont val="Arial"/>
        <family val="0"/>
        <charset val="1"/>
      </rPr>
      <t xml:space="preserve">0.0</t>
    </r>
  </si>
  <si>
    <r>
      <rPr>
        <sz val="10"/>
        <rFont val="Noto Sans CJK SC"/>
        <family val="2"/>
      </rPr>
      <t xml:space="preserve">　本期動用 </t>
    </r>
    <r>
      <rPr>
        <sz val="10"/>
        <rFont val="Arial"/>
        <family val="0"/>
        <charset val="1"/>
      </rPr>
      <t xml:space="preserve">NOL</t>
    </r>
  </si>
  <si>
    <r>
      <rPr>
        <sz val="9"/>
        <color rgb="FF595959"/>
        <rFont val="Noto Sans CJK SC"/>
        <family val="2"/>
      </rPr>
      <t xml:space="preserve">美國規定：抵扣上限為應稅所得 </t>
    </r>
    <r>
      <rPr>
        <sz val="9"/>
        <color rgb="FF595959"/>
        <rFont val="Arial"/>
        <family val="0"/>
        <charset val="1"/>
      </rPr>
      <t xml:space="preserve">80%</t>
    </r>
  </si>
  <si>
    <r>
      <rPr>
        <sz val="10"/>
        <rFont val="Arial"/>
        <family val="0"/>
        <charset val="1"/>
      </rPr>
      <t xml:space="preserve">NOL </t>
    </r>
    <r>
      <rPr>
        <sz val="10"/>
        <rFont val="Noto Sans CJK SC"/>
        <family val="2"/>
      </rPr>
      <t xml:space="preserve">期末餘額</t>
    </r>
  </si>
  <si>
    <t xml:space="preserve">所得稅</t>
  </si>
  <si>
    <t xml:space="preserve">虧損年不認列稅盾（與公司評價備抵一致）</t>
  </si>
  <si>
    <t xml:space="preserve">淨利</t>
  </si>
  <si>
    <r>
      <rPr>
        <sz val="9"/>
        <color rgb="FF595959"/>
        <rFont val="Noto Sans CJK SC"/>
        <family val="2"/>
      </rPr>
      <t xml:space="preserve">車隊折舊＋非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事業其他攤銷，見輸入頁</t>
    </r>
  </si>
  <si>
    <t xml:space="preserve">EBITDA</t>
  </si>
  <si>
    <r>
      <rPr>
        <sz val="10"/>
        <rFont val="Noto Sans CJK SC"/>
        <family val="2"/>
      </rPr>
      <t xml:space="preserve">　基礎股數（每年 </t>
    </r>
    <r>
      <rPr>
        <sz val="10"/>
        <rFont val="Arial"/>
        <family val="0"/>
        <charset val="1"/>
      </rPr>
      <t xml:space="preserve">+SBC </t>
    </r>
    <r>
      <rPr>
        <sz val="10"/>
        <rFont val="Noto Sans CJK SC"/>
        <family val="2"/>
      </rPr>
      <t xml:space="preserve">稀釋）</t>
    </r>
  </si>
  <si>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＝評價股數（含價內可轉債轉股，見『評價</t>
    </r>
    <r>
      <rPr>
        <sz val="9"/>
        <color rgb="FF595959"/>
        <rFont val="Arial"/>
        <family val="0"/>
        <charset val="1"/>
      </rPr>
      <t xml:space="preserve">_DCF</t>
    </r>
    <r>
      <rPr>
        <sz val="9"/>
        <color rgb="FF595959"/>
        <rFont val="Noto Sans CJK SC"/>
        <family val="2"/>
      </rPr>
      <t xml:space="preserve">與目標價』可轉債區）；之後每年 </t>
    </r>
    <r>
      <rPr>
        <sz val="9"/>
        <color rgb="FF595959"/>
        <rFont val="Arial"/>
        <family val="0"/>
        <charset val="1"/>
      </rPr>
      <t xml:space="preserve">×(1</t>
    </r>
    <r>
      <rPr>
        <sz val="9"/>
        <color rgb="FF595959"/>
        <rFont val="Noto Sans CJK SC"/>
        <family val="2"/>
      </rPr>
      <t xml:space="preserve">＋股數年增</t>
    </r>
    <r>
      <rPr>
        <sz val="9"/>
        <color rgb="FF595959"/>
        <rFont val="Arial"/>
        <family val="0"/>
        <charset val="1"/>
      </rPr>
      <t xml:space="preserve">)</t>
    </r>
  </si>
  <si>
    <t xml:space="preserve">股數（含瀑布新股）</t>
  </si>
  <si>
    <t xml:space="preserve">＝基礎股數＋累計瀑布新股</t>
  </si>
  <si>
    <r>
      <rPr>
        <sz val="10"/>
        <rFont val="Noto Sans CJK SC"/>
        <family val="2"/>
      </rPr>
      <t xml:space="preserve">每股盈餘（</t>
    </r>
    <r>
      <rPr>
        <sz val="10"/>
        <rFont val="Arial"/>
        <family val="0"/>
        <charset val="1"/>
      </rPr>
      <t xml:space="preserve">EPS</t>
    </r>
    <r>
      <rPr>
        <sz val="10"/>
        <rFont val="Noto Sans CJK SC"/>
        <family val="2"/>
      </rPr>
      <t xml:space="preserve">，模型期）</t>
    </r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</si>
  <si>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欄只含下半年；全年口徑見下方</t>
    </r>
  </si>
  <si>
    <r>
      <rPr>
        <b val="true"/>
        <sz val="10"/>
        <rFont val="Noto Sans CJK SC"/>
        <family val="2"/>
      </rPr>
      <t xml:space="preserve">損益表（全年口徑；</t>
    </r>
    <r>
      <rPr>
        <b val="true"/>
        <sz val="10"/>
        <rFont val="Arial"/>
        <family val="0"/>
        <charset val="1"/>
      </rPr>
      <t xml:space="preserve">2026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1H </t>
    </r>
    <r>
      <rPr>
        <b val="true"/>
        <sz val="10"/>
        <rFont val="Noto Sans CJK SC"/>
        <family val="2"/>
      </rPr>
      <t xml:space="preserve">實際＋下半年模型；與 </t>
    </r>
    <r>
      <rPr>
        <b val="true"/>
        <sz val="10"/>
        <rFont val="Arial"/>
        <family val="0"/>
        <charset val="1"/>
      </rPr>
      <t xml:space="preserve">HTML </t>
    </r>
    <r>
      <rPr>
        <b val="true"/>
        <sz val="10"/>
        <rFont val="Noto Sans CJK SC"/>
        <family val="2"/>
      </rPr>
      <t xml:space="preserve">損益簡表一致）</t>
    </r>
  </si>
  <si>
    <r>
      <rPr>
        <sz val="10"/>
        <rFont val="Arial"/>
        <family val="0"/>
        <charset val="1"/>
      </rPr>
      <t xml:space="preserve">1H26 </t>
    </r>
    <r>
      <rPr>
        <sz val="10"/>
        <rFont val="Noto Sans CJK SC"/>
        <family val="2"/>
      </rPr>
      <t xml:space="preserve">實際營收（已實現）</t>
    </r>
  </si>
  <si>
    <t xml:space="preserve">全年總營收</t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</si>
  <si>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可對照指引 未給全年營收指引</t>
    </r>
  </si>
  <si>
    <r>
      <rPr>
        <sz val="10"/>
        <rFont val="Noto Sans CJK SC"/>
        <family val="2"/>
      </rPr>
      <t xml:space="preserve">營收 </t>
    </r>
    <r>
      <rPr>
        <sz val="10"/>
        <rFont val="Arial"/>
        <family val="0"/>
        <charset val="1"/>
      </rPr>
      <t xml:space="preserve">YoY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</si>
  <si>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402.836</t>
    </r>
  </si>
  <si>
    <r>
      <rPr>
        <sz val="10"/>
        <rFont val="Noto Sans CJK SC"/>
        <family val="2"/>
      </rPr>
      <t xml:space="preserve">全年 </t>
    </r>
    <r>
      <rPr>
        <sz val="10"/>
        <rFont val="Arial"/>
        <family val="0"/>
        <charset val="1"/>
      </rPr>
      <t xml:space="preserve">GAAP </t>
    </r>
    <r>
      <rPr>
        <sz val="10"/>
        <rFont val="Noto Sans CJK SC"/>
        <family val="2"/>
      </rPr>
      <t xml:space="preserve">營業利益</t>
    </r>
  </si>
  <si>
    <t xml:space="preserve">營利率</t>
  </si>
  <si>
    <r>
      <rPr>
        <sz val="10"/>
        <rFont val="Noto Sans CJK SC"/>
        <family val="2"/>
      </rPr>
      <t xml:space="preserve">全年 </t>
    </r>
    <r>
      <rPr>
        <sz val="10"/>
        <rFont val="Arial"/>
        <family val="0"/>
        <charset val="1"/>
      </rPr>
      <t xml:space="preserve">D&amp;A</t>
    </r>
  </si>
  <si>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13.586</t>
    </r>
  </si>
  <si>
    <r>
      <rPr>
        <b val="true"/>
        <sz val="10"/>
        <rFont val="Noto Sans CJK SC"/>
        <family val="2"/>
      </rPr>
      <t xml:space="preserve">全年 </t>
    </r>
    <r>
      <rPr>
        <b val="true"/>
        <sz val="10"/>
        <rFont val="Arial"/>
        <family val="0"/>
        <charset val="1"/>
      </rPr>
      <t xml:space="preserve">EBITDA</t>
    </r>
  </si>
  <si>
    <t xml:space="preserve">全年利息（含瀑布新債）</t>
  </si>
  <si>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起瀑布新債利息與新股同時影響 </t>
    </r>
    <r>
      <rPr>
        <sz val="9"/>
        <color rgb="FF595959"/>
        <rFont val="Arial"/>
        <family val="0"/>
        <charset val="1"/>
      </rPr>
      <t xml:space="preserve">EPS</t>
    </r>
  </si>
  <si>
    <t xml:space="preserve">全年淨利</t>
  </si>
  <si>
    <t xml:space="preserve">淨利率</t>
  </si>
  <si>
    <r>
      <rPr>
        <b val="true"/>
        <sz val="10"/>
        <rFont val="Noto Sans CJK SC"/>
        <family val="2"/>
      </rPr>
      <t xml:space="preserve">全年 </t>
    </r>
    <r>
      <rPr>
        <b val="true"/>
        <sz val="10"/>
        <rFont val="Arial"/>
        <family val="0"/>
        <charset val="1"/>
      </rPr>
      <t xml:space="preserve">GAAP EPS</t>
    </r>
  </si>
  <si>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EPS 14.22</t>
    </r>
    <r>
      <rPr>
        <sz val="9"/>
        <color rgb="FF595959"/>
        <rFont val="Noto Sans CJK SC"/>
        <family val="2"/>
      </rPr>
      <t xml:space="preserve">＋下半年淨利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股數</t>
    </r>
  </si>
  <si>
    <r>
      <rPr>
        <sz val="10"/>
        <rFont val="Noto Sans CJK SC"/>
        <family val="2"/>
      </rPr>
      <t xml:space="preserve">全年 </t>
    </r>
    <r>
      <rPr>
        <sz val="10"/>
        <rFont val="Arial"/>
        <family val="0"/>
        <charset val="1"/>
      </rPr>
      <t xml:space="preserve">EPS</t>
    </r>
    <r>
      <rPr>
        <sz val="10"/>
        <rFont val="Noto Sans CJK SC"/>
        <family val="2"/>
      </rPr>
      <t xml:space="preserve">（加回 </t>
    </r>
    <r>
      <rPr>
        <sz val="10"/>
        <rFont val="Arial"/>
        <family val="0"/>
        <charset val="1"/>
      </rPr>
      <t xml:space="preserve">SBC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</si>
  <si>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淨利＋</t>
    </r>
    <r>
      <rPr>
        <sz val="9"/>
        <color rgb="FF595959"/>
        <rFont val="Arial"/>
        <family val="0"/>
        <charset val="1"/>
      </rPr>
      <t xml:space="preserve">SBC)÷</t>
    </r>
    <r>
      <rPr>
        <sz val="9"/>
        <color rgb="FF595959"/>
        <rFont val="Noto Sans CJK SC"/>
        <family val="2"/>
      </rPr>
      <t xml:space="preserve">股數；</t>
    </r>
    <r>
      <rPr>
        <sz val="9"/>
        <color rgb="FF595959"/>
        <rFont val="Arial"/>
        <family val="0"/>
        <charset val="1"/>
      </rPr>
      <t xml:space="preserve">NOL </t>
    </r>
    <r>
      <rPr>
        <sz val="9"/>
        <color rgb="FF595959"/>
        <rFont val="Noto Sans CJK SC"/>
        <family val="2"/>
      </rPr>
      <t xml:space="preserve">狀態無現金稅，</t>
    </r>
    <r>
      <rPr>
        <sz val="9"/>
        <color rgb="FF595959"/>
        <rFont val="Arial"/>
        <family val="0"/>
        <charset val="1"/>
      </rPr>
      <t xml:space="preserve">SBC </t>
    </r>
    <r>
      <rPr>
        <sz val="9"/>
        <color rgb="FF595959"/>
        <rFont val="Noto Sans CJK SC"/>
        <family val="2"/>
      </rPr>
      <t xml:space="preserve">全額加回</t>
    </r>
  </si>
  <si>
    <r>
      <rPr>
        <b val="true"/>
        <sz val="14"/>
        <rFont val="Noto Sans CJK SC"/>
        <family val="2"/>
      </rPr>
      <t xml:space="preserve">評價 — </t>
    </r>
    <r>
      <rPr>
        <b val="true"/>
        <sz val="14"/>
        <rFont val="Arial"/>
        <family val="0"/>
        <charset val="1"/>
      </rPr>
      <t xml:space="preserve">DCF</t>
    </r>
    <r>
      <rPr>
        <b val="true"/>
        <sz val="14"/>
        <rFont val="Noto Sans CJK SC"/>
        <family val="2"/>
      </rPr>
      <t xml:space="preserve">、</t>
    </r>
    <r>
      <rPr>
        <b val="true"/>
        <sz val="14"/>
        <rFont val="Arial"/>
        <family val="0"/>
        <charset val="1"/>
      </rPr>
      <t xml:space="preserve">EV/EBITDA</t>
    </r>
    <r>
      <rPr>
        <b val="true"/>
        <sz val="14"/>
        <rFont val="Noto Sans CJK SC"/>
        <family val="2"/>
      </rPr>
      <t xml:space="preserve">、加權目標價</t>
    </r>
  </si>
  <si>
    <r>
      <rPr>
        <sz val="9"/>
        <color rgb="FF595959"/>
        <rFont val="Noto Sans CJK SC"/>
        <family val="2"/>
      </rPr>
      <t xml:space="preserve">營收、營業利益、</t>
    </r>
    <r>
      <rPr>
        <sz val="9"/>
        <color rgb="FF595959"/>
        <rFont val="Arial"/>
        <family val="0"/>
        <charset val="1"/>
      </rPr>
      <t xml:space="preserve">D&amp;A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Noto Sans CJK SC"/>
        <family val="2"/>
      </rPr>
      <t xml:space="preserve">、股數引用『損益』頁；</t>
    </r>
    <r>
      <rPr>
        <sz val="9"/>
        <color rgb="FF595959"/>
        <rFont val="Arial"/>
        <family val="0"/>
        <charset val="1"/>
      </rPr>
      <t xml:space="preserve">Cash CapEx </t>
    </r>
    <r>
      <rPr>
        <sz val="9"/>
        <color rgb="FF595959"/>
        <rFont val="Noto Sans CJK SC"/>
        <family val="2"/>
      </rPr>
      <t xml:space="preserve">與融資引用『各期收支』頁</t>
    </r>
  </si>
  <si>
    <r>
      <rPr>
        <b val="true"/>
        <sz val="10"/>
        <rFont val="Arial"/>
        <family val="0"/>
        <charset val="1"/>
      </rPr>
      <t xml:space="preserve">DCF</t>
    </r>
    <r>
      <rPr>
        <b val="true"/>
        <sz val="10"/>
        <rFont val="Noto Sans CJK SC"/>
        <family val="2"/>
      </rPr>
      <t xml:space="preserve">（無槓桿自由現金流；起點為 </t>
    </r>
    <r>
      <rPr>
        <b val="true"/>
        <sz val="10"/>
        <rFont val="Arial"/>
        <family val="0"/>
        <charset val="1"/>
      </rPr>
      <t xml:space="preserve">2026-06-30</t>
    </r>
    <r>
      <rPr>
        <b val="true"/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</si>
  <si>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現金 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2026-06-30 </t>
    </r>
    <r>
      <rPr>
        <sz val="10"/>
        <rFont val="Noto Sans CJK SC"/>
        <family val="2"/>
      </rPr>
      <t xml:space="preserve">之後）</t>
    </r>
  </si>
  <si>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起點為 </t>
    </r>
    <r>
      <rPr>
        <sz val="9"/>
        <color rgb="FF595959"/>
        <rFont val="Arial"/>
        <family val="0"/>
        <charset val="1"/>
      </rPr>
      <t xml:space="preserve">6/30</t>
    </r>
    <r>
      <rPr>
        <sz val="9"/>
        <color rgb="FF595959"/>
        <rFont val="Noto Sans CJK SC"/>
        <family val="2"/>
      </rPr>
      <t xml:space="preserve">，故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欄只含 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Noto Sans CJK SC"/>
        <family val="2"/>
      </rPr>
      <t xml:space="preserve">的建置支出，不含 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已發生的 </t>
    </r>
    <r>
      <rPr>
        <sz val="9"/>
        <color rgb="FF595959"/>
        <rFont val="Arial"/>
        <family val="0"/>
        <charset val="1"/>
      </rPr>
      <t xml:space="preserve">80.598</t>
    </r>
  </si>
  <si>
    <t xml:space="preserve">比較基期營收</t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</si>
  <si>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402.836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基期＝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229.692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模型期營收</t>
    </r>
  </si>
  <si>
    <t xml:space="preserve">預付認列（非現金營收，扣除）</t>
  </si>
  <si>
    <r>
      <rPr>
        <sz val="9"/>
        <color rgb="FF595959"/>
        <rFont val="Noto Sans CJK SC"/>
        <family val="2"/>
      </rPr>
      <t xml:space="preserve">營收中由合約負債轉入的部分已在預付時收現（預付流入已自現金 </t>
    </r>
    <r>
      <rPr>
        <sz val="9"/>
        <color rgb="FF595959"/>
        <rFont val="Arial"/>
        <family val="0"/>
        <charset val="1"/>
      </rPr>
      <t xml:space="preserve">CapEx </t>
    </r>
    <r>
      <rPr>
        <sz val="9"/>
        <color rgb="FF595959"/>
        <rFont val="Noto Sans CJK SC"/>
        <family val="2"/>
      </rPr>
      <t xml:space="preserve">抵減），</t>
    </r>
    <r>
      <rPr>
        <sz val="9"/>
        <color rgb="FF595959"/>
        <rFont val="Arial"/>
        <family val="0"/>
        <charset val="1"/>
      </rPr>
      <t xml:space="preserve">UFCF </t>
    </r>
    <r>
      <rPr>
        <sz val="9"/>
        <color rgb="FF595959"/>
        <rFont val="Noto Sans CJK SC"/>
        <family val="2"/>
      </rPr>
      <t xml:space="preserve">扣除以免重複（</t>
    </r>
    <r>
      <rPr>
        <sz val="9"/>
        <color rgb="FF595959"/>
        <rFont val="Arial"/>
        <family val="0"/>
        <charset val="1"/>
      </rPr>
      <t xml:space="preserve">v0.1b</t>
    </r>
    <r>
      <rPr>
        <sz val="9"/>
        <color rgb="FF595959"/>
        <rFont val="Noto Sans CJK SC"/>
        <family val="2"/>
      </rPr>
      <t xml:space="preserve">）</t>
    </r>
  </si>
  <si>
    <t xml:space="preserve">營運資金變動</t>
  </si>
  <si>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＝−上年同期實際（輸入非空白時；</t>
    </r>
    <r>
      <rPr>
        <sz val="9"/>
        <color rgb="FF595959"/>
        <rFont val="Arial"/>
        <family val="0"/>
        <charset val="1"/>
      </rPr>
      <t xml:space="preserve">MAG v0.1b r2 C14</t>
    </r>
    <r>
      <rPr>
        <sz val="9"/>
        <color rgb="FF595959"/>
        <rFont val="Noto Sans CJK SC"/>
        <family val="2"/>
      </rPr>
      <t xml:space="preserve">）；之後＝營收增量的 </t>
    </r>
    <r>
      <rPr>
        <sz val="9"/>
        <color rgb="FF595959"/>
        <rFont val="Arial"/>
        <family val="0"/>
        <charset val="1"/>
      </rPr>
      <t xml:space="preserve">0%</t>
    </r>
  </si>
  <si>
    <r>
      <rPr>
        <sz val="10"/>
        <rFont val="Noto Sans CJK SC"/>
        <family val="2"/>
      </rPr>
      <t xml:space="preserve">無槓桿 </t>
    </r>
    <r>
      <rPr>
        <sz val="10"/>
        <rFont val="Arial"/>
        <family val="0"/>
        <charset val="1"/>
      </rPr>
      <t xml:space="preserve">NOL </t>
    </r>
    <r>
      <rPr>
        <sz val="10"/>
        <rFont val="Noto Sans CJK SC"/>
        <family val="2"/>
      </rPr>
      <t xml:space="preserve">期初</t>
    </r>
  </si>
  <si>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用無槓桿稅（利息不可抵稅，否則稅盾被計兩次：一次在 </t>
    </r>
    <r>
      <rPr>
        <sz val="9"/>
        <color rgb="FF595959"/>
        <rFont val="Arial"/>
        <family val="0"/>
        <charset val="1"/>
      </rPr>
      <t xml:space="preserve">UFCF</t>
    </r>
    <r>
      <rPr>
        <sz val="9"/>
        <color rgb="FF595959"/>
        <rFont val="Noto Sans CJK SC"/>
        <family val="2"/>
      </rPr>
      <t xml:space="preserve">、一次在 </t>
    </r>
    <r>
      <rPr>
        <sz val="9"/>
        <color rgb="FF595959"/>
        <rFont val="Arial"/>
        <family val="0"/>
        <charset val="1"/>
      </rPr>
      <t xml:space="preserve">WACC</t>
    </r>
    <r>
      <rPr>
        <sz val="9"/>
        <color rgb="FF595959"/>
        <rFont val="Noto Sans CJK SC"/>
        <family val="2"/>
      </rPr>
      <t xml:space="preserve">）</t>
    </r>
  </si>
  <si>
    <t xml:space="preserve">　本期動用（無槓桿）</t>
  </si>
  <si>
    <r>
      <rPr>
        <sz val="10"/>
        <rFont val="Noto Sans CJK SC"/>
        <family val="2"/>
      </rPr>
      <t xml:space="preserve">無槓桿 </t>
    </r>
    <r>
      <rPr>
        <sz val="10"/>
        <rFont val="Arial"/>
        <family val="0"/>
        <charset val="1"/>
      </rPr>
      <t xml:space="preserve">NOL </t>
    </r>
    <r>
      <rPr>
        <sz val="10"/>
        <rFont val="Noto Sans CJK SC"/>
        <family val="2"/>
      </rPr>
      <t xml:space="preserve">期末</t>
    </r>
  </si>
  <si>
    <r>
      <rPr>
        <sz val="10"/>
        <rFont val="Noto Sans CJK SC"/>
        <family val="2"/>
      </rPr>
      <t xml:space="preserve">無槓桿所得稅（</t>
    </r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用）</t>
    </r>
  </si>
  <si>
    <r>
      <rPr>
        <sz val="9"/>
        <color rgb="FF595959"/>
        <rFont val="Noto Sans CJK SC"/>
        <family val="2"/>
      </rPr>
      <t xml:space="preserve">與損益表的所得稅不同：此處不扣利息，數字較高，這是 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的正確口徑</t>
    </r>
  </si>
  <si>
    <t xml:space="preserve">UFCF</t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</si>
  <si>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EBIT−</t>
    </r>
    <r>
      <rPr>
        <sz val="9"/>
        <color rgb="FF595959"/>
        <rFont val="Noto Sans CJK SC"/>
        <family val="2"/>
      </rPr>
      <t xml:space="preserve">無槓桿稅＋</t>
    </r>
    <r>
      <rPr>
        <sz val="9"/>
        <color rgb="FF595959"/>
        <rFont val="Arial"/>
        <family val="0"/>
        <charset val="1"/>
      </rPr>
      <t xml:space="preserve">D&amp;A−</t>
    </r>
    <r>
      <rPr>
        <sz val="9"/>
        <color rgb="FF595959"/>
        <rFont val="Noto Sans CJK SC"/>
        <family val="2"/>
      </rPr>
      <t xml:space="preserve">現金 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Noto Sans CJK SC"/>
        <family val="2"/>
      </rPr>
      <t xml:space="preserve">（已扣客戶預付）−營運資金−預付認列。建置期全為負是正常的</t>
    </r>
  </si>
  <si>
    <t xml:space="preserve">折現期數</t>
  </si>
  <si>
    <r>
      <rPr>
        <sz val="9"/>
        <color rgb="FF595959"/>
        <rFont val="Noto Sans CJK SC"/>
        <family val="2"/>
      </rPr>
      <t xml:space="preserve">自 </t>
    </r>
    <r>
      <rPr>
        <sz val="9"/>
        <color rgb="FF595959"/>
        <rFont val="Arial"/>
        <family val="0"/>
        <charset val="1"/>
      </rPr>
      <t xml:space="preserve">2026-06-30 </t>
    </r>
    <r>
      <rPr>
        <sz val="9"/>
        <color rgb="FF595959"/>
        <rFont val="Noto Sans CJK SC"/>
        <family val="2"/>
      </rPr>
      <t xml:space="preserve">起算；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模型期（下半年）的現金流平均落在 </t>
    </r>
    <r>
      <rPr>
        <sz val="9"/>
        <color rgb="FF595959"/>
        <rFont val="Arial"/>
        <family val="0"/>
        <charset val="1"/>
      </rPr>
      <t xml:space="preserve">0.5 </t>
    </r>
    <r>
      <rPr>
        <sz val="9"/>
        <color rgb="FF595959"/>
        <rFont val="Noto Sans CJK SC"/>
        <family val="2"/>
      </rPr>
      <t xml:space="preserve">年</t>
    </r>
  </si>
  <si>
    <t xml:space="preserve">折現因子</t>
  </si>
  <si>
    <r>
      <rPr>
        <sz val="10"/>
        <rFont val="Arial"/>
        <family val="0"/>
        <charset val="1"/>
      </rPr>
      <t xml:space="preserve">UFCF </t>
    </r>
    <r>
      <rPr>
        <sz val="10"/>
        <rFont val="Noto Sans CJK SC"/>
        <family val="2"/>
      </rPr>
      <t xml:space="preserve">現值</t>
    </r>
  </si>
  <si>
    <r>
      <rPr>
        <sz val="10"/>
        <rFont val="Noto Sans CJK SC"/>
        <family val="2"/>
      </rPr>
      <t xml:space="preserve">五期 </t>
    </r>
    <r>
      <rPr>
        <sz val="10"/>
        <rFont val="Arial"/>
        <family val="0"/>
        <charset val="1"/>
      </rPr>
      <t xml:space="preserve">UFCF </t>
    </r>
    <r>
      <rPr>
        <sz val="10"/>
        <rFont val="Noto Sans CJK SC"/>
        <family val="2"/>
      </rPr>
      <t xml:space="preserve">現值合計</t>
    </r>
  </si>
  <si>
    <t xml:space="preserve">建置期現金流現值</t>
  </si>
  <si>
    <r>
      <rPr>
        <sz val="10"/>
        <rFont val="Noto Sans CJK SC"/>
        <family val="2"/>
      </rPr>
      <t xml:space="preserve">終值基準 </t>
    </r>
    <r>
      <rPr>
        <sz val="10"/>
        <rFont val="Arial"/>
        <family val="0"/>
        <charset val="1"/>
      </rPr>
      <t xml:space="preserve">FCF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2030 UFCF</t>
    </r>
    <r>
      <rPr>
        <sz val="10"/>
        <rFont val="Noto Sans CJK SC"/>
        <family val="2"/>
      </rPr>
      <t xml:space="preserve">，含汰換 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</si>
  <si>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v0.1c</t>
    </r>
    <r>
      <rPr>
        <sz val="9"/>
        <color rgb="FF595959"/>
        <rFont val="Noto Sans CJK SC"/>
        <family val="2"/>
      </rPr>
      <t xml:space="preserve">：終值基準＝末期 </t>
    </r>
    <r>
      <rPr>
        <sz val="9"/>
        <color rgb="FF595959"/>
        <rFont val="Arial"/>
        <family val="0"/>
        <charset val="1"/>
      </rPr>
      <t xml:space="preserve">UFCF</t>
    </r>
    <r>
      <rPr>
        <sz val="9"/>
        <color rgb="FF595959"/>
        <rFont val="Noto Sans CJK SC"/>
        <family val="2"/>
      </rPr>
      <t xml:space="preserve">（含穩態汰換 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Noto Sans CJK SC"/>
        <family val="2"/>
      </rPr>
      <t xml:space="preserve">，已扣客戶預付覆蓋）＋加回末期成長型 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Noto Sans CJK SC"/>
        <family val="2"/>
      </rPr>
      <t xml:space="preserve">（扣預付後；成長由 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表達，預設情境為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不是永續資產，終值年須持續再投資</t>
    </r>
  </si>
  <si>
    <r>
      <rPr>
        <sz val="10"/>
        <rFont val="Noto Sans CJK SC"/>
        <family val="2"/>
      </rPr>
      <t xml:space="preserve">終值（</t>
    </r>
    <r>
      <rPr>
        <sz val="10"/>
        <rFont val="Arial"/>
        <family val="0"/>
        <charset val="1"/>
      </rPr>
      <t xml:space="preserve">Gordon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</si>
  <si>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＝常態化 </t>
    </r>
    <r>
      <rPr>
        <sz val="9"/>
        <color rgb="FF595959"/>
        <rFont val="Arial"/>
        <family val="0"/>
        <charset val="1"/>
      </rPr>
      <t xml:space="preserve">FCF×(1+g)÷(WACC−g)</t>
    </r>
  </si>
  <si>
    <t xml:space="preserve">終值現值</t>
  </si>
  <si>
    <r>
      <rPr>
        <sz val="10"/>
        <rFont val="Noto Sans CJK SC"/>
        <family val="2"/>
      </rPr>
      <t xml:space="preserve">企業價值 </t>
    </r>
    <r>
      <rPr>
        <sz val="10"/>
        <rFont val="Arial"/>
        <family val="0"/>
        <charset val="1"/>
      </rPr>
      <t xml:space="preserve">EV</t>
    </r>
  </si>
  <si>
    <t xml:space="preserve">減：淨負債</t>
  </si>
  <si>
    <t xml:space="preserve">＝評價淨負債（不含可轉債的淨負債＋債務處理可轉債到期本金＋調整項；見下方可轉債區）</t>
  </si>
  <si>
    <t xml:space="preserve">股權價值</t>
  </si>
  <si>
    <r>
      <rPr>
        <b val="true"/>
        <sz val="10"/>
        <rFont val="Arial"/>
        <family val="0"/>
        <charset val="1"/>
      </rPr>
      <t xml:space="preserve">DCF </t>
    </r>
    <r>
      <rPr>
        <b val="true"/>
        <sz val="10"/>
        <rFont val="Noto Sans CJK SC"/>
        <family val="2"/>
      </rPr>
      <t xml:space="preserve">每股</t>
    </r>
  </si>
  <si>
    <r>
      <rPr>
        <sz val="9"/>
        <color rgb="FF595959"/>
        <rFont val="Noto Sans CJK SC"/>
        <family val="2"/>
      </rPr>
      <t xml:space="preserve">採用值：失效時為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且權重歸零；否則依「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下限方式」取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截斷或選擇權</t>
    </r>
  </si>
  <si>
    <r>
      <rPr>
        <sz val="10"/>
        <rFont val="Noto Sans CJK SC"/>
        <family val="2"/>
      </rPr>
      <t xml:space="preserve">終值占 </t>
    </r>
    <r>
      <rPr>
        <sz val="10"/>
        <rFont val="Arial"/>
        <family val="0"/>
        <charset val="1"/>
      </rPr>
      <t xml:space="preserve">EV </t>
    </r>
    <r>
      <rPr>
        <sz val="10"/>
        <rFont val="Noto Sans CJK SC"/>
        <family val="2"/>
      </rPr>
      <t xml:space="preserve">比重</t>
    </r>
  </si>
  <si>
    <t xml:space="preserve">新股募得現金（現值）</t>
  </si>
  <si>
    <r>
      <rPr>
        <sz val="9"/>
        <color rgb="FF595959"/>
        <rFont val="Noto Sans CJK SC"/>
        <family val="2"/>
      </rPr>
      <t xml:space="preserve">期初到位，折現期數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1.5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2.5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3.5 </t>
    </r>
    <r>
      <rPr>
        <sz val="9"/>
        <color rgb="FF595959"/>
        <rFont val="Noto Sans CJK SC"/>
        <family val="2"/>
      </rPr>
      <t xml:space="preserve">年；</t>
    </r>
    <r>
      <rPr>
        <sz val="9"/>
        <color rgb="FF595959"/>
        <rFont val="Arial"/>
        <family val="0"/>
        <charset val="1"/>
      </rPr>
      <t xml:space="preserve">MAG v0.1b</t>
    </r>
    <r>
      <rPr>
        <sz val="9"/>
        <color rgb="FF595959"/>
        <rFont val="Noto Sans CJK SC"/>
        <family val="2"/>
      </rPr>
      <t xml:space="preserve">：扣瀑布回購現金（淨股權）</t>
    </r>
  </si>
  <si>
    <t xml:space="preserve">融資後股數（含瀑布新股）</t>
  </si>
  <si>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失效？（</t>
    </r>
    <r>
      <rPr>
        <sz val="10"/>
        <rFont val="Arial"/>
        <family val="0"/>
        <charset val="1"/>
      </rPr>
      <t xml:space="preserve">WACC ≤ g </t>
    </r>
    <r>
      <rPr>
        <sz val="10"/>
        <rFont val="Noto Sans CJK SC"/>
        <family val="2"/>
      </rPr>
      <t xml:space="preserve">或常態化 </t>
    </r>
    <r>
      <rPr>
        <sz val="10"/>
        <rFont val="Arial"/>
        <family val="0"/>
        <charset val="1"/>
      </rPr>
      <t xml:space="preserve">FCF ≤ 0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</si>
  <si>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＝失效：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權重歸零、</t>
    </r>
    <r>
      <rPr>
        <sz val="9"/>
        <color rgb="FF595959"/>
        <rFont val="Arial"/>
        <family val="0"/>
        <charset val="1"/>
      </rPr>
      <t xml:space="preserve">EV/EBITDA 100%</t>
    </r>
    <r>
      <rPr>
        <sz val="9"/>
        <color rgb="FF595959"/>
        <rFont val="Noto Sans CJK SC"/>
        <family val="2"/>
      </rPr>
      <t xml:space="preserve">。股權為負不算失效</t>
    </r>
  </si>
  <si>
    <r>
      <rPr>
        <b val="true"/>
        <sz val="10"/>
        <rFont val="Arial"/>
        <family val="0"/>
        <charset val="1"/>
      </rPr>
      <t xml:space="preserve">DCF </t>
    </r>
    <r>
      <rPr>
        <b val="true"/>
        <sz val="10"/>
        <rFont val="Noto Sans CJK SC"/>
        <family val="2"/>
      </rPr>
      <t xml:space="preserve">每股：</t>
    </r>
    <r>
      <rPr>
        <b val="true"/>
        <sz val="10"/>
        <rFont val="Arial"/>
        <family val="0"/>
        <charset val="1"/>
      </rPr>
      <t xml:space="preserve">0 </t>
    </r>
    <r>
      <rPr>
        <b val="true"/>
        <sz val="10"/>
        <rFont val="Noto Sans CJK SC"/>
        <family val="2"/>
      </rPr>
      <t xml:space="preserve">截斷</t>
    </r>
  </si>
  <si>
    <r>
      <rPr>
        <b val="true"/>
        <sz val="10"/>
        <rFont val="Arial"/>
        <family val="0"/>
        <charset val="1"/>
      </rPr>
      <t xml:space="preserve">DCF </t>
    </r>
    <r>
      <rPr>
        <b val="true"/>
        <sz val="10"/>
        <rFont val="Noto Sans CJK SC"/>
        <family val="2"/>
      </rPr>
      <t xml:space="preserve">每股：選擇權（</t>
    </r>
    <r>
      <rPr>
        <b val="true"/>
        <sz val="10"/>
        <rFont val="Arial"/>
        <family val="0"/>
        <charset val="1"/>
      </rPr>
      <t xml:space="preserve">Merton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</si>
  <si>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Black-Scholes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</t>
    </r>
    <r>
      <rPr>
        <sz val="9"/>
        <color rgb="FF595959"/>
        <rFont val="Noto Sans CJK SC"/>
        <family val="2"/>
      </rPr>
      <t xml:space="preserve">＝企業價值＋新股現值、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＝淨負債</t>
    </r>
  </si>
  <si>
    <r>
      <rPr>
        <sz val="10"/>
        <rFont val="Noto Sans CJK SC"/>
        <family val="2"/>
      </rPr>
      <t xml:space="preserve">　</t>
    </r>
    <r>
      <rPr>
        <sz val="10"/>
        <rFont val="Arial"/>
        <family val="0"/>
        <charset val="1"/>
      </rPr>
      <t xml:space="preserve">d1</t>
    </r>
  </si>
  <si>
    <r>
      <rPr>
        <sz val="10"/>
        <rFont val="Noto Sans CJK SC"/>
        <family val="2"/>
      </rPr>
      <t xml:space="preserve">　</t>
    </r>
    <r>
      <rPr>
        <sz val="10"/>
        <rFont val="Arial"/>
        <family val="0"/>
        <charset val="1"/>
      </rPr>
      <t xml:space="preserve">d2</t>
    </r>
  </si>
  <si>
    <r>
      <rPr>
        <b val="true"/>
        <sz val="10"/>
        <rFont val="Noto Sans CJK SC"/>
        <family val="2"/>
      </rPr>
      <t xml:space="preserve">倍數法（錨定年度，預設 </t>
    </r>
    <r>
      <rPr>
        <b val="true"/>
        <sz val="10"/>
        <rFont val="Arial"/>
        <family val="0"/>
        <charset val="1"/>
      </rPr>
      <t xml:space="preserve">2029</t>
    </r>
    <r>
      <rPr>
        <b val="true"/>
        <sz val="10"/>
        <rFont val="Noto Sans CJK SC"/>
        <family val="2"/>
      </rPr>
      <t xml:space="preserve">；折回 </t>
    </r>
    <r>
      <rPr>
        <b val="true"/>
        <sz val="10"/>
        <rFont val="Arial"/>
        <family val="0"/>
        <charset val="1"/>
      </rPr>
      <t xml:space="preserve">2027-06-30</t>
    </r>
    <r>
      <rPr>
        <b val="true"/>
        <sz val="10"/>
        <rFont val="Noto Sans CJK SC"/>
        <family val="2"/>
      </rPr>
      <t xml:space="preserve">）</t>
    </r>
  </si>
  <si>
    <t xml:space="preserve">錨定年度</t>
  </si>
  <si>
    <r>
      <rPr>
        <sz val="9"/>
        <color rgb="FF595959"/>
        <rFont val="Noto Sans CJK SC"/>
        <family val="2"/>
      </rPr>
      <t xml:space="preserve">輸入與假設 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區可改</t>
    </r>
  </si>
  <si>
    <r>
      <rPr>
        <sz val="10"/>
        <rFont val="Noto Sans CJK SC"/>
        <family val="2"/>
      </rPr>
      <t xml:space="preserve">錨定年度 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</si>
  <si>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Noto Sans CJK SC"/>
        <family val="2"/>
      </rPr>
      <t xml:space="preserve">錨定年度企業價值（倍數 </t>
    </r>
    <r>
      <rPr>
        <sz val="10"/>
        <rFont val="Arial"/>
        <family val="0"/>
        <charset val="1"/>
      </rPr>
      <t xml:space="preserve">× EBITDA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</si>
  <si>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分部加總：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雲端 </t>
    </r>
    <r>
      <rPr>
        <sz val="9"/>
        <color rgb="FF595959"/>
        <rFont val="Arial"/>
        <family val="0"/>
        <charset val="1"/>
      </rPr>
      <t xml:space="preserve">EBITDA × EV/EBITDA </t>
    </r>
    <r>
      <rPr>
        <sz val="9"/>
        <color rgb="FF595959"/>
        <rFont val="Noto Sans CJK SC"/>
        <family val="2"/>
      </rPr>
      <t xml:space="preserve">倍數＋非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事業 </t>
    </r>
    <r>
      <rPr>
        <sz val="9"/>
        <color rgb="FF595959"/>
        <rFont val="Arial"/>
        <family val="0"/>
        <charset val="1"/>
      </rPr>
      <t xml:space="preserve">EBITDA × </t>
    </r>
    <r>
      <rPr>
        <sz val="9"/>
        <color rgb="FF595959"/>
        <rFont val="Noto Sans CJK SC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事業倍數（下方兩列）</t>
    </r>
  </si>
  <si>
    <t xml:space="preserve">錨定年度末淨負債（總債務 − 現金）</t>
  </si>
  <si>
    <t xml:space="preserve">含瀑布新債；加可轉債分類調整與淨負債調整項（見下方可轉債區）</t>
  </si>
  <si>
    <t xml:space="preserve">錨定年度末股數（含瀑布新股）</t>
  </si>
  <si>
    <r>
      <rPr>
        <sz val="9"/>
        <color rgb="FF595959"/>
        <rFont val="Noto Sans CJK SC"/>
        <family val="2"/>
      </rPr>
      <t xml:space="preserve">損益股數：</t>
    </r>
    <r>
      <rPr>
        <sz val="9"/>
        <color rgb="FF595959"/>
        <rFont val="Arial"/>
        <family val="0"/>
        <charset val="1"/>
      </rPr>
      <t xml:space="preserve">SBC </t>
    </r>
    <r>
      <rPr>
        <sz val="9"/>
        <color rgb="FF595959"/>
        <rFont val="Noto Sans CJK SC"/>
        <family val="2"/>
      </rPr>
      <t xml:space="preserve">逐年稀釋＋瀑布新股</t>
    </r>
  </si>
  <si>
    <r>
      <rPr>
        <sz val="10"/>
        <rFont val="Noto Sans CJK SC"/>
        <family val="2"/>
      </rPr>
      <t xml:space="preserve">折回 </t>
    </r>
    <r>
      <rPr>
        <sz val="10"/>
        <rFont val="Arial"/>
        <family val="0"/>
        <charset val="1"/>
      </rPr>
      <t xml:space="preserve">2027-06-30 </t>
    </r>
    <r>
      <rPr>
        <sz val="10"/>
        <rFont val="Noto Sans CJK SC"/>
        <family val="2"/>
      </rPr>
      <t xml:space="preserve">的折現因子</t>
    </r>
  </si>
  <si>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WACC </t>
    </r>
    <r>
      <rPr>
        <sz val="9"/>
        <color rgb="FF595959"/>
        <rFont val="Noto Sans CJK SC"/>
        <family val="2"/>
      </rPr>
      <t xml:space="preserve">折現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</si>
  <si>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Arial"/>
        <family val="0"/>
        <charset val="1"/>
      </rPr>
      <t xml:space="preserve">EV/EBITDA </t>
    </r>
    <r>
      <rPr>
        <sz val="10"/>
        <rFont val="Noto Sans CJK SC"/>
        <family val="2"/>
      </rPr>
      <t xml:space="preserve">每股（融資後）</t>
    </r>
  </si>
  <si>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為下限</t>
    </r>
  </si>
  <si>
    <r>
      <rPr>
        <sz val="10"/>
        <rFont val="Noto Sans CJK SC"/>
        <family val="2"/>
      </rPr>
      <t xml:space="preserve">錨定年度非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 </t>
    </r>
    <r>
      <rPr>
        <sz val="10"/>
        <rFont val="Arial"/>
        <family val="0"/>
        <charset val="1"/>
      </rPr>
      <t xml:space="preserve">EBITDA</t>
    </r>
  </si>
  <si>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事業 </t>
    </r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Noto Sans CJK SC"/>
        <family val="2"/>
      </rPr>
      <t xml:space="preserve">倍數（同業 </t>
    </r>
    <r>
      <rPr>
        <sz val="9"/>
        <color rgb="FF595959"/>
        <rFont val="Arial"/>
        <family val="0"/>
        <charset val="1"/>
      </rPr>
      <t xml:space="preserve">NTM </t>
    </r>
    <r>
      <rPr>
        <sz val="9"/>
        <color rgb="FF595959"/>
        <rFont val="Noto Sans CJK SC"/>
        <family val="2"/>
      </rPr>
      <t xml:space="preserve">中位數）</t>
    </r>
  </si>
  <si>
    <r>
      <rPr>
        <sz val="10"/>
        <rFont val="Noto Sans CJK SC"/>
        <family val="2"/>
      </rPr>
      <t xml:space="preserve">錨定年度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（算力＋服務＋其他）</t>
    </r>
  </si>
  <si>
    <r>
      <rPr>
        <sz val="9"/>
        <color rgb="FF595959"/>
        <rFont val="Noto Sans CJK SC"/>
        <family val="2"/>
      </rPr>
      <t xml:space="preserve">＝錨定年度 </t>
    </r>
    <r>
      <rPr>
        <sz val="9"/>
        <color rgb="FF595959"/>
        <rFont val="Arial"/>
        <family val="0"/>
        <charset val="1"/>
      </rPr>
      <t xml:space="preserve">EBITDA − </t>
    </r>
    <r>
      <rPr>
        <sz val="9"/>
        <color rgb="FF595959"/>
        <rFont val="Noto Sans CJK SC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事業；</t>
    </r>
    <r>
      <rPr>
        <sz val="9"/>
        <color rgb="FF595959"/>
        <rFont val="Arial"/>
        <family val="0"/>
        <charset val="1"/>
      </rPr>
      <t xml:space="preserve">× EV/EBITDA </t>
    </r>
    <r>
      <rPr>
        <sz val="9"/>
        <color rgb="FF595959"/>
        <rFont val="Noto Sans CJK SC"/>
        <family val="2"/>
      </rPr>
      <t xml:space="preserve">倍數</t>
    </r>
  </si>
  <si>
    <t xml:space="preserve">加權目標價</t>
  </si>
  <si>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每股（推到目標價時點）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</si>
  <si>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每股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WACC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^</t>
    </r>
    <r>
      <rPr>
        <sz val="9"/>
        <color rgb="FF595959"/>
        <rFont val="Noto Sans CJK SC"/>
        <family val="2"/>
      </rPr>
      <t xml:space="preserve">（評價日至目標價時點的年數）</t>
    </r>
  </si>
  <si>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每股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有效權重</t>
    </r>
  </si>
  <si>
    <r>
      <rPr>
        <sz val="10"/>
        <rFont val="Arial"/>
        <family val="0"/>
        <charset val="1"/>
      </rPr>
      <t xml:space="preserve">EV/EBITDA</t>
    </r>
    <r>
      <rPr>
        <sz val="10"/>
        <rFont val="Noto Sans CJK SC"/>
        <family val="2"/>
      </rPr>
      <t xml:space="preserve">（融資後）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有效權重</t>
    </r>
  </si>
  <si>
    <t xml:space="preserve">期前融資瀑布：缺口先由額度與資產層新債支應，殘差以股權募足；估值不再扣缺口本金</t>
  </si>
  <si>
    <t xml:space="preserve">現價</t>
  </si>
  <si>
    <t xml:space="preserve">潛在空間</t>
  </si>
  <si>
    <r>
      <rPr>
        <b val="true"/>
        <sz val="10"/>
        <rFont val="Noto Sans CJK SC"/>
        <family val="2"/>
      </rPr>
      <t xml:space="preserve">讀法 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Noto Sans CJK SC"/>
        <family val="2"/>
      </rPr>
      <t xml:space="preserve">｜自用 </t>
    </r>
    <r>
      <rPr>
        <b val="true"/>
        <sz val="10"/>
        <rFont val="Arial"/>
        <family val="0"/>
        <charset val="1"/>
      </rPr>
      <t xml:space="preserve">AI </t>
    </r>
    <r>
      <rPr>
        <b val="true"/>
        <sz val="10"/>
        <rFont val="Noto Sans CJK SC"/>
        <family val="2"/>
      </rPr>
      <t xml:space="preserve">價值中性（自用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Noto Sans CJK SC"/>
        <family val="2"/>
      </rPr>
      <t xml:space="preserve">以 </t>
    </r>
    <r>
      <rPr>
        <b val="true"/>
        <sz val="10"/>
        <rFont val="Arial"/>
        <family val="0"/>
        <charset val="1"/>
      </rPr>
      <t xml:space="preserve">k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Noto Sans CJK SC"/>
        <family val="2"/>
      </rPr>
      <t xml:space="preserve">計影子收入進評價；讀法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＝影子收入不進評價，主值不變）</t>
    </r>
  </si>
  <si>
    <r>
      <rPr>
        <sz val="10"/>
        <rFont val="Noto Sans CJK SC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｜自用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影子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k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</si>
  <si>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＝對外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k ×(1 ÷ </t>
    </r>
    <r>
      <rPr>
        <sz val="9"/>
        <color rgb="FF595959"/>
        <rFont val="Noto Sans CJK SC"/>
        <family val="2"/>
      </rPr>
      <t xml:space="preserve">對外比例 − </t>
    </r>
    <r>
      <rPr>
        <sz val="9"/>
        <color rgb="FF595959"/>
        <rFont val="Arial"/>
        <family val="0"/>
        <charset val="1"/>
      </rPr>
      <t xml:space="preserve">1) − </t>
    </r>
    <r>
      <rPr>
        <sz val="9"/>
        <color rgb="FF595959"/>
        <rFont val="Noto Sans CJK SC"/>
        <family val="2"/>
      </rPr>
      <t xml:space="preserve">同口徑營運成本：自用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剛好回收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持有成本（不創造也不毀損價值）</t>
    </r>
  </si>
  <si>
    <r>
      <rPr>
        <sz val="10"/>
        <rFont val="Noto Sans CJK SC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EBIT</t>
    </r>
  </si>
  <si>
    <r>
      <rPr>
        <sz val="10"/>
        <rFont val="Noto Sans CJK SC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｜無槓桿 </t>
    </r>
    <r>
      <rPr>
        <sz val="10"/>
        <rFont val="Arial"/>
        <family val="0"/>
        <charset val="1"/>
      </rPr>
      <t xml:space="preserve">NOL </t>
    </r>
    <r>
      <rPr>
        <sz val="10"/>
        <rFont val="Noto Sans CJK SC"/>
        <family val="2"/>
      </rPr>
      <t xml:space="preserve">期初</t>
    </r>
  </si>
  <si>
    <r>
      <rPr>
        <sz val="10"/>
        <rFont val="Noto Sans CJK SC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｜本期動用（無槓桿）</t>
    </r>
  </si>
  <si>
    <r>
      <rPr>
        <sz val="10"/>
        <rFont val="Noto Sans CJK SC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｜無槓桿 </t>
    </r>
    <r>
      <rPr>
        <sz val="10"/>
        <rFont val="Arial"/>
        <family val="0"/>
        <charset val="1"/>
      </rPr>
      <t xml:space="preserve">NOL </t>
    </r>
    <r>
      <rPr>
        <sz val="10"/>
        <rFont val="Noto Sans CJK SC"/>
        <family val="2"/>
      </rPr>
      <t xml:space="preserve">期末</t>
    </r>
  </si>
  <si>
    <r>
      <rPr>
        <sz val="10"/>
        <rFont val="Noto Sans CJK SC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｜無槓桿所得稅</t>
    </r>
  </si>
  <si>
    <r>
      <rPr>
        <b val="true"/>
        <sz val="10"/>
        <rFont val="Noto Sans CJK SC"/>
        <family val="2"/>
      </rPr>
      <t xml:space="preserve">讀法 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Noto Sans CJK SC"/>
        <family val="2"/>
      </rPr>
      <t xml:space="preserve">｜</t>
    </r>
    <r>
      <rPr>
        <b val="true"/>
        <sz val="10"/>
        <rFont val="Arial"/>
        <family val="0"/>
        <charset val="1"/>
      </rPr>
      <t xml:space="preserve">UFCF</t>
    </r>
  </si>
  <si>
    <r>
      <rPr>
        <sz val="9"/>
        <color rgb="FF595959"/>
        <rFont val="Noto Sans CJK SC"/>
        <family val="2"/>
      </rPr>
      <t xml:space="preserve">＝讀法 </t>
    </r>
    <r>
      <rPr>
        <sz val="9"/>
        <color rgb="FF595959"/>
        <rFont val="Arial"/>
        <family val="0"/>
        <charset val="1"/>
      </rPr>
      <t xml:space="preserve">1 UFCF</t>
    </r>
    <r>
      <rPr>
        <sz val="9"/>
        <color rgb="FF595959"/>
        <rFont val="Noto Sans CJK SC"/>
        <family val="2"/>
      </rPr>
      <t xml:space="preserve">＋影子 </t>
    </r>
    <r>
      <rPr>
        <sz val="9"/>
        <color rgb="FF595959"/>
        <rFont val="Arial"/>
        <family val="0"/>
        <charset val="1"/>
      </rPr>
      <t xml:space="preserve">EBITDA − </t>
    </r>
    <r>
      <rPr>
        <sz val="9"/>
        <color rgb="FF595959"/>
        <rFont val="Noto Sans CJK SC"/>
        <family val="2"/>
      </rPr>
      <t xml:space="preserve">稅差</t>
    </r>
  </si>
  <si>
    <r>
      <rPr>
        <sz val="10"/>
        <rFont val="Noto Sans CJK SC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UFCF </t>
    </r>
    <r>
      <rPr>
        <sz val="10"/>
        <rFont val="Noto Sans CJK SC"/>
        <family val="2"/>
      </rPr>
      <t xml:space="preserve">現值</t>
    </r>
  </si>
  <si>
    <r>
      <rPr>
        <sz val="10"/>
        <rFont val="Noto Sans CJK SC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｜五期 </t>
    </r>
    <r>
      <rPr>
        <sz val="10"/>
        <rFont val="Arial"/>
        <family val="0"/>
        <charset val="1"/>
      </rPr>
      <t xml:space="preserve">UFCF </t>
    </r>
    <r>
      <rPr>
        <sz val="10"/>
        <rFont val="Noto Sans CJK SC"/>
        <family val="2"/>
      </rPr>
      <t xml:space="preserve">現值合計</t>
    </r>
  </si>
  <si>
    <r>
      <rPr>
        <sz val="10"/>
        <rFont val="Noto Sans CJK SC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｜終值基準 </t>
    </r>
    <r>
      <rPr>
        <sz val="10"/>
        <rFont val="Arial"/>
        <family val="0"/>
        <charset val="1"/>
      </rPr>
      <t xml:space="preserve">FCF</t>
    </r>
  </si>
  <si>
    <r>
      <rPr>
        <sz val="9"/>
        <color rgb="FF595959"/>
        <rFont val="Noto Sans CJK SC"/>
        <family val="2"/>
      </rPr>
      <t xml:space="preserve">＝讀法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終值基準＋末期影子現金流差</t>
    </r>
  </si>
  <si>
    <r>
      <rPr>
        <sz val="10"/>
        <rFont val="Noto Sans CJK SC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失效？</t>
    </r>
  </si>
  <si>
    <r>
      <rPr>
        <sz val="10"/>
        <rFont val="Noto Sans CJK SC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｜終值現值</t>
    </r>
  </si>
  <si>
    <r>
      <rPr>
        <sz val="10"/>
        <rFont val="Noto Sans CJK SC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｜企業價值 </t>
    </r>
    <r>
      <rPr>
        <sz val="10"/>
        <rFont val="Arial"/>
        <family val="0"/>
        <charset val="1"/>
      </rPr>
      <t xml:space="preserve">EV</t>
    </r>
  </si>
  <si>
    <r>
      <rPr>
        <sz val="10"/>
        <rFont val="Noto Sans CJK SC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d1</t>
    </r>
  </si>
  <si>
    <r>
      <rPr>
        <sz val="10"/>
        <rFont val="Noto Sans CJK SC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每股（評價日）</t>
    </r>
  </si>
  <si>
    <r>
      <rPr>
        <sz val="9"/>
        <color rgb="FF595959"/>
        <rFont val="Noto Sans CJK SC"/>
        <family val="2"/>
      </rPr>
      <t xml:space="preserve">與讀法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同股數、同淨負債</t>
    </r>
  </si>
  <si>
    <r>
      <rPr>
        <sz val="10"/>
        <rFont val="Noto Sans CJK SC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每股（推到目標價時點）</t>
    </r>
  </si>
  <si>
    <r>
      <rPr>
        <sz val="10"/>
        <rFont val="Noto Sans CJK SC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EV/EBITDA </t>
    </r>
    <r>
      <rPr>
        <sz val="10"/>
        <rFont val="Noto Sans CJK SC"/>
        <family val="2"/>
      </rPr>
      <t xml:space="preserve">每股（融資後）</t>
    </r>
  </si>
  <si>
    <r>
      <rPr>
        <sz val="9"/>
        <color rgb="FF595959"/>
        <rFont val="Noto Sans CJK SC"/>
        <family val="2"/>
      </rPr>
      <t xml:space="preserve">錨定年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雲端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加影子 </t>
    </r>
    <r>
      <rPr>
        <sz val="9"/>
        <color rgb="FF595959"/>
        <rFont val="Arial"/>
        <family val="0"/>
        <charset val="1"/>
      </rPr>
      <t xml:space="preserve">EBITDA × AI </t>
    </r>
    <r>
      <rPr>
        <sz val="9"/>
        <color rgb="FF595959"/>
        <rFont val="Noto Sans CJK SC"/>
        <family val="2"/>
      </rPr>
      <t xml:space="preserve">雲端倍數</t>
    </r>
  </si>
  <si>
    <r>
      <rPr>
        <b val="true"/>
        <sz val="10"/>
        <rFont val="Noto Sans CJK SC"/>
        <family val="2"/>
      </rPr>
      <t xml:space="preserve">讀法 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Noto Sans CJK SC"/>
        <family val="2"/>
      </rPr>
      <t xml:space="preserve">｜加權目標價</t>
    </r>
  </si>
  <si>
    <r>
      <rPr>
        <sz val="9"/>
        <color rgb="FF595959"/>
        <rFont val="Noto Sans CJK SC"/>
        <family val="2"/>
      </rPr>
      <t xml:space="preserve">只有對外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的超額報酬影響目標價（對照表 </t>
    </r>
    <r>
      <rPr>
        <sz val="9"/>
        <color rgb="FF595959"/>
        <rFont val="Arial"/>
        <family val="0"/>
        <charset val="1"/>
      </rPr>
      <t xml:space="preserve">r1 C16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</si>
  <si>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讀法 </t>
    </r>
    <r>
      <rPr>
        <b val="true"/>
        <sz val="10"/>
        <rFont val="Arial"/>
        <family val="0"/>
        <charset val="1"/>
      </rPr>
      <t xml:space="preserve">2 − </t>
    </r>
    <r>
      <rPr>
        <b val="true"/>
        <sz val="10"/>
        <rFont val="Noto Sans CJK SC"/>
        <family val="2"/>
      </rPr>
      <t xml:space="preserve">讀法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（目標價差額）</t>
    </r>
  </si>
  <si>
    <r>
      <rPr>
        <sz val="9"/>
        <color rgb="FF595959"/>
        <rFont val="Noto Sans CJK SC"/>
        <family val="2"/>
      </rPr>
      <t xml:space="preserve">主值取哪一個是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的判斷（待決）</t>
    </r>
  </si>
  <si>
    <r>
      <rPr>
        <b val="true"/>
        <sz val="10"/>
        <rFont val="Noto Sans CJK SC"/>
        <family val="2"/>
      </rPr>
      <t xml:space="preserve">可轉債稀釋（若轉換法；第一輪判斷價＝現價，第二輪＝</t>
    </r>
    <r>
      <rPr>
        <b val="true"/>
        <sz val="10"/>
        <rFont val="Arial"/>
        <family val="0"/>
        <charset val="1"/>
      </rPr>
      <t xml:space="preserve">MIN(</t>
    </r>
    <r>
      <rPr>
        <b val="true"/>
        <sz val="10"/>
        <rFont val="Noto Sans CJK SC"/>
        <family val="2"/>
      </rPr>
      <t xml:space="preserve">現價</t>
    </r>
    <r>
      <rPr>
        <b val="true"/>
        <sz val="10"/>
        <rFont val="Arial"/>
        <family val="0"/>
        <charset val="1"/>
      </rPr>
      <t xml:space="preserve">, </t>
    </r>
    <r>
      <rPr>
        <b val="true"/>
        <sz val="10"/>
        <rFont val="Noto Sans CJK SC"/>
        <family val="2"/>
      </rPr>
      <t xml:space="preserve">第一輪目標價</t>
    </r>
    <r>
      <rPr>
        <b val="true"/>
        <sz val="10"/>
        <rFont val="Arial"/>
        <family val="0"/>
        <charset val="1"/>
      </rPr>
      <t xml:space="preserve">)</t>
    </r>
    <r>
      <rPr>
        <b val="true"/>
        <sz val="10"/>
        <rFont val="Noto Sans CJK SC"/>
        <family val="2"/>
      </rPr>
      <t xml:space="preserve">）</t>
    </r>
  </si>
  <si>
    <t xml:space="preserve">第一輪：轉股股數</t>
  </si>
  <si>
    <r>
      <rPr>
        <sz val="9"/>
        <color rgb="FF595959"/>
        <rFont val="Noto Sans CJK SC"/>
        <family val="2"/>
      </rPr>
      <t xml:space="preserve">有效轉換價 </t>
    </r>
    <r>
      <rPr>
        <sz val="9"/>
        <color rgb="FF595959"/>
        <rFont val="Arial"/>
        <family val="0"/>
        <charset val="1"/>
      </rPr>
      <t xml:space="preserve">&lt; </t>
    </r>
    <r>
      <rPr>
        <sz val="9"/>
        <color rgb="FF595959"/>
        <rFont val="Noto Sans CJK SC"/>
        <family val="2"/>
      </rPr>
      <t xml:space="preserve">現價的可轉債：原始本金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轉換價</t>
    </r>
  </si>
  <si>
    <t xml:space="preserve">第一輪：評價股數</t>
  </si>
  <si>
    <t xml:space="preserve">第一輪：評價淨負債</t>
  </si>
  <si>
    <t xml:space="preserve">＝不含可轉債的淨負債＋債務處理可轉債到期本金＋調整項</t>
  </si>
  <si>
    <r>
      <rPr>
        <sz val="10"/>
        <rFont val="Noto Sans CJK SC"/>
        <family val="2"/>
      </rPr>
      <t xml:space="preserve">第一輪：</t>
    </r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融資後股數</t>
    </r>
  </si>
  <si>
    <r>
      <rPr>
        <sz val="10"/>
        <rFont val="Noto Sans CJK SC"/>
        <family val="2"/>
      </rPr>
      <t xml:space="preserve">第一輪：</t>
    </r>
    <r>
      <rPr>
        <sz val="10"/>
        <rFont val="Arial"/>
        <family val="0"/>
        <charset val="1"/>
      </rPr>
      <t xml:space="preserve">d1</t>
    </r>
  </si>
  <si>
    <r>
      <rPr>
        <sz val="10"/>
        <rFont val="Noto Sans CJK SC"/>
        <family val="2"/>
      </rPr>
      <t xml:space="preserve">第一輪：</t>
    </r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每股（評價日）</t>
    </r>
  </si>
  <si>
    <r>
      <rPr>
        <sz val="9"/>
        <color rgb="FF595959"/>
        <rFont val="Noto Sans CJK SC"/>
        <family val="2"/>
      </rPr>
      <t xml:space="preserve">與上方 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同算法，只換股數與淨負債</t>
    </r>
  </si>
  <si>
    <t xml:space="preserve">第一輪：錨定年末淨負債</t>
  </si>
  <si>
    <t xml:space="preserve">＝融資表錨定年末淨負債＋（融資分類為轉股、評價分類為債務的到期本金）＋調整項</t>
  </si>
  <si>
    <t xml:space="preserve">第一輪：錨定年末股數</t>
  </si>
  <si>
    <r>
      <rPr>
        <sz val="10"/>
        <rFont val="Noto Sans CJK SC"/>
        <family val="2"/>
      </rPr>
      <t xml:space="preserve">第一輪：</t>
    </r>
    <r>
      <rPr>
        <sz val="10"/>
        <rFont val="Arial"/>
        <family val="0"/>
        <charset val="1"/>
      </rPr>
      <t xml:space="preserve">EV/EBITDA </t>
    </r>
    <r>
      <rPr>
        <sz val="10"/>
        <rFont val="Noto Sans CJK SC"/>
        <family val="2"/>
      </rPr>
      <t xml:space="preserve">每股</t>
    </r>
  </si>
  <si>
    <t xml:space="preserve">第一輪：加權目標價</t>
  </si>
  <si>
    <t xml:space="preserve">第二輪判斷價</t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</si>
  <si>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MIN(</t>
    </r>
    <r>
      <rPr>
        <sz val="9"/>
        <color rgb="FF595959"/>
        <rFont val="Noto Sans CJK SC"/>
        <family val="2"/>
      </rPr>
      <t xml:space="preserve">現價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Noto Sans CJK SC"/>
        <family val="2"/>
      </rPr>
      <t xml:space="preserve">第一輪加權目標價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：以較保守者判斷是否價內</t>
    </r>
  </si>
  <si>
    <t xml:space="preserve">第二輪：轉股股數</t>
  </si>
  <si>
    <r>
      <rPr>
        <sz val="9"/>
        <color rgb="FF595959"/>
        <rFont val="Noto Sans CJK SC"/>
        <family val="2"/>
      </rPr>
      <t xml:space="preserve">有效轉換價 </t>
    </r>
    <r>
      <rPr>
        <sz val="9"/>
        <color rgb="FF595959"/>
        <rFont val="Arial"/>
        <family val="0"/>
        <charset val="1"/>
      </rPr>
      <t xml:space="preserve">&lt; </t>
    </r>
    <r>
      <rPr>
        <sz val="9"/>
        <color rgb="FF595959"/>
        <rFont val="Noto Sans CJK SC"/>
        <family val="2"/>
      </rPr>
      <t xml:space="preserve">第二輪判斷價的可轉債</t>
    </r>
  </si>
  <si>
    <t xml:space="preserve">第二輪：債務處理到期本金</t>
  </si>
  <si>
    <t xml:space="preserve">評價股數（含可轉債轉股）</t>
  </si>
  <si>
    <r>
      <rPr>
        <sz val="9"/>
        <color rgb="FF595959"/>
        <rFont val="Arial"/>
        <family val="0"/>
        <charset val="1"/>
      </rPr>
      <t xml:space="preserve">DCF</t>
    </r>
    <r>
      <rPr>
        <sz val="9"/>
        <color rgb="FF595959"/>
        <rFont val="Noto Sans CJK SC"/>
        <family val="2"/>
      </rPr>
      <t xml:space="preserve">、損益股數與錨定年末股數的起點</t>
    </r>
  </si>
  <si>
    <t xml:space="preserve">評價淨負債（含可轉債與調整項）</t>
  </si>
  <si>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減項與 </t>
    </r>
    <r>
      <rPr>
        <sz val="9"/>
        <color rgb="FF595959"/>
        <rFont val="Arial"/>
        <family val="0"/>
        <charset val="1"/>
      </rPr>
      <t xml:space="preserve">Merton </t>
    </r>
    <r>
      <rPr>
        <sz val="9"/>
        <color rgb="FF595959"/>
        <rFont val="Noto Sans CJK SC"/>
        <family val="2"/>
      </rPr>
      <t xml:space="preserve">履約價</t>
    </r>
  </si>
  <si>
    <t xml:space="preserve">錨定年末淨負債調整（可轉債分類差＋調整項）</t>
  </si>
  <si>
    <t xml:space="preserve">融資現金流依『融資分類』（判斷價＝股權發行價）；評價依第二輪分類，差額在錨定年末淨負債補回</t>
  </si>
  <si>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權重說明</t>
    </r>
  </si>
  <si>
    <r>
      <rPr>
        <sz val="9"/>
        <color rgb="FF595959"/>
        <rFont val="Noto Sans CJK SC"/>
        <family val="2"/>
      </rPr>
      <t xml:space="preserve">只在 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被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截斷時顯示；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失效時改為一句；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為正時空白（與 </t>
    </r>
    <r>
      <rPr>
        <sz val="9"/>
        <color rgb="FF595959"/>
        <rFont val="Arial"/>
        <family val="0"/>
        <charset val="1"/>
      </rPr>
      <t xml:space="preserve">HTML </t>
    </r>
    <r>
      <rPr>
        <sz val="9"/>
        <color rgb="FF595959"/>
        <rFont val="Noto Sans CJK SC"/>
        <family val="2"/>
      </rPr>
      <t xml:space="preserve">同一字串）</t>
    </r>
  </si>
  <si>
    <t xml:space="preserve">目標價區間（情境區間、方法區間；評等仍依點位）</t>
  </si>
  <si>
    <t xml:space="preserve">目標價區間｜點位（目前輸入的加權目標價）</t>
  </si>
  <si>
    <r>
      <rPr>
        <sz val="10"/>
        <rFont val="Noto Sans CJK SC"/>
        <family val="2"/>
      </rPr>
      <t xml:space="preserve">目標價區間｜終值占 </t>
    </r>
    <r>
      <rPr>
        <sz val="10"/>
        <rFont val="Arial"/>
        <family val="0"/>
        <charset val="1"/>
      </rPr>
      <t xml:space="preserve">EV</t>
    </r>
    <r>
      <rPr>
        <sz val="10"/>
        <rFont val="Noto Sans CJK SC"/>
        <family val="2"/>
      </rPr>
      <t xml:space="preserve">（評等用）</t>
    </r>
  </si>
  <si>
    <r>
      <rPr>
        <sz val="10"/>
        <rFont val="Noto Sans CJK SC"/>
        <family val="2"/>
      </rPr>
      <t xml:space="preserve">目標價區間｜股權募資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現市值（評等用）</t>
    </r>
  </si>
  <si>
    <r>
      <rPr>
        <sz val="10"/>
        <rFont val="Noto Sans CJK SC"/>
        <family val="2"/>
      </rPr>
      <t xml:space="preserve">目標價區間｜點位評等代碼（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＝買進、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＝中立、−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＝賣出）</t>
    </r>
  </si>
  <si>
    <r>
      <rPr>
        <sz val="10"/>
        <rFont val="Noto Sans CJK SC"/>
        <family val="2"/>
      </rPr>
      <t xml:space="preserve">目標價區間｜賣出門檻價（現價 </t>
    </r>
    <r>
      <rPr>
        <sz val="10"/>
        <rFont val="Arial"/>
        <family val="0"/>
        <charset val="1"/>
      </rPr>
      <t xml:space="preserve">× (1 − 15%)</t>
    </r>
    <r>
      <rPr>
        <sz val="10"/>
        <rFont val="Noto Sans CJK SC"/>
        <family val="2"/>
      </rPr>
      <t xml:space="preserve">）</t>
    </r>
  </si>
  <si>
    <t xml:space="preserve">目標價區間｜保守 已交付＋已公開在建（加權目標價／評等代碼／距賣出門檻）</t>
  </si>
  <si>
    <r>
      <rPr>
        <sz val="9"/>
        <color rgb="FF595959"/>
        <rFont val="Noto Sans CJK SC"/>
        <family val="2"/>
      </rPr>
      <t xml:space="preserve">引用『輸入與假設』底部模擬運算表（情境選擇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），保留其餘手動輸入</t>
    </r>
  </si>
  <si>
    <t xml:space="preserve">目標價區間｜基準 依資本支出指引（加權目標價／評等代碼／距賣出門檻）</t>
  </si>
  <si>
    <r>
      <rPr>
        <sz val="10"/>
        <rFont val="Noto Sans CJK SC"/>
        <family val="2"/>
      </rPr>
      <t xml:space="preserve">目標價區間｜積極 依 </t>
    </r>
    <r>
      <rPr>
        <sz val="10"/>
        <rFont val="Arial"/>
        <family val="0"/>
        <charset val="1"/>
      </rPr>
      <t xml:space="preserve">2027 </t>
    </r>
    <r>
      <rPr>
        <sz val="10"/>
        <rFont val="Noto Sans CJK SC"/>
        <family val="2"/>
      </rPr>
      <t xml:space="preserve">擴張幅度（加權目標價／評等代碼／距賣出門檻）</t>
    </r>
  </si>
  <si>
    <t xml:space="preserve">目標價區間｜情境區間（下緣／上緣）</t>
  </si>
  <si>
    <t xml:space="preserve">目標價區間｜方法區間倍數（下端／上端）</t>
  </si>
  <si>
    <t xml:space="preserve">目標價區間｜方法區間（下緣／上緣）</t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</si>
  <si>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採用值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有效權重 ＋ </t>
    </r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Noto Sans CJK SC"/>
        <family val="2"/>
      </rPr>
      <t xml:space="preserve">腿（倍數換成兩端）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有效權重</t>
    </r>
  </si>
  <si>
    <r>
      <rPr>
        <sz val="10"/>
        <rFont val="Noto Sans CJK SC"/>
        <family val="2"/>
      </rPr>
      <t xml:space="preserve">目標價區間｜</t>
    </r>
    <r>
      <rPr>
        <sz val="10"/>
        <rFont val="Arial"/>
        <family val="0"/>
        <charset val="1"/>
      </rPr>
      <t xml:space="preserve">100% EV/EBITDA </t>
    </r>
    <r>
      <rPr>
        <sz val="10"/>
        <rFont val="Noto Sans CJK SC"/>
        <family val="2"/>
      </rPr>
      <t xml:space="preserve">目標價（價位／評等代碼）</t>
    </r>
  </si>
  <si>
    <r>
      <rPr>
        <sz val="10"/>
        <rFont val="Noto Sans CJK SC"/>
        <family val="2"/>
      </rPr>
      <t xml:space="preserve">目標價區間｜未截斷 </t>
    </r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每股</t>
    </r>
  </si>
  <si>
    <r>
      <rPr>
        <sz val="10"/>
        <rFont val="Noto Sans CJK SC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｜保守 已交付＋已公開在建（加權目標價／讀法 </t>
    </r>
    <r>
      <rPr>
        <sz val="10"/>
        <rFont val="Arial"/>
        <family val="0"/>
        <charset val="1"/>
      </rPr>
      <t xml:space="preserve">2 − </t>
    </r>
    <r>
      <rPr>
        <sz val="10"/>
        <rFont val="Noto Sans CJK SC"/>
        <family val="2"/>
      </rPr>
      <t xml:space="preserve">讀法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</si>
  <si>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快照（</t>
    </r>
    <r>
      <rPr>
        <sz val="9"/>
        <color rgb="FF595959"/>
        <rFont val="Arial"/>
        <family val="0"/>
        <charset val="1"/>
      </rPr>
      <t xml:space="preserve">verify.sh </t>
    </r>
    <r>
      <rPr>
        <sz val="9"/>
        <color rgb="FF595959"/>
        <rFont val="Noto Sans CJK SC"/>
        <family val="2"/>
      </rPr>
      <t xml:space="preserve">步驟 </t>
    </r>
    <r>
      <rPr>
        <sz val="9"/>
        <color rgb="FF595959"/>
        <rFont val="Arial"/>
        <family val="0"/>
        <charset val="1"/>
      </rPr>
      <t xml:space="preserve">3b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LibreOffice </t>
    </r>
    <r>
      <rPr>
        <sz val="9"/>
        <color rgb="FF595959"/>
        <rFont val="Noto Sans CJK SC"/>
        <family val="2"/>
      </rPr>
      <t xml:space="preserve">重算求得；</t>
    </r>
    <r>
      <rPr>
        <sz val="9"/>
        <color rgb="FF595959"/>
        <rFont val="Arial"/>
        <family val="0"/>
        <charset val="1"/>
      </rPr>
      <t xml:space="preserve">scripts/rv_solve.py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HTML </t>
    </r>
    <r>
      <rPr>
        <sz val="9"/>
        <color rgb="FF595959"/>
        <rFont val="Noto Sans CJK SC"/>
        <family val="2"/>
      </rPr>
      <t xml:space="preserve">即時計算，</t>
    </r>
    <r>
      <rPr>
        <sz val="9"/>
        <color rgb="FF595959"/>
        <rFont val="Arial"/>
        <family val="0"/>
        <charset val="1"/>
      </rPr>
      <t xml:space="preserve">cmp31 </t>
    </r>
    <r>
      <rPr>
        <sz val="9"/>
        <color rgb="FF595959"/>
        <rFont val="Noto Sans CJK SC"/>
        <family val="2"/>
      </rPr>
      <t xml:space="preserve">比對）</t>
    </r>
  </si>
  <si>
    <r>
      <rPr>
        <sz val="10"/>
        <rFont val="Noto Sans CJK SC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｜基準 依資本支出指引（加權目標價／讀法 </t>
    </r>
    <r>
      <rPr>
        <sz val="10"/>
        <rFont val="Arial"/>
        <family val="0"/>
        <charset val="1"/>
      </rPr>
      <t xml:space="preserve">2 − </t>
    </r>
    <r>
      <rPr>
        <sz val="10"/>
        <rFont val="Noto Sans CJK SC"/>
        <family val="2"/>
      </rPr>
      <t xml:space="preserve">讀法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</si>
  <si>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｜積極 依 </t>
    </r>
    <r>
      <rPr>
        <sz val="10"/>
        <rFont val="Arial"/>
        <family val="0"/>
        <charset val="1"/>
      </rPr>
      <t xml:space="preserve">2027 </t>
    </r>
    <r>
      <rPr>
        <sz val="10"/>
        <rFont val="Noto Sans CJK SC"/>
        <family val="2"/>
      </rPr>
      <t xml:space="preserve">擴張幅度（加權目標價／讀法 </t>
    </r>
    <r>
      <rPr>
        <sz val="10"/>
        <rFont val="Arial"/>
        <family val="0"/>
        <charset val="1"/>
      </rPr>
      <t xml:space="preserve">2 − </t>
    </r>
    <r>
      <rPr>
        <sz val="10"/>
        <rFont val="Noto Sans CJK SC"/>
        <family val="2"/>
      </rPr>
      <t xml:space="preserve">讀法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</si>
  <si>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對外比例敏感度｜−</t>
    </r>
    <r>
      <rPr>
        <sz val="10"/>
        <rFont val="Arial"/>
        <family val="0"/>
        <charset val="1"/>
      </rPr>
      <t xml:space="preserve">20pt</t>
    </r>
    <r>
      <rPr>
        <sz val="10"/>
        <rFont val="Noto Sans CJK SC"/>
        <family val="2"/>
      </rPr>
      <t xml:space="preserve">（對外比例／加權目標價）</t>
    </r>
  </si>
  <si>
    <r>
      <rPr>
        <sz val="10"/>
        <rFont val="Noto Sans CJK SC"/>
        <family val="2"/>
      </rPr>
      <t xml:space="preserve">對外比例敏感度｜＋</t>
    </r>
    <r>
      <rPr>
        <sz val="10"/>
        <rFont val="Arial"/>
        <family val="0"/>
        <charset val="1"/>
      </rPr>
      <t xml:space="preserve">20pt</t>
    </r>
    <r>
      <rPr>
        <sz val="10"/>
        <rFont val="Noto Sans CJK SC"/>
        <family val="2"/>
      </rPr>
      <t xml:space="preserve">（對外比例／加權目標價）</t>
    </r>
  </si>
  <si>
    <r>
      <rPr>
        <sz val="10"/>
        <rFont val="Arial"/>
        <family val="0"/>
        <charset val="1"/>
      </rPr>
      <t xml:space="preserve">3×3</t>
    </r>
    <r>
      <rPr>
        <sz val="10"/>
        <rFont val="Noto Sans CJK SC"/>
        <family val="2"/>
      </rPr>
      <t xml:space="preserve">｜保守 已交付＋已公開在建（價格軸 低／基準／高）</t>
    </r>
  </si>
  <si>
    <r>
      <rPr>
        <sz val="9"/>
        <color rgb="FF595959"/>
        <rFont val="Noto Sans CJK SC"/>
        <family val="2"/>
      </rPr>
      <t xml:space="preserve">快照（</t>
    </r>
    <r>
      <rPr>
        <sz val="9"/>
        <color rgb="FF595959"/>
        <rFont val="Arial"/>
        <family val="0"/>
        <charset val="1"/>
      </rPr>
      <t xml:space="preserve">verify.sh </t>
    </r>
    <r>
      <rPr>
        <sz val="9"/>
        <color rgb="FF595959"/>
        <rFont val="Noto Sans CJK SC"/>
        <family val="2"/>
      </rPr>
      <t xml:space="preserve">步驟 </t>
    </r>
    <r>
      <rPr>
        <sz val="9"/>
        <color rgb="FF595959"/>
        <rFont val="Arial"/>
        <family val="0"/>
        <charset val="1"/>
      </rPr>
      <t xml:space="preserve">3b </t>
    </r>
    <r>
      <rPr>
        <sz val="9"/>
        <color rgb="FF595959"/>
        <rFont val="Noto Sans CJK SC"/>
        <family val="2"/>
      </rPr>
      <t xml:space="preserve">重算）：列＝容量情境（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區）、欄＝價格軸（</t>
    </r>
    <r>
      <rPr>
        <sz val="9"/>
        <color rgb="FF595959"/>
        <rFont val="Arial"/>
        <family val="0"/>
        <charset val="1"/>
      </rPr>
      <t xml:space="preserve">B0</t>
    </r>
    <r>
      <rPr>
        <sz val="9"/>
        <color rgb="FF595959"/>
        <rFont val="Noto Sans CJK SC"/>
        <family val="2"/>
      </rPr>
      <t xml:space="preserve">：低 長約下緣／基準 </t>
    </r>
    <r>
      <rPr>
        <sz val="9"/>
        <color rgb="FF595959"/>
        <rFont val="Arial"/>
        <family val="0"/>
        <charset val="1"/>
      </rPr>
      <t xml:space="preserve">C1 </t>
    </r>
    <r>
      <rPr>
        <sz val="9"/>
        <color rgb="FF595959"/>
        <rFont val="Noto Sans CJK SC"/>
        <family val="2"/>
      </rPr>
      <t xml:space="preserve">混合／高 現貨改用 </t>
    </r>
    <r>
      <rPr>
        <sz val="9"/>
        <color rgb="FF595959"/>
        <rFont val="Arial"/>
        <family val="0"/>
        <charset val="1"/>
      </rPr>
      <t xml:space="preserve">GCP </t>
    </r>
    <r>
      <rPr>
        <sz val="9"/>
        <color rgb="FF595959"/>
        <rFont val="Noto Sans CJK SC"/>
        <family val="2"/>
      </rPr>
      <t xml:space="preserve">牌價）；其餘輸入為預設值</t>
    </r>
  </si>
  <si>
    <r>
      <rPr>
        <sz val="10"/>
        <rFont val="Arial"/>
        <family val="0"/>
        <charset val="1"/>
      </rPr>
      <t xml:space="preserve">3×3</t>
    </r>
    <r>
      <rPr>
        <sz val="10"/>
        <rFont val="Noto Sans CJK SC"/>
        <family val="2"/>
      </rPr>
      <t xml:space="preserve">｜基準 依資本支出指引（價格軸 低／基準／高）</t>
    </r>
  </si>
  <si>
    <r>
      <rPr>
        <sz val="10"/>
        <rFont val="Arial"/>
        <family val="0"/>
        <charset val="1"/>
      </rPr>
      <t xml:space="preserve">3×3</t>
    </r>
    <r>
      <rPr>
        <sz val="10"/>
        <rFont val="Noto Sans CJK SC"/>
        <family val="2"/>
      </rPr>
      <t xml:space="preserve">｜積極 依 </t>
    </r>
    <r>
      <rPr>
        <sz val="10"/>
        <rFont val="Arial"/>
        <family val="0"/>
        <charset val="1"/>
      </rPr>
      <t xml:space="preserve">2027 </t>
    </r>
    <r>
      <rPr>
        <sz val="10"/>
        <rFont val="Noto Sans CJK SC"/>
        <family val="2"/>
      </rPr>
      <t xml:space="preserve">擴張幅度（價格軸 低／基準／高）</t>
    </r>
  </si>
  <si>
    <t xml:space="preserve">目標價區間｜點位摘要</t>
  </si>
  <si>
    <t xml:space="preserve">目標價區間｜方法區間標籤</t>
  </si>
  <si>
    <t xml:space="preserve">目標價區間｜點位位置</t>
  </si>
  <si>
    <t xml:space="preserve">目標價區間｜判斷句</t>
  </si>
  <si>
    <r>
      <rPr>
        <b val="true"/>
        <sz val="10"/>
        <rFont val="Noto Sans CJK SC"/>
        <family val="2"/>
      </rPr>
      <t xml:space="preserve">錨定年度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倍數矩陣（每股；以 </t>
    </r>
    <r>
      <rPr>
        <b val="true"/>
        <sz val="10"/>
        <rFont val="Arial"/>
        <family val="0"/>
        <charset val="1"/>
      </rPr>
      <t xml:space="preserve">WACC </t>
    </r>
    <r>
      <rPr>
        <b val="true"/>
        <sz val="10"/>
        <rFont val="Noto Sans CJK SC"/>
        <family val="2"/>
      </rPr>
      <t xml:space="preserve">折回 </t>
    </r>
    <r>
      <rPr>
        <b val="true"/>
        <sz val="10"/>
        <rFont val="Arial"/>
        <family val="0"/>
        <charset val="1"/>
      </rPr>
      <t xml:space="preserve">2027-06-30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</si>
  <si>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1"/>
        <color rgb="FFFFFFFF"/>
        <rFont val="Arial"/>
        <family val="0"/>
        <charset val="1"/>
      </rPr>
      <t xml:space="preserve">AI </t>
    </r>
    <r>
      <rPr>
        <b val="true"/>
        <sz val="11"/>
        <color rgb="FFFFFFFF"/>
        <rFont val="Noto Sans CJK SC"/>
        <family val="2"/>
      </rPr>
      <t xml:space="preserve">雲端 倍數 ＼ 錨定（</t>
    </r>
    <r>
      <rPr>
        <b val="true"/>
        <sz val="11"/>
        <color rgb="FFFFFFFF"/>
        <rFont val="Arial"/>
        <family val="0"/>
        <charset val="1"/>
      </rPr>
      <t xml:space="preserve">EV/EBITDA </t>
    </r>
    <r>
      <rPr>
        <b val="true"/>
        <sz val="11"/>
        <color rgb="FFFFFFFF"/>
        <rFont val="Noto Sans CJK SC"/>
        <family val="2"/>
      </rPr>
      <t xml:space="preserve">腿）</t>
    </r>
  </si>
  <si>
    <t xml:space="preserve">倍數</t>
  </si>
  <si>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Noto Sans CJK SC"/>
        <family val="2"/>
      </rPr>
      <t xml:space="preserve">腿＝</t>
    </r>
    <r>
      <rPr>
        <sz val="9"/>
        <color rgb="FF595959"/>
        <rFont val="Arial"/>
        <family val="0"/>
        <charset val="1"/>
      </rPr>
      <t xml:space="preserve">(AI </t>
    </r>
    <r>
      <rPr>
        <sz val="9"/>
        <color rgb="FF595959"/>
        <rFont val="Noto Sans CJK SC"/>
        <family val="2"/>
      </rPr>
      <t xml:space="preserve">雲端 </t>
    </r>
    <r>
      <rPr>
        <sz val="9"/>
        <color rgb="FF595959"/>
        <rFont val="Arial"/>
        <family val="0"/>
        <charset val="1"/>
      </rPr>
      <t xml:space="preserve">EBITDA × </t>
    </r>
    <r>
      <rPr>
        <sz val="9"/>
        <color rgb="FF595959"/>
        <rFont val="Noto Sans CJK SC"/>
        <family val="2"/>
      </rPr>
      <t xml:space="preserve">倍數＋非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事業 </t>
    </r>
    <r>
      <rPr>
        <sz val="9"/>
        <color rgb="FF595959"/>
        <rFont val="Arial"/>
        <family val="0"/>
        <charset val="1"/>
      </rPr>
      <t xml:space="preserve">EBITDA × </t>
    </r>
    <r>
      <rPr>
        <sz val="9"/>
        <color rgb="FF595959"/>
        <rFont val="Noto Sans CJK SC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事業倍數 − 錨定年末淨負債</t>
    </r>
    <r>
      <rPr>
        <sz val="9"/>
        <color rgb="FF595959"/>
        <rFont val="Arial"/>
        <family val="0"/>
        <charset val="1"/>
      </rPr>
      <t xml:space="preserve">) ÷ </t>
    </r>
    <r>
      <rPr>
        <sz val="9"/>
        <color rgb="FF595959"/>
        <rFont val="Noto Sans CJK SC"/>
        <family val="2"/>
      </rPr>
      <t xml:space="preserve">錨定年末股數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折現因子；加權＝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採用值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有效權重 ＋ 腿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有效權重。綠底＝不低於現價</t>
    </r>
  </si>
  <si>
    <r>
      <rPr>
        <sz val="10"/>
        <rFont val="Noto Sans CJK SC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倍數｜</t>
    </r>
    <r>
      <rPr>
        <sz val="10"/>
        <rFont val="Arial"/>
        <family val="0"/>
        <charset val="1"/>
      </rPr>
      <t xml:space="preserve">EV/EBITDA </t>
    </r>
    <r>
      <rPr>
        <sz val="10"/>
        <rFont val="Noto Sans CJK SC"/>
        <family val="2"/>
      </rPr>
      <t xml:space="preserve">腿｜</t>
    </r>
    <r>
      <rPr>
        <sz val="10"/>
        <rFont val="Arial"/>
        <family val="0"/>
        <charset val="1"/>
      </rPr>
      <t xml:space="preserve">3.4x</t>
    </r>
  </si>
  <si>
    <r>
      <rPr>
        <sz val="10"/>
        <rFont val="Noto Sans CJK SC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倍數｜</t>
    </r>
    <r>
      <rPr>
        <sz val="10"/>
        <rFont val="Arial"/>
        <family val="0"/>
        <charset val="1"/>
      </rPr>
      <t xml:space="preserve">EV/EBITDA </t>
    </r>
    <r>
      <rPr>
        <sz val="10"/>
        <rFont val="Noto Sans CJK SC"/>
        <family val="2"/>
      </rPr>
      <t xml:space="preserve">腿｜</t>
    </r>
    <r>
      <rPr>
        <sz val="10"/>
        <rFont val="Arial"/>
        <family val="0"/>
        <charset val="1"/>
      </rPr>
      <t xml:space="preserve">4.5x</t>
    </r>
  </si>
  <si>
    <r>
      <rPr>
        <sz val="10"/>
        <rFont val="Noto Sans CJK SC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倍數｜</t>
    </r>
    <r>
      <rPr>
        <sz val="10"/>
        <rFont val="Arial"/>
        <family val="0"/>
        <charset val="1"/>
      </rPr>
      <t xml:space="preserve">EV/EBITDA </t>
    </r>
    <r>
      <rPr>
        <sz val="10"/>
        <rFont val="Noto Sans CJK SC"/>
        <family val="2"/>
      </rPr>
      <t xml:space="preserve">腿｜</t>
    </r>
    <r>
      <rPr>
        <sz val="10"/>
        <rFont val="Arial"/>
        <family val="0"/>
        <charset val="1"/>
      </rPr>
      <t xml:space="preserve">5.0x</t>
    </r>
  </si>
  <si>
    <r>
      <rPr>
        <sz val="10"/>
        <rFont val="Noto Sans CJK SC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倍數｜</t>
    </r>
    <r>
      <rPr>
        <sz val="10"/>
        <rFont val="Arial"/>
        <family val="0"/>
        <charset val="1"/>
      </rPr>
      <t xml:space="preserve">EV/EBITDA </t>
    </r>
    <r>
      <rPr>
        <sz val="10"/>
        <rFont val="Noto Sans CJK SC"/>
        <family val="2"/>
      </rPr>
      <t xml:space="preserve">腿｜</t>
    </r>
    <r>
      <rPr>
        <sz val="10"/>
        <rFont val="Arial"/>
        <family val="0"/>
        <charset val="1"/>
      </rPr>
      <t xml:space="preserve">6.0x</t>
    </r>
  </si>
  <si>
    <r>
      <rPr>
        <sz val="10"/>
        <rFont val="Noto Sans CJK SC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倍數｜</t>
    </r>
    <r>
      <rPr>
        <sz val="10"/>
        <rFont val="Arial"/>
        <family val="0"/>
        <charset val="1"/>
      </rPr>
      <t xml:space="preserve">EV/EBITDA </t>
    </r>
    <r>
      <rPr>
        <sz val="10"/>
        <rFont val="Noto Sans CJK SC"/>
        <family val="2"/>
      </rPr>
      <t xml:space="preserve">腿｜</t>
    </r>
    <r>
      <rPr>
        <sz val="10"/>
        <rFont val="Arial"/>
        <family val="0"/>
        <charset val="1"/>
      </rPr>
      <t xml:space="preserve">7.0x</t>
    </r>
  </si>
  <si>
    <r>
      <rPr>
        <b val="true"/>
        <sz val="11"/>
        <color rgb="FFFFFFFF"/>
        <rFont val="Arial"/>
        <family val="0"/>
        <charset val="1"/>
      </rPr>
      <t xml:space="preserve">AI </t>
    </r>
    <r>
      <rPr>
        <b val="true"/>
        <sz val="11"/>
        <color rgb="FFFFFFFF"/>
        <rFont val="Noto Sans CJK SC"/>
        <family val="2"/>
      </rPr>
      <t xml:space="preserve">雲端 倍數 ＼ 錨定（加權目標價）</t>
    </r>
  </si>
  <si>
    <r>
      <rPr>
        <sz val="10"/>
        <rFont val="Noto Sans CJK SC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倍數｜加權目標價｜</t>
    </r>
    <r>
      <rPr>
        <sz val="10"/>
        <rFont val="Arial"/>
        <family val="0"/>
        <charset val="1"/>
      </rPr>
      <t xml:space="preserve">3.4x</t>
    </r>
  </si>
  <si>
    <r>
      <rPr>
        <sz val="10"/>
        <rFont val="Noto Sans CJK SC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倍數｜加權目標價｜</t>
    </r>
    <r>
      <rPr>
        <sz val="10"/>
        <rFont val="Arial"/>
        <family val="0"/>
        <charset val="1"/>
      </rPr>
      <t xml:space="preserve">4.5x</t>
    </r>
  </si>
  <si>
    <r>
      <rPr>
        <sz val="10"/>
        <rFont val="Noto Sans CJK SC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倍數｜加權目標價｜</t>
    </r>
    <r>
      <rPr>
        <sz val="10"/>
        <rFont val="Arial"/>
        <family val="0"/>
        <charset val="1"/>
      </rPr>
      <t xml:space="preserve">5.0x</t>
    </r>
  </si>
  <si>
    <r>
      <rPr>
        <sz val="10"/>
        <rFont val="Noto Sans CJK SC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倍數｜加權目標價｜</t>
    </r>
    <r>
      <rPr>
        <sz val="10"/>
        <rFont val="Arial"/>
        <family val="0"/>
        <charset val="1"/>
      </rPr>
      <t xml:space="preserve">6.0x</t>
    </r>
  </si>
  <si>
    <r>
      <rPr>
        <sz val="10"/>
        <rFont val="Noto Sans CJK SC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倍數｜加權目標價｜</t>
    </r>
    <r>
      <rPr>
        <sz val="10"/>
        <rFont val="Arial"/>
        <family val="0"/>
        <charset val="1"/>
      </rPr>
      <t xml:space="preserve">7.0x</t>
    </r>
  </si>
  <si>
    <r>
      <rPr>
        <b val="true"/>
        <sz val="14"/>
        <rFont val="Noto Sans CJK SC"/>
        <family val="2"/>
      </rPr>
      <t xml:space="preserve">反向 </t>
    </r>
    <r>
      <rPr>
        <b val="true"/>
        <sz val="14"/>
        <rFont val="Arial"/>
        <family val="0"/>
        <charset val="1"/>
      </rPr>
      <t xml:space="preserve">DCF — </t>
    </r>
    <r>
      <rPr>
        <b val="true"/>
        <sz val="14"/>
        <rFont val="Noto Sans CJK SC"/>
        <family val="2"/>
      </rPr>
      <t xml:space="preserve">現價隱含什麼樣的收入與成本</t>
    </r>
  </si>
  <si>
    <r>
      <rPr>
        <sz val="9"/>
        <color rgb="FF595959"/>
        <rFont val="Noto Sans CJK SC"/>
        <family val="2"/>
      </rPr>
      <t xml:space="preserve">不是問「值多少」，而是問「要值現價，營運要長什麼樣」。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以『目標搜尋』反解；下方另附 </t>
    </r>
    <r>
      <rPr>
        <sz val="9"/>
        <color rgb="FF595959"/>
        <rFont val="Arial"/>
        <family val="0"/>
        <charset val="1"/>
      </rPr>
      <t xml:space="preserve">HTML </t>
    </r>
    <r>
      <rPr>
        <sz val="9"/>
        <color rgb="FF595959"/>
        <rFont val="Noto Sans CJK SC"/>
        <family val="2"/>
      </rPr>
      <t xml:space="preserve">即時計算結果的快照（</t>
    </r>
    <r>
      <rPr>
        <sz val="9"/>
        <color rgb="FF595959"/>
        <rFont val="Arial"/>
        <family val="0"/>
        <charset val="1"/>
      </rPr>
      <t xml:space="preserve">v4.0 </t>
    </r>
    <r>
      <rPr>
        <sz val="9"/>
        <color rgb="FF595959"/>
        <rFont val="Noto Sans CJK SC"/>
        <family val="2"/>
      </rPr>
      <t xml:space="preserve">預設輸入）</t>
    </r>
  </si>
  <si>
    <r>
      <rPr>
        <b val="true"/>
        <sz val="10"/>
        <rFont val="Noto Sans CJK SC"/>
        <family val="2"/>
      </rPr>
      <t xml:space="preserve">即時：目前 </t>
    </r>
    <r>
      <rPr>
        <b val="true"/>
        <sz val="10"/>
        <rFont val="Arial"/>
        <family val="0"/>
        <charset val="1"/>
      </rPr>
      <t xml:space="preserve">DCF </t>
    </r>
    <r>
      <rPr>
        <b val="true"/>
        <sz val="10"/>
        <rFont val="Noto Sans CJK SC"/>
        <family val="2"/>
      </rPr>
      <t xml:space="preserve">與現價的差距</t>
    </r>
  </si>
  <si>
    <r>
      <rPr>
        <sz val="10"/>
        <rFont val="Noto Sans CJK SC"/>
        <family val="2"/>
      </rPr>
      <t xml:space="preserve">目前 </t>
    </r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每股（依下限方式）</t>
    </r>
  </si>
  <si>
    <r>
      <rPr>
        <b val="true"/>
        <sz val="10"/>
        <rFont val="Noto Sans CJK SC"/>
        <family val="2"/>
      </rPr>
      <t xml:space="preserve">差距（</t>
    </r>
    <r>
      <rPr>
        <b val="true"/>
        <sz val="10"/>
        <rFont val="Arial"/>
        <family val="0"/>
        <charset val="1"/>
      </rPr>
      <t xml:space="preserve">DCF − </t>
    </r>
    <r>
      <rPr>
        <b val="true"/>
        <sz val="10"/>
        <rFont val="Noto Sans CJK SC"/>
        <family val="2"/>
      </rPr>
      <t xml:space="preserve">現價）＝目標搜尋的『設定儲存格』</t>
    </r>
  </si>
  <si>
    <r>
      <rPr>
        <sz val="10"/>
        <rFont val="Noto Sans CJK SC"/>
        <family val="2"/>
      </rPr>
      <t xml:space="preserve">目前每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年收入倍數／建置成本倍數</t>
    </r>
  </si>
  <si>
    <t xml:space="preserve">操作：用『目標搜尋』反解（資料 → 模擬分析 → 目標搜尋）</t>
  </si>
  <si>
    <r>
      <rPr>
        <sz val="9"/>
        <color rgb="FF595959"/>
        <rFont val="Noto Sans CJK SC"/>
        <family val="2"/>
      </rPr>
      <t xml:space="preserve">① 設定儲存格：本頁 </t>
    </r>
    <r>
      <rPr>
        <sz val="9"/>
        <color rgb="FF595959"/>
        <rFont val="Arial"/>
        <family val="0"/>
        <charset val="1"/>
      </rPr>
      <t xml:space="preserve">B7</t>
    </r>
    <r>
      <rPr>
        <sz val="9"/>
        <color rgb="FF595959"/>
        <rFont val="Noto Sans CJK SC"/>
        <family val="2"/>
      </rPr>
      <t xml:space="preserve">；目標值：</t>
    </r>
    <r>
      <rPr>
        <sz val="9"/>
        <color rgb="FF595959"/>
        <rFont val="Arial"/>
        <family val="0"/>
        <charset val="1"/>
      </rPr>
      <t xml:space="preserve">0</t>
    </r>
  </si>
  <si>
    <r>
      <rPr>
        <sz val="9"/>
        <color rgb="FF595959"/>
        <rFont val="Noto Sans CJK SC"/>
        <family val="2"/>
      </rPr>
      <t xml:space="preserve">② 變數儲存格（擇一）：輸入與假設 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區『每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年收入倍數』→ 市價隱含單價；或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區『每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建置成本倍數』→ 市價隱含建置成本；或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區『穩態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率』</t>
    </r>
  </si>
  <si>
    <r>
      <rPr>
        <sz val="9"/>
        <color rgb="FF595959"/>
        <rFont val="Noto Sans CJK SC"/>
        <family val="2"/>
      </rPr>
      <t xml:space="preserve">③ 解完請記下結果，再把倍數改回 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Noto Sans CJK SC"/>
        <family val="2"/>
      </rPr>
      <t xml:space="preserve">（或按 </t>
    </r>
    <r>
      <rPr>
        <sz val="9"/>
        <color rgb="FF595959"/>
        <rFont val="Arial"/>
        <family val="0"/>
        <charset val="1"/>
      </rPr>
      <t xml:space="preserve">Ctrl+Z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截斷時，負值區域斜率為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，請從 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以上開始搜尋</t>
    </r>
  </si>
  <si>
    <r>
      <rPr>
        <sz val="9"/>
        <color rgb="FF595959"/>
        <rFont val="Noto Sans CJK SC"/>
        <family val="2"/>
      </rPr>
      <t xml:space="preserve">④ 組合分析：先把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區建置成本倍數與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區穩態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率設為想測的值，再對『每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年收入倍數』做目標搜尋，即得下方矩陣中的一格</t>
    </r>
  </si>
  <si>
    <r>
      <rPr>
        <b val="true"/>
        <sz val="10"/>
        <rFont val="Noto Sans CJK SC"/>
        <family val="2"/>
      </rPr>
      <t xml:space="preserve">快照：單一槓桿（</t>
    </r>
    <r>
      <rPr>
        <b val="true"/>
        <sz val="10"/>
        <rFont val="Arial"/>
        <family val="0"/>
        <charset val="1"/>
      </rPr>
      <t xml:space="preserve">HTML v4.0 </t>
    </r>
    <r>
      <rPr>
        <b val="true"/>
        <sz val="10"/>
        <rFont val="Noto Sans CJK SC"/>
        <family val="2"/>
      </rPr>
      <t xml:space="preserve">預設輸入，</t>
    </r>
    <r>
      <rPr>
        <b val="true"/>
        <sz val="10"/>
        <rFont val="Arial"/>
        <family val="0"/>
        <charset val="1"/>
      </rPr>
      <t xml:space="preserve">DCF 0 </t>
    </r>
    <r>
      <rPr>
        <b val="true"/>
        <sz val="10"/>
        <rFont val="Noto Sans CJK SC"/>
        <family val="2"/>
      </rPr>
      <t xml:space="preserve">截斷）</t>
    </r>
  </si>
  <si>
    <t xml:space="preserve">單一槓桿（其他不變）</t>
  </si>
  <si>
    <t xml:space="preserve">目前</t>
  </si>
  <si>
    <t xml:space="preserve">市價隱含</t>
  </si>
  <si>
    <t xml:space="preserve">變動</t>
  </si>
  <si>
    <t xml:space="preserve">對照</t>
  </si>
  <si>
    <r>
      <rPr>
        <sz val="10"/>
        <rFont val="Arial"/>
        <family val="0"/>
        <charset val="1"/>
      </rPr>
      <t xml:space="preserve">2030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年收入（</t>
    </r>
    <r>
      <rPr>
        <sz val="10"/>
        <rFont val="Arial"/>
        <family val="0"/>
        <charset val="1"/>
      </rPr>
      <t xml:space="preserve">US$m</t>
    </r>
    <r>
      <rPr>
        <sz val="10"/>
        <rFont val="Noto Sans CJK SC"/>
        <family val="2"/>
      </rPr>
      <t xml:space="preserve">）</t>
    </r>
  </si>
  <si>
    <t xml:space="preserve">無解</t>
  </si>
  <si>
    <r>
      <rPr>
        <sz val="9"/>
        <color rgb="FF595959"/>
        <rFont val="Arial"/>
        <family val="0"/>
        <charset val="1"/>
      </rPr>
      <t xml:space="preserve">Alphabet </t>
    </r>
    <r>
      <rPr>
        <sz val="9"/>
        <color rgb="FF595959"/>
        <rFont val="Noto Sans CJK SC"/>
        <family val="2"/>
      </rPr>
      <t xml:space="preserve">對照：</t>
    </r>
    <r>
      <rPr>
        <sz val="9"/>
        <color rgb="FF595959"/>
        <rFont val="Arial"/>
        <family val="0"/>
        <charset val="1"/>
      </rPr>
      <t xml:space="preserve">Anthropic–Google Cloud </t>
    </r>
    <r>
      <rPr>
        <sz val="9"/>
        <color rgb="FF595959"/>
        <rFont val="Noto Sans CJK SC"/>
        <family val="2"/>
      </rPr>
      <t xml:space="preserve">合約隱含 </t>
    </r>
    <r>
      <rPr>
        <sz val="9"/>
        <color rgb="FF595959"/>
        <rFont val="Arial"/>
        <family val="0"/>
        <charset val="1"/>
      </rPr>
      <t xml:space="preserve">10.0–15.3 US$m/MW-</t>
    </r>
    <r>
      <rPr>
        <sz val="9"/>
        <color rgb="FF595959"/>
        <rFont val="Noto Sans CJK SC"/>
        <family val="2"/>
      </rPr>
      <t xml:space="preserve">年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</si>
  <si>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建置成本（</t>
    </r>
    <r>
      <rPr>
        <sz val="10"/>
        <rFont val="Arial"/>
        <family val="0"/>
        <charset val="1"/>
      </rPr>
      <t xml:space="preserve">US$m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</si>
  <si>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全成本（</t>
    </r>
    <r>
      <rPr>
        <sz val="9"/>
        <color rgb="FF595959"/>
        <rFont val="Arial"/>
        <family val="0"/>
        <charset val="1"/>
      </rPr>
      <t xml:space="preserve">IT</t>
    </r>
    <r>
      <rPr>
        <sz val="9"/>
        <color rgb="FF595959"/>
        <rFont val="Noto Sans CJK SC"/>
        <family val="2"/>
      </rPr>
      <t xml:space="preserve">＋自建 </t>
    </r>
    <r>
      <rPr>
        <sz val="9"/>
        <color rgb="FF595959"/>
        <rFont val="Arial"/>
        <family val="0"/>
        <charset val="1"/>
      </rPr>
      <t xml:space="preserve">85% </t>
    </r>
    <r>
      <rPr>
        <sz val="9"/>
        <color rgb="FF595959"/>
        <rFont val="Noto Sans CJK SC"/>
        <family val="2"/>
      </rPr>
      <t xml:space="preserve">機房）約 </t>
    </r>
    <r>
      <rPr>
        <sz val="9"/>
        <color rgb="FF595959"/>
        <rFont val="Arial"/>
        <family val="0"/>
        <charset val="1"/>
      </rPr>
      <t xml:space="preserve">$48.3m/MW-IT</t>
    </r>
  </si>
  <si>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雲端（算力）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率；非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事業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率固定不動。可觀察 </t>
    </r>
    <r>
      <rPr>
        <sz val="9"/>
        <color rgb="FF595959"/>
        <rFont val="Arial"/>
        <family val="0"/>
        <charset val="1"/>
      </rPr>
      <t xml:space="preserve">neocloud </t>
    </r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IREN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35%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59%</t>
    </r>
    <r>
      <rPr>
        <sz val="9"/>
        <color rgb="FF595959"/>
        <rFont val="Noto Sans CJK SC"/>
        <family val="2"/>
      </rPr>
      <t xml:space="preserve">（變動為百分點）</t>
    </r>
  </si>
  <si>
    <r>
      <rPr>
        <sz val="10"/>
        <rFont val="Noto Sans CJK SC"/>
        <family val="2"/>
      </rPr>
      <t xml:space="preserve">（對照）加權目標價＝現價所需每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</t>
    </r>
  </si>
  <si>
    <r>
      <rPr>
        <sz val="9"/>
        <color rgb="FF595959"/>
        <rFont val="Noto Sans CJK SC"/>
        <family val="2"/>
      </rPr>
      <t xml:space="preserve">含 </t>
    </r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Noto Sans CJK SC"/>
        <family val="2"/>
      </rPr>
      <t xml:space="preserve">腿（</t>
    </r>
    <r>
      <rPr>
        <sz val="9"/>
        <color rgb="FF595959"/>
        <rFont val="Arial"/>
        <family val="0"/>
        <charset val="1"/>
      </rPr>
      <t xml:space="preserve">2029 </t>
    </r>
    <r>
      <rPr>
        <sz val="9"/>
        <color rgb="FF595959"/>
        <rFont val="Noto Sans CJK SC"/>
        <family val="2"/>
      </rPr>
      <t xml:space="preserve">錨定）；非純反向 </t>
    </r>
    <r>
      <rPr>
        <sz val="9"/>
        <color rgb="FF595959"/>
        <rFont val="Arial"/>
        <family val="0"/>
        <charset val="1"/>
      </rPr>
      <t xml:space="preserve">DCF</t>
    </r>
  </si>
  <si>
    <r>
      <rPr>
        <b val="true"/>
        <sz val="10"/>
        <rFont val="Noto Sans CJK SC"/>
        <family val="2"/>
      </rPr>
      <t xml:space="preserve">快照：收入與成本的綜合影響——要值現價，</t>
    </r>
    <r>
      <rPr>
        <b val="true"/>
        <sz val="10"/>
        <rFont val="Arial"/>
        <family val="0"/>
        <charset val="1"/>
      </rPr>
      <t xml:space="preserve">2030 </t>
    </r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Noto Sans CJK SC"/>
        <family val="2"/>
      </rPr>
      <t xml:space="preserve">年收入需要多少（</t>
    </r>
    <r>
      <rPr>
        <b val="true"/>
        <sz val="10"/>
        <rFont val="Arial"/>
        <family val="0"/>
        <charset val="1"/>
      </rPr>
      <t xml:space="preserve">US$m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</si>
  <si>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1"/>
        <color rgb="FFFFFFFF"/>
        <rFont val="Noto Sans CJK SC"/>
        <family val="2"/>
      </rPr>
      <t xml:space="preserve">建置成本 ＼ 穩態 </t>
    </r>
    <r>
      <rPr>
        <b val="true"/>
        <sz val="11"/>
        <color rgb="FFFFFFFF"/>
        <rFont val="Arial"/>
        <family val="0"/>
        <charset val="1"/>
      </rPr>
      <t xml:space="preserve">EBITDA </t>
    </r>
    <r>
      <rPr>
        <b val="true"/>
        <sz val="11"/>
        <color rgb="FFFFFFFF"/>
        <rFont val="Noto Sans CJK SC"/>
        <family val="2"/>
      </rPr>
      <t xml:space="preserve">率</t>
    </r>
  </si>
  <si>
    <r>
      <rPr>
        <sz val="9"/>
        <color rgb="FF595959"/>
        <rFont val="Noto Sans CJK SC"/>
        <family val="2"/>
      </rPr>
      <t xml:space="preserve">矩陣保留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雲端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率維度：非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事業（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率與同業倍數）不隨此表變動，表內只測算力業務的單位經濟</t>
    </r>
  </si>
  <si>
    <r>
      <rPr>
        <sz val="10"/>
        <rFont val="Arial"/>
        <family val="0"/>
        <charset val="1"/>
      </rPr>
      <t xml:space="preserve">$33.8m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-30%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</si>
  <si>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$38.7m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-20%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</si>
  <si>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$43.5m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-10%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</si>
  <si>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$48.4m</t>
    </r>
    <r>
      <rPr>
        <sz val="10"/>
        <rFont val="Noto Sans CJK SC"/>
        <family val="2"/>
      </rPr>
      <t xml:space="preserve">（目前）</t>
    </r>
  </si>
  <si>
    <r>
      <rPr>
        <sz val="10"/>
        <rFont val="Arial"/>
        <family val="0"/>
        <charset val="1"/>
      </rPr>
      <t xml:space="preserve">$53.2m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+10%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</si>
  <si>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快照為靜態數值（</t>
    </r>
    <r>
      <rPr>
        <sz val="9"/>
        <color rgb="FF595959"/>
        <rFont val="Arial"/>
        <family val="0"/>
        <charset val="1"/>
      </rPr>
      <t xml:space="preserve">HTML </t>
    </r>
    <r>
      <rPr>
        <sz val="9"/>
        <color rgb="FF595959"/>
        <rFont val="Noto Sans CJK SC"/>
        <family val="2"/>
      </rPr>
      <t xml:space="preserve">以同一引擎即時計算）；改變輸入後請以目標搜尋重算，或參考 </t>
    </r>
    <r>
      <rPr>
        <sz val="9"/>
        <color rgb="FF595959"/>
        <rFont val="Arial"/>
        <family val="0"/>
        <charset val="1"/>
      </rPr>
      <t xml:space="preserve">HTML</t>
    </r>
    <r>
      <rPr>
        <sz val="9"/>
        <color rgb="FF595959"/>
        <rFont val="Noto Sans CJK SC"/>
        <family val="2"/>
      </rPr>
      <t xml:space="preserve">『評價 → 反向 </t>
    </r>
    <r>
      <rPr>
        <sz val="9"/>
        <color rgb="FF595959"/>
        <rFont val="Arial"/>
        <family val="0"/>
        <charset val="1"/>
      </rPr>
      <t xml:space="preserve">DCF</t>
    </r>
    <r>
      <rPr>
        <sz val="9"/>
        <color rgb="FF595959"/>
        <rFont val="Noto Sans CJK SC"/>
        <family val="2"/>
      </rPr>
      <t xml:space="preserve">』</t>
    </r>
  </si>
  <si>
    <r>
      <rPr>
        <b val="true"/>
        <sz val="14"/>
        <rFont val="Noto Sans CJK SC"/>
        <family val="2"/>
      </rPr>
      <t xml:space="preserve">可比公司 — 以 </t>
    </r>
    <r>
      <rPr>
        <b val="true"/>
        <sz val="14"/>
        <rFont val="Arial"/>
        <family val="0"/>
        <charset val="1"/>
      </rPr>
      <t xml:space="preserve">EV/Sales </t>
    </r>
    <r>
      <rPr>
        <b val="true"/>
        <sz val="14"/>
        <rFont val="Noto Sans CJK SC"/>
        <family val="2"/>
      </rPr>
      <t xml:space="preserve">為主（市值：</t>
    </r>
    <r>
      <rPr>
        <b val="true"/>
        <sz val="14"/>
        <rFont val="Arial"/>
        <family val="0"/>
        <charset val="1"/>
      </rPr>
      <t xml:space="preserve">2026-09-21 </t>
    </r>
    <r>
      <rPr>
        <b val="true"/>
        <sz val="14"/>
        <rFont val="Noto Sans CJK SC"/>
        <family val="2"/>
      </rPr>
      <t xml:space="preserve">收盤）</t>
    </r>
  </si>
  <si>
    <r>
      <rPr>
        <sz val="9"/>
        <color rgb="FF595959"/>
        <rFont val="Arial"/>
        <family val="0"/>
        <charset val="1"/>
      </rPr>
      <t xml:space="preserve">EV</t>
    </r>
    <r>
      <rPr>
        <sz val="9"/>
        <color rgb="FF595959"/>
        <rFont val="Noto Sans CJK SC"/>
        <family val="2"/>
      </rPr>
      <t xml:space="preserve">＝市值＋（有息負債−非受限現金）；含租賃＝</t>
    </r>
    <r>
      <rPr>
        <sz val="9"/>
        <color rgb="FF595959"/>
        <rFont val="Arial"/>
        <family val="0"/>
        <charset val="1"/>
      </rPr>
      <t xml:space="preserve">EV</t>
    </r>
    <r>
      <rPr>
        <sz val="9"/>
        <color rgb="FF595959"/>
        <rFont val="Noto Sans CJK SC"/>
        <family val="2"/>
      </rPr>
      <t xml:space="preserve">＋營業租賃負債。</t>
    </r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Noto Sans CJK SC"/>
        <family val="2"/>
      </rPr>
      <t xml:space="preserve">僅供參考（</t>
    </r>
    <r>
      <rPr>
        <sz val="9"/>
        <color rgb="FF595959"/>
        <rFont val="Arial"/>
        <family val="0"/>
        <charset val="1"/>
      </rPr>
      <t xml:space="preserve">GAAP EBITDA </t>
    </r>
    <r>
      <rPr>
        <sz val="9"/>
        <color rgb="FF595959"/>
        <rFont val="Noto Sans CJK SC"/>
        <family val="2"/>
      </rPr>
      <t xml:space="preserve">為負者顯示 </t>
    </r>
    <r>
      <rPr>
        <sz val="9"/>
        <color rgb="FF595959"/>
        <rFont val="Arial"/>
        <family val="0"/>
        <charset val="1"/>
      </rPr>
      <t xml:space="preserve">n/m</t>
    </r>
    <r>
      <rPr>
        <sz val="9"/>
        <color rgb="FF595959"/>
        <rFont val="Noto Sans CJK SC"/>
        <family val="2"/>
      </rPr>
      <t xml:space="preserve">）。此表不進入目標價。與 </t>
    </r>
    <r>
      <rPr>
        <sz val="9"/>
        <color rgb="FF595959"/>
        <rFont val="Arial"/>
        <family val="0"/>
        <charset val="1"/>
      </rPr>
      <t xml:space="preserve">HTML Comps </t>
    </r>
    <r>
      <rPr>
        <sz val="9"/>
        <color rgb="FF595959"/>
        <rFont val="Noto Sans CJK SC"/>
        <family val="2"/>
      </rPr>
      <t xml:space="preserve">分頁同一組數字</t>
    </r>
  </si>
  <si>
    <t xml:space="preserve">公司</t>
  </si>
  <si>
    <t xml:space="preserve">市值</t>
  </si>
  <si>
    <t xml:space="preserve">淨負債</t>
  </si>
  <si>
    <t xml:space="preserve">EV</t>
  </si>
  <si>
    <r>
      <rPr>
        <b val="true"/>
        <sz val="11"/>
        <color rgb="FFFFFFFF"/>
        <rFont val="Arial"/>
        <family val="0"/>
        <charset val="1"/>
      </rPr>
      <t xml:space="preserve">TTM </t>
    </r>
    <r>
      <rPr>
        <b val="true"/>
        <sz val="11"/>
        <color rgb="FFFFFFFF"/>
        <rFont val="Noto Sans CJK SC"/>
        <family val="2"/>
      </rPr>
      <t xml:space="preserve">營收</t>
    </r>
  </si>
  <si>
    <r>
      <rPr>
        <b val="true"/>
        <sz val="11"/>
        <color rgb="FFFFFFFF"/>
        <rFont val="Arial"/>
        <family val="0"/>
        <charset val="1"/>
      </rPr>
      <t xml:space="preserve">EV/Sales</t>
    </r>
    <r>
      <rPr>
        <b val="true"/>
        <sz val="11"/>
        <color rgb="FFFFFFFF"/>
        <rFont val="Noto Sans CJK SC"/>
        <family val="2"/>
      </rPr>
      <t xml:space="preserve">（</t>
    </r>
    <r>
      <rPr>
        <b val="true"/>
        <sz val="11"/>
        <color rgb="FFFFFFFF"/>
        <rFont val="Arial"/>
        <family val="0"/>
        <charset val="1"/>
      </rPr>
      <t xml:space="preserve">TTM</t>
    </r>
    <r>
      <rPr>
        <b val="true"/>
        <sz val="11"/>
        <color rgb="FFFFFFFF"/>
        <rFont val="Noto Sans CJK SC"/>
        <family val="2"/>
      </rPr>
      <t xml:space="preserve">）</t>
    </r>
  </si>
  <si>
    <r>
      <rPr>
        <b val="true"/>
        <sz val="11"/>
        <color rgb="FFFFFFFF"/>
        <rFont val="Noto Sans CJK SC"/>
        <family val="2"/>
      </rPr>
      <t xml:space="preserve">含租賃 </t>
    </r>
    <r>
      <rPr>
        <b val="true"/>
        <sz val="11"/>
        <color rgb="FFFFFFFF"/>
        <rFont val="Arial"/>
        <family val="0"/>
        <charset val="1"/>
      </rPr>
      <t xml:space="preserve">EV/Sales</t>
    </r>
  </si>
  <si>
    <t xml:space="preserve">TTM EBITDA</t>
  </si>
  <si>
    <t xml:space="preserve">EV/EBITDA</t>
  </si>
  <si>
    <t xml:space="preserve">資料期</t>
  </si>
  <si>
    <t xml:space="preserve">CRWV CoreWeave</t>
  </si>
  <si>
    <r>
      <rPr>
        <sz val="9"/>
        <color rgb="FF595959"/>
        <rFont val="Arial"/>
        <family val="0"/>
        <charset val="1"/>
      </rPr>
      <t xml:space="preserve">TTM </t>
    </r>
    <r>
      <rPr>
        <sz val="9"/>
        <color rgb="FF595959"/>
        <rFont val="Noto Sans CJK SC"/>
        <family val="2"/>
      </rPr>
      <t xml:space="preserve">至 </t>
    </r>
    <r>
      <rPr>
        <sz val="9"/>
        <color rgb="FF595959"/>
        <rFont val="Arial"/>
        <family val="0"/>
        <charset val="1"/>
      </rPr>
      <t xml:space="preserve">Q2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6/30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10-Q</t>
    </r>
    <r>
      <rPr>
        <sz val="9"/>
        <color rgb="FF595959"/>
        <rFont val="Noto Sans CJK SC"/>
        <family val="2"/>
      </rPr>
      <t xml:space="preserve">）；市值與 </t>
    </r>
    <r>
      <rPr>
        <sz val="9"/>
        <color rgb="FF595959"/>
        <rFont val="Arial"/>
        <family val="0"/>
        <charset val="1"/>
      </rPr>
      <t xml:space="preserve">EV 2026-10-07</t>
    </r>
  </si>
  <si>
    <r>
      <rPr>
        <sz val="9"/>
        <color rgb="FF595959"/>
        <rFont val="Noto Sans CJK SC"/>
        <family val="2"/>
      </rPr>
      <t xml:space="preserve">營業租賃負債 </t>
    </r>
    <r>
      <rPr>
        <sz val="9"/>
        <color rgb="FF595959"/>
        <rFont val="Arial"/>
        <family val="0"/>
        <charset val="1"/>
      </rPr>
      <t xml:space="preserve">16.54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GAAP </t>
    </r>
    <r>
      <rPr>
        <sz val="9"/>
        <color rgb="FF595959"/>
        <rFont val="Noto Sans CJK SC"/>
        <family val="2"/>
      </rPr>
      <t xml:space="preserve">營業損益 </t>
    </r>
    <r>
      <rPr>
        <sz val="9"/>
        <color rgb="FF595959"/>
        <rFont val="Arial"/>
        <family val="0"/>
        <charset val="1"/>
      </rPr>
      <t xml:space="preserve">-0.231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D&amp;A 3.991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Noto Sans CJK SC"/>
        <family val="2"/>
      </rPr>
      <t xml:space="preserve">市值與 </t>
    </r>
    <r>
      <rPr>
        <sz val="9"/>
        <color rgb="FF595959"/>
        <rFont val="Arial"/>
        <family val="0"/>
        <charset val="1"/>
      </rPr>
      <t xml:space="preserve">EV 2026-10-07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TTM </t>
    </r>
    <r>
      <rPr>
        <sz val="9"/>
        <color rgb="FF595959"/>
        <rFont val="Noto Sans CJK SC"/>
        <family val="2"/>
      </rPr>
      <t xml:space="preserve">至 </t>
    </r>
    <r>
      <rPr>
        <sz val="9"/>
        <color rgb="FF595959"/>
        <rFont val="Arial"/>
        <family val="0"/>
        <charset val="1"/>
      </rPr>
      <t xml:space="preserve">Q2</t>
    </r>
    <r>
      <rPr>
        <sz val="9"/>
        <color rgb="FF595959"/>
        <rFont val="Noto Sans CJK SC"/>
        <family val="2"/>
      </rPr>
      <t xml:space="preserve">；租賃負債 </t>
    </r>
    <r>
      <rPr>
        <sz val="9"/>
        <color rgb="FF595959"/>
        <rFont val="Arial"/>
        <family val="0"/>
        <charset val="1"/>
      </rPr>
      <t xml:space="preserve">16.54</t>
    </r>
  </si>
  <si>
    <t xml:space="preserve">NBIS Nebius</t>
  </si>
  <si>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TTM </t>
    </r>
    <r>
      <rPr>
        <sz val="9"/>
        <color rgb="FF595959"/>
        <rFont val="Noto Sans CJK SC"/>
        <family val="2"/>
      </rPr>
      <t xml:space="preserve">至 </t>
    </r>
    <r>
      <rPr>
        <sz val="9"/>
        <color rgb="FF595959"/>
        <rFont val="Arial"/>
        <family val="0"/>
        <charset val="1"/>
      </rPr>
      <t xml:space="preserve">Q2</t>
    </r>
    <r>
      <rPr>
        <sz val="9"/>
        <color rgb="FF595959"/>
        <rFont val="Noto Sans CJK SC"/>
        <family val="2"/>
      </rPr>
      <t xml:space="preserve">；營業損益與 </t>
    </r>
    <r>
      <rPr>
        <sz val="9"/>
        <color rgb="FF595959"/>
        <rFont val="Arial"/>
        <family val="0"/>
        <charset val="1"/>
      </rPr>
      <t xml:space="preserve">D&amp;A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FY2025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20-F</t>
    </r>
    <r>
      <rPr>
        <sz val="9"/>
        <color rgb="FF595959"/>
        <rFont val="Noto Sans CJK SC"/>
        <family val="2"/>
      </rPr>
      <t xml:space="preserve">）；市值與 </t>
    </r>
    <r>
      <rPr>
        <sz val="9"/>
        <color rgb="FF595959"/>
        <rFont val="Arial"/>
        <family val="0"/>
        <charset val="1"/>
      </rPr>
      <t xml:space="preserve">EV 2026-10-06</t>
    </r>
  </si>
  <si>
    <r>
      <rPr>
        <sz val="9"/>
        <color rgb="FF595959"/>
        <rFont val="Noto Sans CJK SC"/>
        <family val="2"/>
      </rPr>
      <t xml:space="preserve">營業租賃負債 </t>
    </r>
    <r>
      <rPr>
        <sz val="9"/>
        <color rgb="FF595959"/>
        <rFont val="Arial"/>
        <family val="0"/>
        <charset val="1"/>
      </rPr>
      <t xml:space="preserve">1.6253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GAAP </t>
    </r>
    <r>
      <rPr>
        <sz val="9"/>
        <color rgb="FF595959"/>
        <rFont val="Noto Sans CJK SC"/>
        <family val="2"/>
      </rPr>
      <t xml:space="preserve">營業損益 </t>
    </r>
    <r>
      <rPr>
        <sz val="9"/>
        <color rgb="FF595959"/>
        <rFont val="Arial"/>
        <family val="0"/>
        <charset val="1"/>
      </rPr>
      <t xml:space="preserve">-0.612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D&amp;A 0.418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NBIS </t>
    </r>
    <r>
      <rPr>
        <sz val="9"/>
        <color rgb="FF595959"/>
        <rFont val="Noto Sans CJK SC"/>
        <family val="2"/>
      </rPr>
      <t xml:space="preserve">市值與 </t>
    </r>
    <r>
      <rPr>
        <sz val="9"/>
        <color rgb="FF595959"/>
        <rFont val="Arial"/>
        <family val="0"/>
        <charset val="1"/>
      </rPr>
      <t xml:space="preserve">EV 2026-10-06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用 </t>
    </r>
    <r>
      <rPr>
        <sz val="9"/>
        <color rgb="FF595959"/>
        <rFont val="Arial"/>
        <family val="0"/>
        <charset val="1"/>
      </rPr>
      <t xml:space="preserve">FY2025</t>
    </r>
  </si>
  <si>
    <t xml:space="preserve">IREN</t>
  </si>
  <si>
    <r>
      <rPr>
        <sz val="9"/>
        <color rgb="FF595959"/>
        <rFont val="Arial"/>
        <family val="0"/>
        <charset val="1"/>
      </rPr>
      <t xml:space="preserve">FY26 10-K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6/30</t>
    </r>
    <r>
      <rPr>
        <sz val="9"/>
        <color rgb="FF595959"/>
        <rFont val="Noto Sans CJK SC"/>
        <family val="2"/>
      </rPr>
      <t xml:space="preserve">）；未更新，日期 </t>
    </r>
    <r>
      <rPr>
        <sz val="9"/>
        <color rgb="FF595959"/>
        <rFont val="Arial"/>
        <family val="0"/>
        <charset val="1"/>
      </rPr>
      <t xml:space="preserve">2026-09-21</t>
    </r>
  </si>
  <si>
    <r>
      <rPr>
        <sz val="9"/>
        <color rgb="FF595959"/>
        <rFont val="Noto Sans CJK SC"/>
        <family val="2"/>
      </rPr>
      <t xml:space="preserve">營業租賃負債 </t>
    </r>
    <r>
      <rPr>
        <sz val="9"/>
        <color rgb="FF595959"/>
        <rFont val="Arial"/>
        <family val="0"/>
        <charset val="1"/>
      </rPr>
      <t xml:space="preserve">0.003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GAAP </t>
    </r>
    <r>
      <rPr>
        <sz val="9"/>
        <color rgb="FF595959"/>
        <rFont val="Noto Sans CJK SC"/>
        <family val="2"/>
      </rPr>
      <t xml:space="preserve">營業損益 </t>
    </r>
    <r>
      <rPr>
        <sz val="9"/>
        <color rgb="FF595959"/>
        <rFont val="Arial"/>
        <family val="0"/>
        <charset val="1"/>
      </rPr>
      <t xml:space="preserve">-1.047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D&amp;A 0.418</t>
    </r>
    <r>
      <rPr>
        <sz val="9"/>
        <color rgb="FF595959"/>
        <rFont val="Noto Sans CJK SC"/>
        <family val="2"/>
      </rPr>
      <t xml:space="preserve">。自有電廠、營業租賃負債僅 </t>
    </r>
    <r>
      <rPr>
        <sz val="9"/>
        <color rgb="FF595959"/>
        <rFont val="Arial"/>
        <family val="0"/>
        <charset val="1"/>
      </rPr>
      <t xml:space="preserve">0.003bn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合約 </t>
    </r>
    <r>
      <rPr>
        <sz val="9"/>
        <color rgb="FF595959"/>
        <rFont val="Arial"/>
        <family val="0"/>
        <charset val="1"/>
      </rPr>
      <t xml:space="preserve">ARR 4.0bn</t>
    </r>
  </si>
  <si>
    <t xml:space="preserve">APLD Applied Digital</t>
  </si>
  <si>
    <r>
      <rPr>
        <sz val="9"/>
        <color rgb="FF595959"/>
        <rFont val="Arial"/>
        <family val="0"/>
        <charset val="1"/>
      </rPr>
      <t xml:space="preserve">FY26 10-K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5/31</t>
    </r>
    <r>
      <rPr>
        <sz val="9"/>
        <color rgb="FF595959"/>
        <rFont val="Noto Sans CJK SC"/>
        <family val="2"/>
      </rPr>
      <t xml:space="preserve">）；未更新，日期 </t>
    </r>
    <r>
      <rPr>
        <sz val="9"/>
        <color rgb="FF595959"/>
        <rFont val="Arial"/>
        <family val="0"/>
        <charset val="1"/>
      </rPr>
      <t xml:space="preserve">2026-09-21</t>
    </r>
  </si>
  <si>
    <r>
      <rPr>
        <sz val="9"/>
        <color rgb="FF595959"/>
        <rFont val="Noto Sans CJK SC"/>
        <family val="2"/>
      </rPr>
      <t xml:space="preserve">營業租賃負債 </t>
    </r>
    <r>
      <rPr>
        <sz val="9"/>
        <color rgb="FF595959"/>
        <rFont val="Arial"/>
        <family val="0"/>
        <charset val="1"/>
      </rPr>
      <t xml:space="preserve">0.066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GAAP </t>
    </r>
    <r>
      <rPr>
        <sz val="9"/>
        <color rgb="FF595959"/>
        <rFont val="Noto Sans CJK SC"/>
        <family val="2"/>
      </rPr>
      <t xml:space="preserve">營業損益 </t>
    </r>
    <r>
      <rPr>
        <sz val="9"/>
        <color rgb="FF595959"/>
        <rFont val="Arial"/>
        <family val="0"/>
        <charset val="1"/>
      </rPr>
      <t xml:space="preserve">-0.236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D&amp;A 0.067</t>
    </r>
    <r>
      <rPr>
        <sz val="9"/>
        <color rgb="FF595959"/>
        <rFont val="Noto Sans CJK SC"/>
        <family val="2"/>
      </rPr>
      <t xml:space="preserve">。租約多未起租，營收尚未反映約 </t>
    </r>
    <r>
      <rPr>
        <sz val="9"/>
        <color rgb="FF595959"/>
        <rFont val="Arial"/>
        <family val="0"/>
        <charset val="1"/>
      </rPr>
      <t xml:space="preserve">36bn </t>
    </r>
    <r>
      <rPr>
        <sz val="9"/>
        <color rgb="FF595959"/>
        <rFont val="Noto Sans CJK SC"/>
        <family val="2"/>
      </rPr>
      <t xml:space="preserve">合約</t>
    </r>
  </si>
  <si>
    <t xml:space="preserve">CORZ Core Scientific</t>
  </si>
  <si>
    <r>
      <rPr>
        <sz val="9"/>
        <color rgb="FF595959"/>
        <rFont val="Arial"/>
        <family val="0"/>
        <charset val="1"/>
      </rPr>
      <t xml:space="preserve">TTM </t>
    </r>
    <r>
      <rPr>
        <sz val="9"/>
        <color rgb="FF595959"/>
        <rFont val="Noto Sans CJK SC"/>
        <family val="2"/>
      </rPr>
      <t xml:space="preserve">至 </t>
    </r>
    <r>
      <rPr>
        <sz val="9"/>
        <color rgb="FF595959"/>
        <rFont val="Arial"/>
        <family val="0"/>
        <charset val="1"/>
      </rPr>
      <t xml:space="preserve">Q2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6/30</t>
    </r>
    <r>
      <rPr>
        <sz val="9"/>
        <color rgb="FF595959"/>
        <rFont val="Noto Sans CJK SC"/>
        <family val="2"/>
      </rPr>
      <t xml:space="preserve">）；未更新，日期 </t>
    </r>
    <r>
      <rPr>
        <sz val="9"/>
        <color rgb="FF595959"/>
        <rFont val="Arial"/>
        <family val="0"/>
        <charset val="1"/>
      </rPr>
      <t xml:space="preserve">2026-09-21</t>
    </r>
  </si>
  <si>
    <r>
      <rPr>
        <sz val="9"/>
        <color rgb="FF595959"/>
        <rFont val="Noto Sans CJK SC"/>
        <family val="2"/>
      </rPr>
      <t xml:space="preserve">營業租賃負債 </t>
    </r>
    <r>
      <rPr>
        <sz val="9"/>
        <color rgb="FF595959"/>
        <rFont val="Arial"/>
        <family val="0"/>
        <charset val="1"/>
      </rPr>
      <t xml:space="preserve">0.109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GAAP </t>
    </r>
    <r>
      <rPr>
        <sz val="9"/>
        <color rgb="FF595959"/>
        <rFont val="Noto Sans CJK SC"/>
        <family val="2"/>
      </rPr>
      <t xml:space="preserve">營業損益 </t>
    </r>
    <r>
      <rPr>
        <sz val="9"/>
        <color rgb="FF595959"/>
        <rFont val="Arial"/>
        <family val="0"/>
        <charset val="1"/>
      </rPr>
      <t xml:space="preserve">-0.561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D&amp;A 0.063</t>
    </r>
    <r>
      <rPr>
        <sz val="9"/>
        <color rgb="FF595959"/>
        <rFont val="Noto Sans CJK SC"/>
        <family val="2"/>
      </rPr>
      <t xml:space="preserve">。託管轉型期</t>
    </r>
  </si>
  <si>
    <t xml:space="preserve">同業中位數</t>
  </si>
  <si>
    <r>
      <rPr>
        <b val="true"/>
        <sz val="10"/>
        <rFont val="Arial"/>
        <family val="0"/>
        <charset val="1"/>
      </rPr>
      <t xml:space="preserve">GOOGL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TTM </t>
    </r>
    <r>
      <rPr>
        <b val="true"/>
        <sz val="10"/>
        <rFont val="Noto Sans CJK SC"/>
        <family val="2"/>
      </rPr>
      <t xml:space="preserve">至 </t>
    </r>
    <r>
      <rPr>
        <b val="true"/>
        <sz val="10"/>
        <rFont val="Arial"/>
        <family val="0"/>
        <charset val="1"/>
      </rPr>
      <t xml:space="preserve">Q2 2026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</si>
  <si>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TTM </t>
    </r>
    <r>
      <rPr>
        <sz val="9"/>
        <color rgb="FF595959"/>
        <rFont val="Noto Sans CJK SC"/>
        <family val="2"/>
      </rPr>
      <t xml:space="preserve">至 </t>
    </r>
    <r>
      <rPr>
        <sz val="9"/>
        <color rgb="FF595959"/>
        <rFont val="Arial"/>
        <family val="0"/>
        <charset val="1"/>
      </rPr>
      <t xml:space="preserve">Q2 2026</t>
    </r>
  </si>
  <si>
    <r>
      <rPr>
        <sz val="9"/>
        <color rgb="FF595959"/>
        <rFont val="Arial"/>
        <family val="0"/>
        <charset val="1"/>
      </rPr>
      <t xml:space="preserve">EV </t>
    </r>
    <r>
      <rPr>
        <sz val="9"/>
        <color rgb="FF595959"/>
        <rFont val="Noto Sans CJK SC"/>
        <family val="2"/>
      </rPr>
      <t xml:space="preserve">用 </t>
    </r>
    <r>
      <rPr>
        <sz val="9"/>
        <color rgb="FF595959"/>
        <rFont val="Arial"/>
        <family val="0"/>
        <charset val="1"/>
      </rPr>
      <t xml:space="preserve">2026-09-21 </t>
    </r>
    <r>
      <rPr>
        <sz val="9"/>
        <color rgb="FF595959"/>
        <rFont val="Noto Sans CJK SC"/>
        <family val="2"/>
      </rPr>
      <t xml:space="preserve">市值（基本股）與評價日淨負債（可轉債全數以到期本金計入）；含租賃再加營業租賃負債 </t>
    </r>
    <r>
      <rPr>
        <sz val="9"/>
        <color rgb="FF595959"/>
        <rFont val="Arial"/>
        <family val="0"/>
        <charset val="1"/>
      </rPr>
      <t xml:space="preserve">18.037</t>
    </r>
  </si>
  <si>
    <r>
      <rPr>
        <sz val="10"/>
        <rFont val="Arial"/>
        <family val="0"/>
        <charset val="1"/>
      </rPr>
      <t xml:space="preserve">GOOGL </t>
    </r>
    <r>
      <rPr>
        <sz val="10"/>
        <rFont val="Noto Sans CJK SC"/>
        <family val="2"/>
      </rPr>
      <t xml:space="preserve">模型 </t>
    </r>
    <r>
      <rPr>
        <sz val="10"/>
        <rFont val="Arial"/>
        <family val="0"/>
        <charset val="1"/>
      </rPr>
      <t xml:space="preserve">2027E</t>
    </r>
  </si>
  <si>
    <r>
      <rPr>
        <sz val="9"/>
        <color rgb="FF595959"/>
        <rFont val="Noto Sans CJK SC"/>
        <family val="2"/>
      </rPr>
      <t xml:space="preserve">市值用評價股數（含價內可轉債轉股）、淨負債用評價淨負債；分母為模型 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營收</t>
    </r>
  </si>
  <si>
    <r>
      <rPr>
        <sz val="9"/>
        <color rgb="FF595959"/>
        <rFont val="Noto Sans CJK SC"/>
        <family val="2"/>
      </rPr>
      <t xml:space="preserve">讀法：</t>
    </r>
    <r>
      <rPr>
        <sz val="9"/>
        <color rgb="FF595959"/>
        <rFont val="Arial"/>
        <family val="0"/>
        <charset val="1"/>
      </rPr>
      <t xml:space="preserve">GOOGL </t>
    </r>
    <r>
      <rPr>
        <sz val="9"/>
        <color rgb="FF595959"/>
        <rFont val="Noto Sans CJK SC"/>
        <family val="2"/>
      </rPr>
      <t xml:space="preserve">為整體公司（搜尋＋</t>
    </r>
    <r>
      <rPr>
        <sz val="9"/>
        <color rgb="FF595959"/>
        <rFont val="Arial"/>
        <family val="0"/>
        <charset val="1"/>
      </rPr>
      <t xml:space="preserve">YouTube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Cloud</t>
    </r>
    <r>
      <rPr>
        <sz val="9"/>
        <color rgb="FF595959"/>
        <rFont val="Noto Sans CJK SC"/>
        <family val="2"/>
      </rPr>
      <t xml:space="preserve">），倍數不可直接與純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基礎設施同業比較；</t>
    </r>
  </si>
  <si>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Noto Sans CJK SC"/>
        <family val="2"/>
      </rPr>
      <t xml:space="preserve">以租約取得機房，加入營業租賃負債後倍數上升；</t>
    </r>
    <r>
      <rPr>
        <sz val="9"/>
        <color rgb="FF595959"/>
        <rFont val="Arial"/>
        <family val="0"/>
        <charset val="1"/>
      </rPr>
      <t xml:space="preserve">GOOGL </t>
    </r>
    <r>
      <rPr>
        <sz val="9"/>
        <color rgb="FF595959"/>
        <rFont val="Noto Sans CJK SC"/>
        <family val="2"/>
      </rPr>
      <t xml:space="preserve">以自建為主（另有未起租承諾 </t>
    </r>
    <r>
      <rPr>
        <sz val="9"/>
        <color rgb="FF595959"/>
        <rFont val="Arial"/>
        <family val="0"/>
        <charset val="1"/>
      </rPr>
      <t xml:space="preserve">85.2B </t>
    </r>
    <r>
      <rPr>
        <sz val="9"/>
        <color rgb="FF595959"/>
        <rFont val="Noto Sans CJK SC"/>
        <family val="2"/>
      </rPr>
      <t xml:space="preserve">尚未入表）。</t>
    </r>
  </si>
  <si>
    <r>
      <rPr>
        <sz val="9"/>
        <color rgb="FF595959"/>
        <rFont val="Noto Sans CJK SC"/>
        <family val="2"/>
      </rPr>
      <t xml:space="preserve">前瞻：見下方 </t>
    </r>
    <r>
      <rPr>
        <sz val="9"/>
        <color rgb="FF595959"/>
        <rFont val="Arial"/>
        <family val="0"/>
        <charset val="1"/>
      </rPr>
      <t xml:space="preserve">GOOGL </t>
    </r>
    <r>
      <rPr>
        <sz val="9"/>
        <color rgb="FF595959"/>
        <rFont val="Noto Sans CJK SC"/>
        <family val="2"/>
      </rPr>
      <t xml:space="preserve">模型列。此表為市場比較用，不進入目標價。</t>
    </r>
  </si>
  <si>
    <r>
      <rPr>
        <b val="true"/>
        <sz val="14"/>
        <rFont val="Arial"/>
        <family val="0"/>
        <charset val="1"/>
      </rPr>
      <t xml:space="preserve">AI </t>
    </r>
    <r>
      <rPr>
        <b val="true"/>
        <sz val="14"/>
        <rFont val="Noto Sans CJK SC"/>
        <family val="2"/>
      </rPr>
      <t xml:space="preserve">增量報酬：對外 </t>
    </r>
    <r>
      <rPr>
        <b val="true"/>
        <sz val="14"/>
        <rFont val="Arial"/>
        <family val="0"/>
        <charset val="1"/>
      </rPr>
      <t xml:space="preserve">AI ROIC </t>
    </r>
    <r>
      <rPr>
        <b val="true"/>
        <sz val="14"/>
        <rFont val="Noto Sans CJK SC"/>
        <family val="2"/>
      </rPr>
      <t xml:space="preserve">＝</t>
    </r>
    <r>
      <rPr>
        <b val="true"/>
        <sz val="14"/>
        <rFont val="Arial"/>
        <family val="0"/>
        <charset val="1"/>
      </rPr>
      <t xml:space="preserve">(</t>
    </r>
    <r>
      <rPr>
        <b val="true"/>
        <sz val="14"/>
        <rFont val="Noto Sans CJK SC"/>
        <family val="2"/>
      </rPr>
      <t xml:space="preserve">對外 </t>
    </r>
    <r>
      <rPr>
        <b val="true"/>
        <sz val="14"/>
        <rFont val="Arial"/>
        <family val="0"/>
        <charset val="1"/>
      </rPr>
      <t xml:space="preserve">AI </t>
    </r>
    <r>
      <rPr>
        <b val="true"/>
        <sz val="14"/>
        <rFont val="Noto Sans CJK SC"/>
        <family val="2"/>
      </rPr>
      <t xml:space="preserve">雲端 </t>
    </r>
    <r>
      <rPr>
        <b val="true"/>
        <sz val="14"/>
        <rFont val="Arial"/>
        <family val="0"/>
        <charset val="1"/>
      </rPr>
      <t xml:space="preserve">EBITDA − AI </t>
    </r>
    <r>
      <rPr>
        <b val="true"/>
        <sz val="14"/>
        <rFont val="Noto Sans CJK SC"/>
        <family val="2"/>
      </rPr>
      <t xml:space="preserve">折舊 </t>
    </r>
    <r>
      <rPr>
        <b val="true"/>
        <sz val="14"/>
        <rFont val="Arial"/>
        <family val="0"/>
        <charset val="1"/>
      </rPr>
      <t xml:space="preserve">× </t>
    </r>
    <r>
      <rPr>
        <b val="true"/>
        <sz val="14"/>
        <rFont val="Noto Sans CJK SC"/>
        <family val="2"/>
      </rPr>
      <t xml:space="preserve">對外比例</t>
    </r>
    <r>
      <rPr>
        <b val="true"/>
        <sz val="14"/>
        <rFont val="Arial"/>
        <family val="0"/>
        <charset val="1"/>
      </rPr>
      <t xml:space="preserve">)×(1 − </t>
    </r>
    <r>
      <rPr>
        <b val="true"/>
        <sz val="14"/>
        <rFont val="Noto Sans CJK SC"/>
        <family val="2"/>
      </rPr>
      <t xml:space="preserve">稅率</t>
    </r>
    <r>
      <rPr>
        <b val="true"/>
        <sz val="14"/>
        <rFont val="Arial"/>
        <family val="0"/>
        <charset val="1"/>
      </rPr>
      <t xml:space="preserve">) ÷ (</t>
    </r>
    <r>
      <rPr>
        <b val="true"/>
        <sz val="14"/>
        <rFont val="Noto Sans CJK SC"/>
        <family val="2"/>
      </rPr>
      <t xml:space="preserve">平均 </t>
    </r>
    <r>
      <rPr>
        <b val="true"/>
        <sz val="14"/>
        <rFont val="Arial"/>
        <family val="0"/>
        <charset val="1"/>
      </rPr>
      <t xml:space="preserve">AI </t>
    </r>
    <r>
      <rPr>
        <b val="true"/>
        <sz val="14"/>
        <rFont val="Noto Sans CJK SC"/>
        <family val="2"/>
      </rPr>
      <t xml:space="preserve">投入資本 </t>
    </r>
    <r>
      <rPr>
        <b val="true"/>
        <sz val="14"/>
        <rFont val="Arial"/>
        <family val="0"/>
        <charset val="1"/>
      </rPr>
      <t xml:space="preserve">× </t>
    </r>
    <r>
      <rPr>
        <b val="true"/>
        <sz val="14"/>
        <rFont val="Noto Sans CJK SC"/>
        <family val="2"/>
      </rPr>
      <t xml:space="preserve">對外比例</t>
    </r>
    <r>
      <rPr>
        <b val="true"/>
        <sz val="14"/>
        <rFont val="Arial"/>
        <family val="0"/>
        <charset val="1"/>
      </rPr>
      <t xml:space="preserve">)</t>
    </r>
    <r>
      <rPr>
        <b val="true"/>
        <sz val="14"/>
        <rFont val="Noto Sans CJK SC"/>
        <family val="2"/>
      </rPr>
      <t xml:space="preserve">，對 </t>
    </r>
    <r>
      <rPr>
        <b val="true"/>
        <sz val="14"/>
        <rFont val="Arial"/>
        <family val="0"/>
        <charset val="1"/>
      </rPr>
      <t xml:space="preserve">WACC</t>
    </r>
  </si>
  <si>
    <r>
      <rPr>
        <sz val="9"/>
        <color rgb="FF595959"/>
        <rFont val="Noto Sans CJK SC"/>
        <family val="2"/>
      </rPr>
      <t xml:space="preserve">年化＝模型期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期間長度（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只含 </t>
    </r>
    <r>
      <rPr>
        <sz val="9"/>
        <color rgb="FF595959"/>
        <rFont val="Arial"/>
        <family val="0"/>
        <charset val="1"/>
      </rPr>
      <t xml:space="preserve">2H</t>
    </r>
    <r>
      <rPr>
        <sz val="9"/>
        <color rgb="FF595959"/>
        <rFont val="Noto Sans CJK SC"/>
        <family val="2"/>
      </rPr>
      <t xml:space="preserve">）；投入資本（全 </t>
    </r>
    <r>
      <rPr>
        <sz val="9"/>
        <color rgb="FF595959"/>
        <rFont val="Arial"/>
        <family val="0"/>
        <charset val="1"/>
      </rPr>
      <t xml:space="preserve">AI</t>
    </r>
    <r>
      <rPr>
        <sz val="9"/>
        <color rgb="FF595959"/>
        <rFont val="Noto Sans CJK SC"/>
        <family val="2"/>
      </rPr>
      <t xml:space="preserve">）＝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期初毛額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淨額比＋累計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成長型與汰換 − 累計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折舊；對外口徑＝投入資本與折舊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對外比例（主值）；全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口徑（含影子收入）只作對照；打平 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＝使錨定期對外 </t>
    </r>
    <r>
      <rPr>
        <sz val="9"/>
        <color rgb="FF595959"/>
        <rFont val="Arial"/>
        <family val="0"/>
        <charset val="1"/>
      </rPr>
      <t xml:space="preserve">AI ROIC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WACC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（解出的門檻，不是輸入）</t>
    </r>
  </si>
  <si>
    <r>
      <rPr>
        <sz val="10"/>
        <rFont val="Noto Sans CJK SC"/>
        <family val="2"/>
      </rPr>
      <t xml:space="preserve">對外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雲端營收（年化）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</si>
  <si>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</si>
  <si>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營運成本推得（輸入與假設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區）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</si>
  <si>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（年化）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</si>
  <si>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營運成本（年化）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</si>
  <si>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折舊（年化）</t>
    </r>
  </si>
  <si>
    <r>
      <rPr>
        <sz val="9"/>
        <color rgb="FF595959"/>
        <rFont val="Arial"/>
        <family val="0"/>
        <charset val="1"/>
      </rPr>
      <t xml:space="preserve">D&amp;A </t>
    </r>
    <r>
      <rPr>
        <sz val="9"/>
        <color rgb="FF595959"/>
        <rFont val="Noto Sans CJK SC"/>
        <family val="2"/>
      </rPr>
      <t xml:space="preserve">分池（輸入與假設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區）</t>
    </r>
  </si>
  <si>
    <r>
      <rPr>
        <sz val="10"/>
        <rFont val="Noto Sans CJK SC"/>
        <family val="2"/>
      </rPr>
      <t xml:space="preserve">有效在役對外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（＝營收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年收入）</t>
    </r>
  </si>
  <si>
    <r>
      <rPr>
        <sz val="10"/>
        <rFont val="Noto Sans CJK SC"/>
        <family val="2"/>
      </rPr>
      <t xml:space="preserve">租用對外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（平均）</t>
    </r>
  </si>
  <si>
    <r>
      <rPr>
        <sz val="9"/>
        <color rgb="FF595959"/>
        <rFont val="Arial"/>
        <family val="0"/>
        <charset val="1"/>
      </rPr>
      <t xml:space="preserve">capexModel.rentedExt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C20</t>
    </r>
    <r>
      <rPr>
        <sz val="9"/>
        <color rgb="FF595959"/>
        <rFont val="Noto Sans CJK SC"/>
        <family val="2"/>
      </rPr>
      <t xml:space="preserve">）：收入照算、投入資本與折舊不計</t>
    </r>
  </si>
  <si>
    <r>
      <rPr>
        <sz val="10"/>
        <rFont val="Noto Sans CJK SC"/>
        <family val="2"/>
      </rPr>
      <t xml:space="preserve">自有對外占自有 </t>
    </r>
    <r>
      <rPr>
        <sz val="10"/>
        <rFont val="Arial"/>
        <family val="0"/>
        <charset val="1"/>
      </rPr>
      <t xml:space="preserve">AI MW </t>
    </r>
    <r>
      <rPr>
        <sz val="10"/>
        <rFont val="Noto Sans CJK SC"/>
        <family val="2"/>
      </rPr>
      <t xml:space="preserve">比例</t>
    </r>
  </si>
  <si>
    <r>
      <rPr>
        <sz val="9"/>
        <color rgb="FF595959"/>
        <rFont val="Noto Sans CJK SC"/>
        <family val="2"/>
      </rPr>
      <t xml:space="preserve">投入資本與折舊按此比例分攤（無租用時＝對外比例；</t>
    </r>
    <r>
      <rPr>
        <sz val="9"/>
        <color rgb="FF595959"/>
        <rFont val="Arial"/>
        <family val="0"/>
        <charset val="1"/>
      </rPr>
      <t xml:space="preserve">C11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C20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</si>
  <si>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機房年租金（</t>
    </r>
    <r>
      <rPr>
        <sz val="10"/>
        <rFont val="Arial"/>
        <family val="0"/>
        <charset val="1"/>
      </rPr>
      <t xml:space="preserve">Tokenomics </t>
    </r>
    <r>
      <rPr>
        <sz val="10"/>
        <rFont val="Noto Sans CJK SC"/>
        <family val="2"/>
      </rPr>
      <t xml:space="preserve">機房成本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資本回收係數）</t>
    </r>
  </si>
  <si>
    <r>
      <rPr>
        <sz val="9"/>
        <color rgb="FF595959"/>
        <rFont val="Noto Sans CJK SC"/>
        <family val="2"/>
      </rPr>
      <t xml:space="preserve">出租方打平租金＝在役世代加權 </t>
    </r>
    <r>
      <rPr>
        <sz val="9"/>
        <color rgb="FF595959"/>
        <rFont val="Arial"/>
        <family val="0"/>
        <charset val="1"/>
      </rPr>
      <t xml:space="preserve">TK_CapexFacility × 10% </t>
    </r>
    <r>
      <rPr>
        <sz val="9"/>
        <color rgb="FF595959"/>
        <rFont val="Noto Sans CJK SC"/>
        <family val="2"/>
      </rPr>
      <t xml:space="preserve">資本回收係數（機房年限）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C22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</si>
  <si>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機房租金（自有對外 </t>
    </r>
    <r>
      <rPr>
        <sz val="10"/>
        <rFont val="Arial"/>
        <family val="0"/>
        <charset val="1"/>
      </rPr>
      <t xml:space="preserve">MW ×(1 − </t>
    </r>
    <r>
      <rPr>
        <sz val="10"/>
        <rFont val="Noto Sans CJK SC"/>
        <family val="2"/>
      </rPr>
      <t xml:space="preserve">自建比例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</si>
  <si>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只進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增量報酬（資金與評價的租金現金已在租賃承諾內，不重複扣；</t>
    </r>
    <r>
      <rPr>
        <sz val="9"/>
        <color rgb="FF595959"/>
        <rFont val="Arial"/>
        <family val="0"/>
        <charset val="1"/>
      </rPr>
      <t xml:space="preserve">C22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</si>
  <si>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租用對外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租金</t>
    </r>
  </si>
  <si>
    <r>
      <rPr>
        <sz val="9"/>
        <color rgb="FF595959"/>
        <rFont val="Noto Sans CJK SC"/>
        <family val="2"/>
      </rPr>
      <t xml:space="preserve">＝租用對外 </t>
    </r>
    <r>
      <rPr>
        <sz val="9"/>
        <color rgb="FF595959"/>
        <rFont val="Arial"/>
        <family val="0"/>
        <charset val="1"/>
      </rPr>
      <t xml:space="preserve">MW ×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年租金（</t>
    </r>
    <r>
      <rPr>
        <sz val="9"/>
        <color rgb="FF595959"/>
        <rFont val="Arial"/>
        <family val="0"/>
        <charset val="1"/>
      </rPr>
      <t xml:space="preserve">capexModel.rentedExt.rentMW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C20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</si>
  <si>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對外 </t>
    </r>
    <r>
      <rPr>
        <sz val="10"/>
        <rFont val="Arial"/>
        <family val="0"/>
        <charset val="1"/>
      </rPr>
      <t xml:space="preserve">AI EBITDA</t>
    </r>
    <r>
      <rPr>
        <sz val="10"/>
        <rFont val="Noto Sans CJK SC"/>
        <family val="2"/>
      </rPr>
      <t xml:space="preserve">（扣租金）</t>
    </r>
  </si>
  <si>
    <r>
      <rPr>
        <sz val="10"/>
        <rFont val="Noto Sans CJK SC"/>
        <family val="2"/>
      </rPr>
      <t xml:space="preserve">對外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折舊（年化，按對外比例分攤）</t>
    </r>
  </si>
  <si>
    <r>
      <rPr>
        <sz val="10"/>
        <rFont val="Noto Sans CJK SC"/>
        <family val="2"/>
      </rPr>
      <t xml:space="preserve">對外 </t>
    </r>
    <r>
      <rPr>
        <sz val="10"/>
        <rFont val="Arial"/>
        <family val="0"/>
        <charset val="1"/>
      </rPr>
      <t xml:space="preserve">AI NOPAT</t>
    </r>
    <r>
      <rPr>
        <sz val="10"/>
        <rFont val="Noto Sans CJK SC"/>
        <family val="2"/>
      </rPr>
      <t xml:space="preserve">（年化）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</si>
  <si>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對外 </t>
    </r>
    <r>
      <rPr>
        <sz val="9"/>
        <color rgb="FF595959"/>
        <rFont val="Arial"/>
        <family val="0"/>
        <charset val="1"/>
      </rPr>
      <t xml:space="preserve">EBITDA − </t>
    </r>
    <r>
      <rPr>
        <sz val="9"/>
        <color rgb="FF595959"/>
        <rFont val="Noto Sans CJK SC"/>
        <family val="2"/>
      </rPr>
      <t xml:space="preserve">對外折舊</t>
    </r>
    <r>
      <rPr>
        <sz val="9"/>
        <color rgb="FF595959"/>
        <rFont val="Arial"/>
        <family val="0"/>
        <charset val="1"/>
      </rPr>
      <t xml:space="preserve">)×(1 − </t>
    </r>
    <r>
      <rPr>
        <sz val="9"/>
        <color rgb="FF595959"/>
        <rFont val="Noto Sans CJK SC"/>
        <family val="2"/>
      </rPr>
      <t xml:space="preserve">稅率</t>
    </r>
    <r>
      <rPr>
        <sz val="9"/>
        <color rgb="FF595959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</si>
  <si>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投入資本（期初）</t>
    </r>
  </si>
  <si>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期初毛額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淨額比；之後＝前期期末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</si>
  <si>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投入（成長型＋汰換，模型期）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</si>
  <si>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投入資本（期末）</t>
    </r>
  </si>
  <si>
    <r>
      <rPr>
        <sz val="9"/>
        <color rgb="FF595959"/>
        <rFont val="Noto Sans CJK SC"/>
        <family val="2"/>
      </rPr>
      <t xml:space="preserve">＝期初＋投入 −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折舊</t>
    </r>
  </si>
  <si>
    <r>
      <rPr>
        <sz val="10"/>
        <rFont val="Noto Sans CJK SC"/>
        <family val="2"/>
      </rPr>
      <t xml:space="preserve">對外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平均投入資本（按對外比例分攤）</t>
    </r>
  </si>
  <si>
    <r>
      <rPr>
        <b val="true"/>
        <sz val="10"/>
        <rFont val="Noto Sans CJK SC"/>
        <family val="2"/>
      </rPr>
      <t xml:space="preserve">對外 </t>
    </r>
    <r>
      <rPr>
        <b val="true"/>
        <sz val="10"/>
        <rFont val="Arial"/>
        <family val="0"/>
        <charset val="1"/>
      </rPr>
      <t xml:space="preserve">AI ROIC</t>
    </r>
    <r>
      <rPr>
        <b val="true"/>
        <sz val="10"/>
        <rFont val="Noto Sans CJK SC"/>
        <family val="2"/>
      </rPr>
      <t xml:space="preserve">（主值）</t>
    </r>
  </si>
  <si>
    <r>
      <rPr>
        <sz val="9"/>
        <color rgb="FF595959"/>
        <rFont val="Noto Sans CJK SC"/>
        <family val="2"/>
      </rPr>
      <t xml:space="preserve">＝對外 </t>
    </r>
    <r>
      <rPr>
        <sz val="9"/>
        <color rgb="FF595959"/>
        <rFont val="Arial"/>
        <family val="0"/>
        <charset val="1"/>
      </rPr>
      <t xml:space="preserve">NOPAT ÷ </t>
    </r>
    <r>
      <rPr>
        <sz val="9"/>
        <color rgb="FF595959"/>
        <rFont val="Noto Sans CJK SC"/>
        <family val="2"/>
      </rPr>
      <t xml:space="preserve">對外平均投入資本（對照表 </t>
    </r>
    <r>
      <rPr>
        <sz val="9"/>
        <color rgb="FF595959"/>
        <rFont val="Arial"/>
        <family val="0"/>
        <charset val="1"/>
      </rPr>
      <t xml:space="preserve">r1 C11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</si>
  <si>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對外 </t>
    </r>
    <r>
      <rPr>
        <b val="true"/>
        <sz val="10"/>
        <rFont val="Arial"/>
        <family val="0"/>
        <charset val="1"/>
      </rPr>
      <t xml:space="preserve">AI ROIC − WACC</t>
    </r>
  </si>
  <si>
    <r>
      <rPr>
        <sz val="9"/>
        <color rgb="FF595959"/>
        <rFont val="Noto Sans CJK SC"/>
        <family val="2"/>
      </rPr>
      <t xml:space="preserve">負值＝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投資未賺到資金成本</t>
    </r>
  </si>
  <si>
    <r>
      <rPr>
        <sz val="10"/>
        <rFont val="Noto Sans CJK SC"/>
        <family val="2"/>
      </rPr>
      <t xml:space="preserve">影子收入（自用 </t>
    </r>
    <r>
      <rPr>
        <sz val="10"/>
        <rFont val="Arial"/>
        <family val="0"/>
        <charset val="1"/>
      </rPr>
      <t xml:space="preserve">AI MW ×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年收入，年化）</t>
    </r>
  </si>
  <si>
    <r>
      <rPr>
        <sz val="9"/>
        <color rgb="FF595959"/>
        <rFont val="Noto Sans CJK SC"/>
        <family val="2"/>
      </rPr>
      <t xml:space="preserve">自用 </t>
    </r>
    <r>
      <rPr>
        <sz val="9"/>
        <color rgb="FF595959"/>
        <rFont val="Arial"/>
        <family val="0"/>
        <charset val="1"/>
      </rPr>
      <t xml:space="preserve">AI MW</t>
    </r>
    <r>
      <rPr>
        <sz val="9"/>
        <color rgb="FF595959"/>
        <rFont val="Noto Sans CJK SC"/>
        <family val="2"/>
      </rPr>
      <t xml:space="preserve">＝對外 </t>
    </r>
    <r>
      <rPr>
        <sz val="9"/>
        <color rgb="FF595959"/>
        <rFont val="Arial"/>
        <family val="0"/>
        <charset val="1"/>
      </rPr>
      <t xml:space="preserve">×(1 ÷ </t>
    </r>
    <r>
      <rPr>
        <sz val="9"/>
        <color rgb="FF595959"/>
        <rFont val="Noto Sans CJK SC"/>
        <family val="2"/>
      </rPr>
      <t xml:space="preserve">對外比例 − </t>
    </r>
    <r>
      <rPr>
        <sz val="9"/>
        <color rgb="FF595959"/>
        <rFont val="Arial"/>
        <family val="0"/>
        <charset val="1"/>
      </rPr>
      <t xml:space="preserve">1)</t>
    </r>
    <r>
      <rPr>
        <sz val="9"/>
        <color rgb="FF595959"/>
        <rFont val="Noto Sans CJK SC"/>
        <family val="2"/>
      </rPr>
      <t xml:space="preserve">；只作對照，不進評價（對照表 </t>
    </r>
    <r>
      <rPr>
        <sz val="9"/>
        <color rgb="FF595959"/>
        <rFont val="Arial"/>
        <family val="0"/>
        <charset val="1"/>
      </rPr>
      <t xml:space="preserve">r1 D2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</si>
  <si>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全 </t>
    </r>
    <r>
      <rPr>
        <sz val="10"/>
        <rFont val="Arial"/>
        <family val="0"/>
        <charset val="1"/>
      </rPr>
      <t xml:space="preserve">AI ROIC</t>
    </r>
    <r>
      <rPr>
        <sz val="10"/>
        <rFont val="Noto Sans CJK SC"/>
        <family val="2"/>
      </rPr>
      <t xml:space="preserve">（含影子收入，對照）</t>
    </r>
  </si>
  <si>
    <r>
      <rPr>
        <sz val="9"/>
        <color rgb="FF595959"/>
        <rFont val="Noto Sans CJK SC"/>
        <family val="2"/>
      </rPr>
      <t xml:space="preserve">全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機房租金＝</t>
    </r>
    <r>
      <rPr>
        <sz val="9"/>
        <color rgb="FF595959"/>
        <rFont val="Arial"/>
        <family val="0"/>
        <charset val="1"/>
      </rPr>
      <t xml:space="preserve">(1 − </t>
    </r>
    <r>
      <rPr>
        <sz val="9"/>
        <color rgb="FF595959"/>
        <rFont val="Noto Sans CJK SC"/>
        <family val="2"/>
      </rPr>
      <t xml:space="preserve">自建</t>
    </r>
    <r>
      <rPr>
        <sz val="9"/>
        <color rgb="FF595959"/>
        <rFont val="Arial"/>
        <family val="0"/>
        <charset val="1"/>
      </rPr>
      <t xml:space="preserve">)× </t>
    </r>
    <r>
      <rPr>
        <sz val="9"/>
        <color rgb="FF595959"/>
        <rFont val="Noto Sans CJK SC"/>
        <family val="2"/>
      </rPr>
      <t xml:space="preserve">自有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總 </t>
    </r>
    <r>
      <rPr>
        <sz val="9"/>
        <color rgb="FF595959"/>
        <rFont val="Arial"/>
        <family val="0"/>
        <charset val="1"/>
      </rPr>
      <t xml:space="preserve">MW ×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機房年租金（</t>
    </r>
    <r>
      <rPr>
        <sz val="9"/>
        <color rgb="FF595959"/>
        <rFont val="Arial"/>
        <family val="0"/>
        <charset val="1"/>
      </rPr>
      <t xml:space="preserve">C22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</si>
  <si>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打平 </t>
    </r>
    <r>
      <rPr>
        <b val="true"/>
        <sz val="10"/>
        <rFont val="Arial"/>
        <family val="0"/>
        <charset val="1"/>
      </rPr>
      <t xml:space="preserve">k</t>
    </r>
    <r>
      <rPr>
        <b val="true"/>
        <sz val="10"/>
        <rFont val="Noto Sans CJK SC"/>
        <family val="2"/>
      </rPr>
      <t xml:space="preserve">（使 </t>
    </r>
    <r>
      <rPr>
        <b val="true"/>
        <sz val="10"/>
        <rFont val="Arial"/>
        <family val="0"/>
        <charset val="1"/>
      </rPr>
      <t xml:space="preserve">2029 </t>
    </r>
    <r>
      <rPr>
        <b val="true"/>
        <sz val="10"/>
        <rFont val="Noto Sans CJK SC"/>
        <family val="2"/>
      </rPr>
      <t xml:space="preserve">對外 </t>
    </r>
    <r>
      <rPr>
        <b val="true"/>
        <sz val="10"/>
        <rFont val="Arial"/>
        <family val="0"/>
        <charset val="1"/>
      </rPr>
      <t xml:space="preserve">AI ROIC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WACC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</si>
  <si>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k ×(WACC × </t>
    </r>
    <r>
      <rPr>
        <sz val="9"/>
        <color rgb="FF595959"/>
        <rFont val="Noto Sans CJK SC"/>
        <family val="2"/>
      </rPr>
      <t xml:space="preserve">對外平均投入資本 </t>
    </r>
    <r>
      <rPr>
        <sz val="9"/>
        <color rgb="FF595959"/>
        <rFont val="Arial"/>
        <family val="0"/>
        <charset val="1"/>
      </rPr>
      <t xml:space="preserve">÷ (1 − </t>
    </r>
    <r>
      <rPr>
        <sz val="9"/>
        <color rgb="FF595959"/>
        <rFont val="Noto Sans CJK SC"/>
        <family val="2"/>
      </rPr>
      <t xml:space="preserve">稅率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＋營運成本＋租金＋對外折舊</t>
    </r>
    <r>
      <rPr>
        <sz val="9"/>
        <color rgb="FF595959"/>
        <rFont val="Arial"/>
        <family val="0"/>
        <charset val="1"/>
      </rPr>
      <t xml:space="preserve">) ÷ </t>
    </r>
    <r>
      <rPr>
        <sz val="9"/>
        <color rgb="FF595959"/>
        <rFont val="Noto Sans CJK SC"/>
        <family val="2"/>
      </rPr>
      <t xml:space="preserve">營收（</t>
    </r>
    <r>
      <rPr>
        <sz val="9"/>
        <color rgb="FF595959"/>
        <rFont val="Arial"/>
        <family val="0"/>
        <charset val="1"/>
      </rPr>
      <t xml:space="preserve">AI EBITDA </t>
    </r>
    <r>
      <rPr>
        <sz val="9"/>
        <color rgb="FF595959"/>
        <rFont val="Noto Sans CJK SC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線性，閉式解；對外口徑）</t>
    </r>
  </si>
  <si>
    <r>
      <rPr>
        <sz val="10"/>
        <rFont val="Noto Sans CJK SC"/>
        <family val="2"/>
      </rPr>
      <t xml:space="preserve">目前採用 </t>
    </r>
    <r>
      <rPr>
        <sz val="10"/>
        <rFont val="Arial"/>
        <family val="0"/>
        <charset val="1"/>
      </rPr>
      <t xml:space="preserve">k</t>
    </r>
  </si>
  <si>
    <r>
      <rPr>
        <b val="true"/>
        <sz val="10"/>
        <rFont val="Arial"/>
        <family val="0"/>
        <charset val="1"/>
      </rPr>
      <t xml:space="preserve">C15 </t>
    </r>
    <r>
      <rPr>
        <b val="true"/>
        <sz val="10"/>
        <rFont val="Noto Sans CJK SC"/>
        <family val="2"/>
      </rPr>
      <t xml:space="preserve">一致性檢查（</t>
    </r>
    <r>
      <rPr>
        <b val="true"/>
        <sz val="10"/>
        <rFont val="Arial"/>
        <family val="0"/>
        <charset val="1"/>
      </rPr>
      <t xml:space="preserve">2029</t>
    </r>
    <r>
      <rPr>
        <b val="true"/>
        <sz val="10"/>
        <rFont val="Noto Sans CJK SC"/>
        <family val="2"/>
      </rPr>
      <t xml:space="preserve">，對外口徑；序列拆解，各步差額加總＝總差距）</t>
    </r>
  </si>
  <si>
    <r>
      <rPr>
        <sz val="10"/>
        <rFont val="Arial"/>
        <family val="0"/>
        <charset val="1"/>
      </rPr>
      <t xml:space="preserve">IF_HoldEcon </t>
    </r>
    <r>
      <rPr>
        <sz val="10"/>
        <rFont val="Noto Sans CJK SC"/>
        <family val="2"/>
      </rPr>
      <t xml:space="preserve">隱含報酬（</t>
    </r>
    <r>
      <rPr>
        <sz val="10"/>
        <rFont val="Arial"/>
        <family val="0"/>
        <charset val="1"/>
      </rPr>
      <t xml:space="preserve">Tokenomics WACC</t>
    </r>
    <r>
      <rPr>
        <sz val="10"/>
        <rFont val="Noto Sans CJK SC"/>
        <family val="2"/>
      </rPr>
      <t xml:space="preserve">，經濟口徑）</t>
    </r>
  </si>
  <si>
    <r>
      <rPr>
        <sz val="9"/>
        <color rgb="FF595959"/>
        <rFont val="Arial"/>
        <family val="0"/>
        <charset val="1"/>
      </rPr>
      <t xml:space="preserve">IF_HoldEcon </t>
    </r>
    <r>
      <rPr>
        <sz val="9"/>
        <color rgb="FF595959"/>
        <rFont val="Noto Sans CJK SC"/>
        <family val="2"/>
      </rPr>
      <t xml:space="preserve">的資本回收年金折現率：</t>
    </r>
    <r>
      <rPr>
        <sz val="9"/>
        <color rgb="FF595959"/>
        <rFont val="Arial"/>
        <family val="0"/>
        <charset val="1"/>
      </rPr>
      <t xml:space="preserve">Tokenomics Inputs!E28</t>
    </r>
    <r>
      <rPr>
        <sz val="9"/>
        <color rgb="FF595959"/>
        <rFont val="Noto Sans CJK SC"/>
        <family val="2"/>
      </rPr>
      <t xml:space="preserve">「</t>
    </r>
    <r>
      <rPr>
        <sz val="9"/>
        <color rgb="FF595959"/>
        <rFont val="Arial"/>
        <family val="0"/>
        <charset val="1"/>
      </rPr>
      <t xml:space="preserve">WACC</t>
    </r>
    <r>
      <rPr>
        <sz val="9"/>
        <color rgb="FF595959"/>
        <rFont val="Noto Sans CJK SC"/>
        <family val="2"/>
      </rPr>
      <t xml:space="preserve">（經濟口徑）」基準 </t>
    </r>
    <r>
      <rPr>
        <sz val="9"/>
        <color rgb="FF595959"/>
        <rFont val="Arial"/>
        <family val="0"/>
        <charset val="1"/>
      </rPr>
      <t xml:space="preserve">10%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builder v5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L1_HoldEconGW</t>
    </r>
    <r>
      <rPr>
        <sz val="9"/>
        <color rgb="FF595959"/>
        <rFont val="Noto Sans CJK SC"/>
        <family val="2"/>
      </rPr>
      <t xml:space="preserve">＝資本回收年金（</t>
    </r>
    <r>
      <rPr>
        <sz val="9"/>
        <color rgb="FF595959"/>
        <rFont val="Arial"/>
        <family val="0"/>
        <charset val="1"/>
      </rPr>
      <t xml:space="preserve">WACC 10%</t>
    </r>
    <r>
      <rPr>
        <sz val="9"/>
        <color rgb="FF595959"/>
        <rFont val="Noto Sans CJK SC"/>
        <family val="2"/>
      </rPr>
      <t xml:space="preserve">）＋營運費用）；非具名範圍，換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版本時核對 </t>
    </r>
    <r>
      <rPr>
        <sz val="9"/>
        <color rgb="FF595959"/>
        <rFont val="Arial"/>
        <family val="0"/>
        <charset val="1"/>
      </rPr>
      <t xml:space="preserve">[Verified]</t>
    </r>
    <r>
      <rPr>
        <sz val="9"/>
        <color rgb="FF595959"/>
        <rFont val="Noto Sans CJK SC"/>
        <family val="2"/>
      </rPr>
      <t xml:space="preserve">；只用於一致性檢查（對照表 </t>
    </r>
    <r>
      <rPr>
        <sz val="9"/>
        <color rgb="FF595959"/>
        <rFont val="Arial"/>
        <family val="0"/>
        <charset val="1"/>
      </rPr>
      <t xml:space="preserve">r1 C15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</si>
  <si>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在役對外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（有效，＝營收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年收入）</t>
    </r>
  </si>
  <si>
    <r>
      <rPr>
        <sz val="10"/>
        <rFont val="Noto Sans CJK SC"/>
        <family val="2"/>
      </rPr>
      <t xml:space="preserve">自有在役對外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（有效 − 租用）</t>
    </r>
  </si>
  <si>
    <r>
      <rPr>
        <sz val="10"/>
        <rFont val="Arial"/>
        <family val="0"/>
        <charset val="1"/>
      </rPr>
      <t xml:space="preserve">k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營收（</t>
    </r>
    <r>
      <rPr>
        <sz val="10"/>
        <rFont val="Arial"/>
        <family val="0"/>
        <charset val="1"/>
      </rPr>
      <t xml:space="preserve">Σ </t>
    </r>
    <r>
      <rPr>
        <sz val="10"/>
        <rFont val="Noto Sans CJK SC"/>
        <family val="2"/>
      </rPr>
      <t xml:space="preserve">在役世代 </t>
    </r>
    <r>
      <rPr>
        <sz val="10"/>
        <rFont val="Arial"/>
        <family val="0"/>
        <charset val="1"/>
      </rPr>
      <t xml:space="preserve">× IF_HoldEcon</t>
    </r>
    <r>
      <rPr>
        <sz val="10"/>
        <rFont val="Noto Sans CJK SC"/>
        <family val="2"/>
      </rPr>
      <t xml:space="preserve">，不含晶片係數）</t>
    </r>
  </si>
  <si>
    <r>
      <rPr>
        <sz val="10"/>
        <rFont val="Arial"/>
        <family val="0"/>
        <charset val="1"/>
      </rPr>
      <t xml:space="preserve">Tokenomics </t>
    </r>
    <r>
      <rPr>
        <sz val="10"/>
        <rFont val="Noto Sans CJK SC"/>
        <family val="2"/>
      </rPr>
      <t xml:space="preserve">營運成本（</t>
    </r>
    <r>
      <rPr>
        <sz val="10"/>
        <rFont val="Arial"/>
        <family val="0"/>
        <charset val="1"/>
      </rPr>
      <t xml:space="preserve">Σ </t>
    </r>
    <r>
      <rPr>
        <sz val="10"/>
        <rFont val="Noto Sans CJK SC"/>
        <family val="2"/>
      </rPr>
      <t xml:space="preserve">在役世代 </t>
    </r>
    <r>
      <rPr>
        <sz val="10"/>
        <rFont val="Arial"/>
        <family val="0"/>
        <charset val="1"/>
      </rPr>
      <t xml:space="preserve">× IF_OpexGW</t>
    </r>
    <r>
      <rPr>
        <sz val="10"/>
        <rFont val="Noto Sans CJK SC"/>
        <family val="2"/>
      </rPr>
      <t xml:space="preserve">）</t>
    </r>
  </si>
  <si>
    <t xml:space="preserve">累計汰換（對外，至錨定期中點）</t>
  </si>
  <si>
    <r>
      <rPr>
        <sz val="10"/>
        <rFont val="Noto Sans CJK SC"/>
        <family val="2"/>
      </rPr>
      <t xml:space="preserve">穩態投入資本（自有在役 </t>
    </r>
    <r>
      <rPr>
        <sz val="10"/>
        <rFont val="Arial"/>
        <family val="0"/>
        <charset val="1"/>
      </rPr>
      <t xml:space="preserve">MW ×(IT</t>
    </r>
    <r>
      <rPr>
        <sz val="10"/>
        <rFont val="Noto Sans CJK SC"/>
        <family val="2"/>
      </rPr>
      <t xml:space="preserve">＋自建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機房</t>
    </r>
    <r>
      <rPr>
        <sz val="10"/>
        <rFont val="Arial"/>
        <family val="0"/>
        <charset val="1"/>
      </rPr>
      <t xml:space="preserve">)× ½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</si>
  <si>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穩態折舊（自有在役 </t>
    </r>
    <r>
      <rPr>
        <sz val="10"/>
        <rFont val="Arial"/>
        <family val="0"/>
        <charset val="1"/>
      </rPr>
      <t xml:space="preserve">MW ×(IT ÷ </t>
    </r>
    <r>
      <rPr>
        <sz val="10"/>
        <rFont val="Noto Sans CJK SC"/>
        <family val="2"/>
      </rPr>
      <t xml:space="preserve">壽命＋自建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機房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機房壽命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</si>
  <si>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穩態投入資本（全部自有、自建 </t>
    </r>
    <r>
      <rPr>
        <sz val="10"/>
        <rFont val="Arial"/>
        <family val="0"/>
        <charset val="1"/>
      </rPr>
      <t xml:space="preserve">100%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</si>
  <si>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穩態折舊（全部自有、自建 </t>
    </r>
    <r>
      <rPr>
        <sz val="10"/>
        <rFont val="Arial"/>
        <family val="0"/>
        <charset val="1"/>
      </rPr>
      <t xml:space="preserve">100%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</si>
  <si>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階段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｜模型對外 </t>
    </r>
    <r>
      <rPr>
        <sz val="10"/>
        <rFont val="Arial"/>
        <family val="0"/>
        <charset val="1"/>
      </rPr>
      <t xml:space="preserve">AI ROIC</t>
    </r>
    <r>
      <rPr>
        <sz val="10"/>
        <rFont val="Noto Sans CJK SC"/>
        <family val="2"/>
      </rPr>
      <t xml:space="preserve">（稅後）</t>
    </r>
  </si>
  <si>
    <r>
      <rPr>
        <sz val="10"/>
        <rFont val="Noto Sans CJK SC"/>
        <family val="2"/>
      </rPr>
      <t xml:space="preserve">階段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｜稅前</t>
    </r>
  </si>
  <si>
    <r>
      <rPr>
        <sz val="10"/>
        <rFont val="Noto Sans CJK SC"/>
        <family val="2"/>
      </rPr>
      <t xml:space="preserve">階段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k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（含自研晶片係數）</t>
    </r>
  </si>
  <si>
    <r>
      <rPr>
        <sz val="10"/>
        <rFont val="Noto Sans CJK SC"/>
        <family val="2"/>
      </rPr>
      <t xml:space="preserve">階段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｜營運成本改 </t>
    </r>
    <r>
      <rPr>
        <sz val="10"/>
        <rFont val="Arial"/>
        <family val="0"/>
        <charset val="1"/>
      </rPr>
      <t xml:space="preserve">Tokenomics</t>
    </r>
  </si>
  <si>
    <r>
      <rPr>
        <sz val="10"/>
        <rFont val="Noto Sans CJK SC"/>
        <family val="2"/>
      </rPr>
      <t xml:space="preserve">階段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｜移除汰換</t>
    </r>
  </si>
  <si>
    <r>
      <rPr>
        <sz val="10"/>
        <rFont val="Noto Sans CJK SC"/>
        <family val="2"/>
      </rPr>
      <t xml:space="preserve">階段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｜穩態（無爬坡／閒置）</t>
    </r>
  </si>
  <si>
    <r>
      <rPr>
        <b val="true"/>
        <sz val="10"/>
        <rFont val="Noto Sans CJK SC"/>
        <family val="2"/>
      </rPr>
      <t xml:space="preserve">階段 </t>
    </r>
    <r>
      <rPr>
        <b val="true"/>
        <sz val="10"/>
        <rFont val="Arial"/>
        <family val="0"/>
        <charset val="1"/>
      </rPr>
      <t xml:space="preserve">6</t>
    </r>
    <r>
      <rPr>
        <b val="true"/>
        <sz val="10"/>
        <rFont val="Noto Sans CJK SC"/>
        <family val="2"/>
      </rPr>
      <t xml:space="preserve">｜全部自有、自建 </t>
    </r>
    <r>
      <rPr>
        <b val="true"/>
        <sz val="10"/>
        <rFont val="Arial"/>
        <family val="0"/>
        <charset val="1"/>
      </rPr>
      <t xml:space="preserve">100%</t>
    </r>
    <r>
      <rPr>
        <b val="true"/>
        <sz val="10"/>
        <rFont val="Noto Sans CJK SC"/>
        <family val="2"/>
      </rPr>
      <t xml:space="preserve">、無租金＝乾淨稅前 </t>
    </r>
    <r>
      <rPr>
        <b val="true"/>
        <sz val="10"/>
        <rFont val="Arial"/>
        <family val="0"/>
        <charset val="1"/>
      </rPr>
      <t xml:space="preserve">ROIC</t>
    </r>
  </si>
  <si>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成本、無爬坡延遲、無稅（對照表 </t>
    </r>
    <r>
      <rPr>
        <sz val="9"/>
        <color rgb="FF595959"/>
        <rFont val="Arial"/>
        <family val="0"/>
        <charset val="1"/>
      </rPr>
      <t xml:space="preserve">r1 C15</t>
    </r>
    <r>
      <rPr>
        <sz val="9"/>
        <color rgb="FF595959"/>
        <rFont val="Noto Sans CJK SC"/>
        <family val="2"/>
      </rPr>
      <t xml:space="preserve">）</t>
    </r>
  </si>
  <si>
    <t xml:space="preserve">拆解｜稅（稅後 → 稅前）</t>
  </si>
  <si>
    <r>
      <rPr>
        <sz val="10"/>
        <rFont val="Noto Sans CJK SC"/>
        <family val="2"/>
      </rPr>
      <t xml:space="preserve">拆解｜</t>
    </r>
    <r>
      <rPr>
        <sz val="10"/>
        <rFont val="Arial"/>
        <family val="0"/>
        <charset val="1"/>
      </rPr>
      <t xml:space="preserve">k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（含自研晶片係數）</t>
    </r>
  </si>
  <si>
    <r>
      <rPr>
        <sz val="10"/>
        <rFont val="Noto Sans CJK SC"/>
        <family val="2"/>
      </rPr>
      <t xml:space="preserve">拆解｜營運成本來源（模型 → </t>
    </r>
    <r>
      <rPr>
        <sz val="10"/>
        <rFont val="Arial"/>
        <family val="0"/>
        <charset val="1"/>
      </rPr>
      <t xml:space="preserve">Tokenomics IF_OpexGW</t>
    </r>
    <r>
      <rPr>
        <sz val="10"/>
        <rFont val="Noto Sans CJK SC"/>
        <family val="2"/>
      </rPr>
      <t xml:space="preserve">）</t>
    </r>
  </si>
  <si>
    <t xml:space="preserve">拆解｜汰換（自投入資本與折舊移除累計汰換）</t>
  </si>
  <si>
    <r>
      <rPr>
        <sz val="10"/>
        <rFont val="Noto Sans CJK SC"/>
        <family val="2"/>
      </rPr>
      <t xml:space="preserve">拆解｜爬坡／閒置（投入資本與折舊改為自有在役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穩態，淨額比 </t>
    </r>
    <r>
      <rPr>
        <sz val="10"/>
        <rFont val="Arial"/>
        <family val="0"/>
        <charset val="1"/>
      </rPr>
      <t xml:space="preserve">½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</si>
  <si>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拆解｜機房與租用（全部自有、自建 </t>
    </r>
    <r>
      <rPr>
        <sz val="10"/>
        <rFont val="Arial"/>
        <family val="0"/>
        <charset val="1"/>
      </rPr>
      <t xml:space="preserve">100%</t>
    </r>
    <r>
      <rPr>
        <sz val="10"/>
        <rFont val="Noto Sans CJK SC"/>
        <family val="2"/>
      </rPr>
      <t xml:space="preserve">、無租金）</t>
    </r>
  </si>
  <si>
    <r>
      <rPr>
        <sz val="10"/>
        <rFont val="Noto Sans CJK SC"/>
        <family val="2"/>
      </rPr>
      <t xml:space="preserve">拆解｜會計口徑殘差（平均淨帳面 </t>
    </r>
    <r>
      <rPr>
        <sz val="10"/>
        <rFont val="Arial"/>
        <family val="0"/>
        <charset val="1"/>
      </rPr>
      <t xml:space="preserve">vs 10% </t>
    </r>
    <r>
      <rPr>
        <sz val="10"/>
        <rFont val="Noto Sans CJK SC"/>
        <family val="2"/>
      </rPr>
      <t xml:space="preserve">年金）</t>
    </r>
  </si>
  <si>
    <r>
      <rPr>
        <b val="true"/>
        <sz val="10"/>
        <rFont val="Noto Sans CJK SC"/>
        <family val="2"/>
      </rPr>
      <t xml:space="preserve">總差距（</t>
    </r>
    <r>
      <rPr>
        <b val="true"/>
        <sz val="10"/>
        <rFont val="Arial"/>
        <family val="0"/>
        <charset val="1"/>
      </rPr>
      <t xml:space="preserve">IF_HoldEcon </t>
    </r>
    <r>
      <rPr>
        <b val="true"/>
        <sz val="10"/>
        <rFont val="Noto Sans CJK SC"/>
        <family val="2"/>
      </rPr>
      <t xml:space="preserve">隱含報酬 − 模型稅後）</t>
    </r>
  </si>
  <si>
    <t xml:space="preserve">＝上方各拆解項加總</t>
  </si>
  <si>
    <t xml:space="preserve">連動檢查 — 恆等式與口徑</t>
  </si>
  <si>
    <t xml:space="preserve">檢查項目</t>
  </si>
  <si>
    <t xml:space="preserve">實際值</t>
  </si>
  <si>
    <t xml:space="preserve">標準</t>
  </si>
  <si>
    <t xml:space="preserve">結果</t>
  </si>
  <si>
    <r>
      <rPr>
        <sz val="9"/>
        <color rgb="FF595959"/>
        <rFont val="Noto Sans CJK SC"/>
        <family val="2"/>
      </rPr>
      <t xml:space="preserve">季報桶線性分攤後應為 </t>
    </r>
    <r>
      <rPr>
        <sz val="9"/>
        <color rgb="FF595959"/>
        <rFont val="Arial"/>
        <family val="0"/>
        <charset val="1"/>
      </rPr>
      <t xml:space="preserve">72.5%</t>
    </r>
  </si>
  <si>
    <t xml:space="preserve">現金橋差異</t>
  </si>
  <si>
    <t xml:space="preserve">期初＋營運缺口＋股權＋額度−還本 ＝ 期末</t>
  </si>
  <si>
    <r>
      <rPr>
        <sz val="10"/>
        <rFont val="Arial"/>
        <family val="0"/>
        <charset val="1"/>
      </rPr>
      <t xml:space="preserve">Billable ≤ Accepted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2030</t>
    </r>
    <r>
      <rPr>
        <sz val="10"/>
        <rFont val="Noto Sans CJK SC"/>
        <family val="2"/>
      </rPr>
      <t xml:space="preserve">）</t>
    </r>
  </si>
  <si>
    <t xml:space="preserve">≥0</t>
  </si>
  <si>
    <r>
      <rPr>
        <sz val="9"/>
        <color rgb="FF595959"/>
        <rFont val="Noto Sans CJK SC"/>
        <family val="2"/>
      </rPr>
      <t xml:space="preserve">引擎已以 </t>
    </r>
    <r>
      <rPr>
        <sz val="9"/>
        <color rgb="FF595959"/>
        <rFont val="Arial"/>
        <family val="0"/>
        <charset val="1"/>
      </rPr>
      <t xml:space="preserve">MIN </t>
    </r>
    <r>
      <rPr>
        <sz val="9"/>
        <color rgb="FF595959"/>
        <rFont val="Noto Sans CJK SC"/>
        <family val="2"/>
      </rPr>
      <t xml:space="preserve">截斷；此列驗證截斷有效</t>
    </r>
  </si>
  <si>
    <r>
      <rPr>
        <sz val="10"/>
        <rFont val="Arial"/>
        <family val="0"/>
        <charset val="1"/>
      </rPr>
      <t xml:space="preserve">2026 CapEx </t>
    </r>
    <r>
      <rPr>
        <sz val="10"/>
        <rFont val="Noto Sans CJK SC"/>
        <family val="2"/>
      </rPr>
      <t xml:space="preserve">認列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</t>
    </r>
  </si>
  <si>
    <t xml:space="preserve">195–205</t>
  </si>
  <si>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實際認列 </t>
    </r>
    <r>
      <rPr>
        <sz val="9"/>
        <color rgb="FF595959"/>
        <rFont val="Arial"/>
        <family val="0"/>
        <charset val="1"/>
      </rPr>
      <t xml:space="preserve">80.598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Noto Sans CJK SC"/>
        <family val="2"/>
      </rPr>
      <t xml:space="preserve">模型；全年指引 </t>
    </r>
    <r>
      <rPr>
        <sz val="9"/>
        <color rgb="FF595959"/>
        <rFont val="Arial"/>
        <family val="0"/>
        <charset val="1"/>
      </rPr>
      <t xml:space="preserve">195–205</t>
    </r>
    <r>
      <rPr>
        <sz val="9"/>
        <color rgb="FF595959"/>
        <rFont val="Noto Sans CJK SC"/>
        <family val="2"/>
      </rPr>
      <t xml:space="preserve">（法說會轉述）</t>
    </r>
  </si>
  <si>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營收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</t>
    </r>
  </si>
  <si>
    <t xml:space="preserve">未給全年營收指引</t>
  </si>
  <si>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229.692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Noto Sans CJK SC"/>
        <family val="2"/>
      </rPr>
      <t xml:space="preserve">模型（算力＋非算力服務）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</si>
  <si>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參考付費營收（五期最高）</t>
    </r>
  </si>
  <si>
    <t xml:space="preserve">≤50%</t>
  </si>
  <si>
    <r>
      <rPr>
        <sz val="10"/>
        <rFont val="Noto Sans CJK SC"/>
        <family val="2"/>
      </rPr>
      <t xml:space="preserve">世代在役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合計 − </t>
    </r>
    <r>
      <rPr>
        <sz val="10"/>
        <rFont val="Arial"/>
        <family val="0"/>
        <charset val="1"/>
      </rPr>
      <t xml:space="preserve">Accepted MW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2030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</si>
  <si>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新增占比合計須為 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Noto Sans CJK SC"/>
        <family val="2"/>
      </rPr>
      <t xml:space="preserve">、期初占比合計須為 </t>
    </r>
    <r>
      <rPr>
        <sz val="9"/>
        <color rgb="FF595959"/>
        <rFont val="Arial"/>
        <family val="0"/>
        <charset val="1"/>
      </rPr>
      <t xml:space="preserve">100%</t>
    </r>
  </si>
  <si>
    <r>
      <rPr>
        <sz val="10"/>
        <rFont val="Arial"/>
        <family val="0"/>
        <charset val="1"/>
      </rPr>
      <t xml:space="preserve">Google Cloud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（含 </t>
    </r>
    <r>
      <rPr>
        <sz val="10"/>
        <rFont val="Arial"/>
        <family val="0"/>
        <charset val="1"/>
      </rPr>
      <t xml:space="preserve">Workspace</t>
    </r>
    <r>
      <rPr>
        <sz val="10"/>
        <rFont val="Noto Sans CJK SC"/>
        <family val="2"/>
      </rPr>
      <t xml:space="preserve">）（殘差）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模型期營收</t>
    </r>
  </si>
  <si>
    <r>
      <rPr>
        <sz val="9"/>
        <color rgb="FF595959"/>
        <rFont val="Noto Sans CJK SC"/>
        <family val="2"/>
      </rPr>
      <t xml:space="preserve">＞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且 </t>
    </r>
    <r>
      <rPr>
        <sz val="9"/>
        <color rgb="FF595959"/>
        <rFont val="Arial"/>
        <family val="0"/>
        <charset val="1"/>
      </rPr>
      <t xml:space="preserve">0 ≤ </t>
    </r>
    <r>
      <rPr>
        <sz val="9"/>
        <color rgb="FF595959"/>
        <rFont val="Noto Sans CJK SC"/>
        <family val="2"/>
      </rPr>
      <t xml:space="preserve">年增率 ≤ 雲端分部年增率</t>
    </r>
  </si>
  <si>
    <r>
      <rPr>
        <sz val="9"/>
        <color rgb="FF595959"/>
        <rFont val="Noto Sans CJK SC"/>
        <family val="2"/>
      </rPr>
      <t xml:space="preserve">殘差為負或推估年增率不合理時示警；不回頭改 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或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（敏感度見報告）</t>
    </r>
  </si>
  <si>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對帳：指引隱含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建置 </t>
    </r>
    <r>
      <rPr>
        <sz val="10"/>
        <rFont val="Arial"/>
        <family val="0"/>
        <charset val="1"/>
      </rPr>
      <t xml:space="preserve">MW</t>
    </r>
  </si>
  <si>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路徑 </t>
    </r>
    <r>
      <rPr>
        <sz val="9"/>
        <color rgb="FF595959"/>
        <rFont val="Arial"/>
        <family val="0"/>
        <charset val="1"/>
      </rPr>
      <t xml:space="preserve">±20%</t>
    </r>
  </si>
  <si>
    <r>
      <rPr>
        <sz val="10"/>
        <rFont val="Arial"/>
        <family val="0"/>
        <charset val="1"/>
      </rPr>
      <t xml:space="preserve">2029 </t>
    </r>
    <r>
      <rPr>
        <sz val="10"/>
        <rFont val="Noto Sans CJK SC"/>
        <family val="2"/>
      </rPr>
      <t xml:space="preserve">一致性：對外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稅前 </t>
    </r>
    <r>
      <rPr>
        <sz val="10"/>
        <rFont val="Arial"/>
        <family val="0"/>
        <charset val="1"/>
      </rPr>
      <t xml:space="preserve">ROIC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k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Tokenomics </t>
    </r>
    <r>
      <rPr>
        <sz val="10"/>
        <rFont val="Noto Sans CJK SC"/>
        <family val="2"/>
      </rPr>
      <t xml:space="preserve">成本、穩態、無稅）</t>
    </r>
  </si>
  <si>
    <r>
      <rPr>
        <sz val="9"/>
        <color rgb="FF595959"/>
        <rFont val="Arial"/>
        <family val="0"/>
        <charset val="1"/>
      </rPr>
      <t xml:space="preserve">IF_HoldEcon </t>
    </r>
    <r>
      <rPr>
        <sz val="9"/>
        <color rgb="FF595959"/>
        <rFont val="Noto Sans CJK SC"/>
        <family val="2"/>
      </rPr>
      <t xml:space="preserve">隱含 </t>
    </r>
    <r>
      <rPr>
        <sz val="9"/>
        <color rgb="FF595959"/>
        <rFont val="Arial"/>
        <family val="0"/>
        <charset val="1"/>
      </rPr>
      <t xml:space="preserve">10% ±5pt</t>
    </r>
  </si>
  <si>
    <r>
      <rPr>
        <sz val="10"/>
        <rFont val="Arial"/>
        <family val="0"/>
        <charset val="1"/>
      </rPr>
      <t xml:space="preserve">D&amp;A </t>
    </r>
    <r>
      <rPr>
        <sz val="10"/>
        <rFont val="Noto Sans CJK SC"/>
        <family val="2"/>
      </rPr>
      <t xml:space="preserve">對帳殘差（分部 </t>
    </r>
    <r>
      <rPr>
        <sz val="10"/>
        <rFont val="Arial"/>
        <family val="0"/>
        <charset val="1"/>
      </rPr>
      <t xml:space="preserve">D&amp;A </t>
    </r>
    <r>
      <rPr>
        <sz val="10"/>
        <rFont val="Noto Sans CJK SC"/>
        <family val="2"/>
      </rPr>
      <t xml:space="preserve">年化 − 模型期初 </t>
    </r>
    <r>
      <rPr>
        <sz val="10"/>
        <rFont val="Arial"/>
        <family val="0"/>
        <charset val="1"/>
      </rPr>
      <t xml:space="preserve">D&amp;A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</si>
  <si>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±10% × </t>
    </r>
    <r>
      <rPr>
        <sz val="9"/>
        <color rgb="FF595959"/>
        <rFont val="Noto Sans CJK SC"/>
        <family val="2"/>
      </rPr>
      <t xml:space="preserve">分部 </t>
    </r>
    <r>
      <rPr>
        <sz val="9"/>
        <color rgb="FF595959"/>
        <rFont val="Arial"/>
        <family val="0"/>
        <charset val="1"/>
      </rPr>
      <t xml:space="preserve">D&amp;A </t>
    </r>
    <r>
      <rPr>
        <sz val="9"/>
        <color rgb="FF595959"/>
        <rFont val="Noto Sans CJK SC"/>
        <family val="2"/>
      </rPr>
      <t xml:space="preserve">年化</t>
    </r>
  </si>
  <si>
    <r>
      <rPr>
        <sz val="10"/>
        <rFont val="Arial"/>
        <family val="0"/>
        <charset val="1"/>
      </rPr>
      <t xml:space="preserve">CapEx </t>
    </r>
    <r>
      <rPr>
        <sz val="10"/>
        <rFont val="Noto Sans CJK SC"/>
        <family val="2"/>
      </rPr>
      <t xml:space="preserve">強度（模型期合計）</t>
    </r>
  </si>
  <si>
    <t xml:space="preserve">$28–51m/MW</t>
  </si>
  <si>
    <r>
      <rPr>
        <sz val="9"/>
        <color rgb="FF595959"/>
        <rFont val="Arial"/>
        <family val="0"/>
        <charset val="1"/>
      </rPr>
      <t xml:space="preserve">Tokenomics IF_CapexTotal </t>
    </r>
    <r>
      <rPr>
        <sz val="9"/>
        <color rgb="FF595959"/>
        <rFont val="Noto Sans CJK SC"/>
        <family val="2"/>
      </rPr>
      <t xml:space="preserve">低／高成本情境（</t>
    </r>
    <r>
      <rPr>
        <sz val="9"/>
        <color rgb="FF595959"/>
        <rFont val="Arial"/>
        <family val="0"/>
        <charset val="1"/>
      </rPr>
      <t xml:space="preserve">GB300 38.8–67.1 US$m/MW-IT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</si>
  <si>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表外租金路徑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已承諾</t>
    </r>
  </si>
  <si>
    <t xml:space="preserve">≥0.8x</t>
  </si>
  <si>
    <t xml:space="preserve">表外租金路徑對已簽約未起租租賃</t>
  </si>
  <si>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利息（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實際＋</t>
    </r>
    <r>
      <rPr>
        <sz val="10"/>
        <rFont val="Arial"/>
        <family val="0"/>
        <charset val="1"/>
      </rPr>
      <t xml:space="preserve">2H</t>
    </r>
    <r>
      <rPr>
        <sz val="10"/>
        <rFont val="Noto Sans CJK SC"/>
        <family val="2"/>
      </rPr>
      <t xml:space="preserve">）</t>
    </r>
  </si>
  <si>
    <t xml:space="preserve">≥1.8</t>
  </si>
  <si>
    <r>
      <rPr>
        <sz val="10"/>
        <rFont val="Arial"/>
        <family val="0"/>
        <charset val="1"/>
      </rPr>
      <t xml:space="preserve">2028 </t>
    </r>
    <r>
      <rPr>
        <sz val="10"/>
        <rFont val="Noto Sans CJK SC"/>
        <family val="2"/>
      </rPr>
      <t xml:space="preserve">起收入是否依賴未簽約</t>
    </r>
  </si>
  <si>
    <r>
      <rPr>
        <sz val="9"/>
        <color rgb="FF595959"/>
        <rFont val="Arial"/>
        <family val="0"/>
        <charset val="1"/>
      </rPr>
      <t xml:space="preserve">&lt;50% </t>
    </r>
    <r>
      <rPr>
        <sz val="9"/>
        <color rgb="FF595959"/>
        <rFont val="Noto Sans CJK SC"/>
        <family val="2"/>
      </rPr>
      <t xml:space="preserve">較穩健</t>
    </r>
  </si>
  <si>
    <r>
      <rPr>
        <sz val="9"/>
        <color rgb="FF595959"/>
        <rFont val="Arial"/>
        <family val="0"/>
        <charset val="1"/>
      </rPr>
      <t xml:space="preserve">2028–2030 </t>
    </r>
    <r>
      <rPr>
        <sz val="9"/>
        <color rgb="FF595959"/>
        <rFont val="Noto Sans CJK SC"/>
        <family val="2"/>
      </rPr>
      <t xml:space="preserve">超出期初 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Noto Sans CJK SC"/>
        <family val="2"/>
      </rPr>
      <t xml:space="preserve">的收入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同期總算力收入（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驅動下為未簽約產能的比重）</t>
    </r>
  </si>
  <si>
    <t xml:space="preserve">損益營收＝資金營收</t>
  </si>
  <si>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損益算力收入 − 產能頁 </t>
    </r>
    <r>
      <rPr>
        <sz val="9"/>
        <color rgb="FF595959"/>
        <rFont val="Arial"/>
        <family val="0"/>
        <charset val="1"/>
      </rPr>
      <t xml:space="preserve">isRev</t>
    </r>
    <r>
      <rPr>
        <sz val="9"/>
        <color rgb="FF595959"/>
        <rFont val="Noto Sans CJK SC"/>
        <family val="2"/>
      </rPr>
      <t xml:space="preserve">。兩邊必須同一組數字</t>
    </r>
  </si>
  <si>
    <t xml:space="preserve">過高表示結論由終值假設決定</t>
  </si>
  <si>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單一來源（</t>
    </r>
    <r>
      <rPr>
        <sz val="10"/>
        <rFont val="Arial"/>
        <family val="0"/>
        <charset val="1"/>
      </rPr>
      <t xml:space="preserve">2027 </t>
    </r>
    <r>
      <rPr>
        <sz val="10"/>
        <rFont val="Noto Sans CJK SC"/>
        <family val="2"/>
      </rPr>
      <t xml:space="preserve">算力＋服務 </t>
    </r>
    <r>
      <rPr>
        <sz val="10"/>
        <rFont val="Arial"/>
        <family val="0"/>
        <charset val="1"/>
      </rPr>
      <t xml:space="preserve">EBITDA÷</t>
    </r>
    <r>
      <rPr>
        <sz val="10"/>
        <rFont val="Noto Sans CJK SC"/>
        <family val="2"/>
      </rPr>
      <t xml:space="preserve">營收 − 輸入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率）</t>
    </r>
  </si>
  <si>
    <r>
      <rPr>
        <sz val="9"/>
        <color rgb="FF595959"/>
        <rFont val="Noto Sans CJK SC"/>
        <family val="2"/>
      </rPr>
      <t xml:space="preserve">損益與資金引用同一列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率</t>
    </r>
  </si>
  <si>
    <r>
      <rPr>
        <sz val="10"/>
        <rFont val="Noto Sans CJK SC"/>
        <family val="2"/>
      </rPr>
      <t xml:space="preserve">現金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＋ 信用調整 − 損益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2027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</si>
  <si>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現金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Noto Sans CJK SC"/>
        <family val="2"/>
      </rPr>
      <t xml:space="preserve">現金＋新簽約現金＋服務現金−租金；信用調整＝信用損失</t>
    </r>
    <r>
      <rPr>
        <sz val="9"/>
        <color rgb="FF595959"/>
        <rFont val="Arial"/>
        <family val="0"/>
        <charset val="1"/>
      </rPr>
      <t xml:space="preserve">×EBITDAR </t>
    </r>
    <r>
      <rPr>
        <sz val="9"/>
        <color rgb="FF595959"/>
        <rFont val="Noto Sans CJK SC"/>
        <family val="2"/>
      </rPr>
      <t xml:space="preserve">率</t>
    </r>
  </si>
  <si>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有效性（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＝失效）</t>
    </r>
  </si>
  <si>
    <t xml:space="preserve">0</t>
  </si>
  <si>
    <r>
      <rPr>
        <sz val="9"/>
        <color rgb="FF595959"/>
        <rFont val="Noto Sans CJK SC"/>
        <family val="2"/>
      </rPr>
      <t xml:space="preserve">失效只定義為 </t>
    </r>
    <r>
      <rPr>
        <sz val="9"/>
        <color rgb="FF595959"/>
        <rFont val="Arial"/>
        <family val="0"/>
        <charset val="1"/>
      </rPr>
      <t xml:space="preserve">WACC ≤ g </t>
    </r>
    <r>
      <rPr>
        <sz val="9"/>
        <color rgb="FF595959"/>
        <rFont val="Noto Sans CJK SC"/>
        <family val="2"/>
      </rPr>
      <t xml:space="preserve">或常態化 </t>
    </r>
    <r>
      <rPr>
        <sz val="9"/>
        <color rgb="FF595959"/>
        <rFont val="Arial"/>
        <family val="0"/>
        <charset val="1"/>
      </rPr>
      <t xml:space="preserve">FCF ≤ 0</t>
    </r>
    <r>
      <rPr>
        <sz val="9"/>
        <color rgb="FF595959"/>
        <rFont val="Noto Sans CJK SC"/>
        <family val="2"/>
      </rPr>
      <t xml:space="preserve">；股權為負不算失效</t>
    </r>
  </si>
  <si>
    <t xml:space="preserve">期末現金 ≥ 最低現金（期前融資）</t>
  </si>
  <si>
    <t xml:space="preserve">≥50.0</t>
  </si>
  <si>
    <t xml:space="preserve">瀑布每期補足至最低現金；最小值應等於最低現金</t>
  </si>
  <si>
    <r>
      <rPr>
        <sz val="10"/>
        <rFont val="Noto Sans CJK SC"/>
        <family val="2"/>
      </rPr>
      <t xml:space="preserve">股權募資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現市值</t>
    </r>
  </si>
  <si>
    <r>
      <rPr>
        <sz val="10"/>
        <rFont val="Noto Sans CJK SC"/>
        <family val="2"/>
      </rPr>
      <t xml:space="preserve">債務明細合計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季報本金 </t>
    </r>
    <r>
      <rPr>
        <sz val="10"/>
        <rFont val="Arial"/>
        <family val="0"/>
        <charset val="1"/>
      </rPr>
      <t xml:space="preserve">101.085 − </t>
    </r>
    <r>
      <rPr>
        <sz val="10"/>
        <rFont val="Noto Sans CJK SC"/>
        <family val="2"/>
      </rPr>
      <t xml:space="preserve">以股換債 ＋ 期後新發</t>
    </r>
  </si>
  <si>
    <t xml:space="preserve">101.085</t>
  </si>
  <si>
    <r>
      <rPr>
        <sz val="9"/>
        <color rgb="FF595959"/>
        <rFont val="Noto Sans CJK SC"/>
        <family val="2"/>
      </rPr>
      <t xml:space="preserve">其他借款 </t>
    </r>
    <r>
      <rPr>
        <sz val="9"/>
        <color rgb="FF595959"/>
        <rFont val="Arial"/>
        <family val="0"/>
        <charset val="1"/>
      </rPr>
      <t xml:space="preserve">11 </t>
    </r>
    <r>
      <rPr>
        <sz val="9"/>
        <color rgb="FF595959"/>
        <rFont val="Noto Sans CJK SC"/>
        <family val="2"/>
      </rPr>
      <t xml:space="preserve">筆＋可轉債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檔到期本金（</t>
    </r>
    <r>
      <rPr>
        <sz val="9"/>
        <color rgb="FF595959"/>
        <rFont val="Arial"/>
        <family val="0"/>
        <charset val="1"/>
      </rPr>
      <t xml:space="preserve">company.json → debt.convertibleBridge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</si>
  <si>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全年 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公式）</t>
    </r>
  </si>
  <si>
    <r>
      <rPr>
        <sz val="9"/>
        <color rgb="FF595959"/>
        <rFont val="Noto Sans CJK SC"/>
        <family val="2"/>
      </rPr>
      <t xml:space="preserve">由已連網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增量與預建次年推得；指引只作對照</t>
    </r>
  </si>
  <si>
    <r>
      <rPr>
        <sz val="10"/>
        <rFont val="Arial"/>
        <family val="0"/>
        <charset val="1"/>
      </rPr>
      <t xml:space="preserve">JV </t>
    </r>
    <r>
      <rPr>
        <sz val="10"/>
        <rFont val="Noto Sans CJK SC"/>
        <family val="2"/>
      </rPr>
      <t xml:space="preserve">已承諾餘額於 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年內履行</t>
    </r>
  </si>
  <si>
    <r>
      <rPr>
        <sz val="10"/>
        <rFont val="Noto Sans CJK SC"/>
        <family val="2"/>
      </rPr>
      <t xml:space="preserve">模型每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年租金（</t>
    </r>
    <r>
      <rPr>
        <sz val="10"/>
        <rFont val="Arial"/>
        <family val="0"/>
        <charset val="1"/>
      </rPr>
      <t xml:space="preserve">2030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</si>
  <si>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≥ 市場基準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占比</t>
    </r>
  </si>
  <si>
    <r>
      <rPr>
        <sz val="9"/>
        <color rgb="FF595959"/>
        <rFont val="Noto Sans CJK SC"/>
        <family val="2"/>
      </rPr>
      <t xml:space="preserve">低於基準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占比的八成即標示：模型租金路徑可能低估</t>
    </r>
  </si>
  <si>
    <t xml:space="preserve">站點租賃：五期租金可能低估</t>
  </si>
  <si>
    <t xml:space="preserve">&lt;10</t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</si>
  <si>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Σ(</t>
    </r>
    <r>
      <rPr>
        <sz val="9"/>
        <color rgb="FF595959"/>
        <rFont val="Noto Sans CJK SC"/>
        <family val="2"/>
      </rPr>
      <t xml:space="preserve">在役 </t>
    </r>
    <r>
      <rPr>
        <sz val="9"/>
        <color rgb="FF595959"/>
        <rFont val="Arial"/>
        <family val="0"/>
        <charset val="1"/>
      </rPr>
      <t xml:space="preserve">MW×</t>
    </r>
    <r>
      <rPr>
        <sz val="9"/>
        <color rgb="FF595959"/>
        <rFont val="Noto Sans CJK SC"/>
        <family val="2"/>
      </rPr>
      <t xml:space="preserve">市場基準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第三方占比 − 模型租金</t>
    </r>
    <r>
      <rPr>
        <sz val="9"/>
        <color rgb="FF595959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</si>
  <si>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對照：</t>
    </r>
    <r>
      <rPr>
        <sz val="10"/>
        <rFont val="Arial"/>
        <family val="0"/>
        <charset val="1"/>
      </rPr>
      <t xml:space="preserve">RPO 36 </t>
    </r>
    <r>
      <rPr>
        <sz val="10"/>
        <rFont val="Noto Sans CJK SC"/>
        <family val="2"/>
      </rPr>
      <t xml:space="preserve">個月內轉換 − 模型 </t>
    </r>
    <r>
      <rPr>
        <sz val="10"/>
        <rFont val="Arial"/>
        <family val="0"/>
        <charset val="1"/>
      </rPr>
      <t xml:space="preserve">36 </t>
    </r>
    <r>
      <rPr>
        <sz val="10"/>
        <rFont val="Noto Sans CJK SC"/>
        <family val="2"/>
      </rPr>
      <t xml:space="preserve">個月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驅動營收</t>
    </r>
  </si>
  <si>
    <t xml:space="preserve">只作對照</t>
  </si>
  <si>
    <r>
      <rPr>
        <sz val="9"/>
        <color rgb="FF595959"/>
        <rFont val="Arial"/>
        <family val="0"/>
        <charset val="1"/>
      </rPr>
      <t xml:space="preserve">RPO 519.5 × 59%</t>
    </r>
    <r>
      <rPr>
        <sz val="9"/>
        <color rgb="FF595959"/>
        <rFont val="Noto Sans CJK SC"/>
        <family val="2"/>
      </rPr>
      <t xml:space="preserve">（含非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事業）− 模型同期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驅動營收；正值＝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Noto Sans CJK SC"/>
        <family val="2"/>
      </rPr>
      <t xml:space="preserve">排程高於模型產能營收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</si>
  <si>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事業：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年初至今實際＋模型期 − 全年（四線合計）</t>
    </r>
  </si>
  <si>
    <r>
      <rPr>
        <sz val="9"/>
        <color rgb="FF595959"/>
        <rFont val="Noto Sans CJK SC"/>
        <family val="2"/>
      </rPr>
      <t xml:space="preserve">首期年初至今實際與模型期相加須等於首期全年（工作單 </t>
    </r>
    <r>
      <rPr>
        <sz val="9"/>
        <color rgb="FF595959"/>
        <rFont val="Arial"/>
        <family val="0"/>
        <charset val="1"/>
      </rPr>
      <t xml:space="preserve">v0.1b </t>
    </r>
    <r>
      <rPr>
        <sz val="9"/>
        <color rgb="FF595959"/>
        <rFont val="Noto Sans CJK SC"/>
        <family val="2"/>
      </rPr>
      <t xml:space="preserve">步驟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</si>
  <si>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營收＝在役 </t>
    </r>
    <r>
      <rPr>
        <sz val="10"/>
        <rFont val="Arial"/>
        <family val="0"/>
        <charset val="1"/>
      </rPr>
      <t xml:space="preserve">MW ×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× </t>
    </r>
    <r>
      <rPr>
        <sz val="10"/>
        <rFont val="Noto Sans CJK SC"/>
        <family val="2"/>
      </rPr>
      <t xml:space="preserve">利用率（五期差額）</t>
    </r>
  </si>
  <si>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驅動：營收＝平均在役 </t>
    </r>
    <r>
      <rPr>
        <sz val="9"/>
        <color rgb="FF595959"/>
        <rFont val="Arial"/>
        <family val="0"/>
        <charset val="1"/>
      </rPr>
      <t xml:space="preserve">MW ×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年收入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利用率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期間長度</t>
    </r>
  </si>
  <si>
    <r>
      <rPr>
        <b val="true"/>
        <sz val="10"/>
        <rFont val="Noto Sans CJK SC"/>
        <family val="2"/>
      </rPr>
      <t xml:space="preserve">關聯方並排（</t>
    </r>
    <r>
      <rPr>
        <b val="true"/>
        <sz val="10"/>
        <rFont val="Arial"/>
        <family val="0"/>
        <charset val="1"/>
      </rPr>
      <t xml:space="preserve">US$bn</t>
    </r>
    <r>
      <rPr>
        <b val="true"/>
        <sz val="10"/>
        <rFont val="Noto Sans CJK SC"/>
        <family val="2"/>
      </rPr>
      <t xml:space="preserve">／年；只讀，不回饋計算）：合約年化與兩家模型快照；對手方集中度＝合約年化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對外 </t>
    </r>
    <r>
      <rPr>
        <b val="true"/>
        <sz val="10"/>
        <rFont val="Arial"/>
        <family val="0"/>
        <charset val="1"/>
      </rPr>
      <t xml:space="preserve">AI </t>
    </r>
    <r>
      <rPr>
        <b val="true"/>
        <sz val="10"/>
        <rFont val="Noto Sans CJK SC"/>
        <family val="2"/>
      </rPr>
      <t xml:space="preserve">雲端收入（年化）</t>
    </r>
  </si>
  <si>
    <r>
      <rPr>
        <sz val="10"/>
        <rFont val="Noto Sans CJK SC"/>
        <family val="2"/>
      </rPr>
      <t xml:space="preserve">關聯方｜合約｜</t>
    </r>
    <r>
      <rPr>
        <sz val="10"/>
        <rFont val="Arial"/>
        <family val="0"/>
        <charset val="1"/>
      </rPr>
      <t xml:space="preserve">Anthropic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Google Cloud</t>
    </r>
    <r>
      <rPr>
        <sz val="10"/>
        <rFont val="Noto Sans CJK SC"/>
        <family val="2"/>
      </rPr>
      <t xml:space="preserve">，≥</t>
    </r>
    <r>
      <rPr>
        <sz val="10"/>
        <rFont val="Arial"/>
        <family val="0"/>
        <charset val="1"/>
      </rPr>
      <t xml:space="preserve">$111.1B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2026-04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2033-07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</si>
  <si>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招股書草稿（</t>
    </r>
    <r>
      <rPr>
        <sz val="9"/>
        <color rgb="FF595959"/>
        <rFont val="Arial"/>
        <family val="0"/>
        <charset val="1"/>
      </rPr>
      <t xml:space="preserve">Reuters </t>
    </r>
    <r>
      <rPr>
        <sz val="9"/>
        <color rgb="FF595959"/>
        <rFont val="Noto Sans CJK SC"/>
        <family val="2"/>
      </rPr>
      <t xml:space="preserve">轉述，二手；事實總帳 </t>
    </r>
    <r>
      <rPr>
        <sz val="9"/>
        <color rgb="FF595959"/>
        <rFont val="Arial"/>
        <family val="0"/>
        <charset val="1"/>
      </rPr>
      <t xml:space="preserve">rp.anthropic.cloudCommit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  <r>
      <rPr>
        <sz val="9"/>
        <color rgb="FF595959"/>
        <rFont val="Noto Sans CJK SC"/>
        <family val="2"/>
      </rPr>
      <t xml:space="preserve">；年化＝總額 </t>
    </r>
    <r>
      <rPr>
        <sz val="9"/>
        <color rgb="FF595959"/>
        <rFont val="Arial"/>
        <family val="0"/>
        <charset val="1"/>
      </rPr>
      <t xml:space="preserve">÷ 7.33 </t>
    </r>
    <r>
      <rPr>
        <sz val="9"/>
        <color rgb="FF595959"/>
        <rFont val="Noto Sans CJK SC"/>
        <family val="2"/>
      </rPr>
      <t xml:space="preserve">年 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Noto Sans CJK SC"/>
        <family val="2"/>
      </rPr>
      <t xml:space="preserve">；另 </t>
    </r>
    <r>
      <rPr>
        <sz val="9"/>
        <color rgb="FF595959"/>
        <rFont val="Arial"/>
        <family val="0"/>
        <charset val="1"/>
      </rPr>
      <t xml:space="preserve">Google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Broadcom 5 GW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The Information 200B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年）歸屬不明，不列</t>
    </r>
  </si>
  <si>
    <t xml:space="preserve">關聯方｜合約年化合計</t>
  </si>
  <si>
    <r>
      <rPr>
        <sz val="10"/>
        <rFont val="Noto Sans CJK SC"/>
        <family val="2"/>
      </rPr>
      <t xml:space="preserve">關聯方｜對外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雲端收入（年化）</t>
    </r>
  </si>
  <si>
    <r>
      <rPr>
        <b val="true"/>
        <sz val="10"/>
        <rFont val="Noto Sans CJK SC"/>
        <family val="2"/>
      </rPr>
      <t xml:space="preserve">關聯方｜對手方集中度（合約年化 </t>
    </r>
    <r>
      <rPr>
        <b val="true"/>
        <sz val="10"/>
        <rFont val="Arial"/>
        <family val="0"/>
        <charset val="1"/>
      </rPr>
      <t xml:space="preserve">÷ AI </t>
    </r>
    <r>
      <rPr>
        <b val="true"/>
        <sz val="10"/>
        <rFont val="Noto Sans CJK SC"/>
        <family val="2"/>
      </rPr>
      <t xml:space="preserve">雲端收入）</t>
    </r>
  </si>
  <si>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雲端承諾 ≥</t>
    </r>
    <r>
      <rPr>
        <sz val="9"/>
        <color rgb="FF595959"/>
        <rFont val="Arial"/>
        <family val="0"/>
        <charset val="1"/>
      </rPr>
      <t xml:space="preserve">111.1B ÷ RPO 519.5B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21.4%</t>
    </r>
    <r>
      <rPr>
        <sz val="9"/>
        <color rgb="FF595959"/>
        <rFont val="Noto Sans CJK SC"/>
        <family val="2"/>
      </rPr>
      <t xml:space="preserve">（下限；一手比例不存在；事實總帳 </t>
    </r>
    <r>
      <rPr>
        <sz val="9"/>
        <color rgb="FF595959"/>
        <rFont val="Arial"/>
        <family val="0"/>
        <charset val="1"/>
      </rPr>
      <t xml:space="preserve">rp.anthropic.rpoShare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Cloud </t>
    </r>
    <r>
      <rPr>
        <sz val="9"/>
        <color rgb="FF595959"/>
        <rFont val="Noto Sans CJK SC"/>
        <family val="2"/>
      </rPr>
      <t xml:space="preserve">積壓 </t>
    </r>
    <r>
      <rPr>
        <sz val="9"/>
        <color rgb="FF595959"/>
        <rFont val="Arial"/>
        <family val="0"/>
        <charset val="1"/>
      </rPr>
      <t xml:space="preserve">513.9 </t>
    </r>
    <r>
      <rPr>
        <sz val="9"/>
        <color rgb="FF595959"/>
        <rFont val="Noto Sans CJK SC"/>
        <family val="2"/>
      </rPr>
      <t xml:space="preserve">計 </t>
    </r>
    <r>
      <rPr>
        <sz val="9"/>
        <color rgb="FF595959"/>
        <rFont val="Arial"/>
        <family val="0"/>
        <charset val="1"/>
      </rPr>
      <t xml:space="preserve">21.6%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</si>
  <si>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關聯方｜快照｜</t>
    </r>
    <r>
      <rPr>
        <sz val="10"/>
        <rFont val="Arial"/>
        <family val="0"/>
        <charset val="1"/>
      </rPr>
      <t xml:space="preserve">anthropic/ </t>
    </r>
    <r>
      <rPr>
        <sz val="10"/>
        <rFont val="Noto Sans CJK SC"/>
        <family val="2"/>
      </rPr>
      <t xml:space="preserve">模型：</t>
    </r>
    <r>
      <rPr>
        <sz val="10"/>
        <rFont val="Arial"/>
        <family val="0"/>
        <charset val="1"/>
      </rPr>
      <t xml:space="preserve">Anthropic </t>
    </r>
    <r>
      <rPr>
        <sz val="10"/>
        <rFont val="Noto Sans CJK SC"/>
        <family val="2"/>
      </rPr>
      <t xml:space="preserve">付 </t>
    </r>
    <r>
      <rPr>
        <sz val="10"/>
        <rFont val="Arial"/>
        <family val="0"/>
        <charset val="1"/>
      </rPr>
      <t xml:space="preserve">Google Cloud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TPU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</si>
  <si>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anthropic/ v0.1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main</t>
    </r>
    <r>
      <rPr>
        <sz val="9"/>
        <color rgb="FF595959"/>
        <rFont val="Noto Sans CJK SC"/>
        <family val="2"/>
      </rPr>
      <t xml:space="preserve">）成品快照（</t>
    </r>
    <r>
      <rPr>
        <sz val="9"/>
        <color rgb="FF595959"/>
        <rFont val="Arial"/>
        <family val="0"/>
        <charset val="1"/>
      </rPr>
      <t xml:space="preserve">Cost K32</t>
    </r>
    <r>
      <rPr>
        <sz val="9"/>
        <color rgb="FF595959"/>
        <rFont val="Noto Sans CJK SC"/>
        <family val="2"/>
      </rPr>
      <t xml:space="preserve">；只讀，不連動）</t>
    </r>
  </si>
  <si>
    <r>
      <rPr>
        <sz val="10"/>
        <rFont val="Noto Sans CJK SC"/>
        <family val="2"/>
      </rPr>
      <t xml:space="preserve">關聯方｜快照｜</t>
    </r>
    <r>
      <rPr>
        <sz val="10"/>
        <rFont val="Arial"/>
        <family val="0"/>
        <charset val="1"/>
      </rPr>
      <t xml:space="preserve">anthropic/ </t>
    </r>
    <r>
      <rPr>
        <sz val="10"/>
        <rFont val="Noto Sans CJK SC"/>
        <family val="2"/>
      </rPr>
      <t xml:space="preserve">模型：</t>
    </r>
    <r>
      <rPr>
        <sz val="10"/>
        <rFont val="Arial"/>
        <family val="0"/>
        <charset val="1"/>
      </rPr>
      <t xml:space="preserve">Anthropic </t>
    </r>
    <r>
      <rPr>
        <sz val="10"/>
        <rFont val="Noto Sans CJK SC"/>
        <family val="2"/>
      </rPr>
      <t xml:space="preserve">付 </t>
    </r>
    <r>
      <rPr>
        <sz val="10"/>
        <rFont val="Arial"/>
        <family val="0"/>
        <charset val="1"/>
      </rPr>
      <t xml:space="preserve">Google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Broadcom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TPU</t>
    </r>
    <r>
      <rPr>
        <sz val="10"/>
        <rFont val="Noto Sans CJK SC"/>
        <family val="2"/>
      </rPr>
      <t xml:space="preserve">，含 </t>
    </r>
    <r>
      <rPr>
        <sz val="10"/>
        <rFont val="Arial"/>
        <family val="0"/>
        <charset val="1"/>
      </rPr>
      <t xml:space="preserve">Broadcom </t>
    </r>
    <r>
      <rPr>
        <sz val="10"/>
        <rFont val="Noto Sans CJK SC"/>
        <family val="2"/>
      </rPr>
      <t xml:space="preserve">硬體）</t>
    </r>
  </si>
  <si>
    <r>
      <rPr>
        <sz val="9"/>
        <color rgb="FF595959"/>
        <rFont val="Arial"/>
        <family val="0"/>
        <charset val="1"/>
      </rPr>
      <t xml:space="preserve">anthropic/ v0.1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main</t>
    </r>
    <r>
      <rPr>
        <sz val="9"/>
        <color rgb="FF595959"/>
        <rFont val="Noto Sans CJK SC"/>
        <family val="2"/>
      </rPr>
      <t xml:space="preserve">）成品快照（</t>
    </r>
    <r>
      <rPr>
        <sz val="9"/>
        <color rgb="FF595959"/>
        <rFont val="Arial"/>
        <family val="0"/>
        <charset val="1"/>
      </rPr>
      <t xml:space="preserve">Cost K33</t>
    </r>
    <r>
      <rPr>
        <sz val="9"/>
        <color rgb="FF595959"/>
        <rFont val="Noto Sans CJK SC"/>
        <family val="2"/>
      </rPr>
      <t xml:space="preserve">；歸屬 </t>
    </r>
    <r>
      <rPr>
        <sz val="9"/>
        <color rgb="FF595959"/>
        <rFont val="Arial"/>
        <family val="0"/>
        <charset val="1"/>
      </rPr>
      <t xml:space="preserve">Google </t>
    </r>
    <r>
      <rPr>
        <sz val="9"/>
        <color rgb="FF595959"/>
        <rFont val="Noto Sans CJK SC"/>
        <family val="2"/>
      </rPr>
      <t xml:space="preserve">比例未知；只讀）</t>
    </r>
  </si>
  <si>
    <r>
      <rPr>
        <b val="true"/>
        <sz val="10"/>
        <rFont val="Noto Sans CJK SC"/>
        <family val="2"/>
      </rPr>
      <t xml:space="preserve">關鍵輸出（快照；「模型期」＝</t>
    </r>
    <r>
      <rPr>
        <b val="true"/>
        <sz val="10"/>
        <rFont val="Arial"/>
        <family val="0"/>
        <charset val="1"/>
      </rPr>
      <t xml:space="preserve">2026-07-01</t>
    </r>
    <r>
      <rPr>
        <b val="true"/>
        <sz val="10"/>
        <rFont val="Noto Sans CJK SC"/>
        <family val="2"/>
      </rPr>
      <t xml:space="preserve">～</t>
    </r>
    <r>
      <rPr>
        <b val="true"/>
        <sz val="10"/>
        <rFont val="Arial"/>
        <family val="0"/>
        <charset val="1"/>
      </rPr>
      <t xml:space="preserve">2030</t>
    </r>
    <r>
      <rPr>
        <b val="true"/>
        <sz val="10"/>
        <rFont val="Noto Sans CJK SC"/>
        <family val="2"/>
      </rPr>
      <t xml:space="preserve">，與 </t>
    </r>
    <r>
      <rPr>
        <b val="true"/>
        <sz val="10"/>
        <rFont val="Arial"/>
        <family val="0"/>
        <charset val="1"/>
      </rPr>
      <t xml:space="preserve">HTML </t>
    </r>
    <r>
      <rPr>
        <b val="true"/>
        <sz val="10"/>
        <rFont val="Noto Sans CJK SC"/>
        <family val="2"/>
      </rPr>
      <t xml:space="preserve">頂部 </t>
    </r>
    <r>
      <rPr>
        <b val="true"/>
        <sz val="10"/>
        <rFont val="Arial"/>
        <family val="0"/>
        <charset val="1"/>
      </rPr>
      <t xml:space="preserve">KPI </t>
    </r>
    <r>
      <rPr>
        <b val="true"/>
        <sz val="10"/>
        <rFont val="Noto Sans CJK SC"/>
        <family val="2"/>
      </rPr>
      <t xml:space="preserve">同口徑）</t>
    </r>
  </si>
  <si>
    <r>
      <rPr>
        <sz val="10"/>
        <rFont val="Noto Sans CJK SC"/>
        <family val="2"/>
      </rPr>
      <t xml:space="preserve">模型期排程 </t>
    </r>
    <r>
      <rPr>
        <sz val="10"/>
        <rFont val="Arial"/>
        <family val="0"/>
        <charset val="1"/>
      </rPr>
      <t xml:space="preserve">RPO</t>
    </r>
  </si>
  <si>
    <t xml:space="preserve">模型期產能瓶頸</t>
  </si>
  <si>
    <t xml:space="preserve">模型期新簽約收入</t>
  </si>
  <si>
    <r>
      <rPr>
        <sz val="10"/>
        <rFont val="Noto Sans CJK SC"/>
        <family val="2"/>
      </rPr>
      <t xml:space="preserve">模型期毛 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6/30 </t>
    </r>
    <r>
      <rPr>
        <sz val="10"/>
        <rFont val="Noto Sans CJK SC"/>
        <family val="2"/>
      </rPr>
      <t xml:space="preserve">起）</t>
    </r>
  </si>
  <si>
    <r>
      <rPr>
        <sz val="10"/>
        <rFont val="Noto Sans CJK SC"/>
        <family val="2"/>
      </rPr>
      <t xml:space="preserve">模型期租金（</t>
    </r>
    <r>
      <rPr>
        <sz val="10"/>
        <rFont val="Arial"/>
        <family val="0"/>
        <charset val="1"/>
      </rPr>
      <t xml:space="preserve">6/30 </t>
    </r>
    <r>
      <rPr>
        <sz val="10"/>
        <rFont val="Noto Sans CJK SC"/>
        <family val="2"/>
      </rPr>
      <t xml:space="preserve">起）</t>
    </r>
  </si>
  <si>
    <r>
      <rPr>
        <sz val="10"/>
        <rFont val="Noto Sans CJK SC"/>
        <family val="2"/>
      </rPr>
      <t xml:space="preserve">模型期利息（</t>
    </r>
    <r>
      <rPr>
        <sz val="10"/>
        <rFont val="Arial"/>
        <family val="0"/>
        <charset val="1"/>
      </rPr>
      <t xml:space="preserve">6/30 </t>
    </r>
    <r>
      <rPr>
        <sz val="10"/>
        <rFont val="Noto Sans CJK SC"/>
        <family val="2"/>
      </rPr>
      <t xml:space="preserve">起，含瀑布新債）</t>
    </r>
  </si>
  <si>
    <r>
      <rPr>
        <sz val="10"/>
        <rFont val="Noto Sans CJK SC"/>
        <family val="2"/>
      </rPr>
      <t xml:space="preserve">模型期排程還本（</t>
    </r>
    <r>
      <rPr>
        <sz val="10"/>
        <rFont val="Arial"/>
        <family val="0"/>
        <charset val="1"/>
      </rPr>
      <t xml:space="preserve">6/30 </t>
    </r>
    <r>
      <rPr>
        <sz val="10"/>
        <rFont val="Noto Sans CJK SC"/>
        <family val="2"/>
      </rPr>
      <t xml:space="preserve">起）</t>
    </r>
  </si>
  <si>
    <r>
      <rPr>
        <sz val="10"/>
        <rFont val="Noto Sans CJK SC"/>
        <family val="2"/>
      </rPr>
      <t xml:space="preserve">模型期營運缺口（</t>
    </r>
    <r>
      <rPr>
        <sz val="10"/>
        <rFont val="Arial"/>
        <family val="0"/>
        <charset val="1"/>
      </rPr>
      <t xml:space="preserve">6/30 </t>
    </r>
    <r>
      <rPr>
        <sz val="10"/>
        <rFont val="Noto Sans CJK SC"/>
        <family val="2"/>
      </rPr>
      <t xml:space="preserve">起）</t>
    </r>
  </si>
  <si>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全年口徑營運缺口（含 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實際）</t>
    </r>
  </si>
  <si>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每股</t>
    </r>
  </si>
  <si>
    <t xml:space="preserve">版本紀錄（基準情境目標價變化與原因）</t>
  </si>
  <si>
    <r>
      <rPr>
        <sz val="9"/>
        <color rgb="FF595959"/>
        <rFont val="Arial"/>
        <family val="0"/>
        <charset val="1"/>
      </rPr>
      <t xml:space="preserve">v2.9 </t>
    </r>
    <r>
      <rPr>
        <sz val="9"/>
        <color rgb="FF595959"/>
        <rFont val="Noto Sans CJK SC"/>
        <family val="2"/>
      </rPr>
      <t xml:space="preserve">以前檔名日期統一沿用 </t>
    </r>
    <r>
      <rPr>
        <sz val="9"/>
        <color rgb="FF595959"/>
        <rFont val="Arial"/>
        <family val="0"/>
        <charset val="1"/>
      </rPr>
      <t xml:space="preserve">20260918</t>
    </r>
    <r>
      <rPr>
        <sz val="9"/>
        <color rgb="FF595959"/>
        <rFont val="Noto Sans CJK SC"/>
        <family val="2"/>
      </rPr>
      <t xml:space="preserve">，此處日期為實際修改日。</t>
    </r>
    <r>
      <rPr>
        <sz val="9"/>
        <color rgb="FF595959"/>
        <rFont val="Arial"/>
        <family val="0"/>
        <charset val="1"/>
      </rPr>
      <t xml:space="preserve">v1.7 </t>
    </r>
    <r>
      <rPr>
        <sz val="9"/>
        <color rgb="FF595959"/>
        <rFont val="Noto Sans CJK SC"/>
        <family val="2"/>
      </rPr>
      <t xml:space="preserve">以前基準為 </t>
    </r>
    <r>
      <rPr>
        <sz val="9"/>
        <color rgb="FF595959"/>
        <rFont val="Arial"/>
        <family val="0"/>
        <charset val="1"/>
      </rPr>
      <t xml:space="preserve">8 GW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v1.7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5 GW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v1.8 </t>
    </r>
    <r>
      <rPr>
        <sz val="9"/>
        <color rgb="FF595959"/>
        <rFont val="Noto Sans CJK SC"/>
        <family val="2"/>
      </rPr>
      <t xml:space="preserve">起為 </t>
    </r>
    <r>
      <rPr>
        <sz val="9"/>
        <color rgb="FF595959"/>
        <rFont val="Arial"/>
        <family val="0"/>
        <charset val="1"/>
      </rPr>
      <t xml:space="preserve">5.6 GW</t>
    </r>
    <r>
      <rPr>
        <sz val="9"/>
        <color rgb="FF595959"/>
        <rFont val="Noto Sans CJK SC"/>
        <family val="2"/>
      </rPr>
      <t xml:space="preserve">；情境定義改變的版本不可直接比較。目標價以當版預設輸入計算（</t>
    </r>
    <r>
      <rPr>
        <sz val="9"/>
        <color rgb="FF595959"/>
        <rFont val="Arial"/>
        <family val="0"/>
        <charset val="1"/>
      </rPr>
      <t xml:space="preserve">DCF 0 </t>
    </r>
    <r>
      <rPr>
        <sz val="9"/>
        <color rgb="FF595959"/>
        <rFont val="Noto Sans CJK SC"/>
        <family val="2"/>
      </rPr>
      <t xml:space="preserve">截斷）</t>
    </r>
  </si>
  <si>
    <t xml:space="preserve">版本</t>
  </si>
  <si>
    <t xml:space="preserve">日期</t>
  </si>
  <si>
    <t xml:space="preserve">主要變更</t>
  </si>
  <si>
    <t xml:space="preserve">基準目標價</t>
  </si>
  <si>
    <t xml:space="preserve">變動原因</t>
  </si>
  <si>
    <t xml:space="preserve">v0.1</t>
  </si>
  <si>
    <t xml:space="preserve">10-09</t>
  </si>
  <si>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Oracle v0.2 </t>
    </r>
    <r>
      <rPr>
        <sz val="10"/>
        <rFont val="Noto Sans CJK SC"/>
        <family val="2"/>
      </rPr>
      <t xml:space="preserve">模板建立（</t>
    </r>
    <r>
      <rPr>
        <sz val="10"/>
        <rFont val="Arial"/>
        <family val="0"/>
        <charset val="1"/>
      </rPr>
      <t xml:space="preserve">CRWV v1.0–v4.5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Nebius v0.1–v0.2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Oracle v0.1–v0.2 </t>
    </r>
    <r>
      <rPr>
        <sz val="10"/>
        <rFont val="Noto Sans CJK SC"/>
        <family val="2"/>
      </rPr>
      <t xml:space="preserve">的歷史見各自資料夾）；</t>
    </r>
    <r>
      <rPr>
        <sz val="10"/>
        <rFont val="Arial"/>
        <family val="0"/>
        <charset val="1"/>
      </rPr>
      <t xml:space="preserve">MAG </t>
    </r>
    <r>
      <rPr>
        <sz val="10"/>
        <rFont val="Noto Sans CJK SC"/>
        <family val="2"/>
      </rPr>
      <t xml:space="preserve">共用引擎：對外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 </t>
    </r>
    <r>
      <rPr>
        <sz val="10"/>
        <rFont val="Arial"/>
        <family val="0"/>
        <charset val="1"/>
      </rPr>
      <t xml:space="preserve">MW × Tokenomics </t>
    </r>
    <r>
      <rPr>
        <sz val="10"/>
        <rFont val="Noto Sans CJK SC"/>
        <family val="2"/>
      </rPr>
      <t xml:space="preserve">錨 </t>
    </r>
    <r>
      <rPr>
        <sz val="10"/>
        <rFont val="Arial"/>
        <family val="0"/>
        <charset val="1"/>
      </rPr>
      <t xml:space="preserve">× k</t>
    </r>
    <r>
      <rPr>
        <sz val="10"/>
        <rFont val="Noto Sans CJK SC"/>
        <family val="2"/>
      </rPr>
      <t xml:space="preserve">、非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雲端殘差、非雲端分部、回購彈性瀑布、持股、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增量報酬（含 </t>
    </r>
    <r>
      <rPr>
        <sz val="10"/>
        <rFont val="Arial"/>
        <family val="0"/>
        <charset val="1"/>
      </rPr>
      <t xml:space="preserve">C15 </t>
    </r>
    <r>
      <rPr>
        <sz val="10"/>
        <rFont val="Noto Sans CJK SC"/>
        <family val="2"/>
      </rPr>
      <t xml:space="preserve">一致性檢查與讀法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並列）</t>
    </r>
  </si>
  <si>
    <t xml:space="preserve">$150.5</t>
  </si>
  <si>
    <r>
      <rPr>
        <sz val="10"/>
        <rFont val="Noto Sans CJK SC"/>
        <family val="2"/>
      </rPr>
      <t xml:space="preserve">首版（基準）；保守 </t>
    </r>
    <r>
      <rPr>
        <sz val="10"/>
        <rFont val="Arial"/>
        <family val="0"/>
        <charset val="1"/>
      </rPr>
      <t xml:space="preserve">$174.8</t>
    </r>
    <r>
      <rPr>
        <sz val="10"/>
        <rFont val="Noto Sans CJK SC"/>
        <family val="2"/>
      </rPr>
      <t xml:space="preserve">、積極 </t>
    </r>
    <r>
      <rPr>
        <sz val="10"/>
        <rFont val="Arial"/>
        <family val="0"/>
        <charset val="1"/>
      </rPr>
      <t xml:space="preserve">$130.3</t>
    </r>
    <r>
      <rPr>
        <sz val="10"/>
        <rFont val="Noto Sans CJK SC"/>
        <family val="2"/>
      </rPr>
      <t xml:space="preserve">（三情境皆賣出）；讀法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（自用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價值中性）基準 </t>
    </r>
    <r>
      <rPr>
        <sz val="10"/>
        <rFont val="Arial"/>
        <family val="0"/>
        <charset val="1"/>
      </rPr>
      <t xml:space="preserve">$218.2</t>
    </r>
  </si>
  <si>
    <t xml:space="preserve">來源與標籤</t>
  </si>
  <si>
    <t xml:space="preserve">標籤</t>
  </si>
  <si>
    <t xml:space="preserve">內容</t>
  </si>
  <si>
    <r>
      <rPr>
        <sz val="10"/>
        <rFont val="Arial"/>
        <family val="0"/>
        <charset val="1"/>
      </rPr>
      <t xml:space="preserve">2026Q2 10-Q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2026-07-23</t>
    </r>
    <r>
      <rPr>
        <sz val="10"/>
        <rFont val="Noto Sans CJK SC"/>
        <family val="2"/>
      </rPr>
      <t xml:space="preserve">，核閱、未查核）：上半年營收 </t>
    </r>
    <r>
      <rPr>
        <sz val="10"/>
        <rFont val="Arial"/>
        <family val="0"/>
        <charset val="1"/>
      </rPr>
      <t xml:space="preserve">229.7</t>
    </r>
    <r>
      <rPr>
        <sz val="10"/>
        <rFont val="Noto Sans CJK SC"/>
        <family val="2"/>
      </rPr>
      <t xml:space="preserve">（搜尋 </t>
    </r>
    <r>
      <rPr>
        <sz val="10"/>
        <rFont val="Arial"/>
        <family val="0"/>
        <charset val="1"/>
      </rPr>
      <t xml:space="preserve">123.7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YouTube 20.9</t>
    </r>
    <r>
      <rPr>
        <sz val="10"/>
        <rFont val="Noto Sans CJK SC"/>
        <family val="2"/>
      </rPr>
      <t xml:space="preserve">、聯播網 </t>
    </r>
    <r>
      <rPr>
        <sz val="10"/>
        <rFont val="Arial"/>
        <family val="0"/>
        <charset val="1"/>
      </rPr>
      <t xml:space="preserve">14.3</t>
    </r>
    <r>
      <rPr>
        <sz val="10"/>
        <rFont val="Noto Sans CJK SC"/>
        <family val="2"/>
      </rPr>
      <t xml:space="preserve">、訂閱平台裝置 </t>
    </r>
    <r>
      <rPr>
        <sz val="10"/>
        <rFont val="Arial"/>
        <family val="0"/>
        <charset val="1"/>
      </rPr>
      <t xml:space="preserve">25.3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Cloud 44.8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Other Bets 0.8</t>
    </r>
    <r>
      <rPr>
        <sz val="10"/>
        <rFont val="Noto Sans CJK SC"/>
        <family val="2"/>
      </rPr>
      <t xml:space="preserve">）；營業利益 </t>
    </r>
    <r>
      <rPr>
        <sz val="10"/>
        <rFont val="Arial"/>
        <family val="0"/>
        <charset val="1"/>
      </rPr>
      <t xml:space="preserve">80.5</t>
    </r>
    <r>
      <rPr>
        <sz val="10"/>
        <rFont val="Noto Sans CJK SC"/>
        <family val="2"/>
      </rPr>
      <t xml:space="preserve">；折舊 </t>
    </r>
    <r>
      <rPr>
        <sz val="10"/>
        <rFont val="Arial"/>
        <family val="0"/>
        <charset val="1"/>
      </rPr>
      <t xml:space="preserve">13.6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SBC 14.7</t>
    </r>
    <r>
      <rPr>
        <sz val="10"/>
        <rFont val="Noto Sans CJK SC"/>
        <family val="2"/>
      </rPr>
      <t xml:space="preserve">；利息費用 </t>
    </r>
    <r>
      <rPr>
        <sz val="10"/>
        <rFont val="Arial"/>
        <family val="0"/>
        <charset val="1"/>
      </rPr>
      <t xml:space="preserve">1.8</t>
    </r>
    <r>
      <rPr>
        <sz val="10"/>
        <rFont val="Noto Sans CJK SC"/>
        <family val="2"/>
      </rPr>
      <t xml:space="preserve">；淨利 </t>
    </r>
    <r>
      <rPr>
        <sz val="10"/>
        <rFont val="Arial"/>
        <family val="0"/>
        <charset val="1"/>
      </rPr>
      <t xml:space="preserve">174.8</t>
    </r>
    <r>
      <rPr>
        <sz val="10"/>
        <rFont val="Noto Sans CJK SC"/>
        <family val="2"/>
      </rPr>
      <t xml:space="preserve">（含權益證券利益 </t>
    </r>
    <r>
      <rPr>
        <sz val="10"/>
        <rFont val="Arial"/>
        <family val="0"/>
        <charset val="1"/>
      </rPr>
      <t xml:space="preserve">135.9</t>
    </r>
    <r>
      <rPr>
        <sz val="10"/>
        <rFont val="Noto Sans CJK SC"/>
        <family val="2"/>
      </rPr>
      <t xml:space="preserve">）。</t>
    </r>
  </si>
  <si>
    <r>
      <rPr>
        <sz val="10"/>
        <rFont val="Noto Sans CJK SC"/>
        <family val="2"/>
      </rPr>
      <t xml:space="preserve">資產負債（</t>
    </r>
    <r>
      <rPr>
        <sz val="10"/>
        <rFont val="Arial"/>
        <family val="0"/>
        <charset val="1"/>
      </rPr>
      <t xml:space="preserve">2026-06-30</t>
    </r>
    <r>
      <rPr>
        <sz val="10"/>
        <rFont val="Noto Sans CJK SC"/>
        <family val="2"/>
      </rPr>
      <t xml:space="preserve">）：現金 </t>
    </r>
    <r>
      <rPr>
        <sz val="10"/>
        <rFont val="Arial"/>
        <family val="0"/>
        <charset val="1"/>
      </rPr>
      <t xml:space="preserve">55.9</t>
    </r>
    <r>
      <rPr>
        <sz val="10"/>
        <rFont val="Noto Sans CJK SC"/>
        <family val="2"/>
      </rPr>
      <t xml:space="preserve">、有價證券 </t>
    </r>
    <r>
      <rPr>
        <sz val="10"/>
        <rFont val="Arial"/>
        <family val="0"/>
        <charset val="1"/>
      </rPr>
      <t xml:space="preserve">186.6</t>
    </r>
    <r>
      <rPr>
        <sz val="10"/>
        <rFont val="Noto Sans CJK SC"/>
        <family val="2"/>
      </rPr>
      <t xml:space="preserve">（有價權益證券 </t>
    </r>
    <r>
      <rPr>
        <sz val="10"/>
        <rFont val="Arial"/>
        <family val="0"/>
        <charset val="1"/>
      </rPr>
      <t xml:space="preserve">87.1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PP&amp;E </t>
    </r>
    <r>
      <rPr>
        <sz val="10"/>
        <rFont val="Noto Sans CJK SC"/>
        <family val="2"/>
      </rPr>
      <t xml:space="preserve">淨額 </t>
    </r>
    <r>
      <rPr>
        <sz val="10"/>
        <rFont val="Arial"/>
        <family val="0"/>
        <charset val="1"/>
      </rPr>
      <t xml:space="preserve">321.2</t>
    </r>
    <r>
      <rPr>
        <sz val="10"/>
        <rFont val="Noto Sans CJK SC"/>
        <family val="2"/>
      </rPr>
      <t xml:space="preserve">；長期債面額 </t>
    </r>
    <r>
      <rPr>
        <sz val="10"/>
        <rFont val="Arial"/>
        <family val="0"/>
        <charset val="1"/>
      </rPr>
      <t xml:space="preserve">101.1</t>
    </r>
    <r>
      <rPr>
        <sz val="10"/>
        <rFont val="Noto Sans CJK SC"/>
        <family val="2"/>
      </rPr>
      <t xml:space="preserve">；營業租賃負債 </t>
    </r>
    <r>
      <rPr>
        <sz val="10"/>
        <rFont val="Arial"/>
        <family val="0"/>
        <charset val="1"/>
      </rPr>
      <t xml:space="preserve">18.0</t>
    </r>
    <r>
      <rPr>
        <sz val="10"/>
        <rFont val="Noto Sans CJK SC"/>
        <family val="2"/>
      </rPr>
      <t xml:space="preserve">、融資租賃 </t>
    </r>
    <r>
      <rPr>
        <sz val="10"/>
        <rFont val="Arial"/>
        <family val="0"/>
        <charset val="1"/>
      </rPr>
      <t xml:space="preserve">2.6</t>
    </r>
    <r>
      <rPr>
        <sz val="10"/>
        <rFont val="Noto Sans CJK SC"/>
        <family val="2"/>
      </rPr>
      <t xml:space="preserve">；尚未起租租賃 </t>
    </r>
    <r>
      <rPr>
        <sz val="10"/>
        <rFont val="Arial"/>
        <family val="0"/>
        <charset val="1"/>
      </rPr>
      <t xml:space="preserve">85.2</t>
    </r>
    <r>
      <rPr>
        <sz val="10"/>
        <rFont val="Noto Sans CJK SC"/>
        <family val="2"/>
      </rPr>
      <t xml:space="preserve">；股東權益 </t>
    </r>
    <r>
      <rPr>
        <sz val="10"/>
        <rFont val="Arial"/>
        <family val="0"/>
        <charset val="1"/>
      </rPr>
      <t xml:space="preserve">640.5</t>
    </r>
    <r>
      <rPr>
        <sz val="10"/>
        <rFont val="Noto Sans CJK SC"/>
        <family val="2"/>
      </rPr>
      <t xml:space="preserve">。</t>
    </r>
  </si>
  <si>
    <r>
      <rPr>
        <sz val="10"/>
        <rFont val="Noto Sans CJK SC"/>
        <family val="2"/>
      </rPr>
      <t xml:space="preserve">現金流（上半年）：</t>
    </r>
    <r>
      <rPr>
        <sz val="10"/>
        <rFont val="Arial"/>
        <family val="0"/>
        <charset val="1"/>
      </rPr>
      <t xml:space="preserve">CFO 84.9</t>
    </r>
    <r>
      <rPr>
        <sz val="10"/>
        <rFont val="Noto Sans CJK SC"/>
        <family val="2"/>
      </rPr>
      <t xml:space="preserve">；資本支出 </t>
    </r>
    <r>
      <rPr>
        <sz val="10"/>
        <rFont val="Arial"/>
        <family val="0"/>
        <charset val="1"/>
      </rPr>
      <t xml:space="preserve">80.6</t>
    </r>
    <r>
      <rPr>
        <sz val="10"/>
        <rFont val="Noto Sans CJK SC"/>
        <family val="2"/>
      </rPr>
      <t xml:space="preserve">；非上市投資與收購 </t>
    </r>
    <r>
      <rPr>
        <sz val="10"/>
        <rFont val="Arial"/>
        <family val="0"/>
        <charset val="1"/>
      </rPr>
      <t xml:space="preserve">55.4</t>
    </r>
    <r>
      <rPr>
        <sz val="10"/>
        <rFont val="Noto Sans CJK SC"/>
        <family val="2"/>
      </rPr>
      <t xml:space="preserve">；發債 </t>
    </r>
    <r>
      <rPr>
        <sz val="10"/>
        <rFont val="Arial"/>
        <family val="0"/>
        <charset val="1"/>
      </rPr>
      <t xml:space="preserve">56.2</t>
    </r>
    <r>
      <rPr>
        <sz val="10"/>
        <rFont val="Noto Sans CJK SC"/>
        <family val="2"/>
      </rPr>
      <t xml:space="preserve">、償還 </t>
    </r>
    <r>
      <rPr>
        <sz val="10"/>
        <rFont val="Arial"/>
        <family val="0"/>
        <charset val="1"/>
      </rPr>
      <t xml:space="preserve">5.3</t>
    </r>
    <r>
      <rPr>
        <sz val="10"/>
        <rFont val="Noto Sans CJK SC"/>
        <family val="2"/>
      </rPr>
      <t xml:space="preserve">；股權 </t>
    </r>
    <r>
      <rPr>
        <sz val="10"/>
        <rFont val="Arial"/>
        <family val="0"/>
        <charset val="1"/>
      </rPr>
      <t xml:space="preserve">49.6</t>
    </r>
    <r>
      <rPr>
        <sz val="10"/>
        <rFont val="Noto Sans CJK SC"/>
        <family val="2"/>
      </rPr>
      <t xml:space="preserve">；股利 </t>
    </r>
    <r>
      <rPr>
        <sz val="10"/>
        <rFont val="Arial"/>
        <family val="0"/>
        <charset val="1"/>
      </rPr>
      <t xml:space="preserve">5.2</t>
    </r>
    <r>
      <rPr>
        <sz val="10"/>
        <rFont val="Noto Sans CJK SC"/>
        <family val="2"/>
      </rPr>
      <t xml:space="preserve">；無買回。</t>
    </r>
  </si>
  <si>
    <r>
      <rPr>
        <sz val="10"/>
        <rFont val="Arial"/>
        <family val="0"/>
        <charset val="1"/>
      </rPr>
      <t xml:space="preserve">RPO 519.5B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Cloud 513.9B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指引：資本支出 </t>
    </r>
    <r>
      <rPr>
        <sz val="10"/>
        <rFont val="Arial"/>
        <family val="0"/>
        <charset val="1"/>
      </rPr>
      <t xml:space="preserve">195–205</t>
    </r>
    <r>
      <rPr>
        <sz val="10"/>
        <rFont val="Noto Sans CJK SC"/>
        <family val="2"/>
      </rPr>
      <t xml:space="preserve">（法說）；</t>
    </r>
    <r>
      <rPr>
        <sz val="10"/>
        <rFont val="Arial"/>
        <family val="0"/>
        <charset val="1"/>
      </rPr>
      <t xml:space="preserve">2027</t>
    </r>
    <r>
      <rPr>
        <sz val="10"/>
        <rFont val="Noto Sans CJK SC"/>
        <family val="2"/>
      </rPr>
      <t xml:space="preserve">「顯著增加」。</t>
    </r>
  </si>
  <si>
    <r>
      <rPr>
        <sz val="10"/>
        <rFont val="Arial"/>
        <family val="0"/>
        <charset val="1"/>
      </rPr>
      <t xml:space="preserve">2025 10-K</t>
    </r>
    <r>
      <rPr>
        <sz val="10"/>
        <rFont val="Noto Sans CJK SC"/>
        <family val="2"/>
      </rPr>
      <t xml:space="preserve">（經查核）：營收 </t>
    </r>
    <r>
      <rPr>
        <sz val="10"/>
        <rFont val="Arial"/>
        <family val="0"/>
        <charset val="1"/>
      </rPr>
      <t xml:space="preserve">402.8</t>
    </r>
    <r>
      <rPr>
        <sz val="10"/>
        <rFont val="Noto Sans CJK SC"/>
        <family val="2"/>
      </rPr>
      <t xml:space="preserve">、營業利益 </t>
    </r>
    <r>
      <rPr>
        <sz val="10"/>
        <rFont val="Arial"/>
        <family val="0"/>
        <charset val="1"/>
      </rPr>
      <t xml:space="preserve">129.0</t>
    </r>
    <r>
      <rPr>
        <sz val="10"/>
        <rFont val="Noto Sans CJK SC"/>
        <family val="2"/>
      </rPr>
      <t xml:space="preserve">、淨利 </t>
    </r>
    <r>
      <rPr>
        <sz val="10"/>
        <rFont val="Arial"/>
        <family val="0"/>
        <charset val="1"/>
      </rPr>
      <t xml:space="preserve">132.2</t>
    </r>
    <r>
      <rPr>
        <sz val="10"/>
        <rFont val="Noto Sans CJK SC"/>
        <family val="2"/>
      </rPr>
      <t xml:space="preserve">；折舊 </t>
    </r>
    <r>
      <rPr>
        <sz val="10"/>
        <rFont val="Arial"/>
        <family val="0"/>
        <charset val="1"/>
      </rPr>
      <t xml:space="preserve">21.1</t>
    </r>
    <r>
      <rPr>
        <sz val="10"/>
        <rFont val="Noto Sans CJK SC"/>
        <family val="2"/>
      </rPr>
      <t xml:space="preserve">；資本支出 </t>
    </r>
    <r>
      <rPr>
        <sz val="10"/>
        <rFont val="Arial"/>
        <family val="0"/>
        <charset val="1"/>
      </rPr>
      <t xml:space="preserve">91.4</t>
    </r>
    <r>
      <rPr>
        <sz val="10"/>
        <rFont val="Noto Sans CJK SC"/>
        <family val="2"/>
      </rPr>
      <t xml:space="preserve">；回購 </t>
    </r>
    <r>
      <rPr>
        <sz val="10"/>
        <rFont val="Arial"/>
        <family val="0"/>
        <charset val="1"/>
      </rPr>
      <t xml:space="preserve">45.7</t>
    </r>
    <r>
      <rPr>
        <sz val="10"/>
        <rFont val="Noto Sans CJK SC"/>
        <family val="2"/>
      </rPr>
      <t xml:space="preserve">；股利 </t>
    </r>
    <r>
      <rPr>
        <sz val="10"/>
        <rFont val="Arial"/>
        <family val="0"/>
        <charset val="1"/>
      </rPr>
      <t xml:space="preserve">10.0</t>
    </r>
    <r>
      <rPr>
        <sz val="10"/>
        <rFont val="Noto Sans CJK SC"/>
        <family val="2"/>
      </rPr>
      <t xml:space="preserve">。</t>
    </r>
  </si>
  <si>
    <r>
      <rPr>
        <sz val="10"/>
        <rFont val="Noto Sans CJK SC"/>
        <family val="2"/>
      </rPr>
      <t xml:space="preserve">市值（</t>
    </r>
    <r>
      <rPr>
        <sz val="10"/>
        <rFont val="Arial"/>
        <family val="0"/>
        <charset val="1"/>
      </rPr>
      <t xml:space="preserve">2026-09-21 </t>
    </r>
    <r>
      <rPr>
        <sz val="10"/>
        <rFont val="Noto Sans CJK SC"/>
        <family val="2"/>
      </rPr>
      <t xml:space="preserve">收盤，</t>
    </r>
    <r>
      <rPr>
        <sz val="10"/>
        <rFont val="Arial"/>
        <family val="0"/>
        <charset val="1"/>
      </rPr>
      <t xml:space="preserve">S&amp;P Global via stockanalysis.com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GOOGL </t>
    </r>
    <r>
      <rPr>
        <sz val="10"/>
        <rFont val="Noto Sans CJK SC"/>
        <family val="2"/>
      </rPr>
      <t xml:space="preserve">現價 </t>
    </r>
    <r>
      <rPr>
        <sz val="10"/>
        <rFont val="Arial"/>
        <family val="0"/>
        <charset val="1"/>
      </rPr>
      <t xml:space="preserve">$350.50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2026-10-07 </t>
    </r>
    <r>
      <rPr>
        <sz val="10"/>
        <rFont val="Noto Sans CJK SC"/>
        <family val="2"/>
      </rPr>
      <t xml:space="preserve">收盤）、市值 </t>
    </r>
    <r>
      <rPr>
        <sz val="10"/>
        <rFont val="Arial"/>
        <family val="0"/>
        <charset val="1"/>
      </rPr>
      <t xml:space="preserve">4,286.61bn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2026-09-21</t>
    </r>
    <r>
      <rPr>
        <sz val="10"/>
        <rFont val="Noto Sans CJK SC"/>
        <family val="2"/>
      </rPr>
      <t xml:space="preserve">）、流通 </t>
    </r>
    <r>
      <rPr>
        <sz val="10"/>
        <rFont val="Arial"/>
        <family val="0"/>
        <charset val="1"/>
      </rPr>
      <t xml:space="preserve">12,230.00m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CRWV 49.11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NBIS 68.49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IREN 18.61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APLD 8.22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CORZ 5.90</t>
    </r>
    <r>
      <rPr>
        <sz val="10"/>
        <rFont val="Noto Sans CJK SC"/>
        <family val="2"/>
      </rPr>
      <t xml:space="preserve">。淨負債取各公司最新申報：</t>
    </r>
    <r>
      <rPr>
        <sz val="10"/>
        <rFont val="Arial"/>
        <family val="0"/>
        <charset val="1"/>
      </rPr>
      <t xml:space="preserve">CRWV 46.03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NBIS 2.15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IREN 1.70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APLD 3.37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CORZ 2.53</t>
    </r>
    <r>
      <rPr>
        <sz val="10"/>
        <rFont val="Noto Sans CJK SC"/>
        <family val="2"/>
      </rPr>
      <t xml:space="preserve">。</t>
    </r>
  </si>
  <si>
    <r>
      <rPr>
        <sz val="10"/>
        <rFont val="Noto Sans CJK SC"/>
        <family val="2"/>
      </rPr>
      <t xml:space="preserve">賣方目標價（</t>
    </r>
    <r>
      <rPr>
        <sz val="10"/>
        <rFont val="Arial"/>
        <family val="0"/>
        <charset val="1"/>
      </rPr>
      <t xml:space="preserve">S&amp;P Global Market Intelligence</t>
    </r>
    <r>
      <rPr>
        <sz val="10"/>
        <rFont val="Noto Sans CJK SC"/>
        <family val="2"/>
      </rPr>
      <t xml:space="preserve">（經 </t>
    </r>
    <r>
      <rPr>
        <sz val="10"/>
        <rFont val="Arial"/>
        <family val="0"/>
        <charset val="1"/>
      </rPr>
      <t xml:space="preserve">StockAnalysis.com</t>
    </r>
    <r>
      <rPr>
        <sz val="10"/>
        <rFont val="Noto Sans CJK SC"/>
        <family val="2"/>
      </rPr>
      <t xml:space="preserve">），擷取 </t>
    </r>
    <r>
      <rPr>
        <sz val="10"/>
        <rFont val="Arial"/>
        <family val="0"/>
        <charset val="1"/>
      </rPr>
      <t xml:space="preserve">2026-10-08</t>
    </r>
    <r>
      <rPr>
        <sz val="10"/>
        <rFont val="Noto Sans CJK SC"/>
        <family val="2"/>
      </rPr>
      <t xml:space="preserve">）：平均 </t>
    </r>
    <r>
      <rPr>
        <sz val="10"/>
        <rFont val="Arial"/>
        <family val="0"/>
        <charset val="1"/>
      </rPr>
      <t xml:space="preserve">$429.47</t>
    </r>
    <r>
      <rPr>
        <sz val="10"/>
        <rFont val="Noto Sans CJK SC"/>
        <family val="2"/>
      </rPr>
      <t xml:space="preserve">、中位數 </t>
    </r>
    <r>
      <rPr>
        <sz val="10"/>
        <rFont val="Arial"/>
        <family val="0"/>
        <charset val="1"/>
      </rPr>
      <t xml:space="preserve">$430.00</t>
    </r>
    <r>
      <rPr>
        <sz val="10"/>
        <rFont val="Noto Sans CJK SC"/>
        <family val="2"/>
      </rPr>
      <t xml:space="preserve">、區間 </t>
    </r>
    <r>
      <rPr>
        <sz val="10"/>
        <rFont val="Arial"/>
        <family val="0"/>
        <charset val="1"/>
      </rPr>
      <t xml:space="preserve">$340.00–$515.00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61 </t>
    </r>
    <r>
      <rPr>
        <sz val="10"/>
        <rFont val="Noto Sans CJK SC"/>
        <family val="2"/>
      </rPr>
      <t xml:space="preserve">家）；共識評等 </t>
    </r>
    <r>
      <rPr>
        <sz val="10"/>
        <rFont val="Arial"/>
        <family val="0"/>
        <charset val="1"/>
      </rPr>
      <t xml:space="preserve">Strong Buy</t>
    </r>
    <r>
      <rPr>
        <sz val="10"/>
        <rFont val="Noto Sans CJK SC"/>
        <family val="2"/>
      </rPr>
      <t xml:space="preserve">。對照 </t>
    </r>
    <r>
      <rPr>
        <sz val="10"/>
        <rFont val="Arial"/>
        <family val="0"/>
        <charset val="1"/>
      </rPr>
      <t xml:space="preserve">MarketBeat</t>
    </r>
    <r>
      <rPr>
        <sz val="10"/>
        <rFont val="Noto Sans CJK SC"/>
        <family val="2"/>
      </rPr>
      <t xml:space="preserve">（自行彙整，獨立於 </t>
    </r>
    <r>
      <rPr>
        <sz val="10"/>
        <rFont val="Arial"/>
        <family val="0"/>
        <charset val="1"/>
      </rPr>
      <t xml:space="preserve">S&amp;P</t>
    </r>
    <r>
      <rPr>
        <sz val="10"/>
        <rFont val="Noto Sans CJK SC"/>
        <family val="2"/>
      </rPr>
      <t xml:space="preserve">）：平均 </t>
    </r>
    <r>
      <rPr>
        <sz val="10"/>
        <rFont val="Arial"/>
        <family val="0"/>
        <charset val="1"/>
      </rPr>
      <t xml:space="preserve">$425.72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55 </t>
    </r>
    <r>
      <rPr>
        <sz val="10"/>
        <rFont val="Noto Sans CJK SC"/>
        <family val="2"/>
      </rPr>
      <t xml:space="preserve">家，</t>
    </r>
    <r>
      <rPr>
        <sz val="10"/>
        <rFont val="Arial"/>
        <family val="0"/>
        <charset val="1"/>
      </rPr>
      <t xml:space="preserve">Buy</t>
    </r>
    <r>
      <rPr>
        <sz val="10"/>
        <rFont val="Noto Sans CJK SC"/>
        <family val="2"/>
      </rPr>
      <t xml:space="preserve">）。數字為賣方意見；逐筆來源與日期見『輸入與假設』</t>
    </r>
    <r>
      <rPr>
        <sz val="10"/>
        <rFont val="Arial"/>
        <family val="0"/>
        <charset val="1"/>
      </rPr>
      <t xml:space="preserve">I </t>
    </r>
    <r>
      <rPr>
        <sz val="10"/>
        <rFont val="Noto Sans CJK SC"/>
        <family val="2"/>
      </rPr>
      <t xml:space="preserve">區。</t>
    </r>
  </si>
  <si>
    <t xml:space="preserve">方法</t>
  </si>
  <si>
    <r>
      <rPr>
        <sz val="10"/>
        <rFont val="Noto Sans CJK SC"/>
        <family val="2"/>
      </rPr>
      <t xml:space="preserve">期前融資瀑布：客戶預付（營運來源）→ 現金 → 未動用額度與新債（受債務上限約束）→ 股權 → 高息債；營收由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驅動，</t>
    </r>
    <r>
      <rPr>
        <sz val="10"/>
        <rFont val="Arial"/>
        <family val="0"/>
        <charset val="1"/>
      </rPr>
      <t xml:space="preserve">RPO </t>
    </r>
    <r>
      <rPr>
        <sz val="10"/>
        <rFont val="Noto Sans CJK SC"/>
        <family val="2"/>
      </rPr>
      <t xml:space="preserve">只作對照。</t>
    </r>
  </si>
  <si>
    <r>
      <rPr>
        <b val="true"/>
        <sz val="14"/>
        <rFont val="Arial"/>
        <family val="0"/>
        <charset val="1"/>
      </rPr>
      <t xml:space="preserve">Tokenomics </t>
    </r>
    <r>
      <rPr>
        <b val="true"/>
        <sz val="14"/>
        <rFont val="Noto Sans CJK SC"/>
        <family val="2"/>
      </rPr>
      <t xml:space="preserve">取數（算力相關的產業與物理層資料）</t>
    </r>
  </si>
  <si>
    <r>
      <rPr>
        <sz val="9"/>
        <color rgb="FF595959"/>
        <rFont val="Noto Sans CJK SC"/>
        <family val="2"/>
      </rPr>
      <t xml:space="preserve">來源：</t>
    </r>
    <r>
      <rPr>
        <sz val="9"/>
        <color rgb="FF595959"/>
        <rFont val="Arial"/>
        <family val="0"/>
        <charset val="1"/>
      </rPr>
      <t xml:space="preserve">YinchenChang/Tokenomics 20261008_Tokenomics_v5.27.xlsx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v5.27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commit ca78a8f</t>
    </r>
    <r>
      <rPr>
        <sz val="9"/>
        <color rgb="FF595959"/>
        <rFont val="Noto Sans CJK SC"/>
        <family val="2"/>
      </rPr>
      <t xml:space="preserve">，擷取 </t>
    </r>
    <r>
      <rPr>
        <sz val="9"/>
        <color rgb="FF595959"/>
        <rFont val="Arial"/>
        <family val="0"/>
        <charset val="1"/>
      </rPr>
      <t xml:space="preserve">2026-10-09</t>
    </r>
    <r>
      <rPr>
        <sz val="9"/>
        <color rgb="FF595959"/>
        <rFont val="Noto Sans CJK SC"/>
        <family val="2"/>
      </rPr>
      <t xml:space="preserve">）。只引用 </t>
    </r>
    <r>
      <rPr>
        <sz val="9"/>
        <color rgb="FF595959"/>
        <rFont val="Arial"/>
        <family val="0"/>
        <charset val="1"/>
      </rPr>
      <t xml:space="preserve">IF_</t>
    </r>
    <r>
      <rPr>
        <sz val="9"/>
        <color rgb="FF595959"/>
        <rFont val="Noto Sans CJK SC"/>
        <family val="2"/>
      </rPr>
      <t xml:space="preserve">（不含 </t>
    </r>
    <r>
      <rPr>
        <sz val="9"/>
        <color rgb="FF595959"/>
        <rFont val="Arial"/>
        <family val="0"/>
        <charset val="1"/>
      </rPr>
      <t xml:space="preserve">IF_Hdr*</t>
    </r>
    <r>
      <rPr>
        <sz val="9"/>
        <color rgb="FF595959"/>
        <rFont val="Noto Sans CJK SC"/>
        <family val="2"/>
      </rPr>
      <t xml:space="preserve">）與 </t>
    </r>
    <r>
      <rPr>
        <sz val="9"/>
        <color rgb="FF595959"/>
        <rFont val="Arial"/>
        <family val="0"/>
        <charset val="1"/>
      </rPr>
      <t xml:space="preserve">L1_ </t>
    </r>
    <r>
      <rPr>
        <sz val="9"/>
        <color rgb="FF595959"/>
        <rFont val="Noto Sans CJK SC"/>
        <family val="2"/>
      </rPr>
      <t xml:space="preserve">名稱；模型主值取「基準」，低／高只作敏感度；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Noto Sans CJK SC"/>
        <family val="2"/>
      </rPr>
      <t xml:space="preserve">關鍵電力。</t>
    </r>
  </si>
  <si>
    <r>
      <rPr>
        <sz val="9"/>
        <color rgb="FF595959"/>
        <rFont val="Noto Sans CJK SC"/>
        <family val="2"/>
      </rPr>
      <t xml:space="preserve">值為快照的藍字輸入格（勿手改；更新方式見 </t>
    </r>
    <r>
      <rPr>
        <sz val="9"/>
        <color rgb="FF595959"/>
        <rFont val="Arial"/>
        <family val="0"/>
        <charset val="1"/>
      </rPr>
      <t xml:space="preserve">repo </t>
    </r>
    <r>
      <rPr>
        <sz val="9"/>
        <color rgb="FF595959"/>
        <rFont val="Noto Sans CJK SC"/>
        <family val="2"/>
      </rPr>
      <t xml:space="preserve">根目錄 </t>
    </r>
    <r>
      <rPr>
        <sz val="9"/>
        <color rgb="FF595959"/>
        <rFont val="Arial"/>
        <family val="0"/>
        <charset val="1"/>
      </rPr>
      <t xml:space="preserve">README</t>
    </r>
    <r>
      <rPr>
        <sz val="9"/>
        <color rgb="FF595959"/>
        <rFont val="Noto Sans CJK SC"/>
        <family val="2"/>
      </rPr>
      <t xml:space="preserve">「共用工具：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取數」）；「輸入與假設」</t>
    </r>
    <r>
      <rPr>
        <sz val="9"/>
        <color rgb="FF595959"/>
        <rFont val="Arial"/>
        <family val="0"/>
        <charset val="1"/>
      </rPr>
      <t xml:space="preserve">B0</t>
    </r>
    <r>
      <rPr>
        <sz val="9"/>
        <color rgb="FF595959"/>
        <rFont val="Noto Sans CJK SC"/>
        <family val="2"/>
      </rPr>
      <t xml:space="preserve">（每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年收入、營運成本）與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區（每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資本支出）以 </t>
    </r>
    <r>
      <rPr>
        <sz val="9"/>
        <color rgb="FF595959"/>
        <rFont val="Arial"/>
        <family val="0"/>
        <charset val="1"/>
      </rPr>
      <t xml:space="preserve">TK_ </t>
    </r>
    <r>
      <rPr>
        <sz val="9"/>
        <color rgb="FF595959"/>
        <rFont val="Noto Sans CJK SC"/>
        <family val="2"/>
      </rPr>
      <t xml:space="preserve">名稱引用。</t>
    </r>
  </si>
  <si>
    <t xml:space="preserve">具名範圍（基準）</t>
  </si>
  <si>
    <t xml:space="preserve">名稱</t>
  </si>
  <si>
    <t xml:space="preserve">中文標籤</t>
  </si>
  <si>
    <t xml:space="preserve">世代</t>
  </si>
  <si>
    <t xml:space="preserve">低成本</t>
  </si>
  <si>
    <t xml:space="preserve">高成本</t>
  </si>
  <si>
    <r>
      <rPr>
        <b val="true"/>
        <sz val="11"/>
        <color rgb="FFFFFFFF"/>
        <rFont val="Arial"/>
        <family val="0"/>
        <charset val="1"/>
      </rPr>
      <t xml:space="preserve">Tokenomics </t>
    </r>
    <r>
      <rPr>
        <b val="true"/>
        <sz val="11"/>
        <color rgb="FFFFFFFF"/>
        <rFont val="Noto Sans CJK SC"/>
        <family val="2"/>
      </rPr>
      <t xml:space="preserve">位置</t>
    </r>
  </si>
  <si>
    <r>
      <rPr>
        <b val="true"/>
        <sz val="11"/>
        <color rgb="FFFFFFFF"/>
        <rFont val="Noto Sans CJK SC"/>
        <family val="2"/>
      </rPr>
      <t xml:space="preserve">版本與 </t>
    </r>
    <r>
      <rPr>
        <b val="true"/>
        <sz val="11"/>
        <color rgb="FFFFFFFF"/>
        <rFont val="Arial"/>
        <family val="0"/>
        <charset val="1"/>
      </rPr>
      <t xml:space="preserve">commit</t>
    </r>
  </si>
  <si>
    <t xml:space="preserve">TK_HoldEcon_H100</t>
  </si>
  <si>
    <t xml:space="preserve">IF_HoldEcon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</si>
  <si>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年持有成本 — 經濟口徑</t>
    </r>
  </si>
  <si>
    <r>
      <rPr>
        <sz val="9"/>
        <color rgb="FF595959"/>
        <rFont val="Arial"/>
        <family val="0"/>
        <charset val="1"/>
      </rPr>
      <t xml:space="preserve">$B/</t>
    </r>
    <r>
      <rPr>
        <sz val="9"/>
        <color rgb="FF595959"/>
        <rFont val="Noto Sans CJK SC"/>
        <family val="2"/>
      </rPr>
      <t xml:space="preserve">年</t>
    </r>
  </si>
  <si>
    <t xml:space="preserve">Hopper H100</t>
  </si>
  <si>
    <t xml:space="preserve">Interface!C13:E13</t>
  </si>
  <si>
    <t xml:space="preserve">v5.27 · ca78a8f</t>
  </si>
  <si>
    <t xml:space="preserve">TK_HoldEcon_GB200</t>
  </si>
  <si>
    <t xml:space="preserve">GB200 NVL72</t>
  </si>
  <si>
    <t xml:space="preserve">Interface!F13:H13</t>
  </si>
  <si>
    <t xml:space="preserve">TK_HoldEcon_GB300</t>
  </si>
  <si>
    <t xml:space="preserve">GB300 NVL72</t>
  </si>
  <si>
    <t xml:space="preserve">Interface!I13:K13</t>
  </si>
  <si>
    <t xml:space="preserve">TK_HoldEcon_VR200</t>
  </si>
  <si>
    <t xml:space="preserve">VR200 NVL72</t>
  </si>
  <si>
    <t xml:space="preserve">Interface!L13:N13</t>
  </si>
  <si>
    <t xml:space="preserve">TK_HoldEcon_RU</t>
  </si>
  <si>
    <r>
      <rPr>
        <sz val="10"/>
        <rFont val="Arial"/>
        <family val="0"/>
        <charset val="1"/>
      </rPr>
      <t xml:space="preserve">Rubin Ultra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MGX NVL </t>
    </r>
    <r>
      <rPr>
        <sz val="10"/>
        <rFont val="Noto Sans CJK SC"/>
        <family val="2"/>
      </rPr>
      <t xml:space="preserve">單架，</t>
    </r>
    <r>
      <rPr>
        <sz val="10"/>
        <rFont val="Arial"/>
        <family val="0"/>
        <charset val="1"/>
      </rPr>
      <t xml:space="preserve">72 GPU</t>
    </r>
    <r>
      <rPr>
        <sz val="10"/>
        <rFont val="Noto Sans CJK SC"/>
        <family val="2"/>
      </rPr>
      <t xml:space="preserve">）</t>
    </r>
  </si>
  <si>
    <t xml:space="preserve">Interface!O13:Q13</t>
  </si>
  <si>
    <t xml:space="preserve">TK_HoldAcct_H100</t>
  </si>
  <si>
    <t xml:space="preserve">IF_HoldAcct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</si>
  <si>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年持有成本 — 會計口徑</t>
    </r>
  </si>
  <si>
    <t xml:space="preserve">Interface!C12:E12</t>
  </si>
  <si>
    <t xml:space="preserve">TK_HoldAcct_GB200</t>
  </si>
  <si>
    <t xml:space="preserve">Interface!F12:H12</t>
  </si>
  <si>
    <t xml:space="preserve">TK_HoldAcct_GB300</t>
  </si>
  <si>
    <t xml:space="preserve">Interface!I12:K12</t>
  </si>
  <si>
    <t xml:space="preserve">TK_HoldAcct_VR200</t>
  </si>
  <si>
    <t xml:space="preserve">Interface!L12:N12</t>
  </si>
  <si>
    <t xml:space="preserve">TK_HoldAcct_RU</t>
  </si>
  <si>
    <t xml:space="preserve">Interface!O12:Q12</t>
  </si>
  <si>
    <t xml:space="preserve">TK_GPUhrEcon_H100</t>
  </si>
  <si>
    <t xml:space="preserve">IF_GPUhrEcon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</si>
  <si>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小時持有成本 — 經濟</t>
    </r>
  </si>
  <si>
    <t xml:space="preserve">$/GPU-hr</t>
  </si>
  <si>
    <t xml:space="preserve">Interface!C14:E14</t>
  </si>
  <si>
    <t xml:space="preserve">TK_GPUhrEcon_GB200</t>
  </si>
  <si>
    <t xml:space="preserve">Interface!F14:H14</t>
  </si>
  <si>
    <t xml:space="preserve">TK_GPUhrEcon_GB300</t>
  </si>
  <si>
    <t xml:space="preserve">Interface!I14:K14</t>
  </si>
  <si>
    <t xml:space="preserve">TK_GPUhrEcon_VR200</t>
  </si>
  <si>
    <t xml:space="preserve">Interface!L14:N14</t>
  </si>
  <si>
    <t xml:space="preserve">TK_GPUhrEcon_RU</t>
  </si>
  <si>
    <t xml:space="preserve">Interface!O14:Q14</t>
  </si>
  <si>
    <t xml:space="preserve">TK_CapexIT_H100</t>
  </si>
  <si>
    <t xml:space="preserve">IF_CapexIT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</si>
  <si>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資本支出 — </t>
    </r>
    <r>
      <rPr>
        <sz val="10"/>
        <rFont val="Arial"/>
        <family val="0"/>
        <charset val="1"/>
      </rPr>
      <t xml:space="preserve">IT </t>
    </r>
    <r>
      <rPr>
        <sz val="10"/>
        <rFont val="Noto Sans CJK SC"/>
        <family val="2"/>
      </rPr>
      <t xml:space="preserve">設備</t>
    </r>
  </si>
  <si>
    <t xml:space="preserve">$B</t>
  </si>
  <si>
    <t xml:space="preserve">Interface!C9:E9</t>
  </si>
  <si>
    <t xml:space="preserve">TK_CapexIT_GB200</t>
  </si>
  <si>
    <t xml:space="preserve">Interface!F9:H9</t>
  </si>
  <si>
    <t xml:space="preserve">TK_CapexIT_GB300</t>
  </si>
  <si>
    <t xml:space="preserve">Interface!I9:K9</t>
  </si>
  <si>
    <t xml:space="preserve">TK_CapexIT_VR200</t>
  </si>
  <si>
    <t xml:space="preserve">Interface!L9:N9</t>
  </si>
  <si>
    <t xml:space="preserve">TK_CapexIT_RU</t>
  </si>
  <si>
    <t xml:space="preserve">Interface!O9:Q9</t>
  </si>
  <si>
    <t xml:space="preserve">TK_CapexFacility_H100</t>
  </si>
  <si>
    <t xml:space="preserve">IF_CapexFacility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</si>
  <si>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資本支出 — 廠房</t>
    </r>
  </si>
  <si>
    <t xml:space="preserve">Interface!C10:E10</t>
  </si>
  <si>
    <t xml:space="preserve">TK_CapexFacility_GB200</t>
  </si>
  <si>
    <t xml:space="preserve">Interface!F10:H10</t>
  </si>
  <si>
    <t xml:space="preserve">TK_CapexFacility_GB300</t>
  </si>
  <si>
    <t xml:space="preserve">Interface!I10:K10</t>
  </si>
  <si>
    <t xml:space="preserve">TK_CapexFacility_VR200</t>
  </si>
  <si>
    <t xml:space="preserve">Interface!L10:N10</t>
  </si>
  <si>
    <t xml:space="preserve">TK_CapexFacility_RU</t>
  </si>
  <si>
    <t xml:space="preserve">Interface!O10:Q10</t>
  </si>
  <si>
    <t xml:space="preserve">TK_CapexTotal_H100</t>
  </si>
  <si>
    <t xml:space="preserve">IF_CapexTotal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</si>
  <si>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資本支出 — 合計</t>
    </r>
  </si>
  <si>
    <t xml:space="preserve">Interface!C11:E11</t>
  </si>
  <si>
    <t xml:space="preserve">TK_CapexTotal_GB200</t>
  </si>
  <si>
    <t xml:space="preserve">Interface!F11:H11</t>
  </si>
  <si>
    <t xml:space="preserve">TK_CapexTotal_GB300</t>
  </si>
  <si>
    <t xml:space="preserve">Interface!I11:K11</t>
  </si>
  <si>
    <t xml:space="preserve">TK_CapexTotal_VR200</t>
  </si>
  <si>
    <t xml:space="preserve">Interface!L11:N11</t>
  </si>
  <si>
    <t xml:space="preserve">TK_CapexTotal_RU</t>
  </si>
  <si>
    <t xml:space="preserve">Interface!O11:Q11</t>
  </si>
  <si>
    <t xml:space="preserve">TK_FacCapexMW</t>
  </si>
  <si>
    <t xml:space="preserve">L1_FacCapexMW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</si>
  <si>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IT </t>
    </r>
    <r>
      <rPr>
        <sz val="10"/>
        <rFont val="Noto Sans CJK SC"/>
        <family val="2"/>
      </rPr>
      <t xml:space="preserve">廠房資本支出</t>
    </r>
  </si>
  <si>
    <t xml:space="preserve">$M/MW</t>
  </si>
  <si>
    <r>
      <rPr>
        <sz val="9"/>
        <color rgb="FF595959"/>
        <rFont val="Arial"/>
        <family val="0"/>
        <charset val="1"/>
      </rPr>
      <t xml:space="preserve">L1!D10</t>
    </r>
    <r>
      <rPr>
        <sz val="9"/>
        <color rgb="FF595959"/>
        <rFont val="Noto Sans CJK SC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E10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F10</t>
    </r>
    <r>
      <rPr>
        <sz val="9"/>
        <color rgb="FF595959"/>
        <rFont val="Noto Sans CJK SC"/>
        <family val="2"/>
      </rPr>
      <t xml:space="preserve">；成本角落情境（低成本／高成本欄））</t>
    </r>
  </si>
  <si>
    <t xml:space="preserve">TK_DeprLifeIT_H100</t>
  </si>
  <si>
    <t xml:space="preserve">IF_DeprLifeIT</t>
  </si>
  <si>
    <r>
      <rPr>
        <sz val="10"/>
        <rFont val="Arial"/>
        <family val="0"/>
        <charset val="1"/>
      </rPr>
      <t xml:space="preserve">IT </t>
    </r>
    <r>
      <rPr>
        <sz val="10"/>
        <rFont val="Noto Sans CJK SC"/>
        <family val="2"/>
      </rPr>
      <t xml:space="preserve">折舊年限</t>
    </r>
  </si>
  <si>
    <t xml:space="preserve">Interface!C219:E219</t>
  </si>
  <si>
    <t xml:space="preserve">TK_DeprLifeIT_GB200</t>
  </si>
  <si>
    <t xml:space="preserve">Interface!F219:H219</t>
  </si>
  <si>
    <t xml:space="preserve">TK_DeprLifeIT_GB300</t>
  </si>
  <si>
    <t xml:space="preserve">Interface!I219:K219</t>
  </si>
  <si>
    <t xml:space="preserve">TK_DeprLifeIT_VR200</t>
  </si>
  <si>
    <t xml:space="preserve">Interface!L219:N219</t>
  </si>
  <si>
    <t xml:space="preserve">TK_DeprLifeIT_RU</t>
  </si>
  <si>
    <t xml:space="preserve">Interface!O219:Q219</t>
  </si>
  <si>
    <t xml:space="preserve">TK_DeprIT_H100</t>
  </si>
  <si>
    <t xml:space="preserve">IF_DeprIT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</si>
  <si>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IT </t>
    </r>
    <r>
      <rPr>
        <sz val="10"/>
        <rFont val="Noto Sans CJK SC"/>
        <family val="2"/>
      </rPr>
      <t xml:space="preserve">折舊</t>
    </r>
  </si>
  <si>
    <t xml:space="preserve">Interface!C220:E220</t>
  </si>
  <si>
    <t xml:space="preserve">TK_DeprIT_GB200</t>
  </si>
  <si>
    <t xml:space="preserve">Interface!F220:H220</t>
  </si>
  <si>
    <t xml:space="preserve">TK_DeprIT_GB300</t>
  </si>
  <si>
    <t xml:space="preserve">Interface!I220:K220</t>
  </si>
  <si>
    <t xml:space="preserve">TK_DeprIT_VR200</t>
  </si>
  <si>
    <t xml:space="preserve">Interface!L220:N220</t>
  </si>
  <si>
    <t xml:space="preserve">TK_DeprIT_RU</t>
  </si>
  <si>
    <t xml:space="preserve">Interface!O220:Q220</t>
  </si>
  <si>
    <t xml:space="preserve">TK_DeprFac_H100</t>
  </si>
  <si>
    <t xml:space="preserve">IF_DeprFac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</si>
  <si>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廠房折舊（土地不折舊）</t>
    </r>
  </si>
  <si>
    <t xml:space="preserve">Interface!C221:E221</t>
  </si>
  <si>
    <t xml:space="preserve">TK_DeprFac_GB200</t>
  </si>
  <si>
    <t xml:space="preserve">Interface!F221:H221</t>
  </si>
  <si>
    <t xml:space="preserve">TK_DeprFac_GB300</t>
  </si>
  <si>
    <t xml:space="preserve">Interface!I221:K221</t>
  </si>
  <si>
    <t xml:space="preserve">TK_DeprFac_VR200</t>
  </si>
  <si>
    <t xml:space="preserve">Interface!L221:N221</t>
  </si>
  <si>
    <t xml:space="preserve">TK_DeprFac_RU</t>
  </si>
  <si>
    <t xml:space="preserve">Interface!O221:Q221</t>
  </si>
  <si>
    <t xml:space="preserve">TK_OpexGW_H100</t>
  </si>
  <si>
    <t xml:space="preserve">IF_OpexGW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</si>
  <si>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營運費用小計（不含折舊；含電費）</t>
    </r>
  </si>
  <si>
    <t xml:space="preserve">Interface!C228:E228</t>
  </si>
  <si>
    <t xml:space="preserve">TK_OpexGW_GB200</t>
  </si>
  <si>
    <t xml:space="preserve">Interface!F228:H228</t>
  </si>
  <si>
    <t xml:space="preserve">TK_OpexGW_GB300</t>
  </si>
  <si>
    <t xml:space="preserve">Interface!I228:K228</t>
  </si>
  <si>
    <t xml:space="preserve">TK_OpexGW_VR200</t>
  </si>
  <si>
    <t xml:space="preserve">Interface!L228:N228</t>
  </si>
  <si>
    <t xml:space="preserve">TK_OpexGW_RU</t>
  </si>
  <si>
    <t xml:space="preserve">Interface!O228:Q228</t>
  </si>
  <si>
    <t xml:space="preserve">TK_PowerPrice_H100</t>
  </si>
  <si>
    <t xml:space="preserve">IF_PowerPrice</t>
  </si>
  <si>
    <t xml:space="preserve">$/kWh</t>
  </si>
  <si>
    <t xml:space="preserve">Interface!C223:E223</t>
  </si>
  <si>
    <t xml:space="preserve">TK_PowerPrice_GB200</t>
  </si>
  <si>
    <t xml:space="preserve">Interface!F223:H223</t>
  </si>
  <si>
    <t xml:space="preserve">TK_PowerPrice_GB300</t>
  </si>
  <si>
    <t xml:space="preserve">Interface!I223:K223</t>
  </si>
  <si>
    <t xml:space="preserve">TK_PowerPrice_VR200</t>
  </si>
  <si>
    <t xml:space="preserve">Interface!L223:N223</t>
  </si>
  <si>
    <t xml:space="preserve">TK_PowerPrice_RU</t>
  </si>
  <si>
    <t xml:space="preserve">Interface!O223:Q223</t>
  </si>
  <si>
    <t xml:space="preserve">TK_PowerCost_H100</t>
  </si>
  <si>
    <t xml:space="preserve">IF_PowerCost</t>
  </si>
  <si>
    <r>
      <rPr>
        <sz val="10"/>
        <rFont val="Noto Sans CJK SC"/>
        <family val="2"/>
      </rPr>
      <t xml:space="preserve">其中：每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年電費</t>
    </r>
  </si>
  <si>
    <t xml:space="preserve">Interface!C15:E15</t>
  </si>
  <si>
    <t xml:space="preserve">TK_PowerCost_GB200</t>
  </si>
  <si>
    <t xml:space="preserve">Interface!F15:H15</t>
  </si>
  <si>
    <t xml:space="preserve">TK_PowerCost_GB300</t>
  </si>
  <si>
    <t xml:space="preserve">Interface!I15:K15</t>
  </si>
  <si>
    <t xml:space="preserve">TK_PowerCost_VR200</t>
  </si>
  <si>
    <t xml:space="preserve">Interface!L15:N15</t>
  </si>
  <si>
    <t xml:space="preserve">TK_PowerCost_RU</t>
  </si>
  <si>
    <t xml:space="preserve">Interface!O15:Q15</t>
  </si>
  <si>
    <t xml:space="preserve">TK_MaintIT_H100</t>
  </si>
  <si>
    <t xml:space="preserve">IF_MaintIT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</si>
  <si>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IT </t>
    </r>
    <r>
      <rPr>
        <sz val="10"/>
        <rFont val="Noto Sans CJK SC"/>
        <family val="2"/>
      </rPr>
      <t xml:space="preserve">維護</t>
    </r>
  </si>
  <si>
    <t xml:space="preserve">Interface!C224:E224</t>
  </si>
  <si>
    <t xml:space="preserve">TK_MaintIT_GB200</t>
  </si>
  <si>
    <t xml:space="preserve">Interface!F224:H224</t>
  </si>
  <si>
    <t xml:space="preserve">TK_MaintIT_GB300</t>
  </si>
  <si>
    <t xml:space="preserve">Interface!I224:K224</t>
  </si>
  <si>
    <t xml:space="preserve">TK_MaintIT_VR200</t>
  </si>
  <si>
    <t xml:space="preserve">Interface!L224:N224</t>
  </si>
  <si>
    <t xml:space="preserve">TK_MaintIT_RU</t>
  </si>
  <si>
    <t xml:space="preserve">Interface!O224:Q224</t>
  </si>
  <si>
    <t xml:space="preserve">TK_MaintFac_H100</t>
  </si>
  <si>
    <t xml:space="preserve">IF_MaintFac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</si>
  <si>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廠房維護</t>
    </r>
  </si>
  <si>
    <t xml:space="preserve">Interface!C225:E225</t>
  </si>
  <si>
    <t xml:space="preserve">TK_MaintFac_GB200</t>
  </si>
  <si>
    <t xml:space="preserve">Interface!F225:H225</t>
  </si>
  <si>
    <t xml:space="preserve">TK_MaintFac_GB300</t>
  </si>
  <si>
    <t xml:space="preserve">Interface!I225:K225</t>
  </si>
  <si>
    <t xml:space="preserve">TK_MaintFac_VR200</t>
  </si>
  <si>
    <t xml:space="preserve">Interface!L225:N225</t>
  </si>
  <si>
    <t xml:space="preserve">TK_MaintFac_RU</t>
  </si>
  <si>
    <t xml:space="preserve">Interface!O225:Q225</t>
  </si>
  <si>
    <t xml:space="preserve">TK_StaffSW_H100</t>
  </si>
  <si>
    <t xml:space="preserve">IF_StaffSW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</si>
  <si>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人員、軟體、水與耗材</t>
    </r>
  </si>
  <si>
    <t xml:space="preserve">Interface!C226:E226</t>
  </si>
  <si>
    <t xml:space="preserve">TK_StaffSW_GB200</t>
  </si>
  <si>
    <t xml:space="preserve">Interface!F226:H226</t>
  </si>
  <si>
    <t xml:space="preserve">TK_StaffSW_GB300</t>
  </si>
  <si>
    <t xml:space="preserve">Interface!I226:K226</t>
  </si>
  <si>
    <t xml:space="preserve">TK_StaffSW_VR200</t>
  </si>
  <si>
    <t xml:space="preserve">Interface!L226:N226</t>
  </si>
  <si>
    <t xml:space="preserve">TK_StaffSW_RU</t>
  </si>
  <si>
    <t xml:space="preserve">Interface!O226:Q226</t>
  </si>
  <si>
    <t xml:space="preserve">TK_TaxIns_H100</t>
  </si>
  <si>
    <t xml:space="preserve">IF_TaxIns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</si>
  <si>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財產稅與保險</t>
    </r>
  </si>
  <si>
    <t xml:space="preserve">Interface!C227:E227</t>
  </si>
  <si>
    <t xml:space="preserve">TK_TaxIns_GB200</t>
  </si>
  <si>
    <t xml:space="preserve">Interface!F227:H227</t>
  </si>
  <si>
    <t xml:space="preserve">TK_TaxIns_GB300</t>
  </si>
  <si>
    <t xml:space="preserve">Interface!I227:K227</t>
  </si>
  <si>
    <t xml:space="preserve">TK_TaxIns_VR200</t>
  </si>
  <si>
    <t xml:space="preserve">Interface!L227:N227</t>
  </si>
  <si>
    <t xml:space="preserve">TK_TaxIns_RU</t>
  </si>
  <si>
    <t xml:space="preserve">Interface!O227:Q227</t>
  </si>
  <si>
    <t xml:space="preserve">TK_AvgDraw_H100</t>
  </si>
  <si>
    <t xml:space="preserve">IF_AvgDraw</t>
  </si>
  <si>
    <r>
      <rPr>
        <sz val="10"/>
        <rFont val="Noto Sans CJK SC"/>
        <family val="2"/>
      </rPr>
      <t xml:space="preserve">平均用電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配電設計功率</t>
    </r>
  </si>
  <si>
    <t xml:space="preserve">Interface!C222:E222</t>
  </si>
  <si>
    <t xml:space="preserve">TK_AvgDraw_GB200</t>
  </si>
  <si>
    <t xml:space="preserve">Interface!F222:H222</t>
  </si>
  <si>
    <t xml:space="preserve">TK_AvgDraw_GB300</t>
  </si>
  <si>
    <t xml:space="preserve">Interface!I222:K222</t>
  </si>
  <si>
    <t xml:space="preserve">TK_AvgDraw_VR200</t>
  </si>
  <si>
    <t xml:space="preserve">Interface!L222:N222</t>
  </si>
  <si>
    <t xml:space="preserve">TK_AvgDraw_RU</t>
  </si>
  <si>
    <t xml:space="preserve">Interface!O222:Q222</t>
  </si>
  <si>
    <t xml:space="preserve">TK_FacilityGW_H100</t>
  </si>
  <si>
    <t xml:space="preserve">IF_FacilityGW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</si>
  <si>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IT GW </t>
    </r>
    <r>
      <rPr>
        <sz val="10"/>
        <rFont val="Noto Sans CJK SC"/>
        <family val="2"/>
      </rPr>
      <t xml:space="preserve">對應設施電力</t>
    </r>
  </si>
  <si>
    <t xml:space="preserve">GW</t>
  </si>
  <si>
    <t xml:space="preserve">Interface!C8:E8</t>
  </si>
  <si>
    <t xml:space="preserve">TK_FacilityGW_GB200</t>
  </si>
  <si>
    <t xml:space="preserve">Interface!F8:H8</t>
  </si>
  <si>
    <t xml:space="preserve">TK_FacilityGW_GB300</t>
  </si>
  <si>
    <t xml:space="preserve">Interface!I8:K8</t>
  </si>
  <si>
    <t xml:space="preserve">TK_FacilityGW_VR200</t>
  </si>
  <si>
    <t xml:space="preserve">Interface!L8:N8</t>
  </si>
  <si>
    <t xml:space="preserve">TK_FacilityGW_RU</t>
  </si>
  <si>
    <t xml:space="preserve">Interface!O8:Q8</t>
  </si>
  <si>
    <t xml:space="preserve">TK_GPUsPerGW_H100</t>
  </si>
  <si>
    <t xml:space="preserve">IF_GPUsPerGW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</si>
  <si>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GPU </t>
    </r>
    <r>
      <rPr>
        <sz val="10"/>
        <rFont val="Noto Sans CJK SC"/>
        <family val="2"/>
      </rPr>
      <t xml:space="preserve">數</t>
    </r>
  </si>
  <si>
    <t xml:space="preserve">顆</t>
  </si>
  <si>
    <t xml:space="preserve">Interface!C7:E7</t>
  </si>
  <si>
    <t xml:space="preserve">TK_GPUsPerGW_GB200</t>
  </si>
  <si>
    <t xml:space="preserve">Interface!F7:H7</t>
  </si>
  <si>
    <t xml:space="preserve">TK_GPUsPerGW_GB300</t>
  </si>
  <si>
    <t xml:space="preserve">Interface!I7:K7</t>
  </si>
  <si>
    <t xml:space="preserve">TK_GPUsPerGW_VR200</t>
  </si>
  <si>
    <t xml:space="preserve">Interface!L7:N7</t>
  </si>
  <si>
    <t xml:space="preserve">TK_GPUsPerGW_RU</t>
  </si>
  <si>
    <t xml:space="preserve">Interface!O7:Q7</t>
  </si>
  <si>
    <t xml:space="preserve">TK_RacksPerGW_H100</t>
  </si>
  <si>
    <t xml:space="preserve">IF_RacksPerGW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</si>
  <si>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機架數</t>
    </r>
  </si>
  <si>
    <t xml:space="preserve">架</t>
  </si>
  <si>
    <t xml:space="preserve">Interface!C6:E6</t>
  </si>
  <si>
    <t xml:space="preserve">TK_RacksPerGW_GB200</t>
  </si>
  <si>
    <t xml:space="preserve">Interface!F6:H6</t>
  </si>
  <si>
    <t xml:space="preserve">TK_RacksPerGW_GB300</t>
  </si>
  <si>
    <t xml:space="preserve">Interface!I6:K6</t>
  </si>
  <si>
    <t xml:space="preserve">TK_RacksPerGW_VR200</t>
  </si>
  <si>
    <t xml:space="preserve">Interface!L6:N6</t>
  </si>
  <si>
    <t xml:space="preserve">TK_RacksPerGW_RU</t>
  </si>
  <si>
    <t xml:space="preserve">Interface!O6:Q6</t>
  </si>
  <si>
    <t xml:space="preserve">TK_Util</t>
  </si>
  <si>
    <t xml:space="preserve">IF_Util</t>
  </si>
  <si>
    <r>
      <rPr>
        <sz val="10"/>
        <rFont val="Noto Sans CJK SC"/>
        <family val="2"/>
      </rPr>
      <t xml:space="preserve">基準利用率（第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層；下游可覆寫）</t>
    </r>
  </si>
  <si>
    <t xml:space="preserve">Interface!C48</t>
  </si>
  <si>
    <t xml:space="preserve">TK_RevGWFleet_H100</t>
  </si>
  <si>
    <t xml:space="preserve">IF_RevGWFleet</t>
  </si>
  <si>
    <r>
      <rPr>
        <sz val="10"/>
        <rFont val="Noto Sans CJK SC"/>
        <family val="2"/>
      </rPr>
      <t xml:space="preserve">付費服務營收合計（層級組合）— </t>
    </r>
    <r>
      <rPr>
        <sz val="10"/>
        <rFont val="Arial"/>
        <family val="0"/>
        <charset val="1"/>
      </rPr>
      <t xml:space="preserve">OpenAI </t>
    </r>
    <r>
      <rPr>
        <sz val="10"/>
        <rFont val="Noto Sans CJK SC"/>
        <family val="2"/>
      </rPr>
      <t xml:space="preserve">有效單價（理想上限）</t>
    </r>
  </si>
  <si>
    <t xml:space="preserve">Interface!C143:E143</t>
  </si>
  <si>
    <t xml:space="preserve">TK_RevGWFleet_GB200</t>
  </si>
  <si>
    <t xml:space="preserve">Interface!F143:H143</t>
  </si>
  <si>
    <t xml:space="preserve">TK_RevGWFleet_GB300</t>
  </si>
  <si>
    <t xml:space="preserve">Interface!I143:K143</t>
  </si>
  <si>
    <t xml:space="preserve">TK_RevGWFleet_VR200</t>
  </si>
  <si>
    <t xml:space="preserve">Interface!L143:N143</t>
  </si>
  <si>
    <t xml:space="preserve">TK_RevGWFleet_RU</t>
  </si>
  <si>
    <t xml:space="preserve">Interface!O143:Q143</t>
  </si>
  <si>
    <t xml:space="preserve">TK_GPUhr_Hopper</t>
  </si>
  <si>
    <t xml:space="preserve">L1_GPUhr_Hopper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</si>
  <si>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小時持有成本 — 經濟（</t>
    </r>
    <r>
      <rPr>
        <sz val="10"/>
        <rFont val="Arial"/>
        <family val="0"/>
        <charset val="1"/>
      </rPr>
      <t xml:space="preserve">Hopper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</si>
  <si>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L1!D15</t>
    </r>
    <r>
      <rPr>
        <sz val="9"/>
        <color rgb="FF595959"/>
        <rFont val="Noto Sans CJK SC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E15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F15</t>
    </r>
    <r>
      <rPr>
        <sz val="9"/>
        <color rgb="FF595959"/>
        <rFont val="Noto Sans CJK SC"/>
        <family val="2"/>
      </rPr>
      <t xml:space="preserve">；成本角落情境（低成本／高成本欄））</t>
    </r>
  </si>
  <si>
    <t xml:space="preserve">TK_GPUhr_GB200</t>
  </si>
  <si>
    <t xml:space="preserve">L1_GPUhr_GB200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</si>
  <si>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小時持有成本 — 經濟（</t>
    </r>
    <r>
      <rPr>
        <sz val="10"/>
        <rFont val="Arial"/>
        <family val="0"/>
        <charset val="1"/>
      </rPr>
      <t xml:space="preserve">GB200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</si>
  <si>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L1!D16</t>
    </r>
    <r>
      <rPr>
        <sz val="9"/>
        <color rgb="FF595959"/>
        <rFont val="Noto Sans CJK SC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E16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F16</t>
    </r>
    <r>
      <rPr>
        <sz val="9"/>
        <color rgb="FF595959"/>
        <rFont val="Noto Sans CJK SC"/>
        <family val="2"/>
      </rPr>
      <t xml:space="preserve">；成本角落情境（低成本／高成本欄））</t>
    </r>
  </si>
  <si>
    <t xml:space="preserve">TK_GPUhr_GB300</t>
  </si>
  <si>
    <t xml:space="preserve">L1_GPUhr_GB300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</si>
  <si>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小時持有成本 — 經濟（</t>
    </r>
    <r>
      <rPr>
        <sz val="10"/>
        <rFont val="Arial"/>
        <family val="0"/>
        <charset val="1"/>
      </rPr>
      <t xml:space="preserve">GB300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</si>
  <si>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L1!D17</t>
    </r>
    <r>
      <rPr>
        <sz val="9"/>
        <color rgb="FF595959"/>
        <rFont val="Noto Sans CJK SC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E17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F17</t>
    </r>
    <r>
      <rPr>
        <sz val="9"/>
        <color rgb="FF595959"/>
        <rFont val="Noto Sans CJK SC"/>
        <family val="2"/>
      </rPr>
      <t xml:space="preserve">；成本角落情境（低成本／高成本欄））</t>
    </r>
  </si>
  <si>
    <t xml:space="preserve">TK_GPUhr_VR200</t>
  </si>
  <si>
    <t xml:space="preserve">L1_GPUhr_VR200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</si>
  <si>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小時持有成本 — 經濟（</t>
    </r>
    <r>
      <rPr>
        <sz val="10"/>
        <rFont val="Arial"/>
        <family val="0"/>
        <charset val="1"/>
      </rPr>
      <t xml:space="preserve">VR200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</si>
  <si>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L1!D18</t>
    </r>
    <r>
      <rPr>
        <sz val="9"/>
        <color rgb="FF595959"/>
        <rFont val="Noto Sans CJK SC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E18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F18</t>
    </r>
    <r>
      <rPr>
        <sz val="9"/>
        <color rgb="FF595959"/>
        <rFont val="Noto Sans CJK SC"/>
        <family val="2"/>
      </rPr>
      <t xml:space="preserve">；成本角落情境（低成本／高成本欄））</t>
    </r>
  </si>
  <si>
    <t xml:space="preserve">TK_HoldEconGW_Hopper</t>
  </si>
  <si>
    <t xml:space="preserve">L1_HoldEconGW_Hopper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</si>
  <si>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年經濟持有成本（</t>
    </r>
    <r>
      <rPr>
        <sz val="10"/>
        <rFont val="Arial"/>
        <family val="0"/>
        <charset val="1"/>
      </rPr>
      <t xml:space="preserve">Hopper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</si>
  <si>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$B/GW/</t>
    </r>
    <r>
      <rPr>
        <sz val="9"/>
        <color rgb="FF595959"/>
        <rFont val="Noto Sans CJK SC"/>
        <family val="2"/>
      </rPr>
      <t xml:space="preserve">年</t>
    </r>
  </si>
  <si>
    <r>
      <rPr>
        <sz val="9"/>
        <color rgb="FF595959"/>
        <rFont val="Arial"/>
        <family val="0"/>
        <charset val="1"/>
      </rPr>
      <t xml:space="preserve">L1!D11</t>
    </r>
    <r>
      <rPr>
        <sz val="9"/>
        <color rgb="FF595959"/>
        <rFont val="Noto Sans CJK SC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E11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F11</t>
    </r>
    <r>
      <rPr>
        <sz val="9"/>
        <color rgb="FF595959"/>
        <rFont val="Noto Sans CJK SC"/>
        <family val="2"/>
      </rPr>
      <t xml:space="preserve">；成本角落情境（低成本／高成本欄））</t>
    </r>
  </si>
  <si>
    <t xml:space="preserve">TK_HoldEconGW_GB200</t>
  </si>
  <si>
    <t xml:space="preserve">L1_HoldEconGW_GB200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</si>
  <si>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年經濟持有成本（</t>
    </r>
    <r>
      <rPr>
        <sz val="10"/>
        <rFont val="Arial"/>
        <family val="0"/>
        <charset val="1"/>
      </rPr>
      <t xml:space="preserve">GB200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</si>
  <si>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L1!D12</t>
    </r>
    <r>
      <rPr>
        <sz val="9"/>
        <color rgb="FF595959"/>
        <rFont val="Noto Sans CJK SC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E12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F12</t>
    </r>
    <r>
      <rPr>
        <sz val="9"/>
        <color rgb="FF595959"/>
        <rFont val="Noto Sans CJK SC"/>
        <family val="2"/>
      </rPr>
      <t xml:space="preserve">；成本角落情境（低成本／高成本欄））</t>
    </r>
  </si>
  <si>
    <t xml:space="preserve">TK_HoldEconGW_GB300</t>
  </si>
  <si>
    <t xml:space="preserve">L1_HoldEconGW_GB300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</si>
  <si>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年經濟持有成本（</t>
    </r>
    <r>
      <rPr>
        <sz val="10"/>
        <rFont val="Arial"/>
        <family val="0"/>
        <charset val="1"/>
      </rPr>
      <t xml:space="preserve">GB300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</si>
  <si>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L1!D13</t>
    </r>
    <r>
      <rPr>
        <sz val="9"/>
        <color rgb="FF595959"/>
        <rFont val="Noto Sans CJK SC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E13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F13</t>
    </r>
    <r>
      <rPr>
        <sz val="9"/>
        <color rgb="FF595959"/>
        <rFont val="Noto Sans CJK SC"/>
        <family val="2"/>
      </rPr>
      <t xml:space="preserve">；成本角落情境（低成本／高成本欄））</t>
    </r>
  </si>
  <si>
    <t xml:space="preserve">TK_HoldEconGW_VR200</t>
  </si>
  <si>
    <t xml:space="preserve">L1_HoldEconGW_VR200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</si>
  <si>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年經濟持有成本（</t>
    </r>
    <r>
      <rPr>
        <sz val="10"/>
        <rFont val="Arial"/>
        <family val="0"/>
        <charset val="1"/>
      </rPr>
      <t xml:space="preserve">VR200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</si>
  <si>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L1!D14</t>
    </r>
    <r>
      <rPr>
        <sz val="9"/>
        <color rgb="FF595959"/>
        <rFont val="Noto Sans CJK SC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E14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F14</t>
    </r>
    <r>
      <rPr>
        <sz val="9"/>
        <color rgb="FF595959"/>
        <rFont val="Noto Sans CJK SC"/>
        <family val="2"/>
      </rPr>
      <t xml:space="preserve">；成本角落情境（低成本／高成本欄））</t>
    </r>
  </si>
  <si>
    <t xml:space="preserve">TK_NvContentGW_VR200</t>
  </si>
  <si>
    <t xml:space="preserve">L1_NvContentGW_VR200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</si>
  <si>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NVIDIA </t>
    </r>
    <r>
      <rPr>
        <sz val="10"/>
        <rFont val="Noto Sans CJK SC"/>
        <family val="2"/>
      </rPr>
      <t xml:space="preserve">內容（機架，</t>
    </r>
    <r>
      <rPr>
        <sz val="10"/>
        <rFont val="Arial"/>
        <family val="0"/>
        <charset val="1"/>
      </rPr>
      <t xml:space="preserve">VR200</t>
    </r>
    <r>
      <rPr>
        <sz val="10"/>
        <rFont val="Noto Sans CJK SC"/>
        <family val="2"/>
      </rPr>
      <t xml:space="preserve">）</t>
    </r>
  </si>
  <si>
    <t xml:space="preserve">$B/GW</t>
  </si>
  <si>
    <r>
      <rPr>
        <sz val="9"/>
        <color rgb="FF595959"/>
        <rFont val="Arial"/>
        <family val="0"/>
        <charset val="1"/>
      </rPr>
      <t xml:space="preserve">L1!D9</t>
    </r>
    <r>
      <rPr>
        <sz val="9"/>
        <color rgb="FF595959"/>
        <rFont val="Noto Sans CJK SC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E9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F9</t>
    </r>
    <r>
      <rPr>
        <sz val="9"/>
        <color rgb="FF595959"/>
        <rFont val="Noto Sans CJK SC"/>
        <family val="2"/>
      </rPr>
      <t xml:space="preserve">；成本角落情境（低成本／高成本欄））</t>
    </r>
  </si>
  <si>
    <t xml:space="preserve">TK_NonNVRatio</t>
  </si>
  <si>
    <t xml:space="preserve">IF_NonNVRatio</t>
  </si>
  <si>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Tokenomics </t>
    </r>
    <r>
      <rPr>
        <sz val="10"/>
        <rFont val="Noto Sans CJK SC"/>
        <family val="2"/>
      </rPr>
      <t xml:space="preserve">尚無此名稱）</t>
    </r>
  </si>
  <si>
    <r>
      <rPr>
        <sz val="9"/>
        <color rgb="FF595959"/>
        <rFont val="Arial"/>
        <family val="0"/>
        <charset val="1"/>
      </rPr>
      <t xml:space="preserve">v5.27 </t>
    </r>
    <r>
      <rPr>
        <sz val="9"/>
        <color rgb="FF595959"/>
        <rFont val="Noto Sans CJK SC"/>
        <family val="2"/>
      </rPr>
      <t xml:space="preserve">無此名稱（列為 </t>
    </r>
    <r>
      <rPr>
        <sz val="9"/>
        <color rgb="FF595959"/>
        <rFont val="Arial"/>
        <family val="0"/>
        <charset val="1"/>
      </rPr>
      <t xml:space="preserve">optional</t>
    </r>
    <r>
      <rPr>
        <sz val="9"/>
        <color rgb="FF595959"/>
        <rFont val="Noto Sans CJK SC"/>
        <family val="2"/>
      </rPr>
      <t xml:space="preserve">，資料缺口已回報）；未建具名範圍</t>
    </r>
  </si>
  <si>
    <t xml:space="preserve">TK_NonNVCostRatio</t>
  </si>
  <si>
    <t xml:space="preserve">IF_NonNVCostRatio</t>
  </si>
</sst>
</file>

<file path=xl/styles.xml><?xml version="1.0" encoding="utf-8"?>
<styleSheet xmlns="http://schemas.openxmlformats.org/spreadsheetml/2006/main">
  <numFmts count="20">
    <numFmt numFmtId="164" formatCode="General"/>
    <numFmt numFmtId="165" formatCode="#,##0;\(#,##0\);\-"/>
    <numFmt numFmtId="166" formatCode="#,##0.00;\(#,##0.00\);\-"/>
    <numFmt numFmtId="167" formatCode="\$#,##0.00;&quot;($&quot;#,##0.00\);\-"/>
    <numFmt numFmtId="168" formatCode="0.0%"/>
    <numFmt numFmtId="169" formatCode="0.0\x"/>
    <numFmt numFmtId="170" formatCode="#,##0.0;\(#,##0.0\);\-"/>
    <numFmt numFmtId="171" formatCode="@"/>
    <numFmt numFmtId="172" formatCode="0.0000"/>
    <numFmt numFmtId="173" formatCode="0.000"/>
    <numFmt numFmtId="174" formatCode="0.00%"/>
    <numFmt numFmtId="175" formatCode="0.00"/>
    <numFmt numFmtId="176" formatCode="#,##0.000"/>
    <numFmt numFmtId="177" formatCode="0.0000%"/>
    <numFmt numFmtId="178" formatCode="0.000000"/>
    <numFmt numFmtId="179" formatCode="0.000%"/>
    <numFmt numFmtId="180" formatCode="0.00\x"/>
    <numFmt numFmtId="181" formatCode="0.0"/>
    <numFmt numFmtId="182" formatCode="0%"/>
    <numFmt numFmtId="183" formatCode="#,##0.0000;\(#,##0.0000\);\-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Noto Sans CJK SC"/>
      <family val="2"/>
    </font>
    <font>
      <b val="true"/>
      <sz val="10"/>
      <name val="Noto Sans CJK SC"/>
      <family val="2"/>
    </font>
    <font>
      <sz val="10"/>
      <name val="Noto Sans CJK SC"/>
      <family val="2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9"/>
      <color rgb="FF595959"/>
      <name val="Noto Sans CJK SC"/>
      <family val="2"/>
    </font>
    <font>
      <sz val="9"/>
      <color rgb="FF595959"/>
      <name val="Arial"/>
      <family val="0"/>
      <charset val="1"/>
    </font>
    <font>
      <b val="true"/>
      <sz val="11"/>
      <color rgb="FFFFFFFF"/>
      <name val="Noto Sans CJK SC"/>
      <family val="2"/>
    </font>
    <font>
      <b val="true"/>
      <sz val="11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1F3864"/>
      <name val="Noto Sans CJK SC"/>
      <family val="2"/>
    </font>
    <font>
      <b val="true"/>
      <sz val="10"/>
      <color rgb="FF1F3864"/>
      <name val="Arial"/>
      <family val="0"/>
      <charset val="1"/>
    </font>
    <font>
      <sz val="10"/>
      <color rgb="FF008000"/>
      <name val="Arial"/>
      <family val="0"/>
      <charset val="1"/>
    </font>
    <font>
      <sz val="11"/>
      <color theme="1"/>
      <name val="Noto Sans CJK SC"/>
      <family val="2"/>
    </font>
    <font>
      <sz val="10"/>
      <color rgb="FF0000FF"/>
      <name val="Noto Sans CJK SC"/>
      <family val="2"/>
    </font>
  </fonts>
  <fills count="7">
    <fill>
      <patternFill patternType="none"/>
    </fill>
    <fill>
      <patternFill patternType="gray125"/>
    </fill>
    <fill>
      <patternFill patternType="solid">
        <fgColor rgb="FFD9E2F3"/>
        <bgColor rgb="FFE3F1E8"/>
      </patternFill>
    </fill>
    <fill>
      <patternFill patternType="solid">
        <fgColor rgb="FF1F3864"/>
        <bgColor rgb="FF333399"/>
      </patternFill>
    </fill>
    <fill>
      <patternFill patternType="solid">
        <fgColor rgb="FFFFFF00"/>
        <bgColor rgb="FFFFFF00"/>
      </patternFill>
    </fill>
    <fill>
      <patternFill patternType="solid">
        <fgColor rgb="FFEEF2F7"/>
        <bgColor rgb="FFE3F1E8"/>
      </patternFill>
    </fill>
    <fill>
      <patternFill patternType="solid">
        <fgColor rgb="FF0F5C61"/>
        <bgColor rgb="FF0F6B4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83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E3F1E8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F1239"/>
      <rgbColor rgb="FF008000"/>
      <rgbColor rgb="FF000080"/>
      <rgbColor rgb="FF808000"/>
      <rgbColor rgb="FF800080"/>
      <rgbColor rgb="FF0F6B4C"/>
      <rgbColor rgb="FFBFBFBF"/>
      <rgbColor rgb="FF808080"/>
      <rgbColor rgb="FF9999FF"/>
      <rgbColor rgb="FF993366"/>
      <rgbColor rgb="FFEEF2F7"/>
      <rgbColor rgb="FFE3F1E8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F5C61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B5778"/>
      <rgbColor rgb="FFC4A35A"/>
      <rgbColor rgb="FF1F3864"/>
      <rgbColor rgb="FF339966"/>
      <rgbColor rgb="FF003300"/>
      <rgbColor rgb="FF333300"/>
      <rgbColor rgb="FF993300"/>
      <rgbColor rgb="FF993366"/>
      <rgbColor rgb="FF333399"/>
      <rgbColor rgb="FF59595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4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8"/>
  </cols>
  <sheetData>
    <row r="1" customFormat="false" ht="21.6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3" t="s">
        <v>3</v>
      </c>
    </row>
    <row r="6" customFormat="false" ht="15" hidden="false" customHeight="false" outlineLevel="0" collapsed="false">
      <c r="A6" s="3"/>
    </row>
    <row r="7" customFormat="false" ht="15" hidden="false" customHeight="false" outlineLevel="0" collapsed="false">
      <c r="A7" s="2" t="s">
        <v>4</v>
      </c>
    </row>
    <row r="8" customFormat="false" ht="15" hidden="false" customHeight="false" outlineLevel="0" collapsed="false">
      <c r="A8" s="3" t="s">
        <v>5</v>
      </c>
    </row>
    <row r="9" customFormat="false" ht="15" hidden="false" customHeight="false" outlineLevel="0" collapsed="false">
      <c r="A9" s="3" t="s">
        <v>6</v>
      </c>
    </row>
    <row r="10" customFormat="false" ht="15" hidden="false" customHeight="false" outlineLevel="0" collapsed="false">
      <c r="A10" s="3" t="s">
        <v>7</v>
      </c>
    </row>
    <row r="11" customFormat="false" ht="15" hidden="false" customHeight="false" outlineLevel="0" collapsed="false">
      <c r="A11" s="3" t="s">
        <v>8</v>
      </c>
    </row>
    <row r="12" customFormat="false" ht="15" hidden="false" customHeight="false" outlineLevel="0" collapsed="false">
      <c r="A12" s="3" t="s">
        <v>9</v>
      </c>
    </row>
    <row r="13" customFormat="false" ht="15" hidden="false" customHeight="false" outlineLevel="0" collapsed="false">
      <c r="A13" s="3" t="s">
        <v>10</v>
      </c>
    </row>
    <row r="14" customFormat="false" ht="15" hidden="false" customHeight="false" outlineLevel="0" collapsed="false">
      <c r="A14" s="3" t="s">
        <v>11</v>
      </c>
    </row>
    <row r="15" customFormat="false" ht="15" hidden="false" customHeight="false" outlineLevel="0" collapsed="false">
      <c r="A15" s="3" t="s">
        <v>12</v>
      </c>
    </row>
    <row r="16" customFormat="false" ht="15" hidden="false" customHeight="false" outlineLevel="0" collapsed="false">
      <c r="A16" s="3" t="s">
        <v>13</v>
      </c>
    </row>
    <row r="17" customFormat="false" ht="15" hidden="false" customHeight="false" outlineLevel="0" collapsed="false">
      <c r="A17" s="3" t="s">
        <v>14</v>
      </c>
    </row>
    <row r="18" customFormat="false" ht="15" hidden="false" customHeight="false" outlineLevel="0" collapsed="false">
      <c r="A18" s="3" t="s">
        <v>15</v>
      </c>
    </row>
    <row r="19" customFormat="false" ht="15" hidden="false" customHeight="false" outlineLevel="0" collapsed="false">
      <c r="A19" s="3"/>
    </row>
    <row r="20" customFormat="false" ht="15" hidden="false" customHeight="false" outlineLevel="0" collapsed="false">
      <c r="A20" s="2" t="s">
        <v>16</v>
      </c>
    </row>
    <row r="21" customFormat="false" ht="15" hidden="false" customHeight="false" outlineLevel="0" collapsed="false">
      <c r="A21" s="3" t="s">
        <v>17</v>
      </c>
    </row>
    <row r="22" customFormat="false" ht="15" hidden="false" customHeight="false" outlineLevel="0" collapsed="false">
      <c r="A22" s="3"/>
    </row>
    <row r="23" customFormat="false" ht="15" hidden="false" customHeight="false" outlineLevel="0" collapsed="false">
      <c r="A23" s="2" t="s">
        <v>18</v>
      </c>
    </row>
    <row r="24" customFormat="false" ht="15" hidden="false" customHeight="false" outlineLevel="0" collapsed="false">
      <c r="A24" s="3" t="s">
        <v>19</v>
      </c>
    </row>
    <row r="25" customFormat="false" ht="15" hidden="false" customHeight="false" outlineLevel="0" collapsed="false">
      <c r="A25" s="3" t="s">
        <v>20</v>
      </c>
    </row>
    <row r="26" customFormat="false" ht="15" hidden="false" customHeight="false" outlineLevel="0" collapsed="false">
      <c r="A26" s="4" t="s">
        <v>21</v>
      </c>
    </row>
    <row r="27" customFormat="false" ht="15" hidden="false" customHeight="false" outlineLevel="0" collapsed="false">
      <c r="A27" s="3"/>
    </row>
    <row r="28" customFormat="false" ht="15" hidden="false" customHeight="false" outlineLevel="0" collapsed="false">
      <c r="A28" s="2" t="s">
        <v>22</v>
      </c>
    </row>
    <row r="29" customFormat="false" ht="15" hidden="false" customHeight="false" outlineLevel="0" collapsed="false">
      <c r="A29" s="3" t="s">
        <v>23</v>
      </c>
    </row>
    <row r="30" customFormat="false" ht="15" hidden="false" customHeight="false" outlineLevel="0" collapsed="false">
      <c r="A30" s="4" t="s">
        <v>24</v>
      </c>
    </row>
    <row r="31" customFormat="false" ht="15" hidden="false" customHeight="false" outlineLevel="0" collapsed="false">
      <c r="A31" s="3"/>
    </row>
    <row r="32" customFormat="false" ht="15" hidden="false" customHeight="false" outlineLevel="0" collapsed="false">
      <c r="A32" s="2" t="s">
        <v>25</v>
      </c>
    </row>
    <row r="33" customFormat="false" ht="15" hidden="false" customHeight="false" outlineLevel="0" collapsed="false">
      <c r="A33" s="3" t="s">
        <v>26</v>
      </c>
    </row>
    <row r="34" customFormat="false" ht="15" hidden="false" customHeight="false" outlineLevel="0" collapsed="false">
      <c r="A34" s="3" t="s">
        <v>27</v>
      </c>
    </row>
    <row r="35" customFormat="false" ht="15" hidden="false" customHeight="false" outlineLevel="0" collapsed="false">
      <c r="A35" s="3"/>
    </row>
    <row r="36" customFormat="false" ht="15" hidden="false" customHeight="false" outlineLevel="0" collapsed="false">
      <c r="A36" s="2" t="s">
        <v>28</v>
      </c>
    </row>
    <row r="37" customFormat="false" ht="15" hidden="false" customHeight="false" outlineLevel="0" collapsed="false">
      <c r="A37" s="3" t="s">
        <v>29</v>
      </c>
    </row>
    <row r="38" customFormat="false" ht="15" hidden="false" customHeight="false" outlineLevel="0" collapsed="false">
      <c r="A38" s="3" t="s">
        <v>30</v>
      </c>
    </row>
    <row r="39" customFormat="false" ht="15" hidden="false" customHeight="false" outlineLevel="0" collapsed="false">
      <c r="A39" s="3"/>
    </row>
    <row r="40" customFormat="false" ht="15" hidden="false" customHeight="false" outlineLevel="0" collapsed="false">
      <c r="A40" s="2" t="s">
        <v>31</v>
      </c>
    </row>
    <row r="41" customFormat="false" ht="15" hidden="false" customHeight="false" outlineLevel="0" collapsed="false">
      <c r="A41" s="3" t="s">
        <v>32</v>
      </c>
    </row>
    <row r="42" customFormat="false" ht="15" hidden="false" customHeight="false" outlineLevel="0" collapsed="false">
      <c r="A42" s="4" t="s">
        <v>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outlinePr summaryBelow="0" summaryRight="1"/>
    <pageSetUpPr fitToPage="false"/>
  </sheetPr>
  <dimension ref="A1:I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40"/>
    <col collapsed="false" customWidth="true" hidden="false" outlineLevel="0" max="2" min="2" style="0" width="10"/>
    <col collapsed="false" customWidth="true" hidden="false" outlineLevel="0" max="7" min="3" style="0" width="13"/>
    <col collapsed="false" customWidth="true" hidden="false" outlineLevel="0" max="9" min="9" style="0" width="70"/>
  </cols>
  <sheetData>
    <row r="1" customFormat="false" ht="17.35" hidden="false" customHeight="false" outlineLevel="0" collapsed="false">
      <c r="A1" s="5" t="s">
        <v>34</v>
      </c>
    </row>
    <row r="2" customFormat="false" ht="15" hidden="false" customHeight="false" outlineLevel="0" collapsed="false">
      <c r="A2" s="6" t="str">
        <f aca="false">"模型端＝目前情境：" &amp; CHOOSE(輸入與假設!$C$5,"保守 已交付＋已公開在建","基準 依資本支出指引","積極 依 2027 擴張幅度") &amp; "（預設＝基準）；共識＝data/consensus_googl_20261008.json（2026-10-08）"</f>
        <v>模型端＝目前情境：基準 依資本支出指引（預設＝基準）；共識＝data/consensus_googl_20261008.json（2026-10-08）</v>
      </c>
    </row>
    <row r="4" customFormat="false" ht="15" hidden="false" customHeight="false" outlineLevel="0" collapsed="false">
      <c r="A4" s="7" t="s">
        <v>35</v>
      </c>
      <c r="B4" s="8"/>
      <c r="C4" s="8"/>
      <c r="D4" s="8"/>
      <c r="E4" s="8"/>
      <c r="F4" s="8"/>
      <c r="G4" s="8"/>
      <c r="H4" s="8"/>
    </row>
    <row r="5" customFormat="false" ht="15" hidden="false" customHeight="false" outlineLevel="1" collapsed="false">
      <c r="A5" s="3" t="s">
        <v>36</v>
      </c>
      <c r="C5" s="9" t="n">
        <f aca="false">評價_DCF與目標價!C99</f>
        <v>-1</v>
      </c>
    </row>
    <row r="6" customFormat="false" ht="15" hidden="false" customHeight="false" outlineLevel="1" collapsed="false">
      <c r="A6" s="3" t="s">
        <v>37</v>
      </c>
      <c r="C6" s="10" t="str">
        <f aca="false">CHOOSE(C5+2,"賣出","中立","買進")</f>
        <v>賣出</v>
      </c>
    </row>
    <row r="7" customFormat="false" ht="15" hidden="false" customHeight="false" outlineLevel="1" collapsed="false">
      <c r="A7" s="2" t="s">
        <v>38</v>
      </c>
      <c r="B7" s="11" t="s">
        <v>39</v>
      </c>
      <c r="C7" s="12" t="n">
        <f aca="false">評價_DCF與目標價!C51</f>
        <v>150.523278047555</v>
      </c>
    </row>
    <row r="8" customFormat="false" ht="15" hidden="false" customHeight="false" outlineLevel="1" collapsed="false">
      <c r="A8" s="3" t="s">
        <v>40</v>
      </c>
      <c r="B8" s="11" t="s">
        <v>39</v>
      </c>
      <c r="C8" s="12" t="n">
        <f aca="false">輸入與假設!$C$355</f>
        <v>350.5</v>
      </c>
    </row>
    <row r="9" customFormat="false" ht="15" hidden="false" customHeight="false" outlineLevel="1" collapsed="false">
      <c r="A9" s="3" t="s">
        <v>41</v>
      </c>
      <c r="B9" s="11" t="s">
        <v>42</v>
      </c>
      <c r="C9" s="13" t="n">
        <f aca="false">C7/C8-1</f>
        <v>-0.570546995584722</v>
      </c>
    </row>
    <row r="10" customFormat="false" ht="15" hidden="false" customHeight="false" outlineLevel="1" collapsed="false">
      <c r="A10" s="3" t="s">
        <v>43</v>
      </c>
      <c r="B10" s="11" t="s">
        <v>39</v>
      </c>
      <c r="C10" s="12" t="n">
        <f aca="false">評價_DCF與目標價!C104</f>
        <v>130.314303022505</v>
      </c>
      <c r="D10" s="12" t="n">
        <f aca="false">評價_DCF與目標價!D104</f>
        <v>174.813411581545</v>
      </c>
    </row>
    <row r="11" customFormat="false" ht="15" hidden="false" customHeight="false" outlineLevel="1" collapsed="false">
      <c r="A11" s="3" t="s">
        <v>44</v>
      </c>
      <c r="B11" s="11" t="s">
        <v>39</v>
      </c>
      <c r="C11" s="12" t="n">
        <f aca="false">評價_DCF與目標價!C106</f>
        <v>148.785636681715</v>
      </c>
      <c r="D11" s="12" t="n">
        <f aca="false">評價_DCF與目標價!D106</f>
        <v>150.523278047555</v>
      </c>
    </row>
    <row r="12" customFormat="false" ht="15" hidden="false" customHeight="false" outlineLevel="1" collapsed="false">
      <c r="A12" s="3" t="s">
        <v>45</v>
      </c>
      <c r="B12" s="11" t="s">
        <v>39</v>
      </c>
      <c r="C12" s="12" t="n">
        <f aca="false">評價_DCF與目標價!$C$100</f>
        <v>297.925</v>
      </c>
    </row>
    <row r="13" customFormat="false" ht="15" hidden="false" customHeight="false" outlineLevel="1" collapsed="false">
      <c r="A13" s="3" t="s">
        <v>46</v>
      </c>
      <c r="B13" s="11" t="s">
        <v>39</v>
      </c>
      <c r="C13" s="12" t="n">
        <f aca="false">C7-C12</f>
        <v>-147.401721952445</v>
      </c>
    </row>
    <row r="14" customFormat="false" ht="15" hidden="false" customHeight="false" outlineLevel="1" collapsed="false">
      <c r="A14" s="2" t="s">
        <v>47</v>
      </c>
      <c r="C14" s="10" t="str">
        <f aca="false">C6&amp;"：點位 $"&amp;TEXT(C7,"0.0")&amp;"，較現價 $"&amp;TEXT(C8,"0.00")&amp;" "&amp;IF(C9&gt;=0,"高","低")&amp;" "&amp;TEXT(ABS(C9)*100,"0")&amp;"%；情境區間 $"&amp;TEXT(C10,"0.0")&amp;"–$"&amp;TEXT(D10,"0.0")&amp;"，方法區間 $"&amp;TEXT(C11,"0.0")&amp;"–$"&amp;TEXT(D11,"0.0")&amp;"；點位"&amp;IF(C13&lt;0,"低於","高於")&amp;"賣出門檻 $"&amp;TEXT(C12,"0.0")&amp;" 達 $"&amp;TEXT(ABS(C13),"0.0")&amp;"。"</f>
        <v>賣出：點位 $150.5，較現價 $350.50 低 57%；情境區間 $130.3–$174.8，方法區間 $148.8–$150.5；點位低於賣出門檻 $297.9 達 $147.4。</v>
      </c>
    </row>
    <row r="15" customFormat="false" ht="15" hidden="false" customHeight="false" outlineLevel="1" collapsed="false">
      <c r="A15" s="3" t="s">
        <v>48</v>
      </c>
      <c r="C15" s="10" t="str">
        <f aca="false">評價_DCF與目標價!C120</f>
        <v>情境區間上緣 $174.8 低於現價 $350.50：賣出在三個擴張情境下都成立。</v>
      </c>
    </row>
    <row r="16" customFormat="false" ht="15" hidden="false" customHeight="false" outlineLevel="1" collapsed="false">
      <c r="A16" s="2" t="s">
        <v>49</v>
      </c>
      <c r="C16" s="10" t="str">
        <f aca="false">IF(OR(輸入與假設!$C$323="ebitda",輸入與假設!$C$323="leaseAdj"),"需失去投資級才能融資的金額："&amp;IF(SUM(各期收支!C93:G93)&gt;0.05,"$"&amp;TEXT(SUM(各期收支!C93:G93),"0.0")&amp;"bn（五期高息債溢出）","$0")&amp;"；投資級上限＝"&amp;IF(輸入與假設!$C$323="leaseAdj","(總債務＋租賃負債) ≤ "&amp;IF(輸入與假設!$C$324=INT(輸入與假設!$C$324),TEXT(輸入與假設!$C$324,"0"),TEXT(輸入與假設!$C$324,"0.0"))&amp;"×(EBITDA＋租金)","總債務 ≤ "&amp;IF(輸入與假設!$C$324=INT(輸入與假設!$C$324),TEXT(輸入與假設!$C$324,"0"),TEXT(輸入與假設!$C$324,"0.0"))&amp;"× 當期 EBITDA")&amp;"，股權每年 ≤ 現市值 "&amp;IF(ROUND(ABS(輸入與假設!$C$334)*100,4)=INT(ROUND(ABS(輸入與假設!$C$334)*100,4)),TEXT(ROUND(ABS(輸入與假設!$C$334)*100,4),"0"),TEXT(ROUND(ABS(輸入與假設!$C$334)*100,4),"0.0"))&amp;"%"&amp;"。","")</f>
        <v>需失去投資級才能融資的金額：$0；投資級上限＝(總債務＋租賃負債) ≤ 3×(EBITDA＋租金)，股權每年 ≤ 現市值 5%。</v>
      </c>
    </row>
    <row r="17" customFormat="false" ht="15" hidden="false" customHeight="false" outlineLevel="1" collapsed="false">
      <c r="A17" s="2" t="s">
        <v>50</v>
      </c>
      <c r="C17" s="10" t="str">
        <f aca="false">"調整後槓桿（(債務＋租賃負債) ÷ (EBITDA＋租金)）路徑 "&amp;TEXT(資產負債_新債與新股!C37,"0.0")&amp;"／"&amp;TEXT(資產負債_新債與新股!D37,"0.0")&amp;"／"&amp;TEXT(資產負債_新債與新股!E37,"0.0")&amp;"／"&amp;TEXT(資產負債_新債與新股!F37,"0.0")&amp;"／"&amp;TEXT(資產負債_新債與新股!G37,"0.0")&amp;"×；上限 "&amp;IF(輸入與假設!$C$324=INT(輸入與假設!$C$324),TEXT(輸入與假設!$C$324,"0"),TEXT(輸入與假設!$C$324,"0.0"))&amp;"×，"&amp;IF(MAX(資產負債_新債與新股!$C$37:$G$37)&gt;輸入與假設!$C$324+0.000000001,CHOOSE(MATCH(MAX(資產負債_新債與新股!$C$37:$G$37),資產負債_新債與新股!$C$37:$G$37,0),"2026","2027","2028","2029","2030")&amp;" 超過 "&amp;TEXT(MAX(資產負債_新債與新股!$C$37:$G$37)-輸入與假設!$C$324,"0.0")&amp;"×：需股權或失去投資級。","最小空間 "&amp;TEXT(輸入與假設!$C$324-MAX(資產負債_新債與新股!$C$37:$G$37),"0.0")&amp;"×（"&amp;CHOOSE(MATCH(MAX(資產負債_新債與新股!$C$37:$G$37),資產負債_新債與新股!$C$37:$G$37,0),"2026","2027","2028","2029","2030")&amp;"）。")</f>
        <v>調整後槓桿（(債務＋租賃負債) ÷ (EBITDA＋租金)）路徑 0.6／0.6／0.5／0.5／0.4×；上限 3×，最小空間 2.4×（2026）。</v>
      </c>
    </row>
    <row r="18" customFormat="false" ht="15" hidden="false" customHeight="false" outlineLevel="1" collapsed="false">
      <c r="A18" s="2" t="s">
        <v>51</v>
      </c>
      <c r="C18" s="10" t="str">
        <f aca="false">"兩種讀法（自用 AI）：讀法 1（影子收入不進評價）$"&amp;TEXT(評價_DCF與目標價!C51,"0.00")&amp;"；讀法 2（自用 AI 價值中性：自用 MW 以 k＝1 計影子收入並進評價）$"&amp;TEXT(評價_DCF與目標價!C73,"0.00")&amp;"；差額 "&amp;IF(評價_DCF與目標價!C73-評價_DCF與目標價!C51&lt;0,"−","+")&amp;"$"&amp;TEXT(ABS(評價_DCF與目標價!C73-評價_DCF與目標價!C51),"0.00")&amp;"。主值取哪一個是 Andy 的判斷（待決）。"</f>
        <v>兩種讀法（自用 AI）：讀法 1（影子收入不進評價）$150.52；讀法 2（自用 AI 價值中性：自用 MW 以 k＝1 計影子收入並進評價）$218.18；差額 +$67.65。主值取哪一個是 Andy 的判斷（待決）。</v>
      </c>
    </row>
    <row r="19" customFormat="false" ht="15" hidden="false" customHeight="false" outlineLevel="1" collapsed="false">
      <c r="A19" s="2" t="s">
        <v>52</v>
      </c>
      <c r="C19" s="10" t="str">
        <f aca="false">"對外比例無揭露（目前 "&amp;TEXT(輸入與假設!$C$252*100,"0")&amp;"%，[Assumed]），是最大不確定："&amp;TEXT(評價_DCF與目標價!C112*100,"0")&amp;"% → $"&amp;TEXT(評價_DCF與目標價!D112,"0.00")&amp;"、"&amp;TEXT(評價_DCF與目標價!C113*100,"0")&amp;"% → $"&amp;TEXT(評價_DCF與目標價!D113,"0.00")&amp;"（基準 $"&amp;TEXT(評價_DCF與目標價!C51,"0.00")&amp;"）。"</f>
        <v>對外比例無揭露（目前 30%，[Assumed]），是最大不確定：10% → $108.23、50% → $180.54（基準 $150.52）。</v>
      </c>
    </row>
    <row r="20" customFormat="false" ht="15" hidden="false" customHeight="false" outlineLevel="1" collapsed="false">
      <c r="A20" s="2" t="s">
        <v>53</v>
      </c>
      <c r="C20" s="10" t="str">
        <f aca="false">"主命題（AI 資本支出有沒有賺到資金成本）：2029 對外 AI ROIC "&amp;TEXT(AI增量報酬!F23*100,"0.0")&amp;"% vs WACC "&amp;TEXT(輸入與假設!$C$382*100,"0.0")&amp;"%（"&amp;IF(AI增量報酬!F25&lt;0,"−","+")&amp;TEXT(ABS(AI增量報酬!F25)*100,"0.0")&amp;"pt）；打平 k "&amp;TEXT(AI增量報酬!C29,"0.00")&amp;"（目前 "&amp;TEXT(輸入與假設!$C$58,"0.00")&amp;"）；全 AI（含影子收入）"&amp;TEXT(AI增量報酬!F27*100,"0.0")&amp;"%。"</f>
        <v>主命題（AI 資本支出有沒有賺到資金成本）：2029 對外 AI ROIC 13.0% vs WACC 11.6%（+1.4pt）；打平 k 1.11（目前 1.15）；全 AI（含影子收入）13.0%。</v>
      </c>
    </row>
    <row r="21" customFormat="false" ht="15" hidden="false" customHeight="false" outlineLevel="1" collapsed="false">
      <c r="A21" s="2" t="s">
        <v>54</v>
      </c>
      <c r="C21" s="10" t="str">
        <f aca="false">"股東回饋與 FCF：FCF "&amp;IF(各期收支!C44&lt;0,"首次為負 2026（−$"&amp;TEXT(-各期收支!C44,"0.0")&amp;"bn）",IF(各期收支!D44&lt;0,"首次為負 2027（−$"&amp;TEXT(-各期收支!D44,"0.0")&amp;"bn）",IF(各期收支!E44&lt;0,"首次為負 2028（−$"&amp;TEXT(-各期收支!E44,"0.0")&amp;"bn）",IF(各期收支!F44&lt;0,"首次為負 2029（−$"&amp;TEXT(-各期收支!F44,"0.0")&amp;"bn）",IF(各期收支!G44&lt;0,"首次為負 2030（−$"&amp;TEXT(-各期收支!G44,"0.0")&amp;"bn）","五期皆為正")))))&amp;"；"&amp;IF(SUM(各期收支!C75:G75)&lt;=0.05,"無回購計畫（減少回購步驟不適用）",IF(SUM(各期收支!C77:G77)&gt;0,"回購被迫減少："&amp;MID(IF(各期收支!C77&gt;0.05,"、2026 $"&amp;TEXT(各期收支!C77,"0.0"),"")&amp;IF(各期收支!D77&gt;0.05,"、2027 $"&amp;TEXT(各期收支!D77,"0.0"),"")&amp;IF(各期收支!E77&gt;0.05,"、2028 $"&amp;TEXT(各期收支!E77,"0.0"),"")&amp;IF(各期收支!F77&gt;0.05,"、2029 $"&amp;TEXT(各期收支!F77,"0.0"),"")&amp;IF(各期收支!G77&gt;0.05,"、2030 $"&amp;TEXT(各期收支!G77,"0.0"),""),2,999)&amp;"bn","回購未被迫減少"))&amp;"；五期新債 $"&amp;TEXT(SUM(各期收支!C86:G86)+SUM(各期收支!C93:G93),"0.0")&amp;"bn、股權 $"&amp;TEXT(SUM(各期收支!C92:G92),"0.0")&amp;"bn。"</f>
        <v>股東回饋與 FCF：FCF 首次為負 2026（−$4.2bn）；回購未被迫減少；五期新債 $0.0bn、股權 $0.0bn。</v>
      </c>
    </row>
    <row r="22" customFormat="false" ht="15" hidden="false" customHeight="false" outlineLevel="1" collapsed="false">
      <c r="A22" s="3" t="s">
        <v>55</v>
      </c>
      <c r="C22" s="10" t="str">
        <f aca="false">IF(運營_產能與收入!$C$50&gt;0,"建設延誤 "&amp;IF(運營_產能與收入!$C$50=INT(運營_產能與收入!$C$50),TEXT(運營_產能與收入!$C$50,"0"),TEXT(運營_產能與收入!$C$50,"0.0"))&amp;" 個月（GPU 資本支出照原時程）：閒置資本（已支出、尚未產生收入）峰值 $"&amp;TEXT(MAX(運營_產能與收入!$C$55:$G$55),"0.0")&amp;"bn（"&amp;CHOOSE(MATCH(MAX(運營_產能與收入!$C$55:$G$55),運營_產能與收入!$C$55:$G$55,0),"2026","2027","2028","2029","2030")&amp;" 末）。","建設延誤：本情境 0 個月（無閒置資本）。")</f>
        <v>建設延誤：本情境 0 個月（無閒置資本）。</v>
      </c>
    </row>
    <row r="24" customFormat="false" ht="15" hidden="false" customHeight="false" outlineLevel="0" collapsed="false">
      <c r="A24" s="7" t="s">
        <v>56</v>
      </c>
      <c r="B24" s="8"/>
      <c r="C24" s="8"/>
      <c r="D24" s="8"/>
      <c r="E24" s="8"/>
      <c r="F24" s="8"/>
      <c r="G24" s="8"/>
      <c r="H24" s="8"/>
    </row>
    <row r="25" customFormat="false" ht="15" hidden="false" customHeight="false" outlineLevel="1" collapsed="false">
      <c r="A25" s="14" t="s">
        <v>57</v>
      </c>
      <c r="B25" s="14" t="s">
        <v>58</v>
      </c>
      <c r="C25" s="15" t="s">
        <v>59</v>
      </c>
      <c r="D25" s="15" t="s">
        <v>60</v>
      </c>
      <c r="E25" s="15" t="s">
        <v>61</v>
      </c>
    </row>
    <row r="26" customFormat="false" ht="15" hidden="false" customHeight="false" outlineLevel="1" collapsed="false">
      <c r="A26" s="3" t="s">
        <v>62</v>
      </c>
      <c r="B26" s="11" t="s">
        <v>63</v>
      </c>
      <c r="C26" s="10" t="n">
        <f aca="false">損益!C29</f>
        <v>492.268310257</v>
      </c>
      <c r="D26" s="10" t="n">
        <f aca="false">損益!D29</f>
        <v>596.991447849945</v>
      </c>
      <c r="E26" s="10" t="n">
        <f aca="false">損益!E29</f>
        <v>689.846491241952</v>
      </c>
    </row>
    <row r="27" customFormat="false" ht="15" hidden="false" customHeight="false" outlineLevel="1" collapsed="false">
      <c r="A27" s="3" t="s">
        <v>64</v>
      </c>
      <c r="B27" s="11" t="s">
        <v>63</v>
      </c>
      <c r="C27" s="10" t="n">
        <f aca="false">輸入與假設!$C$505</f>
        <v>498.69</v>
      </c>
      <c r="D27" s="10" t="n">
        <f aca="false">輸入與假設!$D$505</f>
        <v>615.038</v>
      </c>
      <c r="E27" s="10" t="n">
        <f aca="false">輸入與假設!$E$505</f>
        <v>734.199</v>
      </c>
    </row>
    <row r="28" customFormat="false" ht="15" hidden="false" customHeight="false" outlineLevel="1" collapsed="false">
      <c r="A28" s="3" t="s">
        <v>65</v>
      </c>
      <c r="B28" s="11" t="s">
        <v>42</v>
      </c>
      <c r="C28" s="13" t="n">
        <f aca="false">C26/C27-1</f>
        <v>-0.0128771175339389</v>
      </c>
      <c r="D28" s="13" t="n">
        <f aca="false">D26/D27-1</f>
        <v>-0.0293421742234715</v>
      </c>
      <c r="E28" s="13" t="n">
        <f aca="false">E26/E27-1</f>
        <v>-0.060409383229952</v>
      </c>
    </row>
    <row r="29" customFormat="false" ht="15" hidden="false" customHeight="false" outlineLevel="1" collapsed="false">
      <c r="A29" s="3" t="s">
        <v>66</v>
      </c>
      <c r="B29" s="11" t="s">
        <v>63</v>
      </c>
      <c r="C29" s="10" t="n">
        <f aca="false">輸入與假設!$C$475+損益!C22</f>
        <v>194.388830332531</v>
      </c>
      <c r="D29" s="10" t="n">
        <f aca="false">損益!D34</f>
        <v>219.143947356896</v>
      </c>
      <c r="E29" s="10" t="n">
        <f aca="false">損益!E34</f>
        <v>252.974244146935</v>
      </c>
    </row>
    <row r="30" customFormat="false" ht="15" hidden="false" customHeight="false" outlineLevel="1" collapsed="false">
      <c r="A30" s="3" t="s">
        <v>67</v>
      </c>
      <c r="B30" s="11" t="s">
        <v>63</v>
      </c>
      <c r="C30" s="10" t="n">
        <f aca="false">輸入與假設!$C$506</f>
        <v>233.431</v>
      </c>
      <c r="D30" s="10" t="n">
        <f aca="false">輸入與假設!$D$506</f>
        <v>298.668</v>
      </c>
      <c r="E30" s="10" t="n">
        <f aca="false">輸入與假設!$E$506</f>
        <v>382.826</v>
      </c>
    </row>
    <row r="31" customFormat="false" ht="15" hidden="false" customHeight="false" outlineLevel="1" collapsed="false">
      <c r="A31" s="3" t="s">
        <v>68</v>
      </c>
      <c r="B31" s="11" t="s">
        <v>42</v>
      </c>
      <c r="C31" s="13" t="n">
        <f aca="false">C29/C30-1</f>
        <v>-0.167253576720613</v>
      </c>
      <c r="D31" s="13" t="n">
        <f aca="false">D29/D30-1</f>
        <v>-0.266262380446195</v>
      </c>
      <c r="E31" s="13" t="n">
        <f aca="false">E29/E30-1</f>
        <v>-0.339192624986457</v>
      </c>
      <c r="I31" s="11" t="s">
        <v>69</v>
      </c>
    </row>
    <row r="32" customFormat="false" ht="15" hidden="false" customHeight="false" outlineLevel="1" collapsed="false">
      <c r="A32" s="3" t="s">
        <v>70</v>
      </c>
      <c r="B32" s="11" t="s">
        <v>63</v>
      </c>
      <c r="C32" s="10" t="n">
        <f aca="false">C29-C30</f>
        <v>-39.0421696674695</v>
      </c>
      <c r="D32" s="10" t="n">
        <f aca="false">D29-D30</f>
        <v>-79.5240526431043</v>
      </c>
      <c r="E32" s="10" t="n">
        <f aca="false">E29-E30</f>
        <v>-129.851755853066</v>
      </c>
      <c r="I32" s="6" t="s">
        <v>71</v>
      </c>
    </row>
    <row r="33" customFormat="false" ht="15" hidden="false" customHeight="false" outlineLevel="1" collapsed="false">
      <c r="A33" s="3" t="s">
        <v>72</v>
      </c>
      <c r="B33" s="11" t="s">
        <v>42</v>
      </c>
      <c r="C33" s="13" t="n">
        <f aca="false">C29/C26</f>
        <v>0.394883900267814</v>
      </c>
      <c r="D33" s="13" t="n">
        <f aca="false">D29/D26</f>
        <v>0.36708054721075</v>
      </c>
      <c r="E33" s="13" t="n">
        <f aca="false">E29/E26</f>
        <v>0.366710923891918</v>
      </c>
    </row>
    <row r="34" customFormat="false" ht="15" hidden="false" customHeight="false" outlineLevel="1" collapsed="false">
      <c r="A34" s="3" t="s">
        <v>73</v>
      </c>
      <c r="B34" s="11" t="s">
        <v>42</v>
      </c>
      <c r="C34" s="13" t="n">
        <f aca="false">輸入與假設!$C$507</f>
        <v>0.468088391585955</v>
      </c>
      <c r="D34" s="13" t="n">
        <f aca="false">輸入與假設!$D$507</f>
        <v>0.48560901928011</v>
      </c>
      <c r="E34" s="13" t="n">
        <f aca="false">輸入與假設!$E$507</f>
        <v>0.521419942004824</v>
      </c>
    </row>
    <row r="35" customFormat="false" ht="15" hidden="false" customHeight="false" outlineLevel="1" collapsed="false">
      <c r="A35" s="3" t="s">
        <v>74</v>
      </c>
      <c r="B35" s="11" t="s">
        <v>75</v>
      </c>
      <c r="C35" s="13" t="n">
        <f aca="false">C33-C34</f>
        <v>-0.0732044913181412</v>
      </c>
      <c r="D35" s="13" t="n">
        <f aca="false">D33-D34</f>
        <v>-0.118528472069359</v>
      </c>
      <c r="E35" s="13" t="n">
        <f aca="false">E33-E34</f>
        <v>-0.154709018112906</v>
      </c>
      <c r="I35" s="11" t="s">
        <v>76</v>
      </c>
    </row>
    <row r="36" customFormat="false" ht="15" hidden="false" customHeight="false" outlineLevel="1" collapsed="false">
      <c r="A36" s="3" t="s">
        <v>77</v>
      </c>
      <c r="B36" s="11" t="s">
        <v>63</v>
      </c>
      <c r="C36" s="10" t="n">
        <f aca="false">輸入與假設!$C$458+輸入與假設!C$312</f>
        <v>200</v>
      </c>
      <c r="D36" s="10" t="n">
        <f aca="false">輸入與假設!D$312</f>
        <v>218.526551448861</v>
      </c>
      <c r="E36" s="10" t="n">
        <f aca="false">輸入與假設!E$312</f>
        <v>227.058542261668</v>
      </c>
    </row>
    <row r="37" customFormat="false" ht="15" hidden="false" customHeight="false" outlineLevel="1" collapsed="false">
      <c r="A37" s="3" t="s">
        <v>78</v>
      </c>
      <c r="B37" s="11" t="s">
        <v>63</v>
      </c>
      <c r="C37" s="10" t="n">
        <f aca="false">輸入與假設!$C$511</f>
        <v>201.748</v>
      </c>
      <c r="D37" s="10" t="n">
        <f aca="false">輸入與假設!$D$511</f>
        <v>300.979</v>
      </c>
      <c r="E37" s="10" t="n">
        <f aca="false">輸入與假設!$E$511</f>
        <v>339.451</v>
      </c>
    </row>
    <row r="38" customFormat="false" ht="15" hidden="false" customHeight="false" outlineLevel="1" collapsed="false">
      <c r="A38" s="3" t="s">
        <v>79</v>
      </c>
      <c r="B38" s="11" t="s">
        <v>42</v>
      </c>
      <c r="C38" s="13" t="n">
        <f aca="false">C36/C37-1</f>
        <v>-0.00866427424311511</v>
      </c>
      <c r="D38" s="13" t="n">
        <f aca="false">D36/D37-1</f>
        <v>-0.273947513119316</v>
      </c>
      <c r="E38" s="13" t="n">
        <f aca="false">E36/E37-1</f>
        <v>-0.331100682391072</v>
      </c>
      <c r="I38" s="6" t="s">
        <v>80</v>
      </c>
    </row>
    <row r="39" customFormat="false" ht="15" hidden="false" customHeight="false" outlineLevel="1" collapsed="false">
      <c r="A39" s="3" t="s">
        <v>81</v>
      </c>
      <c r="B39" s="11" t="s">
        <v>63</v>
      </c>
      <c r="C39" s="10" t="n">
        <f aca="false">資產負債_新債與新股!C25</f>
        <v>-29.0364628066942</v>
      </c>
      <c r="D39" s="10" t="n">
        <f aca="false">資產負債_新債與新股!D25</f>
        <v>-4.75534855001743</v>
      </c>
      <c r="E39" s="10" t="n">
        <f aca="false">資產負債_新債與新股!E25</f>
        <v>-10.2959968399119</v>
      </c>
    </row>
    <row r="40" customFormat="false" ht="15" hidden="false" customHeight="false" outlineLevel="1" collapsed="false">
      <c r="A40" s="3" t="s">
        <v>82</v>
      </c>
      <c r="B40" s="11" t="s">
        <v>63</v>
      </c>
      <c r="C40" s="10" t="n">
        <f aca="false">輸入與假設!$C$513</f>
        <v>-131.323</v>
      </c>
      <c r="D40" s="10" t="n">
        <f aca="false">輸入與假設!$D$513</f>
        <v>-79.012</v>
      </c>
      <c r="E40" s="10" t="n">
        <f aca="false">輸入與假設!$E$513</f>
        <v>-56.291</v>
      </c>
    </row>
    <row r="41" customFormat="false" ht="15" hidden="false" customHeight="false" outlineLevel="1" collapsed="false">
      <c r="A41" s="3" t="s">
        <v>83</v>
      </c>
      <c r="B41" s="11" t="s">
        <v>42</v>
      </c>
      <c r="C41" s="13" t="n">
        <f aca="false">C39/C40-1</f>
        <v>-0.778892784914339</v>
      </c>
      <c r="D41" s="13" t="n">
        <f aca="false">D39/D40-1</f>
        <v>-0.93981485660384</v>
      </c>
      <c r="E41" s="13" t="n">
        <f aca="false">E39/E40-1</f>
        <v>-0.817093374786166</v>
      </c>
      <c r="I41" s="6" t="s">
        <v>84</v>
      </c>
    </row>
    <row r="42" customFormat="false" ht="15" hidden="false" customHeight="false" outlineLevel="1" collapsed="false">
      <c r="A42" s="3" t="s">
        <v>85</v>
      </c>
      <c r="B42" s="11" t="s">
        <v>63</v>
      </c>
      <c r="C42" s="10" t="n">
        <f aca="false">C39-C40</f>
        <v>102.286537193306</v>
      </c>
      <c r="D42" s="10" t="n">
        <f aca="false">D39-D40</f>
        <v>74.2566514499826</v>
      </c>
      <c r="E42" s="10" t="n">
        <f aca="false">E39-E40</f>
        <v>45.9950031600881</v>
      </c>
      <c r="I42" s="6" t="s">
        <v>71</v>
      </c>
    </row>
    <row r="43" customFormat="false" ht="15" hidden="false" customHeight="false" outlineLevel="1" collapsed="false">
      <c r="A43" s="3" t="s">
        <v>86</v>
      </c>
      <c r="C43" s="10" t="str">
        <f aca="false">MID(IF(ABS(C28)&gt;輸入與假設!$C$534,"、營收 "&amp;IF(C28&lt;0,"−","+")&amp;TEXT(ABS(C28)*100,"0.0")&amp;"%","")&amp;IF(ABS(C31)&gt;輸入與假設!$C$534,"、EBITDA "&amp;IF(C32&lt;0,"−","+")&amp;"$"&amp;TEXT(ABS(C32),"#,##0.00")&amp;"bn"&amp;"／"&amp;IF(C35&lt;0,"−","+")&amp;TEXT(ABS(C35)*100,"0.0")&amp;"pt","")&amp;IF(ABS(C38)&gt;輸入與假設!$C$534,"、CapEx "&amp;IF(C38&lt;0,"−","+")&amp;TEXT(ABS(C38)*100,"0.0")&amp;"%",""),2,999)</f>
        <v>EBITDA −$39.04bn／−7.3pt</v>
      </c>
      <c r="D43" s="10" t="str">
        <f aca="false">MID(IF(ABS(D28)&gt;輸入與假設!$C$534,"、營收 "&amp;IF(D28&lt;0,"−","+")&amp;TEXT(ABS(D28)*100,"0.0")&amp;"%","")&amp;IF(ABS(D31)&gt;輸入與假設!$C$534,"、EBITDA "&amp;IF(D32&lt;0,"−","+")&amp;"$"&amp;TEXT(ABS(D32),"#,##0.00")&amp;"bn"&amp;"／"&amp;IF(D35&lt;0,"−","+")&amp;TEXT(ABS(D35)*100,"0.0")&amp;"pt","")&amp;IF(ABS(D38)&gt;輸入與假設!$C$534,"、CapEx "&amp;IF(D38&lt;0,"−","+")&amp;TEXT(ABS(D38)*100,"0.0")&amp;"%",""),2,999)</f>
        <v>EBITDA −$79.52bn／−11.9pt、CapEx −27.4%</v>
      </c>
      <c r="E43" s="10" t="str">
        <f aca="false">MID(IF(ABS(E28)&gt;輸入與假設!$C$534,"、營收 "&amp;IF(E28&lt;0,"−","+")&amp;TEXT(ABS(E28)*100,"0.0")&amp;"%","")&amp;IF(ABS(E31)&gt;輸入與假設!$C$534,"、EBITDA "&amp;IF(E32&lt;0,"−","+")&amp;"$"&amp;TEXT(ABS(E32),"#,##0.00")&amp;"bn"&amp;"／"&amp;IF(E35&lt;0,"−","+")&amp;TEXT(ABS(E35)*100,"0.0")&amp;"pt","")&amp;IF(ABS(E38)&gt;輸入與假設!$C$534,"、CapEx "&amp;IF(E38&lt;0,"−","+")&amp;TEXT(ABS(E38)*100,"0.0")&amp;"%",""),2,999)</f>
        <v>營收 −6.0%、EBITDA −$129.85bn／−15.5pt、CapEx −33.1%</v>
      </c>
      <c r="I43" s="6" t="s">
        <v>87</v>
      </c>
    </row>
    <row r="44" customFormat="false" ht="15" hidden="false" customHeight="false" outlineLevel="1" collapsed="false">
      <c r="A44" s="3" t="s">
        <v>88</v>
      </c>
      <c r="C44" s="9" t="n">
        <f aca="false">IF(C43&lt;&gt;"",1,IF(D43&lt;&gt;"",2,IF(E43&lt;&gt;"",3,0)))</f>
        <v>1</v>
      </c>
    </row>
    <row r="45" customFormat="false" ht="15" hidden="false" customHeight="false" outlineLevel="1" collapsed="false">
      <c r="A45" s="2" t="s">
        <v>89</v>
      </c>
      <c r="C45" s="10" t="str">
        <f aca="false">CHOOSE(C44+1,"2026–2028 營收、EBITDA、CapEx 與共識差距皆在 "&amp;IF(ROUND(ABS(輸入與假設!$C$534)*100,4)=INT(ROUND(ABS(輸入與假設!$C$534)*100,4)),TEXT(ROUND(ABS(輸入與假設!$C$534)*100,4),"0"),TEXT(ROUND(ABS(輸入與假設!$C$534)*100,4),"0.0"))&amp;"%"&amp;" 以內。","分歧始於 2026（"&amp;C43&amp;"）"&amp;"；2027 "&amp;IF(D43="","回到 "&amp;IF(ROUND(ABS(輸入與假設!$C$534)*100,4)=INT(ROUND(ABS(輸入與假設!$C$534)*100,4)),TEXT(ROUND(ABS(輸入與假設!$C$534)*100,4),"0"),TEXT(ROUND(ABS(輸入與假設!$C$534)*100,4),"0.0"))&amp;"%"&amp;" 以內",D43)&amp;"；2028 "&amp;IF(E43="","回到 "&amp;IF(ROUND(ABS(輸入與假設!$C$534)*100,4)=INT(ROUND(ABS(輸入與假設!$C$534)*100,4)),TEXT(ROUND(ABS(輸入與假設!$C$534)*100,4),"0"),TEXT(ROUND(ABS(輸入與假設!$C$534)*100,4),"0.0"))&amp;"%"&amp;" 以內",E43)&amp;"。","2026 營收、EBITDA、CapEx 與共識差距在 "&amp;IF(ROUND(ABS(輸入與假設!$C$534)*100,4)=INT(ROUND(ABS(輸入與假設!$C$534)*100,4)),TEXT(ROUND(ABS(輸入與假設!$C$534)*100,4),"0"),TEXT(ROUND(ABS(輸入與假設!$C$534)*100,4),"0.0"))&amp;"%"&amp;" 以內；分歧始於 2027（"&amp;D43&amp;"）"&amp;"；2028 "&amp;IF(E43="","回到 "&amp;IF(ROUND(ABS(輸入與假設!$C$534)*100,4)=INT(ROUND(ABS(輸入與假設!$C$534)*100,4)),TEXT(ROUND(ABS(輸入與假設!$C$534)*100,4),"0"),TEXT(ROUND(ABS(輸入與假設!$C$534)*100,4),"0.0"))&amp;"%"&amp;" 以內",E43)&amp;"。","2026–2027 營收、EBITDA、CapEx 與共識差距在 "&amp;IF(ROUND(ABS(輸入與假設!$C$534)*100,4)=INT(ROUND(ABS(輸入與假設!$C$534)*100,4)),TEXT(ROUND(ABS(輸入與假設!$C$534)*100,4),"0"),TEXT(ROUND(ABS(輸入與假設!$C$534)*100,4),"0.0"))&amp;"%"&amp;" 以內；分歧始於 2028（"&amp;E43&amp;"）。")</f>
        <v>分歧始於 2026（EBITDA −$39.04bn／−7.3pt）；2027 EBITDA −$79.52bn／−11.9pt、CapEx −27.4%；2028 營收 −6.0%、EBITDA −$129.85bn／−15.5pt、CapEx −33.1%。</v>
      </c>
    </row>
    <row r="46" customFormat="false" ht="15" hidden="false" customHeight="false" outlineLevel="1" collapsed="false">
      <c r="A46" s="3" t="s">
        <v>90</v>
      </c>
      <c r="C46" s="10" t="str">
        <f aca="false">IF(ABS(C28)&gt;輸入與假設!$C$534,"觀點","")</f>
        <v/>
      </c>
      <c r="D46" s="10" t="str">
        <f aca="false">IF(ABS(C28)&gt;輸入與假設!$C$534,"營收＝對外 AI 雲端（年底 "&amp;IF((輸入與假設!C$36)&lt;0,"−","")&amp;TEXT(ABS((輸入與假設!C$36)),"#,##0")&amp;" MW-IT × 每 MW 年收入，Tokenomics × k）＋搜尋／YouTube／聯播網／訂閱／Cloud 非 AI／TPU 銷售（近四季年增率收斂到長期值）；共識未揭露 MW 與單價假設","")</f>
        <v/>
      </c>
      <c r="I46" s="11" t="s">
        <v>91</v>
      </c>
    </row>
    <row r="47" customFormat="false" ht="15" hidden="false" customHeight="false" outlineLevel="1" collapsed="false">
      <c r="A47" s="3" t="s">
        <v>92</v>
      </c>
      <c r="C47" s="10" t="str">
        <f aca="false">IF(ABS(C35)&gt;輸入與假設!$C$535,"觀點","")</f>
        <v>觀點</v>
      </c>
      <c r="D47" s="10" t="str">
        <f aca="false">IF(ABS(C35)&gt;輸入與假設!$C$535,"營收差距 "&amp;IF((C28)&lt;0,"−","+")&amp;TEXT(ABS((C28))*100,"#,##0.0")&amp;"%"&amp;"；EBITDA 率 "&amp;IF((C33)&lt;0,"−","")&amp;TEXT(ABS((C33))*100,"#,##0.0")&amp;"%"&amp;" 對共識 "&amp;IF((C34)&lt;0,"−","")&amp;TEXT(ABS((C34))*100,"#,##0.0")&amp;"%"&amp;"（分部 EBITDA＝營業利益＋按營收分攤折舊，近四季收斂到近三年平均；含 Alphabet 層級費用與 Other Bets 虧損；AI 雲端以 Tokenomics 營運成本推得；共識 EBITDA（MarketScreener）含加回 SBC，模型不加回）","")</f>
        <v>營收差距 −1.3%；EBITDA 率 39.5% 對共識 46.8%（分部 EBITDA＝營業利益＋按營收分攤折舊，近四季收斂到近三年平均；含 Alphabet 層級費用與 Other Bets 虧損；AI 雲端以 Tokenomics 營運成本推得；共識 EBITDA（MarketScreener）含加回 SBC，模型不加回）</v>
      </c>
    </row>
    <row r="48" customFormat="false" ht="15" hidden="false" customHeight="false" outlineLevel="1" collapsed="false">
      <c r="A48" s="3" t="s">
        <v>93</v>
      </c>
      <c r="C48" s="10" t="str">
        <f aca="false">IF(ABS(C38)&gt;輸入與假設!$C$534,"觀點","")</f>
        <v/>
      </c>
      <c r="D48" s="10" t="str">
        <f aca="false">IF(ABS(C38)&gt;輸入與假設!$C$534,"CapEx：首期取公司指引中點 200；公司 2027 只說「顯著增加」、無數字 → 依新增 AI MW（"&amp;IF((輸入與假設!C$279)&lt;0,"−","")&amp;TEXT(ABS((輸入與假設!C$279)),"#,##0")&amp;" MW-IT 對外）÷ 對外比例 × 每 MW $"&amp;IF((輸入與假設!C$260)&lt;0,"−","")&amp;TEXT(ABS((輸入與假設!C$260)),"#,##0")&amp;"m＋非 AI 強度推導；基準情境的新增速度由 2026 指引解出（C10），之後各年資本支出＝MW 路徑 × 每 MW 成本；共識 2027 301.0","")</f>
        <v/>
      </c>
    </row>
    <row r="49" customFormat="false" ht="15" hidden="false" customHeight="false" outlineLevel="1" collapsed="false">
      <c r="A49" s="3" t="s">
        <v>94</v>
      </c>
      <c r="C49" s="10" t="str">
        <f aca="false">IF(ABS(C41)&gt;輸入與假設!$C$534,"觀點","")</f>
        <v>觀點</v>
      </c>
      <c r="D49" s="10" t="str">
        <f aca="false">IF(ABS(C41)&gt;輸入與假設!$C$534,"淨負債隨 CapEx、投資與融資瀑布而定（模型 CapEx 差距 "&amp;IF((C38)&lt;0,"−","+")&amp;TEXT(ABS((C38))*100,"#,##0.0")&amp;"%"&amp;"）；共識淨負債不含租賃","")</f>
        <v>淨負債隨 CapEx、投資與融資瀑布而定（模型 CapEx 差距 −0.9%）；共識淨負債不含租賃</v>
      </c>
    </row>
    <row r="50" customFormat="false" ht="15" hidden="false" customHeight="false" outlineLevel="1" collapsed="false">
      <c r="A50" s="3" t="s">
        <v>95</v>
      </c>
      <c r="C50" s="10" t="str">
        <f aca="false">IF(ABS(D28)&gt;輸入與假設!$C$534,"觀點","")</f>
        <v/>
      </c>
      <c r="D50" s="10" t="str">
        <f aca="false">IF(ABS(D28)&gt;輸入與假設!$C$534,"營收＝對外 AI 雲端（年底 "&amp;IF((輸入與假設!D$36)&lt;0,"−","")&amp;TEXT(ABS((輸入與假設!D$36)),"#,##0")&amp;" MW-IT × 每 MW 年收入，Tokenomics × k）＋搜尋／YouTube／聯播網／訂閱／Cloud 非 AI／TPU 銷售（近四季年增率收斂到長期值）；共識未揭露 MW 與單價假設","")</f>
        <v/>
      </c>
    </row>
    <row r="51" customFormat="false" ht="15" hidden="false" customHeight="false" outlineLevel="1" collapsed="false">
      <c r="A51" s="3" t="s">
        <v>96</v>
      </c>
      <c r="C51" s="10" t="str">
        <f aca="false">IF(ABS(D35)&gt;輸入與假設!$C$535,"觀點","")</f>
        <v>觀點</v>
      </c>
      <c r="D51" s="10" t="str">
        <f aca="false">IF(ABS(D35)&gt;輸入與假設!$C$535,"營收差距 "&amp;IF((D28)&lt;0,"−","+")&amp;TEXT(ABS((D28))*100,"#,##0.0")&amp;"%"&amp;"；EBITDA 率 "&amp;IF((D33)&lt;0,"−","")&amp;TEXT(ABS((D33))*100,"#,##0.0")&amp;"%"&amp;" 對共識 "&amp;IF((D34)&lt;0,"−","")&amp;TEXT(ABS((D34))*100,"#,##0.0")&amp;"%"&amp;"（分部 EBITDA＝營業利益＋按營收分攤折舊，近四季收斂到近三年平均；含 Alphabet 層級費用與 Other Bets 虧損；AI 雲端以 Tokenomics 營運成本推得；共識 EBITDA（MarketScreener）含加回 SBC，模型不加回）","")</f>
        <v>營收差距 −2.9%；EBITDA 率 36.7% 對共識 48.6%（分部 EBITDA＝營業利益＋按營收分攤折舊，近四季收斂到近三年平均；含 Alphabet 層級費用與 Other Bets 虧損；AI 雲端以 Tokenomics 營運成本推得；共識 EBITDA（MarketScreener）含加回 SBC，模型不加回）</v>
      </c>
    </row>
    <row r="52" customFormat="false" ht="15" hidden="false" customHeight="false" outlineLevel="1" collapsed="false">
      <c r="A52" s="3" t="s">
        <v>97</v>
      </c>
      <c r="C52" s="10" t="str">
        <f aca="false">IF(ABS(D38)&gt;輸入與假設!$C$534,"觀點","")</f>
        <v>觀點</v>
      </c>
      <c r="D52" s="10" t="str">
        <f aca="false">IF(ABS(D38)&gt;輸入與假設!$C$534,"CapEx：首期取公司指引中點 200；公司 2027 只說「顯著增加」、無數字 → 依新增 AI MW（"&amp;IF((輸入與假設!D$279)&lt;0,"−","")&amp;TEXT(ABS((輸入與假設!D$279)),"#,##0")&amp;" MW-IT 對外）÷ 對外比例 × 每 MW $"&amp;IF((輸入與假設!D$260)&lt;0,"−","")&amp;TEXT(ABS((輸入與假設!D$260)),"#,##0")&amp;"m＋非 AI 強度推導；基準情境的新增速度由 2026 指引解出（C10），之後各年資本支出＝MW 路徑 × 每 MW 成本；共識 2027 301.0","")</f>
        <v>CapEx：首期取公司指引中點 200；公司 2027 只說「顯著增加」、無數字 → 依新增 AI MW（1,069 MW-IT 對外）÷ 對外比例 × 每 MW $48m＋非 AI 強度推導；基準情境的新增速度由 2026 指引解出（C10），之後各年資本支出＝MW 路徑 × 每 MW 成本；共識 2027 301.0</v>
      </c>
    </row>
    <row r="53" customFormat="false" ht="15" hidden="false" customHeight="false" outlineLevel="1" collapsed="false">
      <c r="A53" s="3" t="s">
        <v>98</v>
      </c>
      <c r="C53" s="10" t="str">
        <f aca="false">IF(ABS(D41)&gt;輸入與假設!$C$534,"觀點","")</f>
        <v>觀點</v>
      </c>
      <c r="D53" s="10" t="str">
        <f aca="false">IF(ABS(D41)&gt;輸入與假設!$C$534,"淨負債隨 CapEx、投資與融資瀑布而定（模型 CapEx 差距 "&amp;IF((D38)&lt;0,"−","+")&amp;TEXT(ABS((D38))*100,"#,##0.0")&amp;"%"&amp;"）；共識淨負債不含租賃","")</f>
        <v>淨負債隨 CapEx、投資與融資瀑布而定（模型 CapEx 差距 −27.4%）；共識淨負債不含租賃</v>
      </c>
    </row>
    <row r="54" customFormat="false" ht="15" hidden="false" customHeight="false" outlineLevel="1" collapsed="false">
      <c r="A54" s="3" t="s">
        <v>99</v>
      </c>
      <c r="C54" s="10" t="str">
        <f aca="false">IF(ABS(E28)&gt;輸入與假設!$C$534,"觀點","")</f>
        <v>觀點</v>
      </c>
      <c r="D54" s="10" t="str">
        <f aca="false">IF(ABS(E28)&gt;輸入與假設!$C$534,"營收＝對外 AI 雲端（年底 "&amp;IF((輸入與假設!E$36)&lt;0,"−","")&amp;TEXT(ABS((輸入與假設!E$36)),"#,##0")&amp;" MW-IT × 每 MW 年收入，Tokenomics × k）＋搜尋／YouTube／聯播網／訂閱／Cloud 非 AI／TPU 銷售（近四季年增率收斂到長期值）；共識未揭露 MW 與單價假設","")</f>
        <v>營收＝對外 AI 雲端（年底 4,575 MW-IT × 每 MW 年收入，Tokenomics × k）＋搜尋／YouTube／聯播網／訂閱／Cloud 非 AI／TPU 銷售（近四季年增率收斂到長期值）；共識未揭露 MW 與單價假設</v>
      </c>
    </row>
    <row r="55" customFormat="false" ht="15" hidden="false" customHeight="false" outlineLevel="1" collapsed="false">
      <c r="A55" s="3" t="s">
        <v>100</v>
      </c>
      <c r="C55" s="10" t="str">
        <f aca="false">IF(ABS(E35)&gt;輸入與假設!$C$535,"觀點","")</f>
        <v>觀點</v>
      </c>
      <c r="D55" s="10" t="str">
        <f aca="false">IF(ABS(E35)&gt;輸入與假設!$C$535,"營收差距 "&amp;IF((E28)&lt;0,"−","+")&amp;TEXT(ABS((E28))*100,"#,##0.0")&amp;"%"&amp;"；EBITDA 率 "&amp;IF((E33)&lt;0,"−","")&amp;TEXT(ABS((E33))*100,"#,##0.0")&amp;"%"&amp;" 對共識 "&amp;IF((E34)&lt;0,"−","")&amp;TEXT(ABS((E34))*100,"#,##0.0")&amp;"%"&amp;"（分部 EBITDA＝營業利益＋按營收分攤折舊，近四季收斂到近三年平均；含 Alphabet 層級費用與 Other Bets 虧損；AI 雲端以 Tokenomics 營運成本推得；共識 EBITDA（MarketScreener）含加回 SBC，模型不加回）","")</f>
        <v>營收差距 −6.0%；EBITDA 率 36.7% 對共識 52.1%（分部 EBITDA＝營業利益＋按營收分攤折舊，近四季收斂到近三年平均；含 Alphabet 層級費用與 Other Bets 虧損；AI 雲端以 Tokenomics 營運成本推得；共識 EBITDA（MarketScreener）含加回 SBC，模型不加回）</v>
      </c>
    </row>
    <row r="56" customFormat="false" ht="15" hidden="false" customHeight="false" outlineLevel="1" collapsed="false">
      <c r="A56" s="3" t="s">
        <v>101</v>
      </c>
      <c r="C56" s="10" t="str">
        <f aca="false">IF(ABS(E38)&gt;輸入與假設!$C$534,"觀點","")</f>
        <v>觀點</v>
      </c>
      <c r="D56" s="10" t="str">
        <f aca="false">IF(ABS(E38)&gt;輸入與假設!$C$534,"CapEx：首期取公司指引中點 200；公司 2027 只說「顯著增加」、無數字 → 依新增 AI MW（"&amp;IF((輸入與假設!E$279)&lt;0,"−","")&amp;TEXT(ABS((輸入與假設!E$279)),"#,##0")&amp;" MW-IT 對外）÷ 對外比例 × 每 MW $"&amp;IF((輸入與假設!E$260)&lt;0,"−","")&amp;TEXT(ABS((輸入與假設!E$260)),"#,##0")&amp;"m＋非 AI 強度推導；基準情境的新增速度由 2026 指引解出（C10），之後各年資本支出＝MW 路徑 × 每 MW 成本；共識 2027 301.0","")</f>
        <v>CapEx：首期取公司指引中點 200；公司 2027 只說「顯著增加」、無數字 → 依新增 AI MW（1,069 MW-IT 對外）÷ 對外比例 × 每 MW $48m＋非 AI 強度推導；基準情境的新增速度由 2026 指引解出（C10），之後各年資本支出＝MW 路徑 × 每 MW 成本；共識 2027 301.0</v>
      </c>
    </row>
    <row r="57" customFormat="false" ht="15" hidden="false" customHeight="false" outlineLevel="1" collapsed="false">
      <c r="A57" s="3" t="s">
        <v>102</v>
      </c>
      <c r="C57" s="10" t="str">
        <f aca="false">IF(ABS(E41)&gt;輸入與假設!$C$534,"觀點","")</f>
        <v>觀點</v>
      </c>
      <c r="D57" s="10" t="str">
        <f aca="false">IF(ABS(E41)&gt;輸入與假設!$C$534,"淨負債隨 CapEx、投資與融資瀑布而定（模型 CapEx 差距 "&amp;IF((E38)&lt;0,"−","+")&amp;TEXT(ABS((E38))*100,"#,##0.0")&amp;"%"&amp;"）；共識淨負債不含租賃","")</f>
        <v>淨負債隨 CapEx、投資與融資瀑布而定（模型 CapEx 差距 −33.1%）；共識淨負債不含租賃</v>
      </c>
    </row>
    <row r="58" customFormat="false" ht="15" hidden="false" customHeight="false" outlineLevel="1" collapsed="false">
      <c r="A58" s="3" t="s">
        <v>103</v>
      </c>
      <c r="C58" s="9" t="n">
        <f aca="false">SUMPRODUCT(--(ABS(C28:E28)&gt;輸入與假設!$C$534))+SUMPRODUCT(--(ABS(C35:E35)&gt;輸入與假設!$C$535))+SUMPRODUCT(--(ABS(C38:E38)&gt;輸入與假設!$C$534))+SUMPRODUCT(--(ABS(C41:E41)&gt;輸入與假設!$C$534))</f>
        <v>9</v>
      </c>
      <c r="I58" s="6" t="s">
        <v>104</v>
      </c>
    </row>
    <row r="59" customFormat="false" ht="15" hidden="false" customHeight="false" outlineLevel="1" collapsed="false">
      <c r="A59" s="3" t="s">
        <v>105</v>
      </c>
      <c r="C59" s="10" t="str">
        <f aca="false">IF(C58=0,"","需附原因的 "&amp;C58&amp;" 項差距："&amp;MID(IF((COUNTIF(C46,"觀點")+COUNTIF(C47,"觀點")+COUNTIF(C48,"觀點")+COUNTIF(C49,"觀點")+COUNTIF(C50,"觀點")+COUNTIF(C51,"觀點")+COUNTIF(C52,"觀點")+COUNTIF(C53,"觀點")+COUNTIF(C54,"觀點")+COUNTIF(C55,"觀點")+COUNTIF(C56,"觀點")+COUNTIF(C57,"觀點"))&gt;0,"、觀點 "&amp;(COUNTIF(C46,"觀點")+COUNTIF(C47,"觀點")+COUNTIF(C48,"觀點")+COUNTIF(C49,"觀點")+COUNTIF(C50,"觀點")+COUNTIF(C51,"觀點")+COUNTIF(C52,"觀點")+COUNTIF(C53,"觀點")+COUNTIF(C54,"觀點")+COUNTIF(C55,"觀點")+COUNTIF(C56,"觀點")+COUNTIF(C57,"觀點"))&amp;" 項","")&amp;IF((COUNTIF(C46,"拆法")+COUNTIF(C47,"拆法")+COUNTIF(C48,"拆法")+COUNTIF(C49,"拆法")+COUNTIF(C50,"拆法")+COUNTIF(C51,"拆法")+COUNTIF(C52,"拆法")+COUNTIF(C53,"拆法")+COUNTIF(C54,"拆法")+COUNTIF(C55,"拆法")+COUNTIF(C56,"拆法")+COUNTIF(C57,"拆法"))&gt;0,"、拆法 "&amp;(COUNTIF(C46,"拆法")+COUNTIF(C47,"拆法")+COUNTIF(C48,"拆法")+COUNTIF(C49,"拆法")+COUNTIF(C50,"拆法")+COUNTIF(C51,"拆法")+COUNTIF(C52,"拆法")+COUNTIF(C53,"拆法")+COUNTIF(C54,"拆法")+COUNTIF(C55,"拆法")+COUNTIF(C56,"拆法")+COUNTIF(C57,"拆法"))&amp;" 項","")&amp;IF((COUNTIF(C46,"已知限制")+COUNTIF(C47,"已知限制")+COUNTIF(C48,"已知限制")+COUNTIF(C49,"已知限制")+COUNTIF(C50,"已知限制")+COUNTIF(C51,"已知限制")+COUNTIF(C52,"已知限制")+COUNTIF(C53,"已知限制")+COUNTIF(C54,"已知限制")+COUNTIF(C55,"已知限制")+COUNTIF(C56,"已知限制")+COUNTIF(C57,"已知限制"))&gt;0,"、已知限制 "&amp;(COUNTIF(C46,"已知限制")+COUNTIF(C47,"已知限制")+COUNTIF(C48,"已知限制")+COUNTIF(C49,"已知限制")+COUNTIF(C50,"已知限制")+COUNTIF(C51,"已知限制")+COUNTIF(C52,"已知限制")+COUNTIF(C53,"已知限制")+COUNTIF(C54,"已知限制")+COUNTIF(C55,"已知限制")+COUNTIF(C56,"已知限制")+COUNTIF(C57,"已知限制"))&amp;" 項","")&amp;IF((C58-((COUNTIF(C46,"觀點")+COUNTIF(C47,"觀點")+COUNTIF(C48,"觀點")+COUNTIF(C49,"觀點")+COUNTIF(C50,"觀點")+COUNTIF(C51,"觀點")+COUNTIF(C52,"觀點")+COUNTIF(C53,"觀點")+COUNTIF(C54,"觀點")+COUNTIF(C55,"觀點")+COUNTIF(C56,"觀點")+COUNTIF(C57,"觀點"))+(COUNTIF(C46,"拆法")+COUNTIF(C47,"拆法")+COUNTIF(C48,"拆法")+COUNTIF(C49,"拆法")+COUNTIF(C50,"拆法")+COUNTIF(C51,"拆法")+COUNTIF(C52,"拆法")+COUNTIF(C53,"拆法")+COUNTIF(C54,"拆法")+COUNTIF(C55,"拆法")+COUNTIF(C56,"拆法")+COUNTIF(C57,"拆法"))+(COUNTIF(C46,"已知限制")+COUNTIF(C47,"已知限制")+COUNTIF(C48,"已知限制")+COUNTIF(C49,"已知限制")+COUNTIF(C50,"已知限制")+COUNTIF(C51,"已知限制")+COUNTIF(C52,"已知限制")+COUNTIF(C53,"已知限制")+COUNTIF(C54,"已知限制")+COUNTIF(C55,"已知限制")+COUNTIF(C56,"已知限制")+COUNTIF(C57,"已知限制"))))&gt;0,"、未歸類 "&amp;(C58-((COUNTIF(C46,"觀點")+COUNTIF(C47,"觀點")+COUNTIF(C48,"觀點")+COUNTIF(C49,"觀點")+COUNTIF(C50,"觀點")+COUNTIF(C51,"觀點")+COUNTIF(C52,"觀點")+COUNTIF(C53,"觀點")+COUNTIF(C54,"觀點")+COUNTIF(C55,"觀點")+COUNTIF(C56,"觀點")+COUNTIF(C57,"觀點"))+(COUNTIF(C46,"拆法")+COUNTIF(C47,"拆法")+COUNTIF(C48,"拆法")+COUNTIF(C49,"拆法")+COUNTIF(C50,"拆法")+COUNTIF(C51,"拆法")+COUNTIF(C52,"拆法")+COUNTIF(C53,"拆法")+COUNTIF(C54,"拆法")+COUNTIF(C55,"拆法")+COUNTIF(C56,"拆法")+COUNTIF(C57,"拆法"))+(COUNTIF(C46,"已知限制")+COUNTIF(C47,"已知限制")+COUNTIF(C48,"已知限制")+COUNTIF(C49,"已知限制")+COUNTIF(C50,"已知限制")+COUNTIF(C51,"已知限制")+COUNTIF(C52,"已知限制")+COUNTIF(C53,"已知限制")+COUNTIF(C54,"已知限制")+COUNTIF(C55,"已知限制")+COUNTIF(C56,"已知限制")+COUNTIF(C57,"已知限制"))))&amp;" 項",""),2,999)&amp;"；原因見「損益與評價 → 市場共識」。")</f>
        <v>需附原因的 9 項差距：觀點 9 項；原因見「損益與評價 → 市場共識」。</v>
      </c>
      <c r="I59" s="6" t="s">
        <v>106</v>
      </c>
    </row>
    <row r="61" customFormat="false" ht="15" hidden="false" customHeight="false" outlineLevel="0" collapsed="false">
      <c r="A61" s="7" t="s">
        <v>107</v>
      </c>
      <c r="B61" s="8"/>
      <c r="C61" s="8"/>
      <c r="D61" s="8"/>
      <c r="E61" s="8"/>
      <c r="F61" s="8"/>
      <c r="G61" s="8"/>
      <c r="H61" s="8"/>
    </row>
    <row r="62" customFormat="false" ht="15" hidden="false" customHeight="false" outlineLevel="1" collapsed="false">
      <c r="A62" s="3" t="s">
        <v>108</v>
      </c>
      <c r="B62" s="11" t="s">
        <v>109</v>
      </c>
      <c r="C62" s="16" t="n">
        <f aca="false">(輸入與假設!$C$487*輸入與假設!$C$356+輸入與假設!$E$513)/輸入與假設!$E$506</f>
        <v>13.661703306463</v>
      </c>
      <c r="I62" s="6" t="s">
        <v>110</v>
      </c>
    </row>
    <row r="63" customFormat="false" ht="15" hidden="false" customHeight="false" outlineLevel="1" collapsed="false">
      <c r="A63" s="3" t="s">
        <v>111</v>
      </c>
      <c r="B63" s="11" t="s">
        <v>109</v>
      </c>
      <c r="C63" s="16" t="n">
        <f aca="false">(輸入與假設!$C$355*輸入與假設!$C$356+輸入與假設!$E$513)/輸入與假設!$E$506</f>
        <v>11.1225817995643</v>
      </c>
      <c r="I63" s="6" t="s">
        <v>112</v>
      </c>
    </row>
    <row r="64" customFormat="false" ht="15" hidden="false" customHeight="false" outlineLevel="1" collapsed="false">
      <c r="A64" s="3" t="s">
        <v>113</v>
      </c>
      <c r="B64" s="11" t="s">
        <v>109</v>
      </c>
      <c r="C64" s="16" t="n">
        <f aca="false">MAX(輸入與假設!$C$423,輸入與假設!$C$424)</f>
        <v>6</v>
      </c>
      <c r="I64" s="6" t="s">
        <v>114</v>
      </c>
    </row>
    <row r="65" customFormat="false" ht="15" hidden="false" customHeight="false" outlineLevel="1" collapsed="false">
      <c r="A65" s="3" t="s">
        <v>115</v>
      </c>
      <c r="B65" s="11" t="s">
        <v>63</v>
      </c>
      <c r="C65" s="10" t="n">
        <f aca="false">輸入與假設!E$230</f>
        <v>219.114314240661</v>
      </c>
      <c r="I65" s="11" t="s">
        <v>116</v>
      </c>
    </row>
    <row r="66" customFormat="false" ht="15" hidden="false" customHeight="false" outlineLevel="1" collapsed="false">
      <c r="A66" s="3" t="s">
        <v>117</v>
      </c>
      <c r="B66" s="11" t="s">
        <v>109</v>
      </c>
      <c r="C66" s="16" t="n">
        <f aca="false">IF(ABS((輸入與假設!$C$487*輸入與假設!$C$356+輸入與假設!$E$513-輸入與假設!E$230*輸入與假設!$C$419)/MAX(輸入與假設!$E$506-輸入與假設!E$230,0.01))&lt;0.05,0,(輸入與假設!$C$487*輸入與假設!$C$356+輸入與假設!$E$513-輸入與假設!E$230*輸入與假設!$C$419)/MAX(輸入與假設!$E$506-輸入與假設!E$230,0.01))</f>
        <v>18.2684630692323</v>
      </c>
      <c r="I66" s="6" t="s">
        <v>118</v>
      </c>
    </row>
    <row r="67" customFormat="false" ht="15" hidden="false" customHeight="false" outlineLevel="1" collapsed="false">
      <c r="A67" s="3" t="s">
        <v>119</v>
      </c>
      <c r="B67" s="11" t="s">
        <v>109</v>
      </c>
      <c r="C67" s="16" t="n">
        <f aca="false">IF(ABS((輸入與假設!$C$355*輸入與假設!$C$356+輸入與假設!$E$513-輸入與假設!E$230*輸入與假設!$C$419)/MAX(輸入與假設!$E$506-輸入與假設!E$230,0.01))&lt;0.05,0,(輸入與假設!$C$355*輸入與假設!$C$356+輸入與假設!$E$513-輸入與假設!E$230*輸入與假設!$C$419)/MAX(輸入與假設!$E$506-輸入與假設!E$230,0.01))</f>
        <v>12.3309411049852</v>
      </c>
      <c r="I67" s="6" t="s">
        <v>120</v>
      </c>
    </row>
    <row r="68" customFormat="false" ht="15" hidden="false" customHeight="false" outlineLevel="1" collapsed="false">
      <c r="A68" s="2" t="s">
        <v>121</v>
      </c>
      <c r="C68" s="10" t="str">
        <f aca="false">"共識平均目標價 $"&amp;TEXT(輸入與假設!$C$487,"0.00")&amp;" 隱含 2028 EV/EBITDA "&amp;TEXT(C62,"0.0")&amp;"x（扣除非 AI 事業 "&amp;TEXT(輸入與假設!$C$419,"0.0")&amp;"x × 模型 EBITDA $"&amp;TEXT(C65,"0.0")&amp;"bn 後，AI 雲端 "&amp;TEXT(C66,"0.0")&amp;"x），AI 雲端 倍數"&amp;IF(ROUND(C66,1)&gt;C64,"高於",IF(ROUND(C66,1)&lt;C64,"低於","等於"))&amp;"模型方法區間上緣 "&amp;IF(C64=INT(C64),TEXT(C64,"0"),TEXT(C64,"0.0"))&amp;"x；現價 $"&amp;TEXT(輸入與假設!$C$355,"0.00")&amp;" 隱含 "&amp;TEXT(C63,"0.0")&amp;"x（AI 雲端 "&amp;TEXT(C67,"0.0")&amp;"x）。"</f>
        <v>共識平均目標價 $429.47 隱含 2028 EV/EBITDA 13.7x（扣除非 AI 事業 10.2x × 模型 EBITDA $219.1bn 後，AI 雲端 18.3x），AI 雲端 倍數高於模型方法區間上緣 6x；現價 $350.50 隱含 11.1x（AI 雲端 12.3x）。</v>
      </c>
    </row>
    <row r="69" customFormat="false" ht="15" hidden="false" customHeight="false" outlineLevel="1" collapsed="false">
      <c r="A69" s="3" t="s">
        <v>122</v>
      </c>
      <c r="C69" s="17" t="n">
        <f aca="false">評價_反向DCF!B18</f>
        <v>13.971</v>
      </c>
      <c r="D69" s="17" t="str">
        <f aca="false">評價_反向DCF!C18</f>
        <v>無解</v>
      </c>
      <c r="E69" s="13" t="str">
        <f aca="false">評價_反向DCF!D18</f>
        <v>無解</v>
      </c>
      <c r="I69" s="6" t="s">
        <v>123</v>
      </c>
    </row>
    <row r="70" customFormat="false" ht="15" hidden="false" customHeight="false" outlineLevel="1" collapsed="false">
      <c r="A70" s="3" t="s">
        <v>124</v>
      </c>
      <c r="C70" s="17" t="n">
        <f aca="false">評價_反向DCF!B19</f>
        <v>48.3559</v>
      </c>
      <c r="D70" s="17" t="str">
        <f aca="false">評價_反向DCF!C19</f>
        <v>無解</v>
      </c>
      <c r="E70" s="13" t="str">
        <f aca="false">評價_反向DCF!D19</f>
        <v>無解</v>
      </c>
    </row>
    <row r="71" customFormat="false" ht="15" hidden="false" customHeight="false" outlineLevel="1" collapsed="false">
      <c r="A71" s="3" t="s">
        <v>125</v>
      </c>
      <c r="C71" s="13" t="n">
        <f aca="false">評價_反向DCF!B20</f>
        <v>0.765</v>
      </c>
      <c r="D71" s="13" t="str">
        <f aca="false">評價_反向DCF!C20</f>
        <v>無解</v>
      </c>
      <c r="E71" s="13" t="str">
        <f aca="false">評價_反向DCF!D20</f>
        <v>無解</v>
      </c>
    </row>
    <row r="72" customFormat="false" ht="15" hidden="false" customHeight="false" outlineLevel="1" collapsed="false">
      <c r="A72" s="3" t="s">
        <v>126</v>
      </c>
      <c r="C72" s="17" t="n">
        <f aca="false">評價_反向DCF!B21</f>
        <v>13.971</v>
      </c>
      <c r="D72" s="17" t="str">
        <f aca="false">評價_反向DCF!C21</f>
        <v>無解</v>
      </c>
      <c r="E72" s="13" t="str">
        <f aca="false">評價_反向DCF!D21</f>
        <v>無解</v>
      </c>
    </row>
    <row r="74" customFormat="false" ht="15" hidden="false" customHeight="false" outlineLevel="0" collapsed="false">
      <c r="A74" s="7" t="s">
        <v>127</v>
      </c>
      <c r="B74" s="8"/>
      <c r="C74" s="8"/>
      <c r="D74" s="8"/>
      <c r="E74" s="8"/>
      <c r="F74" s="8"/>
      <c r="G74" s="8"/>
      <c r="H74" s="8"/>
    </row>
    <row r="75" customFormat="false" ht="15" hidden="false" customHeight="false" outlineLevel="1" collapsed="false">
      <c r="A75" s="3" t="s">
        <v>128</v>
      </c>
      <c r="C75" s="10" t="str">
        <f aca="false">季度追蹤!C12</f>
        <v>Q3 2026</v>
      </c>
      <c r="I75" s="6" t="s">
        <v>129</v>
      </c>
    </row>
    <row r="76" customFormat="false" ht="15" hidden="false" customHeight="false" outlineLevel="1" collapsed="false">
      <c r="A76" s="3" t="s">
        <v>130</v>
      </c>
      <c r="B76" s="11" t="s">
        <v>63</v>
      </c>
      <c r="C76" s="10" t="n">
        <f aca="false">季度追蹤!C6</f>
        <v>127.457436752333</v>
      </c>
      <c r="D76" s="10" t="str">
        <f aca="false">季度追蹤!D6</f>
        <v>不適用</v>
      </c>
      <c r="E76" s="10" t="str">
        <f aca="false">季度追蹤!F6</f>
        <v>不適用</v>
      </c>
      <c r="F76" s="10" t="str">
        <f aca="false">季度追蹤!G6</f>
        <v>不適用</v>
      </c>
      <c r="G76" s="10" t="str">
        <f aca="false">季度追蹤!I6</f>
        <v>待公布</v>
      </c>
      <c r="I76" s="6" t="s">
        <v>131</v>
      </c>
    </row>
    <row r="77" customFormat="false" ht="15" hidden="false" customHeight="false" outlineLevel="1" collapsed="false">
      <c r="A77" s="2" t="s">
        <v>132</v>
      </c>
      <c r="C77" s="10" t="str">
        <f aca="false">INDEX(季度追蹤!$C$125:$H$125,輸入與假設!$C$540)</f>
        <v>營收：模型 $127.46bn</v>
      </c>
    </row>
    <row r="78" customFormat="false" ht="15" hidden="false" customHeight="false" outlineLevel="1" collapsed="false">
      <c r="A78" s="3" t="s">
        <v>133</v>
      </c>
      <c r="B78" s="11" t="s">
        <v>63</v>
      </c>
      <c r="C78" s="10" t="n">
        <f aca="false">季度追蹤!C9</f>
        <v>36.7885038105769</v>
      </c>
      <c r="D78" s="10" t="str">
        <f aca="false">季度追蹤!D9</f>
        <v>不適用</v>
      </c>
      <c r="E78" s="10" t="str">
        <f aca="false">季度追蹤!F9</f>
        <v>不適用</v>
      </c>
      <c r="F78" s="10" t="str">
        <f aca="false">季度追蹤!G9</f>
        <v>不適用</v>
      </c>
      <c r="G78" s="10" t="str">
        <f aca="false">季度追蹤!I9</f>
        <v>待公布</v>
      </c>
      <c r="I78" s="6" t="s">
        <v>131</v>
      </c>
    </row>
    <row r="79" customFormat="false" ht="15" hidden="false" customHeight="false" outlineLevel="1" collapsed="false">
      <c r="A79" s="2" t="s">
        <v>134</v>
      </c>
      <c r="C79" s="10" t="str">
        <f aca="false">INDEX(季度追蹤!$C$128:$H$128,輸入與假設!$C$540)</f>
        <v>調整後營業利益：模型 $36.79bn</v>
      </c>
    </row>
    <row r="80" customFormat="false" ht="15" hidden="false" customHeight="false" outlineLevel="1" collapsed="false">
      <c r="A80" s="3" t="s">
        <v>135</v>
      </c>
      <c r="B80" s="11" t="s">
        <v>63</v>
      </c>
      <c r="C80" s="10" t="n">
        <f aca="false">季度追蹤!C10</f>
        <v>59.701</v>
      </c>
      <c r="D80" s="10" t="str">
        <f aca="false">季度追蹤!D10</f>
        <v>不適用</v>
      </c>
      <c r="E80" s="10" t="str">
        <f aca="false">季度追蹤!F10</f>
        <v>不適用</v>
      </c>
      <c r="F80" s="10" t="str">
        <f aca="false">季度追蹤!G10</f>
        <v>不適用</v>
      </c>
      <c r="G80" s="10" t="str">
        <f aca="false">季度追蹤!I10</f>
        <v>待公布</v>
      </c>
      <c r="I80" s="6" t="s">
        <v>131</v>
      </c>
    </row>
    <row r="81" customFormat="false" ht="15" hidden="false" customHeight="false" outlineLevel="1" collapsed="false">
      <c r="A81" s="2" t="s">
        <v>136</v>
      </c>
      <c r="C81" s="10" t="str">
        <f aca="false">INDEX(季度追蹤!$C$129:$H$129,輸入與假設!$C$540)</f>
        <v>CapEx（毛額）：模型 $59.70bn</v>
      </c>
    </row>
    <row r="82" customFormat="false" ht="15" hidden="false" customHeight="false" outlineLevel="1" collapsed="false">
      <c r="A82" s="3" t="s">
        <v>137</v>
      </c>
      <c r="B82" s="6" t="s">
        <v>138</v>
      </c>
      <c r="C82" s="9" t="n">
        <f aca="false">輸入與假設!$C$498</f>
        <v>43</v>
      </c>
      <c r="D82" s="9" t="n">
        <f aca="false">輸入與假設!$C$499</f>
        <v>13</v>
      </c>
      <c r="E82" s="9" t="n">
        <f aca="false">輸入與假設!$C$500</f>
        <v>5</v>
      </c>
      <c r="F82" s="9" t="n">
        <f aca="false">輸入與假設!$C$501</f>
        <v>0</v>
      </c>
      <c r="G82" s="9" t="n">
        <f aca="false">輸入與假設!$C$502</f>
        <v>0</v>
      </c>
      <c r="I82" s="11" t="s">
        <v>139</v>
      </c>
    </row>
    <row r="83" customFormat="false" ht="15" hidden="false" customHeight="false" outlineLevel="1" collapsed="false">
      <c r="A83" s="3" t="s">
        <v>140</v>
      </c>
      <c r="B83" s="11" t="s">
        <v>39</v>
      </c>
      <c r="C83" s="12" t="n">
        <f aca="false">輸入與假設!$C$487</f>
        <v>429.47</v>
      </c>
      <c r="D83" s="12" t="n">
        <f aca="false">輸入與假設!$C$488</f>
        <v>430</v>
      </c>
      <c r="E83" s="12" t="n">
        <f aca="false">輸入與假設!$C$489</f>
        <v>340</v>
      </c>
      <c r="F83" s="12" t="n">
        <f aca="false">輸入與假設!$C$490</f>
        <v>515</v>
      </c>
      <c r="I83" s="11" t="s">
        <v>141</v>
      </c>
    </row>
    <row r="84" customFormat="false" ht="15" hidden="false" customHeight="false" outlineLevel="1" collapsed="false"/>
    <row r="85" customFormat="false" ht="15" hidden="false" customHeight="false" outlineLevel="1" collapsed="false">
      <c r="A85" s="6" t="s">
        <v>142</v>
      </c>
    </row>
    <row r="86" customFormat="false" ht="15" hidden="false" customHeight="false" outlineLevel="1" collapsed="false">
      <c r="A86" s="6" t="s">
        <v>143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outlinePr summaryBelow="0" summaryRight="1"/>
    <pageSetUpPr fitToPage="false"/>
  </sheetPr>
  <dimension ref="A1:J5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2" outlineLevelCol="0"/>
  <cols>
    <col collapsed="false" customWidth="true" hidden="false" outlineLevel="0" max="1" min="1" style="0" width="44"/>
    <col collapsed="false" customWidth="true" hidden="false" outlineLevel="0" max="6" min="2" style="0" width="12"/>
    <col collapsed="false" customWidth="true" hidden="false" outlineLevel="0" max="7" min="7" style="0" width="16"/>
    <col collapsed="false" customWidth="true" hidden="false" outlineLevel="0" max="9" min="9" style="0" width="92"/>
    <col collapsed="false" customWidth="true" hidden="false" outlineLevel="0" max="10" min="10" style="0" width="60"/>
  </cols>
  <sheetData>
    <row r="1" customFormat="false" ht="17.35" hidden="false" customHeight="false" outlineLevel="0" collapsed="false">
      <c r="A1" s="5" t="s">
        <v>144</v>
      </c>
    </row>
    <row r="2" customFormat="false" ht="15" hidden="false" customHeight="false" outlineLevel="0" collapsed="false">
      <c r="A2" s="11" t="s">
        <v>145</v>
      </c>
    </row>
    <row r="4" customFormat="false" ht="15" hidden="false" customHeight="false" outlineLevel="0" collapsed="false">
      <c r="A4" s="7" t="s">
        <v>146</v>
      </c>
      <c r="B4" s="8"/>
      <c r="C4" s="8"/>
      <c r="D4" s="8"/>
      <c r="E4" s="8"/>
      <c r="F4" s="8"/>
      <c r="G4" s="8"/>
      <c r="H4" s="8"/>
    </row>
    <row r="5" customFormat="false" ht="15" hidden="false" customHeight="false" outlineLevel="1" collapsed="false">
      <c r="A5" s="2" t="s">
        <v>147</v>
      </c>
      <c r="C5" s="18" t="n">
        <v>2</v>
      </c>
      <c r="D5" s="2" t="str">
        <f aca="false">CHOOSE(C5,"保守 已交付＋已公開在建","基準 依資本支出指引","積極 依 2027 擴張幅度")</f>
        <v>基準 依資本支出指引</v>
      </c>
      <c r="I5" s="6" t="s">
        <v>148</v>
      </c>
    </row>
    <row r="6" customFormat="false" ht="15" hidden="false" customHeight="false" outlineLevel="1" collapsed="false">
      <c r="A6" s="19" t="s">
        <v>149</v>
      </c>
      <c r="B6" s="20"/>
      <c r="C6" s="20"/>
      <c r="D6" s="20"/>
      <c r="E6" s="20"/>
      <c r="F6" s="20"/>
      <c r="G6" s="20"/>
      <c r="H6" s="20"/>
    </row>
    <row r="7" customFormat="false" ht="17.15" hidden="false" customHeight="false" outlineLevel="2" collapsed="false">
      <c r="A7" s="14" t="s">
        <v>150</v>
      </c>
      <c r="B7" s="14" t="s">
        <v>58</v>
      </c>
      <c r="C7" s="15" t="s">
        <v>59</v>
      </c>
      <c r="D7" s="15" t="s">
        <v>60</v>
      </c>
      <c r="E7" s="15" t="s">
        <v>61</v>
      </c>
      <c r="F7" s="15" t="s">
        <v>151</v>
      </c>
      <c r="G7" s="15" t="s">
        <v>152</v>
      </c>
      <c r="I7" s="15" t="s">
        <v>153</v>
      </c>
    </row>
    <row r="8" customFormat="false" ht="15" hidden="false" customHeight="false" outlineLevel="2" collapsed="false">
      <c r="A8" s="3" t="s">
        <v>154</v>
      </c>
      <c r="B8" s="11" t="s">
        <v>155</v>
      </c>
      <c r="C8" s="21" t="n">
        <v>1901</v>
      </c>
      <c r="I8" s="11" t="s">
        <v>156</v>
      </c>
    </row>
    <row r="9" customFormat="false" ht="15" hidden="false" customHeight="false" outlineLevel="2" collapsed="false">
      <c r="A9" s="3" t="s">
        <v>157</v>
      </c>
      <c r="B9" s="11" t="s">
        <v>155</v>
      </c>
      <c r="C9" s="21" t="n">
        <v>3171</v>
      </c>
      <c r="D9" s="21" t="n">
        <v>3171</v>
      </c>
      <c r="E9" s="21" t="n">
        <v>3171</v>
      </c>
      <c r="F9" s="21" t="n">
        <v>3171</v>
      </c>
      <c r="G9" s="21" t="n">
        <v>3171</v>
      </c>
      <c r="I9" s="11" t="s">
        <v>158</v>
      </c>
    </row>
    <row r="10" customFormat="false" ht="15" hidden="false" customHeight="false" outlineLevel="2" collapsed="false">
      <c r="A10" s="3" t="s">
        <v>159</v>
      </c>
      <c r="B10" s="11" t="s">
        <v>160</v>
      </c>
      <c r="C10" s="21" t="n">
        <v>850</v>
      </c>
      <c r="I10" s="11" t="s">
        <v>161</v>
      </c>
    </row>
    <row r="11" customFormat="false" ht="15" hidden="false" customHeight="false" outlineLevel="2" collapsed="false">
      <c r="A11" s="3" t="s">
        <v>162</v>
      </c>
      <c r="B11" s="11" t="s">
        <v>155</v>
      </c>
      <c r="C11" s="22" t="n">
        <f aca="false">MIN(C9,輸入與假設!$C$8+輸入與假設!$C$10*C$34)</f>
        <v>2326</v>
      </c>
      <c r="D11" s="22" t="n">
        <f aca="false">MIN(D9,C11+輸入與假設!$C$10*D$34)</f>
        <v>3171</v>
      </c>
      <c r="E11" s="22" t="n">
        <f aca="false">MIN(E9,D11+輸入與假設!$C$10*E$34)</f>
        <v>3171</v>
      </c>
      <c r="F11" s="22" t="n">
        <f aca="false">MIN(F9,E11+輸入與假設!$C$10*F$34)</f>
        <v>3171</v>
      </c>
      <c r="G11" s="22" t="n">
        <f aca="false">MIN(G9,F11+輸入與假設!$C$10*G$34)</f>
        <v>3171</v>
      </c>
      <c r="I11" s="21" t="n">
        <v>0</v>
      </c>
      <c r="J11" s="6" t="s">
        <v>163</v>
      </c>
    </row>
    <row r="12" customFormat="false" ht="15" hidden="false" customHeight="false" outlineLevel="2" collapsed="false">
      <c r="A12" s="3" t="s">
        <v>164</v>
      </c>
      <c r="B12" s="11" t="s">
        <v>155</v>
      </c>
      <c r="C12" s="21" t="n">
        <v>99999</v>
      </c>
      <c r="D12" s="21" t="n">
        <v>99999</v>
      </c>
      <c r="E12" s="21" t="n">
        <v>99999</v>
      </c>
      <c r="F12" s="21" t="n">
        <v>99999</v>
      </c>
      <c r="G12" s="21" t="n">
        <v>99999</v>
      </c>
      <c r="I12" s="11" t="s">
        <v>158</v>
      </c>
    </row>
    <row r="13" customFormat="false" ht="15" hidden="false" customHeight="false" outlineLevel="2" collapsed="false">
      <c r="A13" s="3" t="s">
        <v>165</v>
      </c>
      <c r="B13" s="11" t="s">
        <v>160</v>
      </c>
      <c r="C13" s="21" t="n">
        <v>1069.4</v>
      </c>
      <c r="I13" s="11" t="s">
        <v>161</v>
      </c>
    </row>
    <row r="14" customFormat="false" ht="15" hidden="false" customHeight="false" outlineLevel="2" collapsed="false">
      <c r="A14" s="3" t="s">
        <v>166</v>
      </c>
      <c r="B14" s="11" t="s">
        <v>155</v>
      </c>
      <c r="C14" s="22" t="n">
        <f aca="false">MIN(C12,輸入與假設!$C$8+輸入與假設!$C$13*C$34)</f>
        <v>2435.7</v>
      </c>
      <c r="D14" s="22" t="n">
        <f aca="false">MIN(D12,C14+輸入與假設!$C$13*D$34)</f>
        <v>3505.1</v>
      </c>
      <c r="E14" s="22" t="n">
        <f aca="false">MIN(E12,D14+輸入與假設!$C$13*E$34)</f>
        <v>4574.5</v>
      </c>
      <c r="F14" s="22" t="n">
        <f aca="false">MIN(F12,E14+輸入與假設!$C$13*F$34)</f>
        <v>5643.9</v>
      </c>
      <c r="G14" s="22" t="n">
        <f aca="false">MIN(G12,F14+輸入與假設!$C$13*G$34)</f>
        <v>6713.3</v>
      </c>
      <c r="I14" s="21" t="n">
        <v>1069.4</v>
      </c>
      <c r="J14" s="6" t="s">
        <v>167</v>
      </c>
    </row>
    <row r="15" customFormat="false" ht="15" hidden="false" customHeight="false" outlineLevel="2" collapsed="false">
      <c r="A15" s="3" t="s">
        <v>168</v>
      </c>
      <c r="B15" s="11" t="s">
        <v>155</v>
      </c>
      <c r="C15" s="21" t="n">
        <v>99999</v>
      </c>
      <c r="D15" s="21" t="n">
        <v>99999</v>
      </c>
      <c r="E15" s="21" t="n">
        <v>99999</v>
      </c>
      <c r="F15" s="21" t="n">
        <v>99999</v>
      </c>
      <c r="G15" s="21" t="n">
        <v>99999</v>
      </c>
      <c r="I15" s="11" t="s">
        <v>158</v>
      </c>
    </row>
    <row r="16" customFormat="false" ht="15" hidden="false" customHeight="false" outlineLevel="2" collapsed="false">
      <c r="A16" s="3" t="s">
        <v>169</v>
      </c>
      <c r="B16" s="11" t="s">
        <v>160</v>
      </c>
      <c r="C16" s="21" t="n">
        <v>1604.1</v>
      </c>
      <c r="I16" s="11" t="s">
        <v>161</v>
      </c>
    </row>
    <row r="17" customFormat="false" ht="15" hidden="false" customHeight="false" outlineLevel="2" collapsed="false">
      <c r="A17" s="3" t="s">
        <v>170</v>
      </c>
      <c r="B17" s="11" t="s">
        <v>155</v>
      </c>
      <c r="C17" s="22" t="n">
        <f aca="false">MIN(C15,輸入與假設!$C$8+輸入與假設!$C$16*C$34)</f>
        <v>2703.05</v>
      </c>
      <c r="D17" s="22" t="n">
        <f aca="false">MIN(D15,C17+輸入與假設!$C$16*D$34)</f>
        <v>4307.15</v>
      </c>
      <c r="E17" s="22" t="n">
        <f aca="false">MIN(E15,D17+輸入與假設!$C$16*E$34)</f>
        <v>5911.25</v>
      </c>
      <c r="F17" s="22" t="n">
        <f aca="false">MIN(F15,E17+輸入與假設!$C$16*F$34)</f>
        <v>7515.35</v>
      </c>
      <c r="G17" s="22" t="n">
        <f aca="false">MIN(G15,F17+輸入與假設!$C$16*G$34)</f>
        <v>9119.45</v>
      </c>
      <c r="I17" s="21" t="n">
        <v>1604.1</v>
      </c>
      <c r="J17" s="6" t="s">
        <v>171</v>
      </c>
    </row>
    <row r="18" customFormat="false" ht="15" hidden="false" customHeight="false" outlineLevel="2" collapsed="false">
      <c r="A18" s="3" t="s">
        <v>172</v>
      </c>
      <c r="B18" s="11" t="s">
        <v>42</v>
      </c>
      <c r="C18" s="23" t="n">
        <v>1</v>
      </c>
      <c r="D18" s="23" t="n">
        <v>1</v>
      </c>
      <c r="E18" s="23" t="n">
        <v>1</v>
      </c>
      <c r="F18" s="23" t="n">
        <v>1</v>
      </c>
      <c r="G18" s="23" t="n">
        <v>1</v>
      </c>
      <c r="I18" s="6" t="s">
        <v>173</v>
      </c>
    </row>
    <row r="19" customFormat="false" ht="15" hidden="false" customHeight="false" outlineLevel="2" collapsed="false">
      <c r="A19" s="3" t="s">
        <v>174</v>
      </c>
      <c r="B19" s="11" t="s">
        <v>63</v>
      </c>
      <c r="C19" s="24" t="n">
        <v>85.2</v>
      </c>
      <c r="I19" s="6" t="s">
        <v>175</v>
      </c>
    </row>
    <row r="20" customFormat="false" ht="15" hidden="false" customHeight="false" outlineLevel="2" collapsed="false">
      <c r="A20" s="3" t="s">
        <v>176</v>
      </c>
      <c r="B20" s="6" t="s">
        <v>177</v>
      </c>
      <c r="C20" s="21" t="n">
        <v>0</v>
      </c>
      <c r="I20" s="11" t="s">
        <v>178</v>
      </c>
    </row>
    <row r="21" customFormat="false" ht="15" hidden="false" customHeight="false" outlineLevel="2" collapsed="false">
      <c r="A21" s="3" t="s">
        <v>179</v>
      </c>
      <c r="B21" s="6" t="s">
        <v>177</v>
      </c>
      <c r="C21" s="21" t="n">
        <v>22</v>
      </c>
      <c r="I21" s="11" t="s">
        <v>180</v>
      </c>
    </row>
    <row r="22" customFormat="false" ht="15" hidden="false" customHeight="false" outlineLevel="2" collapsed="false">
      <c r="A22" s="3" t="s">
        <v>181</v>
      </c>
      <c r="B22" s="6" t="s">
        <v>182</v>
      </c>
      <c r="C22" s="25" t="n">
        <v>15</v>
      </c>
      <c r="I22" s="6" t="s">
        <v>183</v>
      </c>
    </row>
    <row r="23" customFormat="false" ht="15" hidden="false" customHeight="false" outlineLevel="0" collapsed="false">
      <c r="A23" s="7" t="s">
        <v>184</v>
      </c>
      <c r="B23" s="8"/>
      <c r="C23" s="8"/>
      <c r="D23" s="8"/>
      <c r="E23" s="8"/>
      <c r="F23" s="8"/>
      <c r="G23" s="8"/>
      <c r="H23" s="8"/>
    </row>
    <row r="24" customFormat="false" ht="15" hidden="false" customHeight="false" outlineLevel="1" collapsed="false">
      <c r="A24" s="4" t="s">
        <v>185</v>
      </c>
      <c r="B24" s="11" t="s">
        <v>63</v>
      </c>
      <c r="C24" s="24" t="n">
        <v>0</v>
      </c>
      <c r="I24" s="6" t="s">
        <v>186</v>
      </c>
    </row>
    <row r="25" customFormat="false" ht="15" hidden="false" customHeight="false" outlineLevel="1" collapsed="false">
      <c r="A25" s="3" t="s">
        <v>187</v>
      </c>
      <c r="B25" s="11" t="s">
        <v>63</v>
      </c>
      <c r="C25" s="24" t="n">
        <v>0</v>
      </c>
      <c r="I25" s="6" t="s">
        <v>188</v>
      </c>
    </row>
    <row r="26" customFormat="false" ht="15" hidden="false" customHeight="false" outlineLevel="1" collapsed="false">
      <c r="A26" s="3" t="s">
        <v>189</v>
      </c>
      <c r="B26" s="11" t="s">
        <v>42</v>
      </c>
      <c r="C26" s="23" t="n">
        <v>0</v>
      </c>
      <c r="I26" s="6" t="s">
        <v>190</v>
      </c>
    </row>
    <row r="27" customFormat="false" ht="15" hidden="false" customHeight="false" outlineLevel="1" collapsed="false">
      <c r="A27" s="4" t="s">
        <v>191</v>
      </c>
      <c r="B27" s="11" t="s">
        <v>42</v>
      </c>
      <c r="C27" s="23" t="n">
        <v>0.725</v>
      </c>
      <c r="I27" s="6" t="s">
        <v>192</v>
      </c>
    </row>
    <row r="28" customFormat="false" ht="15" hidden="false" customHeight="false" outlineLevel="1" collapsed="false">
      <c r="A28" s="4" t="s">
        <v>193</v>
      </c>
      <c r="B28" s="11" t="s">
        <v>155</v>
      </c>
      <c r="C28" s="21" t="n">
        <v>1462</v>
      </c>
      <c r="I28" s="11" t="s">
        <v>194</v>
      </c>
    </row>
    <row r="29" customFormat="false" ht="15" hidden="false" customHeight="false" outlineLevel="1" collapsed="false">
      <c r="A29" s="4" t="s">
        <v>195</v>
      </c>
      <c r="B29" s="11" t="s">
        <v>155</v>
      </c>
      <c r="C29" s="26" t="n">
        <f aca="false">輸入與假設!$C$8</f>
        <v>1901</v>
      </c>
      <c r="I29" s="6" t="s">
        <v>196</v>
      </c>
    </row>
    <row r="30" customFormat="false" ht="15" hidden="false" customHeight="false" outlineLevel="1" collapsed="false">
      <c r="A30" s="3" t="s">
        <v>197</v>
      </c>
      <c r="B30" s="6"/>
      <c r="C30" s="21" t="n">
        <v>1</v>
      </c>
      <c r="I30" s="11" t="s">
        <v>198</v>
      </c>
    </row>
    <row r="31" customFormat="false" ht="15" hidden="false" customHeight="false" outlineLevel="1" collapsed="false">
      <c r="A31" s="3" t="s">
        <v>199</v>
      </c>
      <c r="B31" s="6"/>
      <c r="C31" s="27" t="s">
        <v>200</v>
      </c>
      <c r="I31" s="11" t="s">
        <v>201</v>
      </c>
    </row>
    <row r="32" customFormat="false" ht="15" hidden="false" customHeight="false" outlineLevel="1" collapsed="false">
      <c r="A32" s="3" t="s">
        <v>202</v>
      </c>
      <c r="B32" s="11" t="s">
        <v>42</v>
      </c>
      <c r="C32" s="23" t="n">
        <v>1</v>
      </c>
      <c r="I32" s="6" t="s">
        <v>203</v>
      </c>
    </row>
    <row r="33" customFormat="false" ht="15" hidden="false" customHeight="false" outlineLevel="1" collapsed="false">
      <c r="A33" s="14" t="s">
        <v>57</v>
      </c>
      <c r="B33" s="14" t="s">
        <v>58</v>
      </c>
      <c r="C33" s="28" t="s">
        <v>59</v>
      </c>
      <c r="D33" s="28" t="s">
        <v>60</v>
      </c>
      <c r="E33" s="28" t="s">
        <v>61</v>
      </c>
      <c r="F33" s="28" t="s">
        <v>151</v>
      </c>
      <c r="G33" s="28" t="s">
        <v>152</v>
      </c>
      <c r="I33" s="14" t="s">
        <v>204</v>
      </c>
    </row>
    <row r="34" customFormat="false" ht="15" hidden="false" customHeight="false" outlineLevel="1" collapsed="false">
      <c r="A34" s="3" t="s">
        <v>205</v>
      </c>
      <c r="B34" s="6"/>
      <c r="C34" s="24" t="n">
        <v>0.5</v>
      </c>
      <c r="D34" s="24" t="n">
        <v>1</v>
      </c>
      <c r="E34" s="24" t="n">
        <v>1</v>
      </c>
      <c r="F34" s="24" t="n">
        <v>1</v>
      </c>
      <c r="G34" s="24" t="n">
        <v>1</v>
      </c>
      <c r="I34" s="6" t="s">
        <v>206</v>
      </c>
    </row>
    <row r="35" customFormat="false" ht="15" hidden="false" customHeight="false" outlineLevel="1" collapsed="false">
      <c r="A35" s="4" t="s">
        <v>207</v>
      </c>
      <c r="B35" s="11" t="s">
        <v>42</v>
      </c>
      <c r="C35" s="23" t="n">
        <v>0.125</v>
      </c>
      <c r="D35" s="23" t="n">
        <v>0.25</v>
      </c>
      <c r="E35" s="23" t="n">
        <v>0.17</v>
      </c>
      <c r="F35" s="23" t="n">
        <v>0.09</v>
      </c>
      <c r="G35" s="23" t="n">
        <v>0.09</v>
      </c>
      <c r="H35" s="29" t="n">
        <f aca="false">SUM(C35:G35)</f>
        <v>0.725</v>
      </c>
      <c r="I35" s="6" t="s">
        <v>208</v>
      </c>
    </row>
    <row r="36" customFormat="false" ht="15" hidden="false" customHeight="false" outlineLevel="1" collapsed="false">
      <c r="A36" s="4" t="s">
        <v>209</v>
      </c>
      <c r="B36" s="11" t="s">
        <v>155</v>
      </c>
      <c r="C36" s="22" t="n">
        <f aca="false">CHOOSE(輸入與假設!$C$5,C11,C14,C17)</f>
        <v>2435.7</v>
      </c>
      <c r="D36" s="22" t="n">
        <f aca="false">CHOOSE(輸入與假設!$C$5,D11,D14,D17)</f>
        <v>3505.1</v>
      </c>
      <c r="E36" s="22" t="n">
        <f aca="false">CHOOSE(輸入與假設!$C$5,E11,E14,E17)</f>
        <v>4574.5</v>
      </c>
      <c r="F36" s="22" t="n">
        <f aca="false">CHOOSE(輸入與假設!$C$5,F11,F14,F17)</f>
        <v>5643.9</v>
      </c>
      <c r="G36" s="22" t="n">
        <f aca="false">CHOOSE(輸入與假設!$C$5,G11,G14,G17)</f>
        <v>6713.3</v>
      </c>
      <c r="I36" s="6" t="s">
        <v>210</v>
      </c>
    </row>
    <row r="37" customFormat="false" ht="15" hidden="false" customHeight="false" outlineLevel="1" collapsed="false">
      <c r="A37" s="4" t="s">
        <v>211</v>
      </c>
      <c r="B37" s="11" t="s">
        <v>155</v>
      </c>
      <c r="C37" s="22" t="n">
        <f aca="false">ROUND(C36*C18,0)</f>
        <v>2436</v>
      </c>
      <c r="D37" s="22" t="n">
        <f aca="false">ROUND(D36*D18,0)</f>
        <v>3505</v>
      </c>
      <c r="E37" s="22" t="n">
        <f aca="false">ROUND(E36*E18,0)</f>
        <v>4575</v>
      </c>
      <c r="F37" s="22" t="n">
        <f aca="false">ROUND(F36*F18,0)</f>
        <v>5644</v>
      </c>
      <c r="G37" s="22" t="n">
        <f aca="false">ROUND(G36*G18,0)</f>
        <v>6713</v>
      </c>
      <c r="I37" s="6" t="s">
        <v>212</v>
      </c>
    </row>
    <row r="38" customFormat="false" ht="15" hidden="false" customHeight="false" outlineLevel="1" collapsed="false">
      <c r="A38" s="3" t="s">
        <v>213</v>
      </c>
      <c r="B38" s="11" t="s">
        <v>42</v>
      </c>
      <c r="C38" s="23" t="n">
        <v>1</v>
      </c>
      <c r="D38" s="23" t="n">
        <v>1</v>
      </c>
      <c r="E38" s="23" t="n">
        <v>1</v>
      </c>
      <c r="F38" s="23" t="n">
        <v>1</v>
      </c>
      <c r="G38" s="23" t="n">
        <v>1</v>
      </c>
      <c r="I38" s="11" t="s">
        <v>214</v>
      </c>
    </row>
    <row r="39" customFormat="false" ht="15" hidden="false" customHeight="false" outlineLevel="1" collapsed="false">
      <c r="A39" s="3" t="s">
        <v>215</v>
      </c>
      <c r="B39" s="11" t="s">
        <v>216</v>
      </c>
      <c r="C39" s="30" t="n">
        <f aca="false">C111*輸入與假設!$C$58/1000</f>
        <v>0.0126520642354714</v>
      </c>
      <c r="D39" s="30" t="n">
        <f aca="false">D111*輸入與假設!$C$58/1000</f>
        <v>0.0132786743357124</v>
      </c>
      <c r="E39" s="30" t="n">
        <f aca="false">E111*輸入與假設!$C$58/1000</f>
        <v>0.0136173410940223</v>
      </c>
      <c r="F39" s="30" t="n">
        <f aca="false">F111*輸入與假設!$C$58/1000</f>
        <v>0.0138276674383147</v>
      </c>
      <c r="G39" s="30" t="n">
        <f aca="false">G111*輸入與假設!$C$58/1000</f>
        <v>0.0139709856070194</v>
      </c>
      <c r="I39" s="6" t="s">
        <v>217</v>
      </c>
    </row>
    <row r="40" customFormat="false" ht="15" hidden="false" customHeight="false" outlineLevel="1" collapsed="false">
      <c r="A40" s="3" t="s">
        <v>218</v>
      </c>
      <c r="B40" s="11" t="s">
        <v>42</v>
      </c>
      <c r="C40" s="23" t="n">
        <v>1</v>
      </c>
      <c r="D40" s="23" t="n">
        <v>1</v>
      </c>
      <c r="E40" s="23" t="n">
        <v>1</v>
      </c>
      <c r="F40" s="23" t="n">
        <v>1</v>
      </c>
      <c r="G40" s="23" t="n">
        <v>1</v>
      </c>
      <c r="I40" s="11" t="s">
        <v>219</v>
      </c>
    </row>
    <row r="41" customFormat="false" ht="15" hidden="false" customHeight="false" outlineLevel="1" collapsed="false">
      <c r="A41" s="3" t="s">
        <v>220</v>
      </c>
      <c r="B41" s="11" t="s">
        <v>42</v>
      </c>
      <c r="C41" s="23" t="n">
        <v>0</v>
      </c>
      <c r="D41" s="23" t="n">
        <v>0</v>
      </c>
      <c r="E41" s="23" t="n">
        <v>0</v>
      </c>
      <c r="F41" s="23" t="n">
        <v>0</v>
      </c>
      <c r="G41" s="23" t="n">
        <v>0</v>
      </c>
      <c r="I41" s="6" t="s">
        <v>221</v>
      </c>
    </row>
    <row r="42" customFormat="false" ht="15" hidden="false" customHeight="false" outlineLevel="1" collapsed="false">
      <c r="A42" s="3" t="s">
        <v>222</v>
      </c>
      <c r="B42" s="11" t="s">
        <v>42</v>
      </c>
      <c r="C42" s="23" t="n">
        <v>0.5</v>
      </c>
      <c r="D42" s="23" t="n">
        <v>0.5</v>
      </c>
      <c r="E42" s="23" t="n">
        <v>0.5</v>
      </c>
      <c r="F42" s="23" t="n">
        <v>0.5</v>
      </c>
      <c r="G42" s="23" t="n">
        <v>0.5</v>
      </c>
      <c r="I42" s="11" t="s">
        <v>223</v>
      </c>
    </row>
    <row r="43" customFormat="false" ht="15" hidden="false" customHeight="false" outlineLevel="1" collapsed="false">
      <c r="A43" s="3" t="s">
        <v>224</v>
      </c>
      <c r="B43" s="11" t="s">
        <v>63</v>
      </c>
      <c r="C43" s="24" t="n">
        <v>0</v>
      </c>
      <c r="D43" s="24" t="n">
        <v>0</v>
      </c>
      <c r="E43" s="24" t="n">
        <v>0</v>
      </c>
      <c r="F43" s="24" t="n">
        <v>0</v>
      </c>
      <c r="G43" s="24" t="n">
        <v>0</v>
      </c>
      <c r="I43" s="6" t="s">
        <v>225</v>
      </c>
    </row>
    <row r="44" customFormat="false" ht="15" hidden="false" customHeight="false" outlineLevel="1" collapsed="false">
      <c r="A44" s="3" t="s">
        <v>226</v>
      </c>
      <c r="B44" s="11" t="s">
        <v>63</v>
      </c>
      <c r="C44" s="24" t="n">
        <v>0</v>
      </c>
      <c r="D44" s="24" t="n">
        <v>0</v>
      </c>
      <c r="E44" s="24" t="n">
        <v>0</v>
      </c>
      <c r="F44" s="24" t="n">
        <v>0</v>
      </c>
      <c r="G44" s="24" t="n">
        <v>0</v>
      </c>
      <c r="I44" s="6" t="s">
        <v>227</v>
      </c>
    </row>
    <row r="45" customFormat="false" ht="15" hidden="false" customHeight="false" outlineLevel="1" collapsed="false">
      <c r="A45" s="3" t="s">
        <v>228</v>
      </c>
      <c r="B45" s="11" t="s">
        <v>229</v>
      </c>
      <c r="C45" s="24" t="n">
        <v>11.04</v>
      </c>
      <c r="I45" s="6" t="s">
        <v>230</v>
      </c>
    </row>
    <row r="46" customFormat="false" ht="15" hidden="false" customHeight="false" outlineLevel="1" collapsed="false">
      <c r="A46" s="3" t="s">
        <v>231</v>
      </c>
      <c r="B46" s="6" t="s">
        <v>182</v>
      </c>
      <c r="C46" s="31" t="n">
        <v>0.25</v>
      </c>
      <c r="D46" s="31" t="n">
        <v>1</v>
      </c>
      <c r="E46" s="31" t="n">
        <v>1</v>
      </c>
      <c r="F46" s="31" t="n">
        <v>0.5</v>
      </c>
      <c r="G46" s="31" t="n">
        <v>0</v>
      </c>
      <c r="I46" s="6" t="s">
        <v>232</v>
      </c>
    </row>
    <row r="47" customFormat="false" ht="15" hidden="false" customHeight="false" outlineLevel="1" collapsed="false">
      <c r="A47" s="3" t="s">
        <v>233</v>
      </c>
      <c r="B47" s="11" t="s">
        <v>63</v>
      </c>
      <c r="C47" s="32" t="n">
        <f aca="false">輸入與假設!$C$45*C46</f>
        <v>2.76</v>
      </c>
      <c r="D47" s="32" t="n">
        <f aca="false">輸入與假設!$C$45*D46</f>
        <v>11.04</v>
      </c>
      <c r="E47" s="32" t="n">
        <f aca="false">輸入與假設!$C$45*E46</f>
        <v>11.04</v>
      </c>
      <c r="F47" s="32" t="n">
        <f aca="false">輸入與假設!$C$45*F46</f>
        <v>5.52</v>
      </c>
      <c r="G47" s="32" t="n">
        <f aca="false">輸入與假設!$C$45*G46</f>
        <v>0</v>
      </c>
      <c r="I47" s="6" t="s">
        <v>234</v>
      </c>
    </row>
    <row r="48" customFormat="false" ht="15" hidden="false" customHeight="false" outlineLevel="1" collapsed="false">
      <c r="A48" s="3" t="s">
        <v>235</v>
      </c>
      <c r="B48" s="11" t="s">
        <v>63</v>
      </c>
      <c r="C48" s="32" t="n">
        <f aca="false">C44-C47</f>
        <v>-2.76</v>
      </c>
      <c r="D48" s="32" t="n">
        <f aca="false">D44-D47</f>
        <v>-11.04</v>
      </c>
      <c r="E48" s="32" t="n">
        <f aca="false">E44-E47</f>
        <v>-11.04</v>
      </c>
      <c r="F48" s="32" t="n">
        <f aca="false">F44-F47</f>
        <v>-5.52</v>
      </c>
      <c r="G48" s="32" t="n">
        <f aca="false">G44-G47</f>
        <v>0</v>
      </c>
      <c r="I48" s="6" t="s">
        <v>236</v>
      </c>
    </row>
    <row r="49" customFormat="false" ht="15" hidden="false" customHeight="false" outlineLevel="1" collapsed="false">
      <c r="A49" s="3" t="s">
        <v>237</v>
      </c>
      <c r="B49" s="11" t="s">
        <v>42</v>
      </c>
      <c r="C49" s="33" t="n">
        <v>0.063129</v>
      </c>
      <c r="I49" s="6" t="s">
        <v>238</v>
      </c>
    </row>
    <row r="50" customFormat="false" ht="15" hidden="false" customHeight="false" outlineLevel="1" collapsed="false">
      <c r="A50" s="4" t="s">
        <v>239</v>
      </c>
      <c r="B50" s="11" t="s">
        <v>63</v>
      </c>
      <c r="C50" s="24" t="n">
        <v>8.49</v>
      </c>
      <c r="I50" s="6" t="s">
        <v>240</v>
      </c>
    </row>
    <row r="51" customFormat="false" ht="15" hidden="false" customHeight="false" outlineLevel="1" collapsed="false">
      <c r="A51" s="34" t="s">
        <v>241</v>
      </c>
      <c r="B51" s="20"/>
      <c r="C51" s="20"/>
      <c r="D51" s="20"/>
      <c r="E51" s="20"/>
      <c r="F51" s="20"/>
      <c r="G51" s="20"/>
      <c r="H51" s="20"/>
    </row>
    <row r="52" customFormat="false" ht="15" hidden="false" customHeight="false" outlineLevel="2" collapsed="false">
      <c r="A52" s="2" t="s">
        <v>242</v>
      </c>
      <c r="C52" s="18" t="n">
        <v>2</v>
      </c>
      <c r="D52" s="2" t="str">
        <f aca="false">CHOOSE(C52,"低 長約下緣","基準 C1 混合","高 現貨改用 GCP 牌價")</f>
        <v>基準 C1 混合</v>
      </c>
      <c r="I52" s="6" t="s">
        <v>243</v>
      </c>
    </row>
    <row r="53" customFormat="false" ht="17.15" hidden="false" customHeight="false" outlineLevel="2" collapsed="false">
      <c r="A53" s="15" t="s">
        <v>244</v>
      </c>
      <c r="B53" s="14" t="s">
        <v>58</v>
      </c>
      <c r="C53" s="14" t="s">
        <v>245</v>
      </c>
      <c r="D53" s="14" t="s">
        <v>246</v>
      </c>
      <c r="E53" s="14" t="s">
        <v>247</v>
      </c>
    </row>
    <row r="54" customFormat="false" ht="15" hidden="false" customHeight="false" outlineLevel="2" collapsed="false">
      <c r="A54" s="4" t="s">
        <v>248</v>
      </c>
      <c r="B54" s="6" t="s">
        <v>249</v>
      </c>
      <c r="C54" s="35" t="n">
        <v>0.6</v>
      </c>
      <c r="D54" s="35" t="n">
        <v>0.75</v>
      </c>
      <c r="E54" s="35" t="n">
        <v>0.75</v>
      </c>
      <c r="I54" s="6" t="s">
        <v>250</v>
      </c>
    </row>
    <row r="55" customFormat="false" ht="15" hidden="false" customHeight="false" outlineLevel="2" collapsed="false">
      <c r="A55" s="4" t="s">
        <v>251</v>
      </c>
      <c r="B55" s="6" t="s">
        <v>249</v>
      </c>
      <c r="C55" s="35" t="n">
        <v>1.76</v>
      </c>
      <c r="D55" s="35" t="n">
        <v>1.76</v>
      </c>
      <c r="E55" s="35" t="n">
        <v>3.027</v>
      </c>
      <c r="I55" s="6" t="s">
        <v>252</v>
      </c>
    </row>
    <row r="56" customFormat="false" ht="15" hidden="false" customHeight="false" outlineLevel="2" collapsed="false">
      <c r="A56" s="3" t="s">
        <v>253</v>
      </c>
      <c r="B56" s="11" t="s">
        <v>42</v>
      </c>
      <c r="C56" s="23" t="n">
        <v>0.6</v>
      </c>
      <c r="D56" s="23" t="n">
        <v>0.6</v>
      </c>
      <c r="E56" s="23" t="n">
        <v>0.6</v>
      </c>
      <c r="I56" s="6" t="s">
        <v>254</v>
      </c>
    </row>
    <row r="57" customFormat="false" ht="15" hidden="false" customHeight="false" outlineLevel="2" collapsed="false">
      <c r="A57" s="3" t="s">
        <v>255</v>
      </c>
      <c r="B57" s="6" t="s">
        <v>249</v>
      </c>
      <c r="C57" s="31" t="n">
        <f aca="false">C56*C54+(1-C56)*C55</f>
        <v>1.064</v>
      </c>
      <c r="D57" s="31" t="n">
        <f aca="false">D56*D54+(1-D56)*D55</f>
        <v>1.154</v>
      </c>
      <c r="E57" s="31" t="n">
        <f aca="false">E56*E54+(1-E56)*E55</f>
        <v>1.6608</v>
      </c>
      <c r="I57" s="6" t="s">
        <v>256</v>
      </c>
    </row>
    <row r="58" customFormat="false" ht="15" hidden="false" customHeight="false" outlineLevel="2" collapsed="false">
      <c r="A58" s="3" t="s">
        <v>257</v>
      </c>
      <c r="B58" s="6" t="s">
        <v>249</v>
      </c>
      <c r="C58" s="36" t="n">
        <f aca="false">CHOOSE(輸入與假設!$C$52,C57,D57,E57)</f>
        <v>1.154</v>
      </c>
      <c r="I58" s="6" t="s">
        <v>258</v>
      </c>
    </row>
    <row r="59" customFormat="false" ht="15" hidden="false" customHeight="false" outlineLevel="2" collapsed="false">
      <c r="A59" s="3" t="s">
        <v>259</v>
      </c>
      <c r="B59" s="6" t="s">
        <v>249</v>
      </c>
      <c r="C59" s="37" t="n">
        <v>1</v>
      </c>
      <c r="I59" s="6" t="s">
        <v>260</v>
      </c>
    </row>
    <row r="60" customFormat="false" ht="15" hidden="false" customHeight="false" outlineLevel="2" collapsed="false">
      <c r="A60" s="3" t="s">
        <v>261</v>
      </c>
      <c r="B60" s="11" t="s">
        <v>42</v>
      </c>
      <c r="C60" s="23" t="n">
        <v>0.5</v>
      </c>
      <c r="I60" s="6" t="s">
        <v>262</v>
      </c>
    </row>
    <row r="61" customFormat="false" ht="15" hidden="false" customHeight="false" outlineLevel="2" collapsed="false">
      <c r="A61" s="14" t="s">
        <v>57</v>
      </c>
      <c r="B61" s="14" t="s">
        <v>58</v>
      </c>
      <c r="C61" s="28" t="s">
        <v>59</v>
      </c>
      <c r="D61" s="28" t="s">
        <v>60</v>
      </c>
      <c r="E61" s="28" t="s">
        <v>61</v>
      </c>
      <c r="F61" s="28" t="s">
        <v>151</v>
      </c>
      <c r="G61" s="28" t="s">
        <v>152</v>
      </c>
      <c r="I61" s="14" t="s">
        <v>204</v>
      </c>
    </row>
    <row r="62" customFormat="false" ht="15" hidden="false" customHeight="false" outlineLevel="2" collapsed="false">
      <c r="A62" s="3" t="s">
        <v>263</v>
      </c>
      <c r="B62" s="11" t="s">
        <v>264</v>
      </c>
      <c r="C62" s="31" t="n">
        <f aca="false">TK_HoldEcon_H100*輸入與假設!$C$59</f>
        <v>10.0957952959174</v>
      </c>
      <c r="I62" s="11" t="s">
        <v>265</v>
      </c>
    </row>
    <row r="63" customFormat="false" ht="15" hidden="false" customHeight="false" outlineLevel="2" collapsed="false">
      <c r="A63" s="3" t="s">
        <v>266</v>
      </c>
      <c r="B63" s="11" t="s">
        <v>264</v>
      </c>
      <c r="C63" s="31" t="n">
        <f aca="false">TK_OpexGW_H100</f>
        <v>2.27737549</v>
      </c>
      <c r="I63" s="11" t="s">
        <v>267</v>
      </c>
    </row>
    <row r="64" customFormat="false" ht="15" hidden="false" customHeight="false" outlineLevel="2" collapsed="false">
      <c r="A64" s="3" t="s">
        <v>268</v>
      </c>
      <c r="B64" s="11" t="s">
        <v>264</v>
      </c>
      <c r="C64" s="31" t="n">
        <f aca="false">TK_RevGWFleet_H100</f>
        <v>4.00488774987164</v>
      </c>
      <c r="I64" s="11" t="s">
        <v>269</v>
      </c>
    </row>
    <row r="65" customFormat="false" ht="15" hidden="false" customHeight="false" outlineLevel="2" collapsed="false">
      <c r="A65" s="3" t="s">
        <v>270</v>
      </c>
      <c r="B65" s="11" t="s">
        <v>42</v>
      </c>
      <c r="C65" s="23" t="n">
        <v>0.15</v>
      </c>
      <c r="I65" s="6" t="s">
        <v>271</v>
      </c>
    </row>
    <row r="66" customFormat="false" ht="15" hidden="false" customHeight="false" outlineLevel="2" collapsed="false">
      <c r="A66" s="3" t="s">
        <v>272</v>
      </c>
      <c r="B66" s="11" t="s">
        <v>42</v>
      </c>
      <c r="C66" s="23" t="n">
        <v>0</v>
      </c>
      <c r="D66" s="23" t="n">
        <v>0</v>
      </c>
      <c r="E66" s="23" t="n">
        <v>0</v>
      </c>
      <c r="F66" s="23" t="n">
        <v>0</v>
      </c>
      <c r="G66" s="23" t="n">
        <v>0</v>
      </c>
      <c r="I66" s="6" t="s">
        <v>273</v>
      </c>
    </row>
    <row r="67" customFormat="false" ht="15" hidden="false" customHeight="false" outlineLevel="2" collapsed="false">
      <c r="A67" s="3" t="s">
        <v>274</v>
      </c>
      <c r="B67" s="11" t="s">
        <v>155</v>
      </c>
      <c r="C67" s="22" t="n">
        <f aca="false">輸入與假設!$C$65*輸入與假設!$C$29+MAX(0,C36-輸入與假設!$C$29)*C66</f>
        <v>285.15</v>
      </c>
      <c r="D67" s="22" t="n">
        <f aca="false">C67+MAX(0,D36-C36)*D66</f>
        <v>285.15</v>
      </c>
      <c r="E67" s="22" t="n">
        <f aca="false">D67+MAX(0,E36-D36)*E66</f>
        <v>285.15</v>
      </c>
      <c r="F67" s="22" t="n">
        <f aca="false">E67+MAX(0,F36-E36)*F66</f>
        <v>285.15</v>
      </c>
      <c r="G67" s="22" t="n">
        <f aca="false">F67+MAX(0,G36-F36)*G66</f>
        <v>285.15</v>
      </c>
      <c r="I67" s="6" t="s">
        <v>275</v>
      </c>
    </row>
    <row r="68" customFormat="false" ht="15" hidden="false" customHeight="false" outlineLevel="2" collapsed="false">
      <c r="A68" s="3" t="s">
        <v>276</v>
      </c>
      <c r="B68" s="11" t="s">
        <v>264</v>
      </c>
      <c r="C68" s="31" t="n">
        <f aca="false">TK_HoldEcon_H100</f>
        <v>10.0957952959174</v>
      </c>
      <c r="I68" s="11" t="s">
        <v>277</v>
      </c>
    </row>
    <row r="69" customFormat="false" ht="15" hidden="false" customHeight="false" outlineLevel="2" collapsed="false">
      <c r="A69" s="3" t="s">
        <v>278</v>
      </c>
      <c r="B69" s="11" t="s">
        <v>264</v>
      </c>
      <c r="C69" s="31" t="n">
        <f aca="false">TK_OpexGW_H100</f>
        <v>2.27737549</v>
      </c>
      <c r="I69" s="11" t="s">
        <v>267</v>
      </c>
    </row>
    <row r="70" customFormat="false" ht="15" hidden="false" customHeight="false" outlineLevel="2" collapsed="false">
      <c r="A70" s="3" t="s">
        <v>279</v>
      </c>
      <c r="B70" s="11" t="s">
        <v>264</v>
      </c>
      <c r="C70" s="31" t="n">
        <f aca="false">TK_RevGWFleet_H100</f>
        <v>4.00488774987164</v>
      </c>
      <c r="I70" s="11" t="s">
        <v>269</v>
      </c>
    </row>
    <row r="71" customFormat="false" ht="15" hidden="false" customHeight="false" outlineLevel="2" collapsed="false">
      <c r="A71" s="3" t="s">
        <v>280</v>
      </c>
      <c r="B71" s="11" t="s">
        <v>42</v>
      </c>
      <c r="C71" s="23" t="n">
        <v>0.1</v>
      </c>
      <c r="I71" s="6" t="s">
        <v>281</v>
      </c>
    </row>
    <row r="72" customFormat="false" ht="15" hidden="false" customHeight="false" outlineLevel="2" collapsed="false">
      <c r="A72" s="3" t="s">
        <v>282</v>
      </c>
      <c r="B72" s="11" t="s">
        <v>42</v>
      </c>
      <c r="C72" s="23" t="n">
        <v>0</v>
      </c>
      <c r="D72" s="23" t="n">
        <v>0</v>
      </c>
      <c r="E72" s="23" t="n">
        <v>0</v>
      </c>
      <c r="F72" s="23" t="n">
        <v>0</v>
      </c>
      <c r="G72" s="23" t="n">
        <v>0</v>
      </c>
      <c r="I72" s="6" t="s">
        <v>273</v>
      </c>
    </row>
    <row r="73" customFormat="false" ht="15" hidden="false" customHeight="false" outlineLevel="2" collapsed="false">
      <c r="A73" s="3" t="s">
        <v>283</v>
      </c>
      <c r="B73" s="11" t="s">
        <v>155</v>
      </c>
      <c r="C73" s="22" t="n">
        <f aca="false">輸入與假設!$C$71*輸入與假設!$C$29+MAX(0,C36-輸入與假設!$C$29)*C72</f>
        <v>190.1</v>
      </c>
      <c r="D73" s="22" t="n">
        <f aca="false">C73+MAX(0,D36-C36)*D72</f>
        <v>190.1</v>
      </c>
      <c r="E73" s="22" t="n">
        <f aca="false">D73+MAX(0,E36-D36)*E72</f>
        <v>190.1</v>
      </c>
      <c r="F73" s="22" t="n">
        <f aca="false">E73+MAX(0,F36-E36)*F72</f>
        <v>190.1</v>
      </c>
      <c r="G73" s="22" t="n">
        <f aca="false">F73+MAX(0,G36-F36)*G72</f>
        <v>190.1</v>
      </c>
      <c r="I73" s="6" t="s">
        <v>275</v>
      </c>
    </row>
    <row r="74" customFormat="false" ht="15" hidden="false" customHeight="false" outlineLevel="2" collapsed="false">
      <c r="A74" s="3" t="s">
        <v>284</v>
      </c>
      <c r="B74" s="11" t="s">
        <v>264</v>
      </c>
      <c r="C74" s="31" t="n">
        <f aca="false">TK_HoldEcon_GB200*輸入與假設!$C$59</f>
        <v>9.17098191725462</v>
      </c>
      <c r="I74" s="11" t="s">
        <v>285</v>
      </c>
    </row>
    <row r="75" customFormat="false" ht="15" hidden="false" customHeight="false" outlineLevel="2" collapsed="false">
      <c r="A75" s="3" t="s">
        <v>286</v>
      </c>
      <c r="B75" s="11" t="s">
        <v>264</v>
      </c>
      <c r="C75" s="31" t="n">
        <f aca="false">TK_OpexGW_GB200</f>
        <v>2.15504909</v>
      </c>
      <c r="I75" s="11" t="s">
        <v>287</v>
      </c>
    </row>
    <row r="76" customFormat="false" ht="15" hidden="false" customHeight="false" outlineLevel="2" collapsed="false">
      <c r="A76" s="3" t="s">
        <v>288</v>
      </c>
      <c r="B76" s="11" t="s">
        <v>264</v>
      </c>
      <c r="C76" s="31" t="n">
        <f aca="false">TK_RevGWFleet_GB200</f>
        <v>20.1746158611128</v>
      </c>
      <c r="I76" s="11" t="s">
        <v>289</v>
      </c>
    </row>
    <row r="77" customFormat="false" ht="15" hidden="false" customHeight="false" outlineLevel="2" collapsed="false">
      <c r="A77" s="3" t="s">
        <v>290</v>
      </c>
      <c r="B77" s="11" t="s">
        <v>42</v>
      </c>
      <c r="C77" s="23" t="n">
        <v>0.35</v>
      </c>
      <c r="I77" s="6" t="s">
        <v>281</v>
      </c>
    </row>
    <row r="78" customFormat="false" ht="15" hidden="false" customHeight="false" outlineLevel="2" collapsed="false">
      <c r="A78" s="3" t="s">
        <v>291</v>
      </c>
      <c r="B78" s="11" t="s">
        <v>42</v>
      </c>
      <c r="C78" s="23" t="n">
        <v>0</v>
      </c>
      <c r="D78" s="23" t="n">
        <v>0</v>
      </c>
      <c r="E78" s="23" t="n">
        <v>0</v>
      </c>
      <c r="F78" s="23" t="n">
        <v>0</v>
      </c>
      <c r="G78" s="23" t="n">
        <v>0</v>
      </c>
      <c r="I78" s="6" t="s">
        <v>273</v>
      </c>
    </row>
    <row r="79" customFormat="false" ht="15" hidden="false" customHeight="false" outlineLevel="2" collapsed="false">
      <c r="A79" s="3" t="s">
        <v>292</v>
      </c>
      <c r="B79" s="11" t="s">
        <v>155</v>
      </c>
      <c r="C79" s="22" t="n">
        <f aca="false">輸入與假設!$C$77*輸入與假設!$C$29+MAX(0,C36-輸入與假設!$C$29)*C78</f>
        <v>665.35</v>
      </c>
      <c r="D79" s="22" t="n">
        <f aca="false">C79+MAX(0,D36-C36)*D78</f>
        <v>665.35</v>
      </c>
      <c r="E79" s="22" t="n">
        <f aca="false">D79+MAX(0,E36-D36)*E78</f>
        <v>665.35</v>
      </c>
      <c r="F79" s="22" t="n">
        <f aca="false">E79+MAX(0,F36-E36)*F78</f>
        <v>665.35</v>
      </c>
      <c r="G79" s="22" t="n">
        <f aca="false">F79+MAX(0,G36-F36)*G78</f>
        <v>665.35</v>
      </c>
      <c r="I79" s="6" t="s">
        <v>275</v>
      </c>
    </row>
    <row r="80" customFormat="false" ht="15" hidden="false" customHeight="false" outlineLevel="2" collapsed="false">
      <c r="A80" s="3" t="s">
        <v>293</v>
      </c>
      <c r="B80" s="11" t="s">
        <v>264</v>
      </c>
      <c r="C80" s="31" t="n">
        <f aca="false">TK_HoldEcon_GB200</f>
        <v>9.17098191725462</v>
      </c>
      <c r="I80" s="11" t="s">
        <v>294</v>
      </c>
    </row>
    <row r="81" customFormat="false" ht="15" hidden="false" customHeight="false" outlineLevel="2" collapsed="false">
      <c r="A81" s="3" t="s">
        <v>295</v>
      </c>
      <c r="B81" s="11" t="s">
        <v>264</v>
      </c>
      <c r="C81" s="31" t="n">
        <f aca="false">TK_OpexGW_GB200</f>
        <v>2.15504909</v>
      </c>
      <c r="I81" s="11" t="s">
        <v>287</v>
      </c>
    </row>
    <row r="82" customFormat="false" ht="15" hidden="false" customHeight="false" outlineLevel="2" collapsed="false">
      <c r="A82" s="3" t="s">
        <v>296</v>
      </c>
      <c r="B82" s="11" t="s">
        <v>264</v>
      </c>
      <c r="C82" s="31" t="n">
        <f aca="false">TK_RevGWFleet_GB200</f>
        <v>20.1746158611128</v>
      </c>
      <c r="I82" s="11" t="s">
        <v>289</v>
      </c>
    </row>
    <row r="83" customFormat="false" ht="15" hidden="false" customHeight="false" outlineLevel="2" collapsed="false">
      <c r="A83" s="3" t="s">
        <v>297</v>
      </c>
      <c r="B83" s="11" t="s">
        <v>42</v>
      </c>
      <c r="C83" s="23" t="n">
        <v>0.1</v>
      </c>
      <c r="I83" s="6" t="s">
        <v>281</v>
      </c>
    </row>
    <row r="84" customFormat="false" ht="15" hidden="false" customHeight="false" outlineLevel="2" collapsed="false">
      <c r="A84" s="3" t="s">
        <v>298</v>
      </c>
      <c r="B84" s="11" t="s">
        <v>42</v>
      </c>
      <c r="C84" s="23" t="n">
        <v>0</v>
      </c>
      <c r="D84" s="23" t="n">
        <v>0</v>
      </c>
      <c r="E84" s="23" t="n">
        <v>0</v>
      </c>
      <c r="F84" s="23" t="n">
        <v>0</v>
      </c>
      <c r="G84" s="23" t="n">
        <v>0</v>
      </c>
      <c r="I84" s="6" t="s">
        <v>273</v>
      </c>
    </row>
    <row r="85" customFormat="false" ht="15" hidden="false" customHeight="false" outlineLevel="2" collapsed="false">
      <c r="A85" s="3" t="s">
        <v>299</v>
      </c>
      <c r="B85" s="11" t="s">
        <v>155</v>
      </c>
      <c r="C85" s="22" t="n">
        <f aca="false">輸入與假設!$C$83*輸入與假設!$C$29+MAX(0,C36-輸入與假設!$C$29)*C84</f>
        <v>190.1</v>
      </c>
      <c r="D85" s="22" t="n">
        <f aca="false">C85+MAX(0,D36-C36)*D84</f>
        <v>190.1</v>
      </c>
      <c r="E85" s="22" t="n">
        <f aca="false">D85+MAX(0,E36-D36)*E84</f>
        <v>190.1</v>
      </c>
      <c r="F85" s="22" t="n">
        <f aca="false">E85+MAX(0,F36-E36)*F84</f>
        <v>190.1</v>
      </c>
      <c r="G85" s="22" t="n">
        <f aca="false">F85+MAX(0,G36-F36)*G84</f>
        <v>190.1</v>
      </c>
      <c r="I85" s="6" t="s">
        <v>275</v>
      </c>
    </row>
    <row r="86" customFormat="false" ht="15" hidden="false" customHeight="false" outlineLevel="2" collapsed="false">
      <c r="A86" s="3" t="s">
        <v>300</v>
      </c>
      <c r="B86" s="11" t="s">
        <v>264</v>
      </c>
      <c r="C86" s="31" t="n">
        <f aca="false">TK_HoldEcon_GB300*輸入與假設!$C$59</f>
        <v>12.7247463559608</v>
      </c>
      <c r="I86" s="11" t="s">
        <v>301</v>
      </c>
    </row>
    <row r="87" customFormat="false" ht="15" hidden="false" customHeight="false" outlineLevel="2" collapsed="false">
      <c r="A87" s="3" t="s">
        <v>302</v>
      </c>
      <c r="B87" s="11" t="s">
        <v>264</v>
      </c>
      <c r="C87" s="31" t="n">
        <f aca="false">TK_OpexGW_GB300</f>
        <v>2.62511064</v>
      </c>
      <c r="I87" s="11" t="s">
        <v>303</v>
      </c>
    </row>
    <row r="88" customFormat="false" ht="15" hidden="false" customHeight="false" outlineLevel="2" collapsed="false">
      <c r="A88" s="3" t="s">
        <v>304</v>
      </c>
      <c r="B88" s="11" t="s">
        <v>264</v>
      </c>
      <c r="C88" s="31" t="n">
        <f aca="false">TK_RevGWFleet_GB300</f>
        <v>26.2652356996766</v>
      </c>
      <c r="I88" s="11" t="s">
        <v>305</v>
      </c>
    </row>
    <row r="89" customFormat="false" ht="15" hidden="false" customHeight="false" outlineLevel="2" collapsed="false">
      <c r="A89" s="3" t="s">
        <v>306</v>
      </c>
      <c r="B89" s="11" t="s">
        <v>42</v>
      </c>
      <c r="C89" s="23" t="n">
        <v>0.3</v>
      </c>
      <c r="I89" s="6" t="s">
        <v>281</v>
      </c>
    </row>
    <row r="90" customFormat="false" ht="15" hidden="false" customHeight="false" outlineLevel="2" collapsed="false">
      <c r="A90" s="3" t="s">
        <v>307</v>
      </c>
      <c r="B90" s="11" t="s">
        <v>42</v>
      </c>
      <c r="C90" s="23" t="n">
        <v>0.75</v>
      </c>
      <c r="D90" s="23" t="n">
        <v>0.4</v>
      </c>
      <c r="E90" s="23" t="n">
        <v>0</v>
      </c>
      <c r="F90" s="23" t="n">
        <v>0</v>
      </c>
      <c r="G90" s="23" t="n">
        <v>0</v>
      </c>
      <c r="I90" s="6" t="s">
        <v>273</v>
      </c>
    </row>
    <row r="91" customFormat="false" ht="15" hidden="false" customHeight="false" outlineLevel="2" collapsed="false">
      <c r="A91" s="3" t="s">
        <v>308</v>
      </c>
      <c r="B91" s="11" t="s">
        <v>155</v>
      </c>
      <c r="C91" s="22" t="n">
        <f aca="false">輸入與假設!$C$89*輸入與假設!$C$29+MAX(0,C36-輸入與假設!$C$29)*C90</f>
        <v>971.325</v>
      </c>
      <c r="D91" s="22" t="n">
        <f aca="false">C91+MAX(0,D36-C36)*D90</f>
        <v>1399.085</v>
      </c>
      <c r="E91" s="22" t="n">
        <f aca="false">D91+MAX(0,E36-D36)*E90</f>
        <v>1399.085</v>
      </c>
      <c r="F91" s="22" t="n">
        <f aca="false">E91+MAX(0,F36-E36)*F90</f>
        <v>1399.085</v>
      </c>
      <c r="G91" s="22" t="n">
        <f aca="false">F91+MAX(0,G36-F36)*G90</f>
        <v>1399.085</v>
      </c>
      <c r="I91" s="6" t="s">
        <v>275</v>
      </c>
    </row>
    <row r="92" customFormat="false" ht="15" hidden="false" customHeight="false" outlineLevel="2" collapsed="false">
      <c r="A92" s="3" t="s">
        <v>309</v>
      </c>
      <c r="B92" s="11" t="s">
        <v>264</v>
      </c>
      <c r="C92" s="31" t="n">
        <f aca="false">TK_HoldEcon_GB300</f>
        <v>12.7247463559608</v>
      </c>
      <c r="I92" s="11" t="s">
        <v>310</v>
      </c>
    </row>
    <row r="93" customFormat="false" ht="15" hidden="false" customHeight="false" outlineLevel="2" collapsed="false">
      <c r="A93" s="3" t="s">
        <v>311</v>
      </c>
      <c r="B93" s="11" t="s">
        <v>264</v>
      </c>
      <c r="C93" s="31" t="n">
        <f aca="false">TK_OpexGW_GB300</f>
        <v>2.62511064</v>
      </c>
      <c r="I93" s="11" t="s">
        <v>303</v>
      </c>
    </row>
    <row r="94" customFormat="false" ht="15" hidden="false" customHeight="false" outlineLevel="2" collapsed="false">
      <c r="A94" s="3" t="s">
        <v>312</v>
      </c>
      <c r="B94" s="11" t="s">
        <v>264</v>
      </c>
      <c r="C94" s="31" t="n">
        <f aca="false">TK_RevGWFleet_GB300</f>
        <v>26.2652356996766</v>
      </c>
      <c r="I94" s="11" t="s">
        <v>305</v>
      </c>
    </row>
    <row r="95" customFormat="false" ht="15" hidden="false" customHeight="false" outlineLevel="2" collapsed="false">
      <c r="A95" s="3" t="s">
        <v>313</v>
      </c>
      <c r="B95" s="11" t="s">
        <v>42</v>
      </c>
      <c r="C95" s="23" t="n">
        <v>0</v>
      </c>
      <c r="I95" s="6" t="s">
        <v>281</v>
      </c>
    </row>
    <row r="96" customFormat="false" ht="15" hidden="false" customHeight="false" outlineLevel="2" collapsed="false">
      <c r="A96" s="3" t="s">
        <v>314</v>
      </c>
      <c r="B96" s="11" t="s">
        <v>42</v>
      </c>
      <c r="C96" s="23" t="n">
        <v>0.25</v>
      </c>
      <c r="D96" s="23" t="n">
        <v>0.1</v>
      </c>
      <c r="E96" s="23" t="n">
        <v>0</v>
      </c>
      <c r="F96" s="23" t="n">
        <v>0</v>
      </c>
      <c r="G96" s="23" t="n">
        <v>0</v>
      </c>
      <c r="I96" s="6" t="s">
        <v>273</v>
      </c>
    </row>
    <row r="97" customFormat="false" ht="15" hidden="false" customHeight="false" outlineLevel="2" collapsed="false">
      <c r="A97" s="3" t="s">
        <v>315</v>
      </c>
      <c r="B97" s="11" t="s">
        <v>155</v>
      </c>
      <c r="C97" s="22" t="n">
        <f aca="false">輸入與假設!$C$95*輸入與假設!$C$29+MAX(0,C36-輸入與假設!$C$29)*C96</f>
        <v>133.675</v>
      </c>
      <c r="D97" s="22" t="n">
        <f aca="false">C97+MAX(0,D36-C36)*D96</f>
        <v>240.615</v>
      </c>
      <c r="E97" s="22" t="n">
        <f aca="false">D97+MAX(0,E36-D36)*E96</f>
        <v>240.615</v>
      </c>
      <c r="F97" s="22" t="n">
        <f aca="false">E97+MAX(0,F36-E36)*F96</f>
        <v>240.615</v>
      </c>
      <c r="G97" s="22" t="n">
        <f aca="false">F97+MAX(0,G36-F36)*G96</f>
        <v>240.615</v>
      </c>
      <c r="I97" s="6" t="s">
        <v>275</v>
      </c>
    </row>
    <row r="98" customFormat="false" ht="15" hidden="false" customHeight="false" outlineLevel="2" collapsed="false">
      <c r="A98" s="3" t="s">
        <v>316</v>
      </c>
      <c r="B98" s="11" t="s">
        <v>264</v>
      </c>
      <c r="C98" s="31" t="n">
        <f aca="false">TK_HoldEcon_VR200*輸入與假設!$C$59</f>
        <v>12.7620157762701</v>
      </c>
      <c r="I98" s="11" t="s">
        <v>317</v>
      </c>
    </row>
    <row r="99" customFormat="false" ht="15" hidden="false" customHeight="false" outlineLevel="2" collapsed="false">
      <c r="A99" s="3" t="s">
        <v>318</v>
      </c>
      <c r="B99" s="11" t="s">
        <v>264</v>
      </c>
      <c r="C99" s="31" t="n">
        <f aca="false">TK_OpexGW_VR200</f>
        <v>2.63004032</v>
      </c>
      <c r="I99" s="11" t="s">
        <v>319</v>
      </c>
    </row>
    <row r="100" customFormat="false" ht="15" hidden="false" customHeight="false" outlineLevel="2" collapsed="false">
      <c r="A100" s="3" t="s">
        <v>320</v>
      </c>
      <c r="B100" s="11" t="s">
        <v>264</v>
      </c>
      <c r="C100" s="31" t="n">
        <f aca="false">TK_RevGWFleet_VR200</f>
        <v>48.7237019639935</v>
      </c>
      <c r="I100" s="11" t="s">
        <v>321</v>
      </c>
    </row>
    <row r="101" customFormat="false" ht="15" hidden="false" customHeight="false" outlineLevel="2" collapsed="false">
      <c r="A101" s="3" t="s">
        <v>322</v>
      </c>
      <c r="B101" s="11" t="s">
        <v>42</v>
      </c>
      <c r="C101" s="23" t="n">
        <v>0</v>
      </c>
      <c r="I101" s="6" t="s">
        <v>281</v>
      </c>
    </row>
    <row r="102" customFormat="false" ht="15" hidden="false" customHeight="false" outlineLevel="2" collapsed="false">
      <c r="A102" s="3" t="s">
        <v>323</v>
      </c>
      <c r="B102" s="11" t="s">
        <v>42</v>
      </c>
      <c r="C102" s="23" t="n">
        <v>0</v>
      </c>
      <c r="D102" s="23" t="n">
        <v>0.35</v>
      </c>
      <c r="E102" s="23" t="n">
        <v>0.75</v>
      </c>
      <c r="F102" s="23" t="n">
        <v>0.75</v>
      </c>
      <c r="G102" s="23" t="n">
        <v>0.75</v>
      </c>
      <c r="I102" s="6" t="s">
        <v>273</v>
      </c>
    </row>
    <row r="103" customFormat="false" ht="15" hidden="false" customHeight="false" outlineLevel="2" collapsed="false">
      <c r="A103" s="3" t="s">
        <v>324</v>
      </c>
      <c r="B103" s="11" t="s">
        <v>155</v>
      </c>
      <c r="C103" s="22" t="n">
        <f aca="false">輸入與假設!$C$101*輸入與假設!$C$29+MAX(0,C36-輸入與假設!$C$29)*C102</f>
        <v>0</v>
      </c>
      <c r="D103" s="22" t="n">
        <f aca="false">C103+MAX(0,D36-C36)*D102</f>
        <v>374.29</v>
      </c>
      <c r="E103" s="22" t="n">
        <f aca="false">D103+MAX(0,E36-D36)*E102</f>
        <v>1176.34</v>
      </c>
      <c r="F103" s="22" t="n">
        <f aca="false">E103+MAX(0,F36-E36)*F102</f>
        <v>1978.39</v>
      </c>
      <c r="G103" s="22" t="n">
        <f aca="false">F103+MAX(0,G36-F36)*G102</f>
        <v>2780.44</v>
      </c>
      <c r="I103" s="6" t="s">
        <v>275</v>
      </c>
    </row>
    <row r="104" customFormat="false" ht="15" hidden="false" customHeight="false" outlineLevel="2" collapsed="false">
      <c r="A104" s="3" t="s">
        <v>325</v>
      </c>
      <c r="B104" s="11" t="s">
        <v>264</v>
      </c>
      <c r="C104" s="31" t="n">
        <f aca="false">TK_HoldEcon_VR200</f>
        <v>12.7620157762701</v>
      </c>
      <c r="I104" s="11" t="s">
        <v>326</v>
      </c>
    </row>
    <row r="105" customFormat="false" ht="15" hidden="false" customHeight="false" outlineLevel="2" collapsed="false">
      <c r="A105" s="3" t="s">
        <v>327</v>
      </c>
      <c r="B105" s="11" t="s">
        <v>264</v>
      </c>
      <c r="C105" s="31" t="n">
        <f aca="false">TK_OpexGW_VR200</f>
        <v>2.63004032</v>
      </c>
      <c r="I105" s="11" t="s">
        <v>319</v>
      </c>
    </row>
    <row r="106" customFormat="false" ht="15" hidden="false" customHeight="false" outlineLevel="2" collapsed="false">
      <c r="A106" s="3" t="s">
        <v>328</v>
      </c>
      <c r="B106" s="11" t="s">
        <v>264</v>
      </c>
      <c r="C106" s="31" t="n">
        <f aca="false">TK_RevGWFleet_VR200</f>
        <v>48.7237019639935</v>
      </c>
      <c r="I106" s="11" t="s">
        <v>321</v>
      </c>
    </row>
    <row r="107" customFormat="false" ht="15" hidden="false" customHeight="false" outlineLevel="2" collapsed="false">
      <c r="A107" s="3" t="s">
        <v>329</v>
      </c>
      <c r="B107" s="11" t="s">
        <v>42</v>
      </c>
      <c r="C107" s="23" t="n">
        <v>0</v>
      </c>
      <c r="I107" s="6" t="s">
        <v>281</v>
      </c>
    </row>
    <row r="108" customFormat="false" ht="15" hidden="false" customHeight="false" outlineLevel="2" collapsed="false">
      <c r="A108" s="3" t="s">
        <v>330</v>
      </c>
      <c r="B108" s="11" t="s">
        <v>42</v>
      </c>
      <c r="C108" s="23" t="n">
        <v>0</v>
      </c>
      <c r="D108" s="23" t="n">
        <v>0.15</v>
      </c>
      <c r="E108" s="23" t="n">
        <v>0.25</v>
      </c>
      <c r="F108" s="23" t="n">
        <v>0.25</v>
      </c>
      <c r="G108" s="23" t="n">
        <v>0.25</v>
      </c>
      <c r="I108" s="6" t="s">
        <v>273</v>
      </c>
    </row>
    <row r="109" customFormat="false" ht="15" hidden="false" customHeight="false" outlineLevel="2" collapsed="false">
      <c r="A109" s="3" t="s">
        <v>331</v>
      </c>
      <c r="B109" s="11" t="s">
        <v>155</v>
      </c>
      <c r="C109" s="22" t="n">
        <f aca="false">輸入與假設!$C$107*輸入與假設!$C$29+MAX(0,C36-輸入與假設!$C$29)*C108</f>
        <v>0</v>
      </c>
      <c r="D109" s="22" t="n">
        <f aca="false">C109+MAX(0,D36-C36)*D108</f>
        <v>160.41</v>
      </c>
      <c r="E109" s="22" t="n">
        <f aca="false">D109+MAX(0,E36-D36)*E108</f>
        <v>427.76</v>
      </c>
      <c r="F109" s="22" t="n">
        <f aca="false">E109+MAX(0,F36-E36)*F108</f>
        <v>695.11</v>
      </c>
      <c r="G109" s="22" t="n">
        <f aca="false">F109+MAX(0,G36-F36)*G108</f>
        <v>962.46</v>
      </c>
      <c r="I109" s="6" t="s">
        <v>275</v>
      </c>
    </row>
    <row r="110" customFormat="false" ht="15" hidden="false" customHeight="false" outlineLevel="2" collapsed="false">
      <c r="A110" s="3" t="s">
        <v>332</v>
      </c>
      <c r="B110" s="11" t="s">
        <v>155</v>
      </c>
      <c r="C110" s="22" t="n">
        <f aca="false">C67+C73+C79+C85+C91+C97+C103+C109</f>
        <v>2435.7</v>
      </c>
      <c r="D110" s="22" t="n">
        <f aca="false">D67+D73+D79+D85+D91+D97+D103+D109</f>
        <v>3505.1</v>
      </c>
      <c r="E110" s="22" t="n">
        <f aca="false">E67+E73+E79+E85+E91+E97+E103+E109</f>
        <v>4574.5</v>
      </c>
      <c r="F110" s="22" t="n">
        <f aca="false">F67+F73+F79+F85+F91+F97+F103+F109</f>
        <v>5643.9</v>
      </c>
      <c r="G110" s="22" t="n">
        <f aca="false">G67+G73+G79+G85+G91+G97+G103+G109</f>
        <v>6713.3</v>
      </c>
      <c r="I110" s="6" t="s">
        <v>333</v>
      </c>
    </row>
    <row r="111" customFormat="false" ht="15" hidden="false" customHeight="false" outlineLevel="2" collapsed="false">
      <c r="A111" s="3" t="s">
        <v>334</v>
      </c>
      <c r="B111" s="11" t="s">
        <v>264</v>
      </c>
      <c r="C111" s="31" t="n">
        <f aca="false">(C67*輸入與假設!$C$62+C73*輸入與假設!$C$68+C79*輸入與假設!$C$74+C85*輸入與假設!$C$80+C91*輸入與假設!$C$86+C97*輸入與假設!$C$92+C103*輸入與假設!$C$98+C109*輸入與假設!$C$104)/MAX(0.000000001,C110)</f>
        <v>10.9636605160064</v>
      </c>
      <c r="D111" s="31" t="n">
        <f aca="false">(D67*輸入與假設!$C$62+D73*輸入與假設!$C$68+D79*輸入與假設!$C$74+D85*輸入與假設!$C$80+D91*輸入與假設!$C$86+D97*輸入與假設!$C$92+D103*輸入與假設!$C$98+D109*輸入與假設!$C$104)/MAX(0.000000001,D110)</f>
        <v>11.5066502042569</v>
      </c>
      <c r="E111" s="31" t="n">
        <f aca="false">(E67*輸入與假設!$C$62+E73*輸入與假設!$C$68+E79*輸入與假設!$C$74+E85*輸入與假設!$C$80+E91*輸入與假設!$C$86+E97*輸入與假設!$C$92+E103*輸入與假設!$C$98+E109*輸入與假設!$C$104)/MAX(0.000000001,E110)</f>
        <v>11.800122265184</v>
      </c>
      <c r="F111" s="31" t="n">
        <f aca="false">(F67*輸入與假設!$C$62+F73*輸入與假設!$C$68+F79*輸入與假設!$C$74+F85*輸入與假設!$C$80+F91*輸入與假設!$C$86+F97*輸入與假設!$C$92+F103*輸入與假設!$C$98+F109*輸入與假設!$C$104)/MAX(0.000000001,F110)</f>
        <v>11.9823807957666</v>
      </c>
      <c r="G111" s="31" t="n">
        <f aca="false">(G67*輸入與假設!$C$62+G73*輸入與假設!$C$68+G79*輸入與假設!$C$74+G85*輸入與假設!$C$80+G91*輸入與假設!$C$86+G97*輸入與假設!$C$92+G103*輸入與假設!$C$98+G109*輸入與假設!$C$104)/MAX(0.000000001,G110)</f>
        <v>12.106573316308</v>
      </c>
      <c r="I111" s="6" t="s">
        <v>335</v>
      </c>
    </row>
    <row r="112" customFormat="false" ht="15" hidden="false" customHeight="false" outlineLevel="2" collapsed="false">
      <c r="A112" s="3" t="s">
        <v>336</v>
      </c>
      <c r="B112" s="11" t="s">
        <v>264</v>
      </c>
      <c r="C112" s="31" t="n">
        <f aca="false">(C67*輸入與假設!$C$63+C73*輸入與假設!$C$69+C79*輸入與假設!$C$75+C85*輸入與假設!$C$81+C91*輸入與假設!$C$87+C97*輸入與假設!$C$93+C103*輸入與假設!$C$99+C109*輸入與假設!$C$105)/MAX(0.000000001,C110)</f>
        <v>2.39216927489551</v>
      </c>
      <c r="D112" s="31" t="n">
        <f aca="false">(D67*輸入與假設!$C$63+D73*輸入與假設!$C$69+D79*輸入與假設!$C$75+D85*輸入與假設!$C$81+D91*輸入與假設!$C$87+D97*輸入與假設!$C$93+D103*輸入與假設!$C$99+D109*輸入與假設!$C$105)/MAX(0.000000001,D110)</f>
        <v>2.46399130443497</v>
      </c>
      <c r="E112" s="31" t="n">
        <f aca="false">(E67*輸入與假設!$C$63+E73*輸入與假設!$C$69+E79*輸入與假設!$C$75+E85*輸入與假設!$C$81+E91*輸入與假設!$C$87+E97*輸入與假設!$C$93+E103*輸入與假設!$C$99+E109*輸入與假設!$C$105)/MAX(0.000000001,E110)</f>
        <v>2.50280927738179</v>
      </c>
      <c r="F112" s="31" t="n">
        <f aca="false">(F67*輸入與假設!$C$63+F73*輸入與假設!$C$69+F79*輸入與假設!$C$75+F85*輸入與假設!$C$81+F91*輸入與假設!$C$87+F97*輸入與假設!$C$93+F103*輸入與假設!$C$99+F109*輸入與假設!$C$105)/MAX(0.000000001,F110)</f>
        <v>2.52691687620103</v>
      </c>
      <c r="G112" s="31" t="n">
        <f aca="false">(G67*輸入與假設!$C$63+G73*輸入與假設!$C$69+G79*輸入與假設!$C$75+G85*輸入與假設!$C$81+G91*輸入與假設!$C$87+G97*輸入與假設!$C$93+G103*輸入與假設!$C$99+G109*輸入與假設!$C$105)/MAX(0.000000001,G110)</f>
        <v>2.54334400008923</v>
      </c>
      <c r="I112" s="6" t="s">
        <v>337</v>
      </c>
    </row>
    <row r="113" customFormat="false" ht="15" hidden="false" customHeight="false" outlineLevel="2" collapsed="false">
      <c r="A113" s="3" t="s">
        <v>338</v>
      </c>
      <c r="B113" s="11" t="s">
        <v>264</v>
      </c>
      <c r="C113" s="31" t="n">
        <f aca="false">(C67*輸入與假設!$C$64+C73*輸入與假設!$C$70+C79*輸入與假設!$C$76+C85*輸入與假設!$C$82+C91*輸入與假設!$C$88+C97*輸入與假設!$C$94+C103*輸入與假設!$C$100+C109*輸入與假設!$C$106)/MAX(0.000000001,C110)</f>
        <v>19.7827250850507</v>
      </c>
      <c r="D113" s="31" t="n">
        <f aca="false">(D67*輸入與假設!$C$64+D73*輸入與假設!$C$70+D79*輸入與假設!$C$76+D85*輸入與假設!$C$82+D91*輸入與假設!$C$88+D97*輸入與假設!$C$94+D103*輸入與假設!$C$100+D109*輸入與假設!$C$106)/MAX(0.000000001,D110)</f>
        <v>25.1865477328528</v>
      </c>
      <c r="E113" s="31" t="n">
        <f aca="false">(E67*輸入與假設!$C$64+E73*輸入與假設!$C$70+E79*輸入與假設!$C$76+E85*輸入與假設!$C$82+E91*輸入與假設!$C$88+E97*輸入與假設!$C$94+E103*輸入與假設!$C$100+E109*輸入與假設!$C$106)/MAX(0.000000001,E110)</f>
        <v>30.6889267326958</v>
      </c>
      <c r="F113" s="31" t="n">
        <f aca="false">(F67*輸入與假設!$C$64+F73*輸入與假設!$C$70+F79*輸入與假設!$C$76+F85*輸入與假設!$C$82+F91*輸入與假設!$C$88+F97*輸入與假設!$C$94+F103*輸入與假設!$C$100+F109*輸入與假設!$C$106)/MAX(0.000000001,F110)</f>
        <v>34.1061362212321</v>
      </c>
      <c r="G113" s="31" t="n">
        <f aca="false">(G67*輸入與假設!$C$64+G73*輸入與假設!$C$70+G79*輸入與假設!$C$76+G85*輸入與假設!$C$82+G91*輸入與假設!$C$88+G97*輸入與假設!$C$94+G103*輸入與假設!$C$100+G109*輸入與假設!$C$106)/MAX(0.000000001,G110)</f>
        <v>36.4346519743355</v>
      </c>
      <c r="I113" s="6" t="s">
        <v>339</v>
      </c>
    </row>
    <row r="114" customFormat="false" ht="15" hidden="false" customHeight="false" outlineLevel="2" collapsed="false">
      <c r="A114" s="3" t="s">
        <v>340</v>
      </c>
      <c r="B114" s="11" t="s">
        <v>42</v>
      </c>
      <c r="C114" s="38" t="n">
        <f aca="false">C111*輸入與假設!$C$58/MAX(0.000000001,C113)</f>
        <v>0.639551132671416</v>
      </c>
      <c r="D114" s="38" t="n">
        <f aca="false">D111*輸入與假設!$C$58/MAX(0.000000001,D113)</f>
        <v>0.527212958145589</v>
      </c>
      <c r="E114" s="38" t="n">
        <f aca="false">E111*輸入與假設!$C$58/MAX(0.000000001,E113)</f>
        <v>0.443721646332924</v>
      </c>
      <c r="F114" s="38" t="n">
        <f aca="false">F111*輸入與假設!$C$58/MAX(0.000000001,F113)</f>
        <v>0.405430487599664</v>
      </c>
      <c r="G114" s="38" t="n">
        <f aca="false">G111*輸入與假設!$C$58/MAX(0.000000001,G113)</f>
        <v>0.38345324711378</v>
      </c>
      <c r="I114" s="6" t="s">
        <v>341</v>
      </c>
    </row>
    <row r="115" customFormat="false" ht="15" hidden="false" customHeight="false" outlineLevel="1" collapsed="false">
      <c r="A115" s="34" t="s">
        <v>342</v>
      </c>
      <c r="B115" s="20"/>
      <c r="C115" s="20"/>
      <c r="D115" s="20"/>
      <c r="E115" s="20"/>
      <c r="F115" s="20"/>
      <c r="G115" s="20"/>
      <c r="H115" s="20"/>
    </row>
    <row r="116" customFormat="false" ht="15" hidden="false" customHeight="false" outlineLevel="2" collapsed="false">
      <c r="A116" s="3" t="s">
        <v>343</v>
      </c>
      <c r="B116" s="11" t="s">
        <v>63</v>
      </c>
      <c r="C116" s="39" t="n">
        <f aca="false">運營_產能與收入!C26</f>
        <v>13.7170517424922</v>
      </c>
      <c r="D116" s="39" t="n">
        <f aca="false">運營_產能與收入!D26</f>
        <v>39.4423103130834</v>
      </c>
      <c r="E116" s="39" t="n">
        <f aca="false">運營_產能與收入!E26</f>
        <v>55.0106536845765</v>
      </c>
      <c r="F116" s="39" t="n">
        <f aca="false">運營_產能與收入!F26</f>
        <v>70.6483184758374</v>
      </c>
      <c r="G116" s="39" t="n">
        <f aca="false">運營_產能與收入!G26</f>
        <v>86.3190360236892</v>
      </c>
      <c r="I116" s="6" t="s">
        <v>344</v>
      </c>
    </row>
    <row r="117" customFormat="false" ht="15" hidden="false" customHeight="false" outlineLevel="2" collapsed="false">
      <c r="A117" s="4" t="s">
        <v>345</v>
      </c>
      <c r="B117" s="11" t="s">
        <v>216</v>
      </c>
      <c r="C117" s="30" t="n">
        <f aca="false">C39*輸入與假設!$C$32*C38</f>
        <v>0.0126520642354714</v>
      </c>
      <c r="I117" s="6" t="s">
        <v>346</v>
      </c>
    </row>
    <row r="118" customFormat="false" ht="15" hidden="false" customHeight="false" outlineLevel="2" collapsed="false">
      <c r="A118" s="4" t="s">
        <v>347</v>
      </c>
      <c r="B118" s="11" t="s">
        <v>42</v>
      </c>
      <c r="C118" s="38" t="n">
        <f aca="false">1-C112/1000/MAX(0.000000001,C39*輸入與假設!$C$32)</f>
        <v>0.810926562624555</v>
      </c>
      <c r="I118" s="6" t="s">
        <v>348</v>
      </c>
    </row>
    <row r="119" customFormat="false" ht="15" hidden="false" customHeight="false" outlineLevel="2" collapsed="false">
      <c r="A119" s="3" t="s">
        <v>349</v>
      </c>
      <c r="B119" s="11" t="s">
        <v>63</v>
      </c>
      <c r="C119" s="24" t="n">
        <v>224.532</v>
      </c>
      <c r="I119" s="6" t="s">
        <v>350</v>
      </c>
    </row>
    <row r="120" customFormat="false" ht="15" hidden="false" customHeight="false" outlineLevel="2" collapsed="false">
      <c r="A120" s="3" t="s">
        <v>351</v>
      </c>
      <c r="B120" s="11" t="s">
        <v>63</v>
      </c>
      <c r="C120" s="24" t="n">
        <v>123.596</v>
      </c>
      <c r="I120" s="6" t="s">
        <v>352</v>
      </c>
    </row>
    <row r="121" customFormat="false" ht="15" hidden="false" customHeight="false" outlineLevel="2" collapsed="false">
      <c r="A121" s="3" t="s">
        <v>353</v>
      </c>
      <c r="B121" s="11" t="s">
        <v>42</v>
      </c>
      <c r="C121" s="23" t="n">
        <v>0.168013</v>
      </c>
      <c r="I121" s="6" t="s">
        <v>354</v>
      </c>
    </row>
    <row r="122" customFormat="false" ht="15" hidden="false" customHeight="false" outlineLevel="2" collapsed="false">
      <c r="A122" s="3" t="s">
        <v>355</v>
      </c>
      <c r="B122" s="11" t="s">
        <v>42</v>
      </c>
      <c r="C122" s="23" t="n">
        <v>0.586717</v>
      </c>
      <c r="I122" s="6" t="s">
        <v>356</v>
      </c>
    </row>
    <row r="123" customFormat="false" ht="15" hidden="false" customHeight="false" outlineLevel="2" collapsed="false">
      <c r="A123" s="3" t="s">
        <v>357</v>
      </c>
      <c r="B123" s="11" t="s">
        <v>42</v>
      </c>
      <c r="C123" s="23" t="n">
        <v>0.08</v>
      </c>
      <c r="I123" s="6" t="s">
        <v>358</v>
      </c>
    </row>
    <row r="124" customFormat="false" ht="15" hidden="false" customHeight="false" outlineLevel="2" collapsed="false">
      <c r="A124" s="3" t="s">
        <v>359</v>
      </c>
      <c r="B124" s="11" t="s">
        <v>42</v>
      </c>
      <c r="C124" s="23" t="n">
        <v>0.541632</v>
      </c>
      <c r="I124" s="11" t="s">
        <v>360</v>
      </c>
    </row>
    <row r="125" customFormat="false" ht="15" hidden="false" customHeight="false" outlineLevel="2" collapsed="false">
      <c r="A125" s="3" t="s">
        <v>361</v>
      </c>
      <c r="B125" s="11" t="s">
        <v>42</v>
      </c>
      <c r="C125" s="23" t="n">
        <v>0</v>
      </c>
      <c r="I125" s="6" t="s">
        <v>362</v>
      </c>
    </row>
    <row r="126" customFormat="false" ht="15" hidden="false" customHeight="false" outlineLevel="2" collapsed="false">
      <c r="A126" s="3" t="s">
        <v>363</v>
      </c>
      <c r="B126" s="11" t="s">
        <v>42</v>
      </c>
      <c r="C126" s="23" t="n">
        <v>0.06</v>
      </c>
      <c r="I126" s="6" t="s">
        <v>364</v>
      </c>
    </row>
    <row r="127" customFormat="false" ht="15" hidden="false" customHeight="false" outlineLevel="2" collapsed="false">
      <c r="A127" s="3" t="s">
        <v>365</v>
      </c>
      <c r="B127" s="11" t="s">
        <v>42</v>
      </c>
      <c r="C127" s="38" t="n">
        <f aca="false">輸入與假設!$C$121+(輸入與假設!$C$123-輸入與假設!$C$121)*0/4</f>
        <v>0.168013</v>
      </c>
      <c r="D127" s="38" t="n">
        <f aca="false">輸入與假設!$C$121+(輸入與假設!$C$123-輸入與假設!$C$121)*1/4</f>
        <v>0.14600975</v>
      </c>
      <c r="E127" s="38" t="n">
        <f aca="false">輸入與假設!$C$121+(輸入與假設!$C$123-輸入與假設!$C$121)*2/4</f>
        <v>0.1240065</v>
      </c>
      <c r="F127" s="38" t="n">
        <f aca="false">輸入與假設!$C$121+(輸入與假設!$C$123-輸入與假設!$C$121)*3/4</f>
        <v>0.10200325</v>
      </c>
      <c r="G127" s="38" t="n">
        <f aca="false">輸入與假設!$C$121+(輸入與假設!$C$123-輸入與假設!$C$121)*4/4</f>
        <v>0.08</v>
      </c>
      <c r="I127" s="6" t="s">
        <v>366</v>
      </c>
    </row>
    <row r="128" customFormat="false" ht="15" hidden="false" customHeight="false" outlineLevel="2" collapsed="false">
      <c r="A128" s="3" t="s">
        <v>367</v>
      </c>
      <c r="B128" s="11" t="s">
        <v>63</v>
      </c>
      <c r="C128" s="32" t="n">
        <f aca="false">輸入與假設!$C$119*(1+C127)</f>
        <v>262.256294916</v>
      </c>
      <c r="D128" s="32" t="n">
        <f aca="false">C128*(1+D127)</f>
        <v>300.548270972611</v>
      </c>
      <c r="E128" s="32" t="n">
        <f aca="false">D128*(1+E127)</f>
        <v>337.818210136977</v>
      </c>
      <c r="F128" s="32" t="n">
        <f aca="false">E128*(1+F127)</f>
        <v>372.276765480131</v>
      </c>
      <c r="G128" s="32" t="n">
        <f aca="false">F128*(1+G127)</f>
        <v>402.058906718542</v>
      </c>
      <c r="I128" s="6" t="s">
        <v>368</v>
      </c>
    </row>
    <row r="129" customFormat="false" ht="15" hidden="false" customHeight="false" outlineLevel="2" collapsed="false">
      <c r="A129" s="3" t="s">
        <v>369</v>
      </c>
      <c r="B129" s="11" t="s">
        <v>63</v>
      </c>
      <c r="C129" s="32" t="n">
        <f aca="false">C128-輸入與假設!$C$120</f>
        <v>138.660294916</v>
      </c>
      <c r="D129" s="32" t="n">
        <f aca="false">D128</f>
        <v>300.548270972611</v>
      </c>
      <c r="E129" s="32" t="n">
        <f aca="false">E128</f>
        <v>337.818210136977</v>
      </c>
      <c r="F129" s="32" t="n">
        <f aca="false">F128</f>
        <v>372.276765480131</v>
      </c>
      <c r="G129" s="32" t="n">
        <f aca="false">G128</f>
        <v>402.058906718542</v>
      </c>
      <c r="I129" s="11" t="s">
        <v>370</v>
      </c>
    </row>
    <row r="130" customFormat="false" ht="15" hidden="false" customHeight="false" outlineLevel="2" collapsed="false">
      <c r="A130" s="3" t="s">
        <v>371</v>
      </c>
      <c r="B130" s="11" t="s">
        <v>42</v>
      </c>
      <c r="C130" s="38" t="n">
        <f aca="false">輸入與假設!$C$122+(輸入與假設!$C$124-輸入與假設!$C$122)*0/4</f>
        <v>0.586717</v>
      </c>
      <c r="D130" s="38" t="n">
        <f aca="false">輸入與假設!$C$122+(輸入與假設!$C$124-輸入與假設!$C$122)*1/4</f>
        <v>0.57544575</v>
      </c>
      <c r="E130" s="38" t="n">
        <f aca="false">輸入與假設!$C$122+(輸入與假設!$C$124-輸入與假設!$C$122)*2/4</f>
        <v>0.5641745</v>
      </c>
      <c r="F130" s="38" t="n">
        <f aca="false">輸入與假設!$C$122+(輸入與假設!$C$124-輸入與假設!$C$122)*3/4</f>
        <v>0.55290325</v>
      </c>
      <c r="G130" s="38" t="n">
        <f aca="false">輸入與假設!$C$122+(輸入與假設!$C$124-輸入與假設!$C$122)*4/4</f>
        <v>0.541632</v>
      </c>
      <c r="I130" s="6" t="s">
        <v>366</v>
      </c>
    </row>
    <row r="131" customFormat="false" ht="15" hidden="false" customHeight="false" outlineLevel="2" collapsed="false">
      <c r="A131" s="3" t="s">
        <v>372</v>
      </c>
      <c r="B131" s="11" t="s">
        <v>63</v>
      </c>
      <c r="C131" s="32" t="n">
        <f aca="false">C129*C130</f>
        <v>81.3543522522308</v>
      </c>
      <c r="D131" s="32" t="n">
        <f aca="false">D129*D130</f>
        <v>172.949225201038</v>
      </c>
      <c r="E131" s="32" t="n">
        <f aca="false">E129*E130</f>
        <v>190.588419794924</v>
      </c>
      <c r="F131" s="32" t="n">
        <f aca="false">F129*F130</f>
        <v>205.833033533452</v>
      </c>
      <c r="G131" s="32" t="n">
        <f aca="false">G129*G130</f>
        <v>217.767969763777</v>
      </c>
      <c r="I131" s="6" t="s">
        <v>373</v>
      </c>
    </row>
    <row r="132" customFormat="false" ht="15" hidden="false" customHeight="false" outlineLevel="2" collapsed="false">
      <c r="A132" s="3" t="s">
        <v>374</v>
      </c>
      <c r="B132" s="11" t="s">
        <v>63</v>
      </c>
      <c r="C132" s="32" t="n">
        <f aca="false">C129*輸入與假設!$C$125</f>
        <v>0</v>
      </c>
      <c r="D132" s="32" t="n">
        <f aca="false">D129*輸入與假設!$C$125</f>
        <v>0</v>
      </c>
      <c r="E132" s="32" t="n">
        <f aca="false">E129*輸入與假設!$C$125</f>
        <v>0</v>
      </c>
      <c r="F132" s="32" t="n">
        <f aca="false">F129*輸入與假設!$C$125</f>
        <v>0</v>
      </c>
      <c r="G132" s="32" t="n">
        <f aca="false">G129*輸入與假設!$C$125</f>
        <v>0</v>
      </c>
      <c r="I132" s="6" t="s">
        <v>375</v>
      </c>
    </row>
    <row r="133" customFormat="false" ht="15" hidden="false" customHeight="false" outlineLevel="2" collapsed="false">
      <c r="A133" s="3" t="s">
        <v>376</v>
      </c>
      <c r="B133" s="11" t="s">
        <v>63</v>
      </c>
      <c r="C133" s="24" t="n">
        <v>40.367</v>
      </c>
      <c r="I133" s="6" t="s">
        <v>350</v>
      </c>
    </row>
    <row r="134" customFormat="false" ht="15" hidden="false" customHeight="false" outlineLevel="2" collapsed="false">
      <c r="A134" s="3" t="s">
        <v>377</v>
      </c>
      <c r="B134" s="11" t="s">
        <v>63</v>
      </c>
      <c r="C134" s="24" t="n">
        <v>20.938</v>
      </c>
      <c r="I134" s="6" t="s">
        <v>352</v>
      </c>
    </row>
    <row r="135" customFormat="false" ht="15" hidden="false" customHeight="false" outlineLevel="2" collapsed="false">
      <c r="A135" s="3" t="s">
        <v>378</v>
      </c>
      <c r="B135" s="11" t="s">
        <v>42</v>
      </c>
      <c r="C135" s="23" t="n">
        <v>0.117139</v>
      </c>
      <c r="I135" s="6" t="s">
        <v>354</v>
      </c>
    </row>
    <row r="136" customFormat="false" ht="15" hidden="false" customHeight="false" outlineLevel="2" collapsed="false">
      <c r="A136" s="3" t="s">
        <v>379</v>
      </c>
      <c r="B136" s="11" t="s">
        <v>42</v>
      </c>
      <c r="C136" s="23" t="n">
        <v>0.4</v>
      </c>
      <c r="I136" s="6" t="s">
        <v>356</v>
      </c>
    </row>
    <row r="137" customFormat="false" ht="15" hidden="false" customHeight="false" outlineLevel="2" collapsed="false">
      <c r="A137" s="3" t="s">
        <v>380</v>
      </c>
      <c r="B137" s="11" t="s">
        <v>42</v>
      </c>
      <c r="C137" s="23" t="n">
        <v>0.08</v>
      </c>
      <c r="I137" s="6" t="s">
        <v>358</v>
      </c>
    </row>
    <row r="138" customFormat="false" ht="15" hidden="false" customHeight="false" outlineLevel="2" collapsed="false">
      <c r="A138" s="3" t="s">
        <v>381</v>
      </c>
      <c r="B138" s="11" t="s">
        <v>42</v>
      </c>
      <c r="C138" s="23" t="n">
        <v>0.354915</v>
      </c>
      <c r="I138" s="11" t="s">
        <v>360</v>
      </c>
    </row>
    <row r="139" customFormat="false" ht="15" hidden="false" customHeight="false" outlineLevel="2" collapsed="false">
      <c r="A139" s="3" t="s">
        <v>382</v>
      </c>
      <c r="B139" s="11" t="s">
        <v>42</v>
      </c>
      <c r="C139" s="23" t="n">
        <v>0</v>
      </c>
      <c r="I139" s="6" t="s">
        <v>362</v>
      </c>
    </row>
    <row r="140" customFormat="false" ht="15" hidden="false" customHeight="false" outlineLevel="2" collapsed="false">
      <c r="A140" s="3" t="s">
        <v>383</v>
      </c>
      <c r="B140" s="11" t="s">
        <v>42</v>
      </c>
      <c r="C140" s="23" t="n">
        <v>0.06</v>
      </c>
      <c r="I140" s="6" t="s">
        <v>364</v>
      </c>
    </row>
    <row r="141" customFormat="false" ht="15" hidden="false" customHeight="false" outlineLevel="2" collapsed="false">
      <c r="A141" s="3" t="s">
        <v>384</v>
      </c>
      <c r="B141" s="11" t="s">
        <v>42</v>
      </c>
      <c r="C141" s="38" t="n">
        <f aca="false">輸入與假設!$C$135+(輸入與假設!$C$137-輸入與假設!$C$135)*0/4</f>
        <v>0.117139</v>
      </c>
      <c r="D141" s="38" t="n">
        <f aca="false">輸入與假設!$C$135+(輸入與假設!$C$137-輸入與假設!$C$135)*1/4</f>
        <v>0.10785425</v>
      </c>
      <c r="E141" s="38" t="n">
        <f aca="false">輸入與假設!$C$135+(輸入與假設!$C$137-輸入與假設!$C$135)*2/4</f>
        <v>0.0985695</v>
      </c>
      <c r="F141" s="38" t="n">
        <f aca="false">輸入與假設!$C$135+(輸入與假設!$C$137-輸入與假設!$C$135)*3/4</f>
        <v>0.08928475</v>
      </c>
      <c r="G141" s="38" t="n">
        <f aca="false">輸入與假設!$C$135+(輸入與假設!$C$137-輸入與假設!$C$135)*4/4</f>
        <v>0.08</v>
      </c>
      <c r="I141" s="6" t="s">
        <v>366</v>
      </c>
    </row>
    <row r="142" customFormat="false" ht="15" hidden="false" customHeight="false" outlineLevel="2" collapsed="false">
      <c r="A142" s="3" t="s">
        <v>385</v>
      </c>
      <c r="B142" s="11" t="s">
        <v>63</v>
      </c>
      <c r="C142" s="32" t="n">
        <f aca="false">輸入與假設!$C$133*(1+C141)</f>
        <v>45.095550013</v>
      </c>
      <c r="D142" s="32" t="n">
        <f aca="false">C142*(1+D141)</f>
        <v>49.9592967379896</v>
      </c>
      <c r="E142" s="32" t="n">
        <f aca="false">D142*(1+E141)</f>
        <v>54.8837596378049</v>
      </c>
      <c r="F142" s="32" t="n">
        <f aca="false">E142*(1+F141)</f>
        <v>59.7840423961264</v>
      </c>
      <c r="G142" s="32" t="n">
        <f aca="false">F142*(1+G141)</f>
        <v>64.5667657878165</v>
      </c>
      <c r="I142" s="6" t="s">
        <v>368</v>
      </c>
    </row>
    <row r="143" customFormat="false" ht="15" hidden="false" customHeight="false" outlineLevel="2" collapsed="false">
      <c r="A143" s="3" t="s">
        <v>386</v>
      </c>
      <c r="B143" s="11" t="s">
        <v>63</v>
      </c>
      <c r="C143" s="32" t="n">
        <f aca="false">C142-輸入與假設!$C$134</f>
        <v>24.157550013</v>
      </c>
      <c r="D143" s="32" t="n">
        <f aca="false">D142</f>
        <v>49.9592967379896</v>
      </c>
      <c r="E143" s="32" t="n">
        <f aca="false">E142</f>
        <v>54.8837596378049</v>
      </c>
      <c r="F143" s="32" t="n">
        <f aca="false">F142</f>
        <v>59.7840423961264</v>
      </c>
      <c r="G143" s="32" t="n">
        <f aca="false">G142</f>
        <v>64.5667657878165</v>
      </c>
      <c r="I143" s="11" t="s">
        <v>370</v>
      </c>
    </row>
    <row r="144" customFormat="false" ht="15" hidden="false" customHeight="false" outlineLevel="2" collapsed="false">
      <c r="A144" s="3" t="s">
        <v>387</v>
      </c>
      <c r="B144" s="11" t="s">
        <v>42</v>
      </c>
      <c r="C144" s="38" t="n">
        <f aca="false">輸入與假設!$C$136+(輸入與假設!$C$138-輸入與假設!$C$136)*0/4</f>
        <v>0.4</v>
      </c>
      <c r="D144" s="38" t="n">
        <f aca="false">輸入與假設!$C$136+(輸入與假設!$C$138-輸入與假設!$C$136)*1/4</f>
        <v>0.38872875</v>
      </c>
      <c r="E144" s="38" t="n">
        <f aca="false">輸入與假設!$C$136+(輸入與假設!$C$138-輸入與假設!$C$136)*2/4</f>
        <v>0.3774575</v>
      </c>
      <c r="F144" s="38" t="n">
        <f aca="false">輸入與假設!$C$136+(輸入與假設!$C$138-輸入與假設!$C$136)*3/4</f>
        <v>0.36618625</v>
      </c>
      <c r="G144" s="38" t="n">
        <f aca="false">輸入與假設!$C$136+(輸入與假設!$C$138-輸入與假設!$C$136)*4/4</f>
        <v>0.354915</v>
      </c>
      <c r="I144" s="6" t="s">
        <v>366</v>
      </c>
    </row>
    <row r="145" customFormat="false" ht="15" hidden="false" customHeight="false" outlineLevel="2" collapsed="false">
      <c r="A145" s="3" t="s">
        <v>388</v>
      </c>
      <c r="B145" s="11" t="s">
        <v>63</v>
      </c>
      <c r="C145" s="32" t="n">
        <f aca="false">C143*C144</f>
        <v>9.6630200052</v>
      </c>
      <c r="D145" s="32" t="n">
        <f aca="false">D143*D144</f>
        <v>19.4206149718378</v>
      </c>
      <c r="E145" s="32" t="n">
        <f aca="false">E143*E144</f>
        <v>20.7162867034867</v>
      </c>
      <c r="F145" s="32" t="n">
        <f aca="false">F143*F144</f>
        <v>21.8920942948785</v>
      </c>
      <c r="G145" s="32" t="n">
        <f aca="false">G143*G144</f>
        <v>22.9157136795829</v>
      </c>
      <c r="I145" s="6" t="s">
        <v>373</v>
      </c>
    </row>
    <row r="146" customFormat="false" ht="15" hidden="false" customHeight="false" outlineLevel="2" collapsed="false">
      <c r="A146" s="3" t="s">
        <v>389</v>
      </c>
      <c r="B146" s="11" t="s">
        <v>63</v>
      </c>
      <c r="C146" s="32" t="n">
        <f aca="false">C143*輸入與假設!$C$139</f>
        <v>0</v>
      </c>
      <c r="D146" s="32" t="n">
        <f aca="false">D143*輸入與假設!$C$139</f>
        <v>0</v>
      </c>
      <c r="E146" s="32" t="n">
        <f aca="false">E143*輸入與假設!$C$139</f>
        <v>0</v>
      </c>
      <c r="F146" s="32" t="n">
        <f aca="false">F143*輸入與假設!$C$139</f>
        <v>0</v>
      </c>
      <c r="G146" s="32" t="n">
        <f aca="false">G143*輸入與假設!$C$139</f>
        <v>0</v>
      </c>
      <c r="I146" s="6" t="s">
        <v>375</v>
      </c>
    </row>
    <row r="147" customFormat="false" ht="15" hidden="false" customHeight="false" outlineLevel="2" collapsed="false">
      <c r="A147" s="3" t="s">
        <v>390</v>
      </c>
      <c r="B147" s="11" t="s">
        <v>63</v>
      </c>
      <c r="C147" s="24" t="n">
        <v>29.792</v>
      </c>
      <c r="I147" s="6" t="s">
        <v>350</v>
      </c>
    </row>
    <row r="148" customFormat="false" ht="15" hidden="false" customHeight="false" outlineLevel="2" collapsed="false">
      <c r="A148" s="3" t="s">
        <v>391</v>
      </c>
      <c r="B148" s="11" t="s">
        <v>63</v>
      </c>
      <c r="C148" s="24" t="n">
        <v>14.274</v>
      </c>
      <c r="I148" s="6" t="s">
        <v>352</v>
      </c>
    </row>
    <row r="149" customFormat="false" ht="15" hidden="false" customHeight="false" outlineLevel="2" collapsed="false">
      <c r="A149" s="3" t="s">
        <v>392</v>
      </c>
      <c r="B149" s="11" t="s">
        <v>42</v>
      </c>
      <c r="C149" s="23" t="n">
        <v>-0.021785</v>
      </c>
      <c r="I149" s="6" t="s">
        <v>354</v>
      </c>
    </row>
    <row r="150" customFormat="false" ht="15" hidden="false" customHeight="false" outlineLevel="2" collapsed="false">
      <c r="A150" s="3" t="s">
        <v>393</v>
      </c>
      <c r="B150" s="11" t="s">
        <v>42</v>
      </c>
      <c r="C150" s="23" t="n">
        <v>0.15</v>
      </c>
      <c r="I150" s="6" t="s">
        <v>356</v>
      </c>
    </row>
    <row r="151" customFormat="false" ht="15" hidden="false" customHeight="false" outlineLevel="2" collapsed="false">
      <c r="A151" s="3" t="s">
        <v>394</v>
      </c>
      <c r="B151" s="11" t="s">
        <v>42</v>
      </c>
      <c r="C151" s="23" t="n">
        <v>0</v>
      </c>
      <c r="I151" s="6" t="s">
        <v>358</v>
      </c>
    </row>
    <row r="152" customFormat="false" ht="15" hidden="false" customHeight="false" outlineLevel="2" collapsed="false">
      <c r="A152" s="3" t="s">
        <v>395</v>
      </c>
      <c r="B152" s="11" t="s">
        <v>42</v>
      </c>
      <c r="C152" s="23" t="n">
        <v>0.104915</v>
      </c>
      <c r="I152" s="11" t="s">
        <v>360</v>
      </c>
    </row>
    <row r="153" customFormat="false" ht="15" hidden="false" customHeight="false" outlineLevel="2" collapsed="false">
      <c r="A153" s="3" t="s">
        <v>396</v>
      </c>
      <c r="B153" s="11" t="s">
        <v>42</v>
      </c>
      <c r="C153" s="23" t="n">
        <v>0</v>
      </c>
      <c r="I153" s="6" t="s">
        <v>362</v>
      </c>
    </row>
    <row r="154" customFormat="false" ht="15" hidden="false" customHeight="false" outlineLevel="2" collapsed="false">
      <c r="A154" s="3" t="s">
        <v>397</v>
      </c>
      <c r="B154" s="11" t="s">
        <v>42</v>
      </c>
      <c r="C154" s="23" t="n">
        <v>0.06</v>
      </c>
      <c r="I154" s="6" t="s">
        <v>364</v>
      </c>
    </row>
    <row r="155" customFormat="false" ht="15" hidden="false" customHeight="false" outlineLevel="2" collapsed="false">
      <c r="A155" s="3" t="s">
        <v>398</v>
      </c>
      <c r="B155" s="11" t="s">
        <v>42</v>
      </c>
      <c r="C155" s="38" t="n">
        <f aca="false">輸入與假設!$C$149+(輸入與假設!$C$151-輸入與假設!$C$149)*0/4</f>
        <v>-0.021785</v>
      </c>
      <c r="D155" s="38" t="n">
        <f aca="false">輸入與假設!$C$149+(輸入與假設!$C$151-輸入與假設!$C$149)*1/4</f>
        <v>-0.01633875</v>
      </c>
      <c r="E155" s="38" t="n">
        <f aca="false">輸入與假設!$C$149+(輸入與假設!$C$151-輸入與假設!$C$149)*2/4</f>
        <v>-0.0108925</v>
      </c>
      <c r="F155" s="38" t="n">
        <f aca="false">輸入與假設!$C$149+(輸入與假設!$C$151-輸入與假設!$C$149)*3/4</f>
        <v>-0.00544625</v>
      </c>
      <c r="G155" s="38" t="n">
        <f aca="false">輸入與假設!$C$149+(輸入與假設!$C$151-輸入與假設!$C$149)*4/4</f>
        <v>0</v>
      </c>
      <c r="I155" s="6" t="s">
        <v>366</v>
      </c>
    </row>
    <row r="156" customFormat="false" ht="15" hidden="false" customHeight="false" outlineLevel="2" collapsed="false">
      <c r="A156" s="3" t="s">
        <v>399</v>
      </c>
      <c r="B156" s="11" t="s">
        <v>63</v>
      </c>
      <c r="C156" s="32" t="n">
        <f aca="false">輸入與假設!$C$147*(1+C155)</f>
        <v>29.14298128</v>
      </c>
      <c r="D156" s="32" t="n">
        <f aca="false">C156*(1+D155)</f>
        <v>28.6668213946114</v>
      </c>
      <c r="E156" s="32" t="n">
        <f aca="false">D156*(1+E155)</f>
        <v>28.3545680425706</v>
      </c>
      <c r="F156" s="32" t="n">
        <f aca="false">E156*(1+F155)</f>
        <v>28.2001419763688</v>
      </c>
      <c r="G156" s="32" t="n">
        <f aca="false">F156*(1+G155)</f>
        <v>28.2001419763688</v>
      </c>
      <c r="I156" s="6" t="s">
        <v>368</v>
      </c>
    </row>
    <row r="157" customFormat="false" ht="15" hidden="false" customHeight="false" outlineLevel="2" collapsed="false">
      <c r="A157" s="3" t="s">
        <v>400</v>
      </c>
      <c r="B157" s="11" t="s">
        <v>63</v>
      </c>
      <c r="C157" s="32" t="n">
        <f aca="false">C156-輸入與假設!$C$148</f>
        <v>14.86898128</v>
      </c>
      <c r="D157" s="32" t="n">
        <f aca="false">D156</f>
        <v>28.6668213946114</v>
      </c>
      <c r="E157" s="32" t="n">
        <f aca="false">E156</f>
        <v>28.3545680425706</v>
      </c>
      <c r="F157" s="32" t="n">
        <f aca="false">F156</f>
        <v>28.2001419763688</v>
      </c>
      <c r="G157" s="32" t="n">
        <f aca="false">G156</f>
        <v>28.2001419763688</v>
      </c>
      <c r="I157" s="11" t="s">
        <v>370</v>
      </c>
    </row>
    <row r="158" customFormat="false" ht="15" hidden="false" customHeight="false" outlineLevel="2" collapsed="false">
      <c r="A158" s="3" t="s">
        <v>401</v>
      </c>
      <c r="B158" s="11" t="s">
        <v>42</v>
      </c>
      <c r="C158" s="38" t="n">
        <f aca="false">輸入與假設!$C$150+(輸入與假設!$C$152-輸入與假設!$C$150)*0/4</f>
        <v>0.15</v>
      </c>
      <c r="D158" s="38" t="n">
        <f aca="false">輸入與假設!$C$150+(輸入與假設!$C$152-輸入與假設!$C$150)*1/4</f>
        <v>0.13872875</v>
      </c>
      <c r="E158" s="38" t="n">
        <f aca="false">輸入與假設!$C$150+(輸入與假設!$C$152-輸入與假設!$C$150)*2/4</f>
        <v>0.1274575</v>
      </c>
      <c r="F158" s="38" t="n">
        <f aca="false">輸入與假設!$C$150+(輸入與假設!$C$152-輸入與假設!$C$150)*3/4</f>
        <v>0.11618625</v>
      </c>
      <c r="G158" s="38" t="n">
        <f aca="false">輸入與假設!$C$150+(輸入與假設!$C$152-輸入與假設!$C$150)*4/4</f>
        <v>0.104915</v>
      </c>
      <c r="I158" s="6" t="s">
        <v>366</v>
      </c>
    </row>
    <row r="159" customFormat="false" ht="15" hidden="false" customHeight="false" outlineLevel="2" collapsed="false">
      <c r="A159" s="3" t="s">
        <v>402</v>
      </c>
      <c r="B159" s="11" t="s">
        <v>63</v>
      </c>
      <c r="C159" s="32" t="n">
        <f aca="false">C157*C158</f>
        <v>2.230347192</v>
      </c>
      <c r="D159" s="32" t="n">
        <f aca="false">D157*D158</f>
        <v>3.9769122985477</v>
      </c>
      <c r="E159" s="32" t="n">
        <f aca="false">E157*E158</f>
        <v>3.61400235628594</v>
      </c>
      <c r="F159" s="32" t="n">
        <f aca="false">F157*F158</f>
        <v>3.27646874570187</v>
      </c>
      <c r="G159" s="32" t="n">
        <f aca="false">G157*G158</f>
        <v>2.95861789545073</v>
      </c>
      <c r="I159" s="6" t="s">
        <v>373</v>
      </c>
    </row>
    <row r="160" customFormat="false" ht="15" hidden="false" customHeight="false" outlineLevel="2" collapsed="false">
      <c r="A160" s="3" t="s">
        <v>403</v>
      </c>
      <c r="B160" s="11" t="s">
        <v>63</v>
      </c>
      <c r="C160" s="32" t="n">
        <f aca="false">C157*輸入與假設!$C$153</f>
        <v>0</v>
      </c>
      <c r="D160" s="32" t="n">
        <f aca="false">D157*輸入與假設!$C$153</f>
        <v>0</v>
      </c>
      <c r="E160" s="32" t="n">
        <f aca="false">E157*輸入與假設!$C$153</f>
        <v>0</v>
      </c>
      <c r="F160" s="32" t="n">
        <f aca="false">F157*輸入與假設!$C$153</f>
        <v>0</v>
      </c>
      <c r="G160" s="32" t="n">
        <f aca="false">G157*輸入與假設!$C$153</f>
        <v>0</v>
      </c>
      <c r="I160" s="6" t="s">
        <v>375</v>
      </c>
    </row>
    <row r="161" customFormat="false" ht="15" hidden="false" customHeight="false" outlineLevel="2" collapsed="false">
      <c r="A161" s="3" t="s">
        <v>404</v>
      </c>
      <c r="B161" s="11" t="s">
        <v>63</v>
      </c>
      <c r="C161" s="24" t="n">
        <v>48.03</v>
      </c>
      <c r="I161" s="6" t="s">
        <v>350</v>
      </c>
    </row>
    <row r="162" customFormat="false" ht="15" hidden="false" customHeight="false" outlineLevel="2" collapsed="false">
      <c r="A162" s="3" t="s">
        <v>405</v>
      </c>
      <c r="B162" s="11" t="s">
        <v>63</v>
      </c>
      <c r="C162" s="24" t="n">
        <v>25.295</v>
      </c>
      <c r="I162" s="6" t="s">
        <v>352</v>
      </c>
    </row>
    <row r="163" customFormat="false" ht="15" hidden="false" customHeight="false" outlineLevel="2" collapsed="false">
      <c r="A163" s="3" t="s">
        <v>406</v>
      </c>
      <c r="B163" s="11" t="s">
        <v>42</v>
      </c>
      <c r="C163" s="23" t="n">
        <v>0.179435</v>
      </c>
      <c r="I163" s="6" t="s">
        <v>354</v>
      </c>
    </row>
    <row r="164" customFormat="false" ht="15" hidden="false" customHeight="false" outlineLevel="2" collapsed="false">
      <c r="A164" s="3" t="s">
        <v>407</v>
      </c>
      <c r="B164" s="11" t="s">
        <v>42</v>
      </c>
      <c r="C164" s="23" t="n">
        <v>0.2</v>
      </c>
      <c r="I164" s="6" t="s">
        <v>356</v>
      </c>
    </row>
    <row r="165" customFormat="false" ht="15" hidden="false" customHeight="false" outlineLevel="2" collapsed="false">
      <c r="A165" s="3" t="s">
        <v>408</v>
      </c>
      <c r="B165" s="11" t="s">
        <v>42</v>
      </c>
      <c r="C165" s="23" t="n">
        <v>0.1</v>
      </c>
      <c r="I165" s="6" t="s">
        <v>358</v>
      </c>
    </row>
    <row r="166" customFormat="false" ht="15" hidden="false" customHeight="false" outlineLevel="2" collapsed="false">
      <c r="A166" s="3" t="s">
        <v>409</v>
      </c>
      <c r="B166" s="11" t="s">
        <v>42</v>
      </c>
      <c r="C166" s="23" t="n">
        <v>0.154915</v>
      </c>
      <c r="I166" s="11" t="s">
        <v>360</v>
      </c>
    </row>
    <row r="167" customFormat="false" ht="15" hidden="false" customHeight="false" outlineLevel="2" collapsed="false">
      <c r="A167" s="3" t="s">
        <v>410</v>
      </c>
      <c r="B167" s="11" t="s">
        <v>42</v>
      </c>
      <c r="C167" s="23" t="n">
        <v>0</v>
      </c>
      <c r="I167" s="6" t="s">
        <v>362</v>
      </c>
    </row>
    <row r="168" customFormat="false" ht="15" hidden="false" customHeight="false" outlineLevel="2" collapsed="false">
      <c r="A168" s="3" t="s">
        <v>411</v>
      </c>
      <c r="B168" s="11" t="s">
        <v>42</v>
      </c>
      <c r="C168" s="23" t="n">
        <v>0.06</v>
      </c>
      <c r="I168" s="6" t="s">
        <v>364</v>
      </c>
    </row>
    <row r="169" customFormat="false" ht="15" hidden="false" customHeight="false" outlineLevel="2" collapsed="false">
      <c r="A169" s="3" t="s">
        <v>412</v>
      </c>
      <c r="B169" s="11" t="s">
        <v>42</v>
      </c>
      <c r="C169" s="38" t="n">
        <f aca="false">輸入與假設!$C$163+(輸入與假設!$C$165-輸入與假設!$C$163)*0/4</f>
        <v>0.179435</v>
      </c>
      <c r="D169" s="38" t="n">
        <f aca="false">輸入與假設!$C$163+(輸入與假設!$C$165-輸入與假設!$C$163)*1/4</f>
        <v>0.15957625</v>
      </c>
      <c r="E169" s="38" t="n">
        <f aca="false">輸入與假設!$C$163+(輸入與假設!$C$165-輸入與假設!$C$163)*2/4</f>
        <v>0.1397175</v>
      </c>
      <c r="F169" s="38" t="n">
        <f aca="false">輸入與假設!$C$163+(輸入與假設!$C$165-輸入與假設!$C$163)*3/4</f>
        <v>0.11985875</v>
      </c>
      <c r="G169" s="38" t="n">
        <f aca="false">輸入與假設!$C$163+(輸入與假設!$C$165-輸入與假設!$C$163)*4/4</f>
        <v>0.1</v>
      </c>
      <c r="I169" s="6" t="s">
        <v>366</v>
      </c>
    </row>
    <row r="170" customFormat="false" ht="15" hidden="false" customHeight="false" outlineLevel="2" collapsed="false">
      <c r="A170" s="3" t="s">
        <v>413</v>
      </c>
      <c r="B170" s="11" t="s">
        <v>63</v>
      </c>
      <c r="C170" s="32" t="n">
        <f aca="false">輸入與假設!$C$161*(1+C169)</f>
        <v>56.64826305</v>
      </c>
      <c r="D170" s="32" t="n">
        <f aca="false">C170*(1+D169)</f>
        <v>65.6879804365326</v>
      </c>
      <c r="E170" s="32" t="n">
        <f aca="false">D170*(1+E169)</f>
        <v>74.8657408431738</v>
      </c>
      <c r="F170" s="32" t="n">
        <f aca="false">E170*(1+F169)</f>
        <v>83.8390549584606</v>
      </c>
      <c r="G170" s="32" t="n">
        <f aca="false">F170*(1+G169)</f>
        <v>92.2229604543066</v>
      </c>
      <c r="I170" s="6" t="s">
        <v>368</v>
      </c>
    </row>
    <row r="171" customFormat="false" ht="15" hidden="false" customHeight="false" outlineLevel="2" collapsed="false">
      <c r="A171" s="3" t="s">
        <v>414</v>
      </c>
      <c r="B171" s="11" t="s">
        <v>63</v>
      </c>
      <c r="C171" s="32" t="n">
        <f aca="false">C170-輸入與假設!$C$162</f>
        <v>31.35326305</v>
      </c>
      <c r="D171" s="32" t="n">
        <f aca="false">D170</f>
        <v>65.6879804365326</v>
      </c>
      <c r="E171" s="32" t="n">
        <f aca="false">E170</f>
        <v>74.8657408431738</v>
      </c>
      <c r="F171" s="32" t="n">
        <f aca="false">F170</f>
        <v>83.8390549584606</v>
      </c>
      <c r="G171" s="32" t="n">
        <f aca="false">G170</f>
        <v>92.2229604543066</v>
      </c>
      <c r="I171" s="11" t="s">
        <v>370</v>
      </c>
    </row>
    <row r="172" customFormat="false" ht="15" hidden="false" customHeight="false" outlineLevel="2" collapsed="false">
      <c r="A172" s="3" t="s">
        <v>415</v>
      </c>
      <c r="B172" s="11" t="s">
        <v>42</v>
      </c>
      <c r="C172" s="38" t="n">
        <f aca="false">輸入與假設!$C$164+(輸入與假設!$C$166-輸入與假設!$C$164)*0/4</f>
        <v>0.2</v>
      </c>
      <c r="D172" s="38" t="n">
        <f aca="false">輸入與假設!$C$164+(輸入與假設!$C$166-輸入與假設!$C$164)*1/4</f>
        <v>0.18872875</v>
      </c>
      <c r="E172" s="38" t="n">
        <f aca="false">輸入與假設!$C$164+(輸入與假設!$C$166-輸入與假設!$C$164)*2/4</f>
        <v>0.1774575</v>
      </c>
      <c r="F172" s="38" t="n">
        <f aca="false">輸入與假設!$C$164+(輸入與假設!$C$166-輸入與假設!$C$164)*3/4</f>
        <v>0.16618625</v>
      </c>
      <c r="G172" s="38" t="n">
        <f aca="false">輸入與假設!$C$164+(輸入與假設!$C$166-輸入與假設!$C$164)*4/4</f>
        <v>0.154915</v>
      </c>
      <c r="I172" s="6" t="s">
        <v>366</v>
      </c>
    </row>
    <row r="173" customFormat="false" ht="15" hidden="false" customHeight="false" outlineLevel="2" collapsed="false">
      <c r="A173" s="3" t="s">
        <v>416</v>
      </c>
      <c r="B173" s="11" t="s">
        <v>63</v>
      </c>
      <c r="C173" s="32" t="n">
        <f aca="false">C171*C172</f>
        <v>6.27065261</v>
      </c>
      <c r="D173" s="32" t="n">
        <f aca="false">D171*D172</f>
        <v>12.3972104378112</v>
      </c>
      <c r="E173" s="32" t="n">
        <f aca="false">E171*E172</f>
        <v>13.2854872056775</v>
      </c>
      <c r="F173" s="32" t="n">
        <f aca="false">F171*F172</f>
        <v>13.9328981470905</v>
      </c>
      <c r="G173" s="32" t="n">
        <f aca="false">G171*G172</f>
        <v>14.2867199187789</v>
      </c>
      <c r="I173" s="6" t="s">
        <v>373</v>
      </c>
    </row>
    <row r="174" customFormat="false" ht="15" hidden="false" customHeight="false" outlineLevel="2" collapsed="false">
      <c r="A174" s="3" t="s">
        <v>417</v>
      </c>
      <c r="B174" s="11" t="s">
        <v>63</v>
      </c>
      <c r="C174" s="32" t="n">
        <f aca="false">C171*輸入與假設!$C$167</f>
        <v>0</v>
      </c>
      <c r="D174" s="32" t="n">
        <f aca="false">D171*輸入與假設!$C$167</f>
        <v>0</v>
      </c>
      <c r="E174" s="32" t="n">
        <f aca="false">E171*輸入與假設!$C$167</f>
        <v>0</v>
      </c>
      <c r="F174" s="32" t="n">
        <f aca="false">F171*輸入與假設!$C$167</f>
        <v>0</v>
      </c>
      <c r="G174" s="32" t="n">
        <f aca="false">G171*輸入與假設!$C$167</f>
        <v>0</v>
      </c>
      <c r="I174" s="6" t="s">
        <v>375</v>
      </c>
    </row>
    <row r="175" customFormat="false" ht="15" hidden="false" customHeight="false" outlineLevel="2" collapsed="false">
      <c r="A175" s="3" t="s">
        <v>418</v>
      </c>
      <c r="B175" s="11" t="s">
        <v>63</v>
      </c>
      <c r="C175" s="24" t="n">
        <v>44.796</v>
      </c>
      <c r="I175" s="6" t="s">
        <v>419</v>
      </c>
    </row>
    <row r="176" customFormat="false" ht="15" hidden="false" customHeight="false" outlineLevel="2" collapsed="false">
      <c r="A176" s="3" t="s">
        <v>420</v>
      </c>
      <c r="B176" s="11" t="s">
        <v>63</v>
      </c>
      <c r="C176" s="24" t="n">
        <v>32.821</v>
      </c>
      <c r="I176" s="6" t="s">
        <v>421</v>
      </c>
    </row>
    <row r="177" customFormat="false" ht="15" hidden="false" customHeight="false" outlineLevel="2" collapsed="false">
      <c r="A177" s="3" t="s">
        <v>422</v>
      </c>
      <c r="B177" s="11" t="s">
        <v>42</v>
      </c>
      <c r="C177" s="23" t="n">
        <v>0.577838</v>
      </c>
      <c r="I177" s="6" t="s">
        <v>423</v>
      </c>
    </row>
    <row r="178" customFormat="false" ht="15" hidden="false" customHeight="false" outlineLevel="2" collapsed="false">
      <c r="A178" s="3" t="s">
        <v>424</v>
      </c>
      <c r="B178" s="11" t="s">
        <v>63</v>
      </c>
      <c r="C178" s="24" t="n">
        <v>77.617</v>
      </c>
      <c r="I178" s="11" t="s">
        <v>425</v>
      </c>
    </row>
    <row r="179" customFormat="false" ht="15" hidden="false" customHeight="false" outlineLevel="2" collapsed="false">
      <c r="A179" s="3" t="s">
        <v>426</v>
      </c>
      <c r="B179" s="11" t="s">
        <v>63</v>
      </c>
      <c r="C179" s="24" t="n">
        <v>49.192</v>
      </c>
      <c r="I179" s="11" t="s">
        <v>425</v>
      </c>
    </row>
    <row r="180" customFormat="false" ht="15" hidden="false" customHeight="false" outlineLevel="2" collapsed="false">
      <c r="A180" s="3" t="s">
        <v>427</v>
      </c>
      <c r="B180" s="11" t="s">
        <v>63</v>
      </c>
      <c r="C180" s="24" t="n">
        <v>28.708857</v>
      </c>
      <c r="I180" s="6" t="s">
        <v>428</v>
      </c>
    </row>
    <row r="181" customFormat="false" ht="15" hidden="false" customHeight="false" outlineLevel="2" collapsed="false">
      <c r="A181" s="3" t="s">
        <v>429</v>
      </c>
      <c r="B181" s="11" t="s">
        <v>155</v>
      </c>
      <c r="C181" s="21" t="n">
        <v>1447.9</v>
      </c>
      <c r="I181" s="6" t="s">
        <v>430</v>
      </c>
    </row>
    <row r="182" customFormat="false" ht="15" hidden="false" customHeight="false" outlineLevel="2" collapsed="false">
      <c r="A182" s="3" t="s">
        <v>431</v>
      </c>
      <c r="B182" s="11" t="s">
        <v>155</v>
      </c>
      <c r="C182" s="21" t="n">
        <v>657.3</v>
      </c>
      <c r="I182" s="6" t="s">
        <v>432</v>
      </c>
    </row>
    <row r="183" customFormat="false" ht="15" hidden="false" customHeight="false" outlineLevel="2" collapsed="false">
      <c r="A183" s="3" t="s">
        <v>433</v>
      </c>
      <c r="B183" s="11" t="s">
        <v>63</v>
      </c>
      <c r="C183" s="32" t="n">
        <f aca="false">輸入與假設!$C$117*(輸入與假設!$C$28+輸入與假設!$C$29)/2*0.5</f>
        <v>10.6372230059726</v>
      </c>
      <c r="I183" s="6" t="s">
        <v>434</v>
      </c>
    </row>
    <row r="184" customFormat="false" ht="15" hidden="false" customHeight="false" outlineLevel="2" collapsed="false">
      <c r="A184" s="3" t="s">
        <v>435</v>
      </c>
      <c r="B184" s="11" t="s">
        <v>63</v>
      </c>
      <c r="C184" s="32" t="n">
        <f aca="false">輸入與假設!$C$117*輸入與假設!$C$181</f>
        <v>18.3189238065391</v>
      </c>
      <c r="I184" s="6" t="s">
        <v>436</v>
      </c>
    </row>
    <row r="185" customFormat="false" ht="15" hidden="false" customHeight="false" outlineLevel="2" collapsed="false">
      <c r="A185" s="3" t="s">
        <v>437</v>
      </c>
      <c r="B185" s="11" t="s">
        <v>63</v>
      </c>
      <c r="C185" s="32" t="n">
        <f aca="false">輸入與假設!$C$117*輸入與假設!$C$182</f>
        <v>8.31620182197537</v>
      </c>
      <c r="I185" s="6" t="s">
        <v>438</v>
      </c>
    </row>
    <row r="186" customFormat="false" ht="15" hidden="false" customHeight="false" outlineLevel="2" collapsed="false">
      <c r="A186" s="3" t="s">
        <v>439</v>
      </c>
      <c r="B186" s="11" t="s">
        <v>42</v>
      </c>
      <c r="C186" s="38" t="n">
        <f aca="false">(輸入與假設!$C$178-輸入與假設!$C$184)/(輸入與假設!$C$179-輸入與假設!$C$185)-1</f>
        <v>0.450689132361465</v>
      </c>
      <c r="I186" s="6" t="s">
        <v>440</v>
      </c>
    </row>
    <row r="187" customFormat="false" ht="15" hidden="false" customHeight="false" outlineLevel="2" collapsed="false">
      <c r="A187" s="3" t="s">
        <v>441</v>
      </c>
      <c r="B187" s="11" t="s">
        <v>63</v>
      </c>
      <c r="C187" s="32" t="n">
        <f aca="false">輸入與假設!$C$175-輸入與假設!$C$183</f>
        <v>34.1587769940274</v>
      </c>
      <c r="I187" s="6" t="s">
        <v>442</v>
      </c>
    </row>
    <row r="188" customFormat="false" ht="15" hidden="false" customHeight="false" outlineLevel="2" collapsed="false">
      <c r="A188" s="3" t="s">
        <v>443</v>
      </c>
      <c r="B188" s="11" t="s">
        <v>42</v>
      </c>
      <c r="C188" s="38" t="n">
        <f aca="false">(輸入與假設!$C$180-輸入與假設!$C$184*輸入與假設!$C$118)/(輸入與假設!$C$178-輸入與假設!$C$184)</f>
        <v>0.233625708891207</v>
      </c>
      <c r="I188" s="6" t="s">
        <v>444</v>
      </c>
    </row>
    <row r="189" customFormat="false" ht="15" hidden="false" customHeight="false" outlineLevel="2" collapsed="false">
      <c r="A189" s="3" t="s">
        <v>445</v>
      </c>
      <c r="B189" s="11" t="s">
        <v>42</v>
      </c>
      <c r="C189" s="23" t="n">
        <v>0.08</v>
      </c>
      <c r="I189" s="6" t="s">
        <v>358</v>
      </c>
    </row>
    <row r="190" customFormat="false" ht="15" hidden="false" customHeight="false" outlineLevel="2" collapsed="false">
      <c r="A190" s="3" t="s">
        <v>446</v>
      </c>
      <c r="B190" s="11" t="s">
        <v>42</v>
      </c>
      <c r="C190" s="38" t="n">
        <f aca="false">輸入與假設!$C$188</f>
        <v>0.233625708891207</v>
      </c>
      <c r="I190" s="6" t="s">
        <v>447</v>
      </c>
    </row>
    <row r="191" customFormat="false" ht="15" hidden="false" customHeight="false" outlineLevel="2" collapsed="false">
      <c r="A191" s="3" t="s">
        <v>448</v>
      </c>
      <c r="B191" s="11" t="s">
        <v>42</v>
      </c>
      <c r="C191" s="23" t="n">
        <v>0</v>
      </c>
      <c r="I191" s="6" t="s">
        <v>362</v>
      </c>
    </row>
    <row r="192" customFormat="false" ht="15" hidden="false" customHeight="false" outlineLevel="2" collapsed="false">
      <c r="A192" s="3" t="s">
        <v>449</v>
      </c>
      <c r="B192" s="11" t="s">
        <v>42</v>
      </c>
      <c r="C192" s="23" t="n">
        <v>0.2</v>
      </c>
      <c r="I192" s="6" t="s">
        <v>364</v>
      </c>
    </row>
    <row r="193" customFormat="false" ht="15" hidden="false" customHeight="false" outlineLevel="2" collapsed="false">
      <c r="A193" s="3" t="s">
        <v>450</v>
      </c>
      <c r="B193" s="11" t="s">
        <v>42</v>
      </c>
      <c r="C193" s="38" t="n">
        <f aca="false">輸入與假設!$C$186+(輸入與假設!$C$189-輸入與假設!$C$186)*0/4</f>
        <v>0.450689132361465</v>
      </c>
      <c r="D193" s="38" t="n">
        <f aca="false">輸入與假設!$C$186+(輸入與假設!$C$189-輸入與假設!$C$186)*1/4</f>
        <v>0.358016849271099</v>
      </c>
      <c r="E193" s="38" t="n">
        <f aca="false">輸入與假設!$C$186+(輸入與假設!$C$189-輸入與假設!$C$186)*2/4</f>
        <v>0.265344566180733</v>
      </c>
      <c r="F193" s="38" t="n">
        <f aca="false">輸入與假設!$C$186+(輸入與假設!$C$189-輸入與假設!$C$186)*3/4</f>
        <v>0.172672283090366</v>
      </c>
      <c r="G193" s="38" t="n">
        <f aca="false">輸入與假設!$C$186+(輸入與假設!$C$189-輸入與假設!$C$186)*4/4</f>
        <v>0.08</v>
      </c>
      <c r="I193" s="6" t="s">
        <v>366</v>
      </c>
    </row>
    <row r="194" customFormat="false" ht="15" hidden="false" customHeight="false" outlineLevel="2" collapsed="false">
      <c r="A194" s="3" t="s">
        <v>451</v>
      </c>
      <c r="B194" s="11" t="s">
        <v>63</v>
      </c>
      <c r="C194" s="32" t="n">
        <f aca="false">輸入與假設!$C$175+輸入與假設!$C$176*(1+輸入與假設!$C$177)-輸入與假設!$C$183-C116</f>
        <v>72.2279462495351</v>
      </c>
      <c r="D194" s="32" t="n">
        <f aca="false">C194*(1+D193)</f>
        <v>98.086767995116</v>
      </c>
      <c r="E194" s="32" t="n">
        <f aca="false">D194*(1+E193)</f>
        <v>124.11355889685</v>
      </c>
      <c r="F194" s="32" t="n">
        <f aca="false">E194*(1+F193)</f>
        <v>145.54453047404</v>
      </c>
      <c r="G194" s="32" t="n">
        <f aca="false">F194*(1+G193)</f>
        <v>157.188092911963</v>
      </c>
      <c r="I194" s="11" t="s">
        <v>452</v>
      </c>
    </row>
    <row r="195" customFormat="false" ht="15" hidden="false" customHeight="false" outlineLevel="2" collapsed="false">
      <c r="A195" s="3" t="s">
        <v>453</v>
      </c>
      <c r="B195" s="11" t="s">
        <v>63</v>
      </c>
      <c r="C195" s="32" t="n">
        <f aca="false">C194-輸入與假設!$C$187</f>
        <v>38.0691692555077</v>
      </c>
      <c r="D195" s="32" t="n">
        <f aca="false">D194</f>
        <v>98.086767995116</v>
      </c>
      <c r="E195" s="32" t="n">
        <f aca="false">E194</f>
        <v>124.11355889685</v>
      </c>
      <c r="F195" s="32" t="n">
        <f aca="false">F194</f>
        <v>145.54453047404</v>
      </c>
      <c r="G195" s="32" t="n">
        <f aca="false">G194</f>
        <v>157.188092911963</v>
      </c>
      <c r="I195" s="11" t="s">
        <v>370</v>
      </c>
    </row>
    <row r="196" customFormat="false" ht="15" hidden="false" customHeight="false" outlineLevel="2" collapsed="false">
      <c r="A196" s="3" t="s">
        <v>454</v>
      </c>
      <c r="B196" s="11" t="s">
        <v>42</v>
      </c>
      <c r="C196" s="38" t="n">
        <f aca="false">輸入與假設!$C$188+(輸入與假設!$C$190-輸入與假設!$C$188)*0/4</f>
        <v>0.233625708891207</v>
      </c>
      <c r="D196" s="38" t="n">
        <f aca="false">輸入與假設!$C$188+(輸入與假設!$C$190-輸入與假設!$C$188)*1/4</f>
        <v>0.233625708891207</v>
      </c>
      <c r="E196" s="38" t="n">
        <f aca="false">輸入與假設!$C$188+(輸入與假設!$C$190-輸入與假設!$C$188)*2/4</f>
        <v>0.233625708891207</v>
      </c>
      <c r="F196" s="38" t="n">
        <f aca="false">輸入與假設!$C$188+(輸入與假設!$C$190-輸入與假設!$C$188)*3/4</f>
        <v>0.233625708891207</v>
      </c>
      <c r="G196" s="38" t="n">
        <f aca="false">輸入與假設!$C$188+(輸入與假設!$C$190-輸入與假設!$C$188)*4/4</f>
        <v>0.233625708891207</v>
      </c>
      <c r="I196" s="6" t="s">
        <v>366</v>
      </c>
    </row>
    <row r="197" customFormat="false" ht="15" hidden="false" customHeight="false" outlineLevel="2" collapsed="false">
      <c r="A197" s="3" t="s">
        <v>455</v>
      </c>
      <c r="B197" s="11" t="s">
        <v>63</v>
      </c>
      <c r="C197" s="32" t="n">
        <f aca="false">C195*C196</f>
        <v>8.89393665421735</v>
      </c>
      <c r="D197" s="32" t="n">
        <f aca="false">D195*D196</f>
        <v>22.9155907057063</v>
      </c>
      <c r="E197" s="32" t="n">
        <f aca="false">E195*E196</f>
        <v>28.9961181802872</v>
      </c>
      <c r="F197" s="32" t="n">
        <f aca="false">F195*F196</f>
        <v>34.0029441072355</v>
      </c>
      <c r="G197" s="32" t="n">
        <f aca="false">G195*G196</f>
        <v>36.7231796358144</v>
      </c>
      <c r="I197" s="6" t="s">
        <v>373</v>
      </c>
    </row>
    <row r="198" customFormat="false" ht="15" hidden="false" customHeight="false" outlineLevel="2" collapsed="false">
      <c r="A198" s="3" t="s">
        <v>456</v>
      </c>
      <c r="B198" s="11" t="s">
        <v>63</v>
      </c>
      <c r="C198" s="32" t="n">
        <f aca="false">C195*輸入與假設!$C$191</f>
        <v>0</v>
      </c>
      <c r="D198" s="32" t="n">
        <f aca="false">D195*輸入與假設!$C$191</f>
        <v>0</v>
      </c>
      <c r="E198" s="32" t="n">
        <f aca="false">E195*輸入與假設!$C$191</f>
        <v>0</v>
      </c>
      <c r="F198" s="32" t="n">
        <f aca="false">F195*輸入與假設!$C$191</f>
        <v>0</v>
      </c>
      <c r="G198" s="32" t="n">
        <f aca="false">G195*輸入與假設!$C$191</f>
        <v>0</v>
      </c>
      <c r="I198" s="6" t="s">
        <v>375</v>
      </c>
    </row>
    <row r="199" customFormat="false" ht="15" hidden="false" customHeight="false" outlineLevel="2" collapsed="false">
      <c r="A199" s="3" t="s">
        <v>457</v>
      </c>
      <c r="B199" s="11" t="s">
        <v>63</v>
      </c>
      <c r="C199" s="24" t="n">
        <v>0.793</v>
      </c>
      <c r="I199" s="6" t="s">
        <v>458</v>
      </c>
    </row>
    <row r="200" customFormat="false" ht="15" hidden="false" customHeight="false" outlineLevel="2" collapsed="false">
      <c r="A200" s="3" t="s">
        <v>459</v>
      </c>
      <c r="B200" s="11" t="s">
        <v>63</v>
      </c>
      <c r="C200" s="24" t="n">
        <v>0.75</v>
      </c>
      <c r="D200" s="24" t="n">
        <v>1.6</v>
      </c>
      <c r="E200" s="24" t="n">
        <v>1.8</v>
      </c>
      <c r="F200" s="24" t="n">
        <v>2</v>
      </c>
      <c r="G200" s="24" t="n">
        <v>2.2</v>
      </c>
      <c r="I200" s="6" t="s">
        <v>460</v>
      </c>
    </row>
    <row r="201" customFormat="false" ht="15" hidden="false" customHeight="false" outlineLevel="2" collapsed="false">
      <c r="A201" s="3" t="s">
        <v>461</v>
      </c>
      <c r="B201" s="11" t="s">
        <v>42</v>
      </c>
      <c r="C201" s="23" t="n">
        <v>0</v>
      </c>
      <c r="I201" s="11" t="s">
        <v>462</v>
      </c>
    </row>
    <row r="202" customFormat="false" ht="15" hidden="false" customHeight="false" outlineLevel="2" collapsed="false">
      <c r="A202" s="3" t="s">
        <v>463</v>
      </c>
      <c r="B202" s="11" t="s">
        <v>42</v>
      </c>
      <c r="C202" s="38" t="n">
        <f aca="false">輸入與假設!$C$201</f>
        <v>0</v>
      </c>
      <c r="I202" s="6" t="s">
        <v>447</v>
      </c>
    </row>
    <row r="203" customFormat="false" ht="15" hidden="false" customHeight="false" outlineLevel="2" collapsed="false">
      <c r="A203" s="3" t="s">
        <v>464</v>
      </c>
      <c r="B203" s="11" t="s">
        <v>42</v>
      </c>
      <c r="C203" s="23" t="n">
        <v>0</v>
      </c>
      <c r="I203" s="6" t="s">
        <v>362</v>
      </c>
    </row>
    <row r="204" customFormat="false" ht="15" hidden="false" customHeight="false" outlineLevel="2" collapsed="false">
      <c r="A204" s="3" t="s">
        <v>465</v>
      </c>
      <c r="B204" s="11" t="s">
        <v>42</v>
      </c>
      <c r="C204" s="23" t="n">
        <v>0.06</v>
      </c>
      <c r="I204" s="6" t="s">
        <v>364</v>
      </c>
    </row>
    <row r="205" customFormat="false" ht="15" hidden="false" customHeight="false" outlineLevel="2" collapsed="false">
      <c r="A205" s="3" t="s">
        <v>466</v>
      </c>
      <c r="B205" s="11" t="s">
        <v>63</v>
      </c>
      <c r="C205" s="32" t="n">
        <f aca="false">C200+輸入與假設!$C$199</f>
        <v>1.543</v>
      </c>
      <c r="D205" s="32" t="n">
        <f aca="false">D200</f>
        <v>1.6</v>
      </c>
      <c r="E205" s="32" t="n">
        <f aca="false">E200</f>
        <v>1.8</v>
      </c>
      <c r="F205" s="32" t="n">
        <f aca="false">F200</f>
        <v>2</v>
      </c>
      <c r="G205" s="32" t="n">
        <f aca="false">G200</f>
        <v>2.2</v>
      </c>
      <c r="I205" s="11" t="s">
        <v>467</v>
      </c>
    </row>
    <row r="206" customFormat="false" ht="15" hidden="false" customHeight="false" outlineLevel="2" collapsed="false">
      <c r="A206" s="3" t="s">
        <v>468</v>
      </c>
      <c r="B206" s="11" t="s">
        <v>42</v>
      </c>
      <c r="C206" s="38" t="n">
        <f aca="false">輸入與假設!$C$201+(輸入與假設!$C$202-輸入與假設!$C$201)*0/4</f>
        <v>0</v>
      </c>
      <c r="D206" s="38" t="n">
        <f aca="false">輸入與假設!$C$201+(輸入與假設!$C$202-輸入與假設!$C$201)*1/4</f>
        <v>0</v>
      </c>
      <c r="E206" s="38" t="n">
        <f aca="false">輸入與假設!$C$201+(輸入與假設!$C$202-輸入與假設!$C$201)*2/4</f>
        <v>0</v>
      </c>
      <c r="F206" s="38" t="n">
        <f aca="false">輸入與假設!$C$201+(輸入與假設!$C$202-輸入與假設!$C$201)*3/4</f>
        <v>0</v>
      </c>
      <c r="G206" s="38" t="n">
        <f aca="false">輸入與假設!$C$201+(輸入與假設!$C$202-輸入與假設!$C$201)*4/4</f>
        <v>0</v>
      </c>
      <c r="I206" s="6" t="s">
        <v>366</v>
      </c>
    </row>
    <row r="207" customFormat="false" ht="15" hidden="false" customHeight="false" outlineLevel="2" collapsed="false">
      <c r="A207" s="3" t="s">
        <v>469</v>
      </c>
      <c r="B207" s="11" t="s">
        <v>63</v>
      </c>
      <c r="C207" s="24" t="n">
        <v>-4</v>
      </c>
      <c r="D207" s="24" t="n">
        <v>-8</v>
      </c>
      <c r="E207" s="24" t="n">
        <v>-8</v>
      </c>
      <c r="F207" s="24" t="n">
        <v>-8</v>
      </c>
      <c r="G207" s="24" t="n">
        <v>-8</v>
      </c>
      <c r="I207" s="6" t="s">
        <v>470</v>
      </c>
    </row>
    <row r="208" customFormat="false" ht="15" hidden="false" customHeight="false" outlineLevel="2" collapsed="false">
      <c r="A208" s="3" t="s">
        <v>471</v>
      </c>
      <c r="B208" s="11" t="s">
        <v>63</v>
      </c>
      <c r="C208" s="32" t="n">
        <f aca="false">C200*輸入與假設!$C$203</f>
        <v>0</v>
      </c>
      <c r="D208" s="32" t="n">
        <f aca="false">D200*輸入與假設!$C$203</f>
        <v>0</v>
      </c>
      <c r="E208" s="32" t="n">
        <f aca="false">E200*輸入與假設!$C$203</f>
        <v>0</v>
      </c>
      <c r="F208" s="32" t="n">
        <f aca="false">F200*輸入與假設!$C$203</f>
        <v>0</v>
      </c>
      <c r="G208" s="32" t="n">
        <f aca="false">G200*輸入與假設!$C$203</f>
        <v>0</v>
      </c>
      <c r="I208" s="6" t="s">
        <v>375</v>
      </c>
    </row>
    <row r="209" customFormat="false" ht="15" hidden="false" customHeight="false" outlineLevel="2" collapsed="false">
      <c r="A209" s="3" t="s">
        <v>472</v>
      </c>
      <c r="B209" s="11" t="s">
        <v>63</v>
      </c>
      <c r="C209" s="24" t="n">
        <v>0</v>
      </c>
      <c r="I209" s="6" t="s">
        <v>458</v>
      </c>
    </row>
    <row r="210" customFormat="false" ht="15" hidden="false" customHeight="false" outlineLevel="2" collapsed="false">
      <c r="A210" s="3" t="s">
        <v>473</v>
      </c>
      <c r="B210" s="11" t="s">
        <v>63</v>
      </c>
      <c r="C210" s="24" t="n">
        <v>1</v>
      </c>
      <c r="D210" s="24" t="n">
        <v>13</v>
      </c>
      <c r="E210" s="24" t="n">
        <v>13</v>
      </c>
      <c r="F210" s="24" t="n">
        <v>13</v>
      </c>
      <c r="G210" s="24" t="n">
        <v>13</v>
      </c>
      <c r="I210" s="6" t="s">
        <v>460</v>
      </c>
    </row>
    <row r="211" customFormat="false" ht="15" hidden="false" customHeight="false" outlineLevel="2" collapsed="false">
      <c r="A211" s="3" t="s">
        <v>474</v>
      </c>
      <c r="B211" s="11" t="s">
        <v>42</v>
      </c>
      <c r="C211" s="23" t="n">
        <v>0.25</v>
      </c>
      <c r="I211" s="11" t="s">
        <v>462</v>
      </c>
    </row>
    <row r="212" customFormat="false" ht="15" hidden="false" customHeight="false" outlineLevel="2" collapsed="false">
      <c r="A212" s="3" t="s">
        <v>475</v>
      </c>
      <c r="B212" s="11" t="s">
        <v>42</v>
      </c>
      <c r="C212" s="38" t="n">
        <f aca="false">輸入與假設!$C$211</f>
        <v>0.25</v>
      </c>
      <c r="I212" s="6" t="s">
        <v>447</v>
      </c>
    </row>
    <row r="213" customFormat="false" ht="15" hidden="false" customHeight="false" outlineLevel="2" collapsed="false">
      <c r="A213" s="3" t="s">
        <v>476</v>
      </c>
      <c r="B213" s="11" t="s">
        <v>42</v>
      </c>
      <c r="C213" s="23" t="n">
        <v>0</v>
      </c>
      <c r="I213" s="6" t="s">
        <v>362</v>
      </c>
    </row>
    <row r="214" customFormat="false" ht="15" hidden="false" customHeight="false" outlineLevel="2" collapsed="false">
      <c r="A214" s="3" t="s">
        <v>477</v>
      </c>
      <c r="B214" s="11" t="s">
        <v>42</v>
      </c>
      <c r="C214" s="23" t="n">
        <v>0</v>
      </c>
      <c r="I214" s="6" t="s">
        <v>364</v>
      </c>
    </row>
    <row r="215" customFormat="false" ht="15" hidden="false" customHeight="false" outlineLevel="2" collapsed="false">
      <c r="A215" s="3" t="s">
        <v>478</v>
      </c>
      <c r="B215" s="11" t="s">
        <v>63</v>
      </c>
      <c r="C215" s="32" t="n">
        <f aca="false">C210+輸入與假設!$C$209</f>
        <v>1</v>
      </c>
      <c r="D215" s="32" t="n">
        <f aca="false">D210</f>
        <v>13</v>
      </c>
      <c r="E215" s="32" t="n">
        <f aca="false">E210</f>
        <v>13</v>
      </c>
      <c r="F215" s="32" t="n">
        <f aca="false">F210</f>
        <v>13</v>
      </c>
      <c r="G215" s="32" t="n">
        <f aca="false">G210</f>
        <v>13</v>
      </c>
      <c r="I215" s="11" t="s">
        <v>467</v>
      </c>
    </row>
    <row r="216" customFormat="false" ht="15" hidden="false" customHeight="false" outlineLevel="2" collapsed="false">
      <c r="A216" s="3" t="s">
        <v>479</v>
      </c>
      <c r="B216" s="11" t="s">
        <v>42</v>
      </c>
      <c r="C216" s="38" t="n">
        <f aca="false">輸入與假設!$C$211+(輸入與假設!$C$212-輸入與假設!$C$211)*0/4</f>
        <v>0.25</v>
      </c>
      <c r="D216" s="38" t="n">
        <f aca="false">輸入與假設!$C$211+(輸入與假設!$C$212-輸入與假設!$C$211)*1/4</f>
        <v>0.25</v>
      </c>
      <c r="E216" s="38" t="n">
        <f aca="false">輸入與假設!$C$211+(輸入與假設!$C$212-輸入與假設!$C$211)*2/4</f>
        <v>0.25</v>
      </c>
      <c r="F216" s="38" t="n">
        <f aca="false">輸入與假設!$C$211+(輸入與假設!$C$212-輸入與假設!$C$211)*3/4</f>
        <v>0.25</v>
      </c>
      <c r="G216" s="38" t="n">
        <f aca="false">輸入與假設!$C$211+(輸入與假設!$C$212-輸入與假設!$C$211)*4/4</f>
        <v>0.25</v>
      </c>
      <c r="I216" s="6" t="s">
        <v>366</v>
      </c>
    </row>
    <row r="217" customFormat="false" ht="15" hidden="false" customHeight="false" outlineLevel="2" collapsed="false">
      <c r="A217" s="3" t="s">
        <v>480</v>
      </c>
      <c r="B217" s="11" t="s">
        <v>63</v>
      </c>
      <c r="C217" s="32" t="n">
        <f aca="false">C210*C216</f>
        <v>0.25</v>
      </c>
      <c r="D217" s="32" t="n">
        <f aca="false">D210*D216</f>
        <v>3.25</v>
      </c>
      <c r="E217" s="32" t="n">
        <f aca="false">E210*E216</f>
        <v>3.25</v>
      </c>
      <c r="F217" s="32" t="n">
        <f aca="false">F210*F216</f>
        <v>3.25</v>
      </c>
      <c r="G217" s="32" t="n">
        <f aca="false">G210*G216</f>
        <v>3.25</v>
      </c>
      <c r="I217" s="6" t="s">
        <v>373</v>
      </c>
    </row>
    <row r="218" customFormat="false" ht="15" hidden="false" customHeight="false" outlineLevel="2" collapsed="false">
      <c r="A218" s="3" t="s">
        <v>481</v>
      </c>
      <c r="B218" s="11" t="s">
        <v>63</v>
      </c>
      <c r="C218" s="32" t="n">
        <f aca="false">C210*輸入與假設!$C$213</f>
        <v>0</v>
      </c>
      <c r="D218" s="32" t="n">
        <f aca="false">D210*輸入與假設!$C$213</f>
        <v>0</v>
      </c>
      <c r="E218" s="32" t="n">
        <f aca="false">E210*輸入與假設!$C$213</f>
        <v>0</v>
      </c>
      <c r="F218" s="32" t="n">
        <f aca="false">F210*輸入與假設!$C$213</f>
        <v>0</v>
      </c>
      <c r="G218" s="32" t="n">
        <f aca="false">G210*輸入與假設!$C$213</f>
        <v>0</v>
      </c>
      <c r="I218" s="6" t="s">
        <v>375</v>
      </c>
    </row>
    <row r="219" customFormat="false" ht="15" hidden="false" customHeight="false" outlineLevel="2" collapsed="false">
      <c r="A219" s="3" t="s">
        <v>482</v>
      </c>
      <c r="B219" s="11" t="s">
        <v>63</v>
      </c>
      <c r="C219" s="24" t="n">
        <v>0</v>
      </c>
      <c r="I219" s="6" t="s">
        <v>458</v>
      </c>
    </row>
    <row r="220" customFormat="false" ht="15" hidden="false" customHeight="false" outlineLevel="2" collapsed="false">
      <c r="A220" s="3" t="s">
        <v>483</v>
      </c>
      <c r="B220" s="11" t="s">
        <v>63</v>
      </c>
      <c r="C220" s="24" t="n">
        <v>0</v>
      </c>
      <c r="D220" s="24" t="n">
        <v>0</v>
      </c>
      <c r="E220" s="24" t="n">
        <v>0</v>
      </c>
      <c r="F220" s="24" t="n">
        <v>0</v>
      </c>
      <c r="G220" s="24" t="n">
        <v>0</v>
      </c>
      <c r="I220" s="6" t="s">
        <v>460</v>
      </c>
    </row>
    <row r="221" customFormat="false" ht="15" hidden="false" customHeight="false" outlineLevel="2" collapsed="false">
      <c r="A221" s="3" t="s">
        <v>484</v>
      </c>
      <c r="B221" s="11" t="s">
        <v>42</v>
      </c>
      <c r="C221" s="23" t="n">
        <v>0</v>
      </c>
      <c r="I221" s="11" t="s">
        <v>462</v>
      </c>
    </row>
    <row r="222" customFormat="false" ht="15" hidden="false" customHeight="false" outlineLevel="2" collapsed="false">
      <c r="A222" s="3" t="s">
        <v>485</v>
      </c>
      <c r="B222" s="11" t="s">
        <v>42</v>
      </c>
      <c r="C222" s="38" t="n">
        <f aca="false">輸入與假設!$C$221</f>
        <v>0</v>
      </c>
      <c r="I222" s="6" t="s">
        <v>447</v>
      </c>
    </row>
    <row r="223" customFormat="false" ht="15" hidden="false" customHeight="false" outlineLevel="2" collapsed="false">
      <c r="A223" s="3" t="s">
        <v>486</v>
      </c>
      <c r="B223" s="11" t="s">
        <v>42</v>
      </c>
      <c r="C223" s="23" t="n">
        <v>0</v>
      </c>
      <c r="I223" s="6" t="s">
        <v>362</v>
      </c>
    </row>
    <row r="224" customFormat="false" ht="15" hidden="false" customHeight="false" outlineLevel="2" collapsed="false">
      <c r="A224" s="3" t="s">
        <v>487</v>
      </c>
      <c r="B224" s="11" t="s">
        <v>42</v>
      </c>
      <c r="C224" s="23" t="n">
        <v>0</v>
      </c>
      <c r="I224" s="6" t="s">
        <v>364</v>
      </c>
    </row>
    <row r="225" customFormat="false" ht="15" hidden="false" customHeight="false" outlineLevel="2" collapsed="false">
      <c r="A225" s="3" t="s">
        <v>488</v>
      </c>
      <c r="B225" s="11" t="s">
        <v>63</v>
      </c>
      <c r="C225" s="32" t="n">
        <f aca="false">C220+輸入與假設!$C$219</f>
        <v>0</v>
      </c>
      <c r="D225" s="32" t="n">
        <f aca="false">D220</f>
        <v>0</v>
      </c>
      <c r="E225" s="32" t="n">
        <f aca="false">E220</f>
        <v>0</v>
      </c>
      <c r="F225" s="32" t="n">
        <f aca="false">F220</f>
        <v>0</v>
      </c>
      <c r="G225" s="32" t="n">
        <f aca="false">G220</f>
        <v>0</v>
      </c>
      <c r="I225" s="11" t="s">
        <v>467</v>
      </c>
    </row>
    <row r="226" customFormat="false" ht="15" hidden="false" customHeight="false" outlineLevel="2" collapsed="false">
      <c r="A226" s="3" t="s">
        <v>489</v>
      </c>
      <c r="B226" s="11" t="s">
        <v>42</v>
      </c>
      <c r="C226" s="38" t="n">
        <f aca="false">輸入與假設!$C$221+(輸入與假設!$C$222-輸入與假設!$C$221)*0/4</f>
        <v>0</v>
      </c>
      <c r="D226" s="38" t="n">
        <f aca="false">輸入與假設!$C$221+(輸入與假設!$C$222-輸入與假設!$C$221)*1/4</f>
        <v>0</v>
      </c>
      <c r="E226" s="38" t="n">
        <f aca="false">輸入與假設!$C$221+(輸入與假設!$C$222-輸入與假設!$C$221)*2/4</f>
        <v>0</v>
      </c>
      <c r="F226" s="38" t="n">
        <f aca="false">輸入與假設!$C$221+(輸入與假設!$C$222-輸入與假設!$C$221)*3/4</f>
        <v>0</v>
      </c>
      <c r="G226" s="38" t="n">
        <f aca="false">輸入與假設!$C$221+(輸入與假設!$C$222-輸入與假設!$C$221)*4/4</f>
        <v>0</v>
      </c>
      <c r="I226" s="6" t="s">
        <v>366</v>
      </c>
    </row>
    <row r="227" customFormat="false" ht="15" hidden="false" customHeight="false" outlineLevel="2" collapsed="false">
      <c r="A227" s="3" t="s">
        <v>490</v>
      </c>
      <c r="B227" s="11" t="s">
        <v>63</v>
      </c>
      <c r="C227" s="24" t="n">
        <v>-12.689</v>
      </c>
      <c r="D227" s="24" t="n">
        <v>-28.849</v>
      </c>
      <c r="E227" s="24" t="n">
        <v>-33.336</v>
      </c>
      <c r="F227" s="24" t="n">
        <v>-37.465</v>
      </c>
      <c r="G227" s="24" t="n">
        <v>-40.87</v>
      </c>
      <c r="I227" s="6" t="s">
        <v>470</v>
      </c>
    </row>
    <row r="228" customFormat="false" ht="15" hidden="false" customHeight="false" outlineLevel="2" collapsed="false">
      <c r="A228" s="3" t="s">
        <v>491</v>
      </c>
      <c r="B228" s="11" t="s">
        <v>63</v>
      </c>
      <c r="C228" s="32" t="n">
        <f aca="false">C220*輸入與假設!$C$223</f>
        <v>0</v>
      </c>
      <c r="D228" s="32" t="n">
        <f aca="false">D220*輸入與假設!$C$223</f>
        <v>0</v>
      </c>
      <c r="E228" s="32" t="n">
        <f aca="false">E220*輸入與假設!$C$223</f>
        <v>0</v>
      </c>
      <c r="F228" s="32" t="n">
        <f aca="false">F220*輸入與假設!$C$223</f>
        <v>0</v>
      </c>
      <c r="G228" s="32" t="n">
        <f aca="false">G220*輸入與假設!$C$223</f>
        <v>0</v>
      </c>
      <c r="I228" s="6" t="s">
        <v>375</v>
      </c>
    </row>
    <row r="229" customFormat="false" ht="15" hidden="false" customHeight="false" outlineLevel="2" collapsed="false">
      <c r="A229" s="3" t="s">
        <v>492</v>
      </c>
      <c r="B229" s="11" t="s">
        <v>63</v>
      </c>
      <c r="C229" s="32" t="n">
        <f aca="false">C129+C143+C157+C171+C195+C200+C210+C220</f>
        <v>248.859258514508</v>
      </c>
      <c r="D229" s="32" t="n">
        <f aca="false">D129+D143+D157+D171+D195+D200+D210+D220</f>
        <v>557.549137536861</v>
      </c>
      <c r="E229" s="32" t="n">
        <f aca="false">E129+E143+E157+E171+E195+E200+E210+E220</f>
        <v>634.835837557376</v>
      </c>
      <c r="F229" s="32" t="n">
        <f aca="false">F129+F143+F157+F171+F195+F200+F210+F220</f>
        <v>704.644535285127</v>
      </c>
      <c r="G229" s="32" t="n">
        <f aca="false">G129+G143+G157+G171+G195+G200+G210+G220</f>
        <v>759.436867848997</v>
      </c>
      <c r="I229" s="6" t="s">
        <v>493</v>
      </c>
    </row>
    <row r="230" customFormat="false" ht="15" hidden="false" customHeight="false" outlineLevel="2" collapsed="false">
      <c r="A230" s="3" t="s">
        <v>494</v>
      </c>
      <c r="B230" s="11" t="s">
        <v>63</v>
      </c>
      <c r="C230" s="32" t="n">
        <f aca="false">C131+C145+C159+C173+C197+C207+C217+C227</f>
        <v>91.9733087136481</v>
      </c>
      <c r="D230" s="32" t="n">
        <f aca="false">D131+D145+D159+D173+D197+D207+D217+D227</f>
        <v>198.060553614941</v>
      </c>
      <c r="E230" s="32" t="n">
        <f aca="false">E131+E145+E159+E173+E197+E207+E217+E227</f>
        <v>219.114314240661</v>
      </c>
      <c r="F230" s="32" t="n">
        <f aca="false">F131+F145+F159+F173+F197+F207+F217+F227</f>
        <v>236.722438828359</v>
      </c>
      <c r="G230" s="32" t="n">
        <f aca="false">G131+G145+G159+G173+G197+G207+G217+G227</f>
        <v>249.032200893404</v>
      </c>
      <c r="I230" s="6" t="s">
        <v>495</v>
      </c>
    </row>
    <row r="231" customFormat="false" ht="15" hidden="false" customHeight="false" outlineLevel="2" collapsed="false">
      <c r="A231" s="3" t="s">
        <v>496</v>
      </c>
      <c r="B231" s="11" t="s">
        <v>63</v>
      </c>
      <c r="C231" s="32" t="n">
        <f aca="false">C132+C146+C160+C174+C198+C208+C218+C228</f>
        <v>0</v>
      </c>
      <c r="D231" s="32" t="n">
        <f aca="false">D132+D146+D160+D174+D198+D208+D218+D228</f>
        <v>0</v>
      </c>
      <c r="E231" s="32" t="n">
        <f aca="false">E132+E146+E160+E174+E198+E208+E218+E228</f>
        <v>0</v>
      </c>
      <c r="F231" s="32" t="n">
        <f aca="false">F132+F146+F160+F174+F198+F208+F218+F228</f>
        <v>0</v>
      </c>
      <c r="G231" s="32" t="n">
        <f aca="false">G132+G146+G160+G174+G198+G208+G218+G228</f>
        <v>0</v>
      </c>
      <c r="I231" s="6" t="s">
        <v>497</v>
      </c>
    </row>
    <row r="232" customFormat="false" ht="15" hidden="false" customHeight="false" outlineLevel="2" collapsed="false">
      <c r="A232" s="3" t="s">
        <v>498</v>
      </c>
      <c r="B232" s="11" t="s">
        <v>42</v>
      </c>
      <c r="C232" s="38" t="n">
        <f aca="false">C230/MAX(0.000000001,C229)</f>
        <v>0.369579614046332</v>
      </c>
      <c r="D232" s="38" t="n">
        <f aca="false">D230/MAX(0.000000001,D229)</f>
        <v>0.355234257001871</v>
      </c>
      <c r="E232" s="38" t="n">
        <f aca="false">E230/MAX(0.000000001,E229)</f>
        <v>0.345151141882184</v>
      </c>
      <c r="F232" s="38" t="n">
        <f aca="false">F230/MAX(0.000000001,F229)</f>
        <v>0.335945894666694</v>
      </c>
      <c r="G232" s="38" t="n">
        <f aca="false">G230/MAX(0.000000001,G229)</f>
        <v>0.327916922967875</v>
      </c>
      <c r="I232" s="6" t="s">
        <v>499</v>
      </c>
    </row>
    <row r="233" customFormat="false" ht="15" hidden="false" customHeight="false" outlineLevel="2" collapsed="false">
      <c r="A233" s="3" t="s">
        <v>500</v>
      </c>
      <c r="B233" s="11" t="s">
        <v>63</v>
      </c>
      <c r="C233" s="32" t="n">
        <f aca="false">輸入與假設!$C$120+C129-C128+輸入與假設!$C$134+C143-C142+輸入與假設!$C$148+C157-C156+輸入與假設!$C$162+C171-C170+輸入與假設!$C$187+C195-C194+輸入與假設!$C$199+C200-C205+輸入與假設!$C$209+C210-C215+輸入與假設!$C$219+C220-C225</f>
        <v>0</v>
      </c>
      <c r="I233" s="6" t="s">
        <v>501</v>
      </c>
    </row>
    <row r="235" customFormat="false" ht="15" hidden="false" customHeight="false" outlineLevel="0" collapsed="false">
      <c r="A235" s="7" t="s">
        <v>502</v>
      </c>
      <c r="B235" s="8"/>
      <c r="C235" s="8"/>
      <c r="D235" s="8"/>
      <c r="E235" s="8"/>
      <c r="F235" s="8"/>
      <c r="G235" s="8"/>
      <c r="H235" s="8"/>
    </row>
    <row r="236" customFormat="false" ht="15" hidden="false" customHeight="false" outlineLevel="1" collapsed="false">
      <c r="A236" s="3" t="s">
        <v>503</v>
      </c>
      <c r="B236" s="11" t="s">
        <v>42</v>
      </c>
      <c r="C236" s="40" t="n">
        <v>0.765</v>
      </c>
      <c r="I236" s="11" t="s">
        <v>504</v>
      </c>
    </row>
    <row r="237" customFormat="false" ht="15" hidden="false" customHeight="false" outlineLevel="1" collapsed="false">
      <c r="A237" s="3" t="s">
        <v>505</v>
      </c>
      <c r="B237" s="11" t="s">
        <v>42</v>
      </c>
      <c r="C237" s="40" t="n">
        <v>0.765</v>
      </c>
      <c r="I237" s="6" t="s">
        <v>506</v>
      </c>
    </row>
    <row r="238" customFormat="false" ht="15" hidden="false" customHeight="false" outlineLevel="1" collapsed="false">
      <c r="A238" s="14" t="s">
        <v>57</v>
      </c>
      <c r="B238" s="14" t="s">
        <v>58</v>
      </c>
      <c r="C238" s="28" t="s">
        <v>59</v>
      </c>
      <c r="D238" s="28" t="s">
        <v>60</v>
      </c>
      <c r="E238" s="28" t="s">
        <v>61</v>
      </c>
      <c r="F238" s="28" t="s">
        <v>151</v>
      </c>
      <c r="G238" s="28" t="s">
        <v>152</v>
      </c>
      <c r="I238" s="14" t="s">
        <v>204</v>
      </c>
    </row>
    <row r="239" customFormat="false" ht="15" hidden="false" customHeight="false" outlineLevel="1" collapsed="false">
      <c r="A239" s="4" t="s">
        <v>507</v>
      </c>
      <c r="B239" s="11" t="s">
        <v>42</v>
      </c>
      <c r="C239" s="38" t="n">
        <f aca="false">1-C112/1000/MAX(0.000000001,C39*輸入與假設!$C$32)</f>
        <v>0.810926562624555</v>
      </c>
      <c r="D239" s="38" t="n">
        <f aca="false">1-D112/1000/MAX(0.000000001,D39*輸入與假設!$C$32)</f>
        <v>0.814439962744762</v>
      </c>
      <c r="E239" s="38" t="n">
        <f aca="false">1-E112/1000/MAX(0.000000001,E39*輸入與假設!$C$32)</f>
        <v>0.816204260427869</v>
      </c>
      <c r="F239" s="38" t="n">
        <f aca="false">1-F112/1000/MAX(0.000000001,F39*輸入與假設!$C$32)</f>
        <v>0.817256461549019</v>
      </c>
      <c r="G239" s="38" t="n">
        <f aca="false">1-G112/1000/MAX(0.000000001,G39*輸入與假設!$C$32)</f>
        <v>0.817955291657349</v>
      </c>
      <c r="I239" s="6" t="s">
        <v>508</v>
      </c>
    </row>
    <row r="240" customFormat="false" ht="15" hidden="false" customHeight="false" outlineLevel="1" collapsed="false">
      <c r="A240" s="3" t="s">
        <v>509</v>
      </c>
      <c r="B240" s="11" t="s">
        <v>63</v>
      </c>
      <c r="C240" s="32" t="n">
        <f aca="false">輸入與假設!C$43*運營_產能與收入!C39</f>
        <v>0</v>
      </c>
      <c r="D240" s="32" t="n">
        <f aca="false">輸入與假設!D$43*運營_產能與收入!D39</f>
        <v>0</v>
      </c>
      <c r="E240" s="32" t="n">
        <f aca="false">輸入與假設!E$43*運營_產能與收入!E39</f>
        <v>0</v>
      </c>
      <c r="F240" s="32" t="n">
        <f aca="false">輸入與假設!F$43*運營_產能與收入!F39</f>
        <v>0</v>
      </c>
      <c r="G240" s="32" t="n">
        <f aca="false">輸入與假設!G$43*運營_產能與收入!G39</f>
        <v>0</v>
      </c>
      <c r="I240" s="6" t="s">
        <v>510</v>
      </c>
    </row>
    <row r="241" customFormat="false" ht="15" hidden="false" customHeight="false" outlineLevel="1" collapsed="true">
      <c r="A241" s="19" t="s">
        <v>511</v>
      </c>
      <c r="B241" s="20"/>
      <c r="C241" s="20"/>
      <c r="D241" s="20"/>
      <c r="E241" s="20"/>
      <c r="F241" s="20"/>
      <c r="G241" s="20"/>
      <c r="H241" s="20"/>
    </row>
    <row r="242" customFormat="false" ht="15" hidden="true" customHeight="false" outlineLevel="2" collapsed="false">
      <c r="A242" s="3" t="s">
        <v>512</v>
      </c>
      <c r="B242" s="6"/>
      <c r="C242" s="21" t="n">
        <v>0</v>
      </c>
      <c r="I242" s="11" t="s">
        <v>513</v>
      </c>
    </row>
    <row r="243" customFormat="false" ht="15" hidden="true" customHeight="false" outlineLevel="2" collapsed="false">
      <c r="A243" s="3" t="s">
        <v>514</v>
      </c>
      <c r="B243" s="11" t="s">
        <v>515</v>
      </c>
      <c r="C243" s="21" t="n">
        <v>60</v>
      </c>
      <c r="D243" s="21" t="n">
        <v>62</v>
      </c>
      <c r="E243" s="21" t="n">
        <v>64</v>
      </c>
      <c r="F243" s="21" t="n">
        <v>66</v>
      </c>
      <c r="G243" s="21" t="n">
        <v>68</v>
      </c>
      <c r="I243" s="11" t="s">
        <v>516</v>
      </c>
    </row>
    <row r="244" customFormat="false" ht="15" hidden="true" customHeight="false" outlineLevel="2" collapsed="false">
      <c r="A244" s="4" t="s">
        <v>517</v>
      </c>
      <c r="B244" s="6"/>
      <c r="C244" s="37" t="n">
        <v>1.2</v>
      </c>
      <c r="D244" s="37" t="n">
        <v>1.2</v>
      </c>
      <c r="E244" s="37" t="n">
        <v>1.2</v>
      </c>
      <c r="F244" s="37" t="n">
        <v>1.2</v>
      </c>
      <c r="G244" s="37" t="n">
        <v>1.2</v>
      </c>
      <c r="I244" s="11" t="s">
        <v>516</v>
      </c>
    </row>
    <row r="245" customFormat="false" ht="15" hidden="true" customHeight="false" outlineLevel="2" collapsed="false">
      <c r="A245" s="3" t="s">
        <v>518</v>
      </c>
      <c r="B245" s="11" t="s">
        <v>264</v>
      </c>
      <c r="C245" s="37" t="n">
        <v>0.15</v>
      </c>
      <c r="D245" s="37" t="n">
        <v>0.15</v>
      </c>
      <c r="E245" s="37" t="n">
        <v>0.16</v>
      </c>
      <c r="F245" s="37" t="n">
        <v>0.16</v>
      </c>
      <c r="G245" s="37" t="n">
        <v>0.17</v>
      </c>
      <c r="I245" s="11" t="s">
        <v>516</v>
      </c>
    </row>
    <row r="247" customFormat="false" ht="15" hidden="false" customHeight="false" outlineLevel="0" collapsed="false">
      <c r="A247" s="7" t="s">
        <v>519</v>
      </c>
      <c r="B247" s="8"/>
      <c r="C247" s="8"/>
      <c r="D247" s="8"/>
      <c r="E247" s="8"/>
      <c r="F247" s="8"/>
      <c r="G247" s="8"/>
      <c r="H247" s="8"/>
    </row>
    <row r="248" customFormat="false" ht="15" hidden="false" customHeight="false" outlineLevel="1" collapsed="false">
      <c r="A248" s="3" t="s">
        <v>520</v>
      </c>
      <c r="B248" s="11" t="s">
        <v>42</v>
      </c>
      <c r="C248" s="23" t="n">
        <v>0.35</v>
      </c>
      <c r="I248" s="6" t="s">
        <v>521</v>
      </c>
    </row>
    <row r="249" customFormat="false" ht="15" hidden="false" customHeight="false" outlineLevel="1" collapsed="false">
      <c r="A249" s="4" t="s">
        <v>522</v>
      </c>
      <c r="B249" s="11" t="s">
        <v>155</v>
      </c>
      <c r="C249" s="22" t="n">
        <f aca="false">CHOOSE(輸入與假設!$C$5,I11,I14,I17)</f>
        <v>1069.4</v>
      </c>
      <c r="I249" s="6" t="s">
        <v>523</v>
      </c>
    </row>
    <row r="250" customFormat="false" ht="15" hidden="false" customHeight="false" outlineLevel="1" collapsed="false">
      <c r="A250" s="4" t="s">
        <v>524</v>
      </c>
      <c r="B250" s="11" t="s">
        <v>63</v>
      </c>
      <c r="C250" s="24" t="n">
        <v>200</v>
      </c>
      <c r="I250" s="6" t="s">
        <v>525</v>
      </c>
    </row>
    <row r="251" customFormat="false" ht="15" hidden="false" customHeight="false" outlineLevel="1" collapsed="false">
      <c r="A251" s="4" t="s">
        <v>526</v>
      </c>
      <c r="B251" s="6" t="s">
        <v>182</v>
      </c>
      <c r="C251" s="21" t="n">
        <v>6</v>
      </c>
      <c r="I251" s="11" t="s">
        <v>527</v>
      </c>
    </row>
    <row r="252" customFormat="false" ht="15" hidden="false" customHeight="false" outlineLevel="1" collapsed="false">
      <c r="A252" s="3" t="s">
        <v>528</v>
      </c>
      <c r="B252" s="11" t="s">
        <v>42</v>
      </c>
      <c r="C252" s="23" t="n">
        <v>0.3</v>
      </c>
      <c r="I252" s="6" t="s">
        <v>529</v>
      </c>
    </row>
    <row r="253" customFormat="false" ht="15" hidden="false" customHeight="false" outlineLevel="1" collapsed="false">
      <c r="A253" s="3" t="s">
        <v>530</v>
      </c>
      <c r="B253" s="11" t="s">
        <v>42</v>
      </c>
      <c r="C253" s="23" t="n">
        <v>0.85</v>
      </c>
      <c r="I253" s="6" t="s">
        <v>531</v>
      </c>
    </row>
    <row r="254" customFormat="false" ht="15" hidden="false" customHeight="false" outlineLevel="1" collapsed="false">
      <c r="A254" s="3" t="s">
        <v>532</v>
      </c>
      <c r="B254" s="11" t="s">
        <v>63</v>
      </c>
      <c r="C254" s="24" t="n">
        <v>28.416</v>
      </c>
      <c r="I254" s="6" t="s">
        <v>533</v>
      </c>
    </row>
    <row r="255" customFormat="false" ht="15" hidden="false" customHeight="false" outlineLevel="1" collapsed="false">
      <c r="A255" s="4" t="s">
        <v>534</v>
      </c>
      <c r="B255" s="11" t="s">
        <v>155</v>
      </c>
      <c r="C255" s="21" t="n">
        <v>191</v>
      </c>
      <c r="I255" s="11" t="s">
        <v>535</v>
      </c>
    </row>
    <row r="256" customFormat="false" ht="15" hidden="false" customHeight="false" outlineLevel="1" collapsed="false">
      <c r="A256" s="4" t="s">
        <v>536</v>
      </c>
      <c r="B256" s="11" t="s">
        <v>155</v>
      </c>
      <c r="C256" s="21" t="n">
        <v>643</v>
      </c>
      <c r="I256" s="11" t="s">
        <v>537</v>
      </c>
    </row>
    <row r="257" customFormat="false" ht="15" hidden="false" customHeight="false" outlineLevel="1" collapsed="false">
      <c r="A257" s="4" t="s">
        <v>538</v>
      </c>
      <c r="B257" s="11" t="s">
        <v>63</v>
      </c>
      <c r="C257" s="24" t="n">
        <v>321.212</v>
      </c>
      <c r="I257" s="6" t="s">
        <v>539</v>
      </c>
    </row>
    <row r="258" customFormat="false" ht="15" hidden="false" customHeight="false" outlineLevel="1" collapsed="false">
      <c r="A258" s="3" t="s">
        <v>540</v>
      </c>
      <c r="B258" s="11" t="s">
        <v>42</v>
      </c>
      <c r="C258" s="23" t="n">
        <v>1</v>
      </c>
      <c r="I258" s="6" t="s">
        <v>541</v>
      </c>
    </row>
    <row r="259" customFormat="false" ht="15" hidden="false" customHeight="false" outlineLevel="1" collapsed="false">
      <c r="A259" s="14" t="s">
        <v>57</v>
      </c>
      <c r="B259" s="14" t="s">
        <v>58</v>
      </c>
      <c r="C259" s="28" t="s">
        <v>59</v>
      </c>
      <c r="D259" s="28" t="s">
        <v>60</v>
      </c>
      <c r="E259" s="28" t="s">
        <v>61</v>
      </c>
      <c r="F259" s="28" t="s">
        <v>151</v>
      </c>
      <c r="G259" s="28" t="s">
        <v>152</v>
      </c>
      <c r="I259" s="14" t="s">
        <v>204</v>
      </c>
    </row>
    <row r="260" customFormat="false" ht="15" hidden="false" customHeight="false" outlineLevel="1" collapsed="false">
      <c r="A260" s="3" t="s">
        <v>542</v>
      </c>
      <c r="B260" s="11" t="s">
        <v>264</v>
      </c>
      <c r="C260" s="41" t="n">
        <f aca="false">C66*(TK_CapexIT_H100+輸入與假設!$C$253*TK_CapexFacility_H100)+C72*(TK_CapexIT_H100+輸入與假設!$C$253*TK_CapexFacility_H100)+C78*(TK_CapexIT_GB200+輸入與假設!$C$253*TK_CapexFacility_GB200)+C84*(TK_CapexIT_GB200+輸入與假設!$C$253*TK_CapexFacility_GB200)+C90*(TK_CapexIT_GB300+輸入與假設!$C$253*TK_CapexFacility_GB300)+C96*(TK_CapexIT_GB300+輸入與假設!$C$253*TK_CapexFacility_GB300)+C102*(TK_CapexIT_VR200+輸入與假設!$C$253*TK_CapexFacility_VR200)+C108*(TK_CapexIT_VR200+輸入與假設!$C$253*TK_CapexFacility_VR200)</f>
        <v>48.215004</v>
      </c>
      <c r="D260" s="41" t="n">
        <f aca="false">D66*(TK_CapexIT_H100+輸入與假設!$C$253*TK_CapexFacility_H100)+D72*(TK_CapexIT_H100+輸入與假設!$C$253*TK_CapexFacility_H100)+D78*(TK_CapexIT_GB200+輸入與假設!$C$253*TK_CapexFacility_GB200)+D84*(TK_CapexIT_GB200+輸入與假設!$C$253*TK_CapexFacility_GB200)+D90*(TK_CapexIT_GB300+輸入與假設!$C$253*TK_CapexFacility_GB300)+D96*(TK_CapexIT_GB300+輸入與假設!$C$253*TK_CapexFacility_GB300)+D102*(TK_CapexIT_VR200+輸入與假設!$C$253*TK_CapexFacility_VR200)+D108*(TK_CapexIT_VR200+輸入與假設!$C$253*TK_CapexFacility_VR200)</f>
        <v>48.285428</v>
      </c>
      <c r="E260" s="41" t="n">
        <f aca="false">E66*(TK_CapexIT_H100+輸入與假設!$C$253*TK_CapexFacility_H100)+E72*(TK_CapexIT_H100+輸入與假設!$C$253*TK_CapexFacility_H100)+E78*(TK_CapexIT_GB200+輸入與假設!$C$253*TK_CapexFacility_GB200)+E84*(TK_CapexIT_GB200+輸入與假設!$C$253*TK_CapexFacility_GB200)+E90*(TK_CapexIT_GB300+輸入與假設!$C$253*TK_CapexFacility_GB300)+E96*(TK_CapexIT_GB300+輸入與假設!$C$253*TK_CapexFacility_GB300)+E102*(TK_CapexIT_VR200+輸入與假設!$C$253*TK_CapexFacility_VR200)+E108*(TK_CapexIT_VR200+輸入與假設!$C$253*TK_CapexFacility_VR200)</f>
        <v>48.355852</v>
      </c>
      <c r="F260" s="41" t="n">
        <f aca="false">F66*(TK_CapexIT_H100+輸入與假設!$C$253*TK_CapexFacility_H100)+F72*(TK_CapexIT_H100+輸入與假設!$C$253*TK_CapexFacility_H100)+F78*(TK_CapexIT_GB200+輸入與假設!$C$253*TK_CapexFacility_GB200)+F84*(TK_CapexIT_GB200+輸入與假設!$C$253*TK_CapexFacility_GB200)+F90*(TK_CapexIT_GB300+輸入與假設!$C$253*TK_CapexFacility_GB300)+F96*(TK_CapexIT_GB300+輸入與假設!$C$253*TK_CapexFacility_GB300)+F102*(TK_CapexIT_VR200+輸入與假設!$C$253*TK_CapexFacility_VR200)+F108*(TK_CapexIT_VR200+輸入與假設!$C$253*TK_CapexFacility_VR200)</f>
        <v>48.355852</v>
      </c>
      <c r="G260" s="41" t="n">
        <f aca="false">G66*(TK_CapexIT_H100+輸入與假設!$C$253*TK_CapexFacility_H100)+G72*(TK_CapexIT_H100+輸入與假設!$C$253*TK_CapexFacility_H100)+G78*(TK_CapexIT_GB200+輸入與假設!$C$253*TK_CapexFacility_GB200)+G84*(TK_CapexIT_GB200+輸入與假設!$C$253*TK_CapexFacility_GB200)+G90*(TK_CapexIT_GB300+輸入與假設!$C$253*TK_CapexFacility_GB300)+G96*(TK_CapexIT_GB300+輸入與假設!$C$253*TK_CapexFacility_GB300)+G102*(TK_CapexIT_VR200+輸入與假設!$C$253*TK_CapexFacility_VR200)+G108*(TK_CapexIT_VR200+輸入與假設!$C$253*TK_CapexFacility_VR200)</f>
        <v>48.355852</v>
      </c>
      <c r="I260" s="6" t="s">
        <v>543</v>
      </c>
    </row>
    <row r="261" customFormat="false" ht="15" hidden="false" customHeight="false" outlineLevel="1" collapsed="false">
      <c r="A261" s="3" t="s">
        <v>544</v>
      </c>
      <c r="B261" s="11" t="s">
        <v>264</v>
      </c>
      <c r="C261" s="41" t="n">
        <f aca="false">C66*TK_CapexIT_H100+C72*TK_CapexIT_H100+C78*TK_CapexIT_GB200+C84*TK_CapexIT_GB200+C90*TK_CapexIT_GB300+C96*TK_CapexIT_GB300+C102*TK_CapexIT_VR200+C108*TK_CapexIT_VR200</f>
        <v>37.445504</v>
      </c>
      <c r="D261" s="41" t="n">
        <f aca="false">D66*TK_CapexIT_H100+D72*TK_CapexIT_H100+D78*TK_CapexIT_GB200+D84*TK_CapexIT_GB200+D90*TK_CapexIT_GB300+D96*TK_CapexIT_GB300+D102*TK_CapexIT_VR200+D108*TK_CapexIT_VR200</f>
        <v>37.515928</v>
      </c>
      <c r="E261" s="41" t="n">
        <f aca="false">E66*TK_CapexIT_H100+E72*TK_CapexIT_H100+E78*TK_CapexIT_GB200+E84*TK_CapexIT_GB200+E90*TK_CapexIT_GB300+E96*TK_CapexIT_GB300+E102*TK_CapexIT_VR200+E108*TK_CapexIT_VR200</f>
        <v>37.586352</v>
      </c>
      <c r="F261" s="41" t="n">
        <f aca="false">F66*TK_CapexIT_H100+F72*TK_CapexIT_H100+F78*TK_CapexIT_GB200+F84*TK_CapexIT_GB200+F90*TK_CapexIT_GB300+F96*TK_CapexIT_GB300+F102*TK_CapexIT_VR200+F108*TK_CapexIT_VR200</f>
        <v>37.586352</v>
      </c>
      <c r="G261" s="41" t="n">
        <f aca="false">G66*TK_CapexIT_H100+G72*TK_CapexIT_H100+G78*TK_CapexIT_GB200+G84*TK_CapexIT_GB200+G90*TK_CapexIT_GB300+G96*TK_CapexIT_GB300+G102*TK_CapexIT_VR200+G108*TK_CapexIT_VR200</f>
        <v>37.586352</v>
      </c>
      <c r="I261" s="6" t="s">
        <v>545</v>
      </c>
    </row>
    <row r="262" customFormat="false" ht="15" hidden="false" customHeight="false" outlineLevel="1" collapsed="false">
      <c r="A262" s="3" t="s">
        <v>546</v>
      </c>
      <c r="B262" s="11" t="s">
        <v>42</v>
      </c>
      <c r="C262" s="23" t="n">
        <v>0</v>
      </c>
      <c r="I262" s="6" t="s">
        <v>547</v>
      </c>
    </row>
    <row r="263" customFormat="false" ht="15" hidden="false" customHeight="false" outlineLevel="1" collapsed="false">
      <c r="A263" s="3" t="s">
        <v>548</v>
      </c>
      <c r="B263" s="11" t="s">
        <v>42</v>
      </c>
      <c r="C263" s="23" t="n">
        <v>0</v>
      </c>
      <c r="I263" s="6" t="s">
        <v>549</v>
      </c>
    </row>
    <row r="264" customFormat="false" ht="15" hidden="false" customHeight="false" outlineLevel="1" collapsed="false">
      <c r="A264" s="3" t="s">
        <v>550</v>
      </c>
      <c r="B264" s="6" t="s">
        <v>182</v>
      </c>
      <c r="C264" s="25" t="n">
        <v>5</v>
      </c>
      <c r="I264" s="6" t="s">
        <v>551</v>
      </c>
    </row>
    <row r="265" customFormat="false" ht="15" hidden="false" customHeight="false" outlineLevel="1" collapsed="false">
      <c r="A265" s="4" t="s">
        <v>552</v>
      </c>
      <c r="B265" s="11" t="s">
        <v>63</v>
      </c>
      <c r="C265" s="24" t="n">
        <v>0</v>
      </c>
      <c r="I265" s="6" t="s">
        <v>549</v>
      </c>
    </row>
    <row r="266" customFormat="false" ht="15" hidden="false" customHeight="false" outlineLevel="1" collapsed="false">
      <c r="A266" s="3" t="s">
        <v>553</v>
      </c>
      <c r="B266" s="11" t="s">
        <v>42</v>
      </c>
      <c r="C266" s="23" t="n">
        <v>0</v>
      </c>
      <c r="I266" s="6" t="s">
        <v>554</v>
      </c>
    </row>
    <row r="267" customFormat="false" ht="15" hidden="false" customHeight="false" outlineLevel="1" collapsed="false">
      <c r="A267" s="14" t="s">
        <v>57</v>
      </c>
      <c r="B267" s="14" t="s">
        <v>58</v>
      </c>
      <c r="C267" s="28" t="s">
        <v>59</v>
      </c>
      <c r="D267" s="28" t="s">
        <v>60</v>
      </c>
      <c r="E267" s="28" t="s">
        <v>61</v>
      </c>
      <c r="F267" s="28" t="s">
        <v>151</v>
      </c>
      <c r="G267" s="28" t="s">
        <v>152</v>
      </c>
      <c r="I267" s="14" t="s">
        <v>204</v>
      </c>
    </row>
    <row r="268" customFormat="false" ht="15" hidden="false" customHeight="false" outlineLevel="1" collapsed="false">
      <c r="A268" s="3" t="s">
        <v>555</v>
      </c>
      <c r="B268" s="11" t="s">
        <v>42</v>
      </c>
      <c r="C268" s="38" t="n">
        <f aca="false">輸入與假設!$C$262*輸入與假設!$C$263</f>
        <v>0</v>
      </c>
      <c r="D268" s="38" t="n">
        <f aca="false">輸入與假設!$C$262*輸入與假設!$C$263</f>
        <v>0</v>
      </c>
      <c r="E268" s="38" t="n">
        <f aca="false">輸入與假設!$C$262*輸入與假設!$C$263</f>
        <v>0</v>
      </c>
      <c r="F268" s="38" t="n">
        <f aca="false">輸入與假設!$C$262*輸入與假設!$C$263</f>
        <v>0</v>
      </c>
      <c r="G268" s="38" t="n">
        <f aca="false">輸入與假設!$C$262*輸入與假設!$C$263</f>
        <v>0</v>
      </c>
      <c r="I268" s="6" t="s">
        <v>556</v>
      </c>
    </row>
    <row r="269" customFormat="false" ht="15" hidden="false" customHeight="false" outlineLevel="1" collapsed="false">
      <c r="A269" s="3" t="s">
        <v>557</v>
      </c>
      <c r="B269" s="11" t="s">
        <v>63</v>
      </c>
      <c r="C269" s="24" t="n">
        <v>2.042</v>
      </c>
      <c r="D269" s="24" t="n">
        <v>3.885</v>
      </c>
      <c r="E269" s="24" t="n">
        <v>3.356</v>
      </c>
      <c r="F269" s="24" t="n">
        <v>2.932</v>
      </c>
      <c r="G269" s="24" t="n">
        <v>2.331</v>
      </c>
      <c r="I269" s="6" t="s">
        <v>558</v>
      </c>
    </row>
    <row r="270" customFormat="false" ht="15" hidden="false" customHeight="false" outlineLevel="1" collapsed="false">
      <c r="A270" s="3" t="s">
        <v>559</v>
      </c>
      <c r="B270" s="6" t="s">
        <v>177</v>
      </c>
      <c r="C270" s="22" t="n">
        <f aca="false">ROUND(4*SUM($C$34:C$34),0)</f>
        <v>2</v>
      </c>
      <c r="D270" s="22" t="n">
        <f aca="false">ROUND(4*SUM($C$34:D$34),0)</f>
        <v>6</v>
      </c>
      <c r="E270" s="22" t="n">
        <f aca="false">ROUND(4*SUM($C$34:E$34),0)</f>
        <v>10</v>
      </c>
      <c r="F270" s="22" t="n">
        <f aca="false">ROUND(4*SUM($C$34:F$34),0)</f>
        <v>14</v>
      </c>
      <c r="G270" s="22" t="n">
        <f aca="false">ROUND(4*SUM($C$34:G$34),0)</f>
        <v>18</v>
      </c>
      <c r="I270" s="6" t="s">
        <v>560</v>
      </c>
    </row>
    <row r="271" customFormat="false" ht="15" hidden="false" customHeight="false" outlineLevel="1" collapsed="false">
      <c r="A271" s="3" t="s">
        <v>561</v>
      </c>
      <c r="B271" s="11" t="s">
        <v>63</v>
      </c>
      <c r="C271" s="32" t="n">
        <f aca="false">輸入與假設!$C$19/輸入與假設!$C$21/輸入與假設!$C$22/4*((MIN(MAX(0,C270-輸入與假設!$C$20),輸入與假設!$C$21)*(MIN(MAX(0,C270-輸入與假設!$C$20),輸入與假設!$C$21)+1)/2+輸入與假設!$C$21*MAX(0,MAX(0,C270-輸入與假設!$C$20)-輸入與假設!$C$21))-(MIN(MAX(0,0-輸入與假設!$C$20),輸入與假設!$C$21)*(MIN(MAX(0,0-輸入與假設!$C$20),輸入與假設!$C$21)+1)/2+輸入與假設!$C$21*MAX(0,MAX(0,0-輸入與假設!$C$20)-輸入與假設!$C$21)))</f>
        <v>0.193636363636364</v>
      </c>
      <c r="D271" s="32" t="n">
        <f aca="false">輸入與假設!$C$19/輸入與假設!$C$21/輸入與假設!$C$22/4*((MIN(MAX(0,D270-輸入與假設!$C$20),輸入與假設!$C$21)*(MIN(MAX(0,D270-輸入與假設!$C$20),輸入與假設!$C$21)+1)/2+輸入與假設!$C$21*MAX(0,MAX(0,D270-輸入與假設!$C$20)-輸入與假設!$C$21))-(MIN(MAX(0,C270-輸入與假設!$C$20),輸入與假設!$C$21)*(MIN(MAX(0,C270-輸入與假設!$C$20),輸入與假設!$C$21)+1)/2+輸入與假設!$C$21*MAX(0,MAX(0,C270-輸入與假設!$C$20)-輸入與假設!$C$21)))</f>
        <v>1.16181818181818</v>
      </c>
      <c r="E271" s="32" t="n">
        <f aca="false">輸入與假設!$C$19/輸入與假設!$C$21/輸入與假設!$C$22/4*((MIN(MAX(0,E270-輸入與假設!$C$20),輸入與假設!$C$21)*(MIN(MAX(0,E270-輸入與假設!$C$20),輸入與假設!$C$21)+1)/2+輸入與假設!$C$21*MAX(0,MAX(0,E270-輸入與假設!$C$20)-輸入與假設!$C$21))-(MIN(MAX(0,D270-輸入與假設!$C$20),輸入與假設!$C$21)*(MIN(MAX(0,D270-輸入與假設!$C$20),輸入與假設!$C$21)+1)/2+輸入與假設!$C$21*MAX(0,MAX(0,D270-輸入與假設!$C$20)-輸入與假設!$C$21)))</f>
        <v>2.19454545454545</v>
      </c>
      <c r="F271" s="32" t="n">
        <f aca="false">輸入與假設!$C$19/輸入與假設!$C$21/輸入與假設!$C$22/4*((MIN(MAX(0,F270-輸入與假設!$C$20),輸入與假設!$C$21)*(MIN(MAX(0,F270-輸入與假設!$C$20),輸入與假設!$C$21)+1)/2+輸入與假設!$C$21*MAX(0,MAX(0,F270-輸入與假設!$C$20)-輸入與假設!$C$21))-(MIN(MAX(0,E270-輸入與假設!$C$20),輸入與假設!$C$21)*(MIN(MAX(0,E270-輸入與假設!$C$20),輸入與假設!$C$21)+1)/2+輸入與假設!$C$21*MAX(0,MAX(0,E270-輸入與假設!$C$20)-輸入與假設!$C$21)))</f>
        <v>3.22727272727273</v>
      </c>
      <c r="G271" s="32" t="n">
        <f aca="false">輸入與假設!$C$19/輸入與假設!$C$21/輸入與假設!$C$22/4*((MIN(MAX(0,G270-輸入與假設!$C$20),輸入與假設!$C$21)*(MIN(MAX(0,G270-輸入與假設!$C$20),輸入與假設!$C$21)+1)/2+輸入與假設!$C$21*MAX(0,MAX(0,G270-輸入與假設!$C$20)-輸入與假設!$C$21))-(MIN(MAX(0,F270-輸入與假設!$C$20),輸入與假設!$C$21)*(MIN(MAX(0,F270-輸入與假設!$C$20),輸入與假設!$C$21)+1)/2+輸入與假設!$C$21*MAX(0,MAX(0,F270-輸入與假設!$C$20)-輸入與假設!$C$21)))</f>
        <v>4.26</v>
      </c>
      <c r="I271" s="6" t="s">
        <v>562</v>
      </c>
    </row>
    <row r="272" customFormat="false" ht="15" hidden="false" customHeight="false" outlineLevel="1" collapsed="false">
      <c r="A272" s="3" t="s">
        <v>563</v>
      </c>
      <c r="B272" s="11" t="s">
        <v>63</v>
      </c>
      <c r="C272" s="24" t="n">
        <v>0.206</v>
      </c>
      <c r="D272" s="24" t="n">
        <v>0.387</v>
      </c>
      <c r="E272" s="24" t="n">
        <v>0.377</v>
      </c>
      <c r="F272" s="24" t="n">
        <v>0.356</v>
      </c>
      <c r="G272" s="24" t="n">
        <v>0.285</v>
      </c>
      <c r="H272" s="24" t="n">
        <v>1.309</v>
      </c>
      <c r="I272" s="6" t="s">
        <v>564</v>
      </c>
    </row>
    <row r="273" customFormat="false" ht="15" hidden="false" customHeight="false" outlineLevel="1" collapsed="false">
      <c r="A273" s="3" t="s">
        <v>565</v>
      </c>
      <c r="B273" s="11" t="s">
        <v>42</v>
      </c>
      <c r="C273" s="23" t="n">
        <v>0.125564</v>
      </c>
      <c r="I273" s="6" t="s">
        <v>566</v>
      </c>
    </row>
    <row r="274" customFormat="false" ht="15" hidden="false" customHeight="false" outlineLevel="1" collapsed="false">
      <c r="A274" s="4" t="s">
        <v>567</v>
      </c>
      <c r="B274" s="11" t="s">
        <v>63</v>
      </c>
      <c r="C274" s="24" t="n">
        <v>2.222222</v>
      </c>
      <c r="D274" s="24" t="n">
        <v>4.444444</v>
      </c>
      <c r="E274" s="24" t="n">
        <v>4.444444</v>
      </c>
      <c r="F274" s="24" t="n">
        <v>4.444444</v>
      </c>
      <c r="G274" s="24" t="n">
        <v>4.444444</v>
      </c>
      <c r="I274" s="6" t="s">
        <v>568</v>
      </c>
    </row>
    <row r="275" customFormat="false" ht="15" hidden="false" customHeight="false" outlineLevel="1" collapsed="false">
      <c r="A275" s="4" t="s">
        <v>569</v>
      </c>
      <c r="B275" s="11" t="s">
        <v>63</v>
      </c>
      <c r="C275" s="24" t="n">
        <v>0</v>
      </c>
      <c r="D275" s="24" t="n">
        <v>0</v>
      </c>
      <c r="E275" s="24" t="n">
        <v>0</v>
      </c>
      <c r="F275" s="24" t="n">
        <v>0</v>
      </c>
      <c r="G275" s="24" t="n">
        <v>0</v>
      </c>
      <c r="I275" s="6" t="s">
        <v>570</v>
      </c>
    </row>
    <row r="276" customFormat="false" ht="15" hidden="false" customHeight="false" outlineLevel="1" collapsed="false">
      <c r="A276" s="4" t="s">
        <v>571</v>
      </c>
      <c r="B276" s="11" t="s">
        <v>63</v>
      </c>
      <c r="C276" s="32" t="n">
        <f aca="false">C274+C275</f>
        <v>2.222222</v>
      </c>
      <c r="D276" s="32" t="n">
        <f aca="false">D274+D275</f>
        <v>4.444444</v>
      </c>
      <c r="E276" s="32" t="n">
        <f aca="false">E274+E275</f>
        <v>4.444444</v>
      </c>
      <c r="F276" s="32" t="n">
        <f aca="false">F274+F275</f>
        <v>4.444444</v>
      </c>
      <c r="G276" s="32" t="n">
        <f aca="false">G274+G275</f>
        <v>4.444444</v>
      </c>
      <c r="I276" s="6" t="s">
        <v>572</v>
      </c>
    </row>
    <row r="277" customFormat="false" ht="15" hidden="false" customHeight="false" outlineLevel="1" collapsed="true">
      <c r="A277" s="34" t="s">
        <v>573</v>
      </c>
      <c r="B277" s="20"/>
      <c r="C277" s="20"/>
      <c r="D277" s="20"/>
      <c r="E277" s="20"/>
      <c r="F277" s="20"/>
      <c r="G277" s="20"/>
      <c r="H277" s="20"/>
    </row>
    <row r="278" customFormat="false" ht="15" hidden="true" customHeight="false" outlineLevel="2" collapsed="false">
      <c r="A278" s="3" t="s">
        <v>574</v>
      </c>
      <c r="B278" s="11" t="s">
        <v>155</v>
      </c>
      <c r="C278" s="22" t="n">
        <f aca="false">輸入與假設!$C$28</f>
        <v>1462</v>
      </c>
      <c r="D278" s="22" t="n">
        <f aca="false">C36</f>
        <v>2435.7</v>
      </c>
      <c r="E278" s="22" t="n">
        <f aca="false">D36</f>
        <v>3505.1</v>
      </c>
      <c r="F278" s="22" t="n">
        <f aca="false">E36</f>
        <v>4574.5</v>
      </c>
      <c r="G278" s="22" t="n">
        <f aca="false">F36</f>
        <v>5643.9</v>
      </c>
      <c r="I278" s="11" t="s">
        <v>575</v>
      </c>
    </row>
    <row r="279" customFormat="false" ht="15" hidden="true" customHeight="false" outlineLevel="2" collapsed="false">
      <c r="A279" s="3" t="s">
        <v>576</v>
      </c>
      <c r="B279" s="11" t="s">
        <v>155</v>
      </c>
      <c r="C279" s="22" t="n">
        <f aca="false">C36-C278</f>
        <v>973.7</v>
      </c>
      <c r="D279" s="22" t="n">
        <f aca="false">D36-D278</f>
        <v>1069.4</v>
      </c>
      <c r="E279" s="22" t="n">
        <f aca="false">E36-E278</f>
        <v>1069.4</v>
      </c>
      <c r="F279" s="22" t="n">
        <f aca="false">F36-F278</f>
        <v>1069.4</v>
      </c>
      <c r="G279" s="22" t="n">
        <f aca="false">G36-G278</f>
        <v>1069.4</v>
      </c>
    </row>
    <row r="280" customFormat="false" ht="15" hidden="true" customHeight="false" outlineLevel="2" collapsed="false">
      <c r="A280" s="3" t="s">
        <v>577</v>
      </c>
      <c r="B280" s="11" t="s">
        <v>155</v>
      </c>
      <c r="C280" s="22" t="n">
        <f aca="false">D36-C36</f>
        <v>1069.4</v>
      </c>
      <c r="D280" s="22" t="n">
        <f aca="false">E36-D36</f>
        <v>1069.4</v>
      </c>
      <c r="E280" s="22" t="n">
        <f aca="false">F36-E36</f>
        <v>1069.4</v>
      </c>
      <c r="F280" s="22" t="n">
        <f aca="false">G36-F36</f>
        <v>1069.4</v>
      </c>
      <c r="G280" s="22" t="n">
        <f aca="false">輸入與假設!$C$249</f>
        <v>1069.4</v>
      </c>
    </row>
    <row r="281" customFormat="false" ht="15" hidden="true" customHeight="false" outlineLevel="2" collapsed="false">
      <c r="A281" s="3" t="s">
        <v>578</v>
      </c>
      <c r="B281" s="11" t="s">
        <v>155</v>
      </c>
      <c r="C281" s="21" t="n">
        <v>0</v>
      </c>
      <c r="I281" s="11" t="s">
        <v>579</v>
      </c>
    </row>
    <row r="282" customFormat="false" ht="15" hidden="true" customHeight="false" outlineLevel="2" collapsed="false">
      <c r="A282" s="3" t="s">
        <v>580</v>
      </c>
      <c r="B282" s="11" t="s">
        <v>155</v>
      </c>
      <c r="C282" s="21" t="n">
        <v>0</v>
      </c>
      <c r="D282" s="21" t="n">
        <v>0</v>
      </c>
      <c r="E282" s="21" t="n">
        <v>0</v>
      </c>
      <c r="F282" s="21" t="n">
        <v>0</v>
      </c>
      <c r="G282" s="21" t="n">
        <v>0</v>
      </c>
      <c r="I282" s="11" t="s">
        <v>581</v>
      </c>
    </row>
    <row r="283" customFormat="false" ht="15" hidden="true" customHeight="false" outlineLevel="2" collapsed="false">
      <c r="A283" s="3" t="s">
        <v>582</v>
      </c>
      <c r="B283" s="11" t="s">
        <v>155</v>
      </c>
      <c r="C283" s="22" t="n">
        <f aca="false">C282-輸入與假設!$C$281</f>
        <v>0</v>
      </c>
      <c r="D283" s="22" t="n">
        <f aca="false">D282-C282</f>
        <v>0</v>
      </c>
      <c r="E283" s="22" t="n">
        <f aca="false">E282-D282</f>
        <v>0</v>
      </c>
      <c r="F283" s="22" t="n">
        <f aca="false">F282-E282</f>
        <v>0</v>
      </c>
      <c r="G283" s="22" t="n">
        <f aca="false">G282-F282</f>
        <v>0</v>
      </c>
      <c r="I283" s="6" t="s">
        <v>583</v>
      </c>
    </row>
    <row r="284" customFormat="false" ht="15" hidden="true" customHeight="false" outlineLevel="2" collapsed="false">
      <c r="A284" s="3" t="s">
        <v>584</v>
      </c>
      <c r="B284" s="11" t="s">
        <v>155</v>
      </c>
      <c r="C284" s="22" t="n">
        <f aca="false">D283</f>
        <v>0</v>
      </c>
      <c r="D284" s="22" t="n">
        <f aca="false">E283</f>
        <v>0</v>
      </c>
      <c r="E284" s="22" t="n">
        <f aca="false">F283</f>
        <v>0</v>
      </c>
      <c r="F284" s="22" t="n">
        <f aca="false">G283</f>
        <v>0</v>
      </c>
      <c r="G284" s="22" t="n">
        <f aca="false">0</f>
        <v>0</v>
      </c>
    </row>
    <row r="285" customFormat="false" ht="15" hidden="true" customHeight="false" outlineLevel="2" collapsed="false">
      <c r="A285" s="3" t="s">
        <v>585</v>
      </c>
      <c r="B285" s="11" t="s">
        <v>63</v>
      </c>
      <c r="C285" s="32" t="n">
        <f aca="false">MAX(0,(C279*(1-輸入與假設!$C$248)+C280*輸入與假設!$C$248)/輸入與假設!$C$252-(C283*(1-輸入與假設!$C$248)+C284*輸入與假設!$C$248))*C260*輸入與假設!$C$258/1000</f>
        <v>161.8730365126</v>
      </c>
      <c r="D285" s="32" t="n">
        <f aca="false">MAX(0,(D279*(1-輸入與假設!$C$248)+D280*輸入與假設!$C$248)/輸入與假設!$C$252-(D283*(1-輸入與假設!$C$248)+D284*輸入與假設!$C$248))*D260*輸入與假設!$C$258/1000</f>
        <v>172.121455677333</v>
      </c>
      <c r="E285" s="32" t="n">
        <f aca="false">MAX(0,(E279*(1-輸入與假設!$C$248)+E280*輸入與假設!$C$248)/輸入與假設!$C$252-(E283*(1-輸入與假設!$C$248)+E284*輸入與假設!$C$248))*E260*輸入與假設!$C$258/1000</f>
        <v>172.372493762667</v>
      </c>
      <c r="F285" s="32" t="n">
        <f aca="false">MAX(0,(F279*(1-輸入與假設!$C$248)+F280*輸入與假設!$C$248)/輸入與假設!$C$252-(F283*(1-輸入與假設!$C$248)+F284*輸入與假設!$C$248))*F260*輸入與假設!$C$258/1000</f>
        <v>172.372493762667</v>
      </c>
      <c r="G285" s="32" t="n">
        <f aca="false">MAX(0,(G279*(1-輸入與假設!$C$248)+G280*輸入與假設!$C$248)/輸入與假設!$C$252-(G283*(1-輸入與假設!$C$248)+G284*輸入與假設!$C$248))*G260*輸入與假設!$C$258/1000</f>
        <v>172.372493762667</v>
      </c>
      <c r="I285" s="6" t="s">
        <v>586</v>
      </c>
    </row>
    <row r="286" customFormat="false" ht="15" hidden="true" customHeight="false" outlineLevel="2" collapsed="false">
      <c r="A286" s="3" t="s">
        <v>587</v>
      </c>
      <c r="B286" s="11" t="s">
        <v>63</v>
      </c>
      <c r="C286" s="32" t="n">
        <f aca="false">C128*輸入與假設!$C$126+C142*輸入與假設!$C$140+C156*輸入與假設!$C$154+C170*輸入與假設!$C$168+C194*輸入與假設!$C$192+C205*輸入與假設!$C$204+C215*輸入與假設!$C$214+C225*輸入與假設!$C$224</f>
        <v>38.126754605447</v>
      </c>
      <c r="D286" s="32" t="n">
        <f aca="false">D128*輸入與假設!$C$126+D142*輸入與假設!$C$140+D156*輸入與假設!$C$154+D170*輸入與假設!$C$168+D194*輸入與假設!$C$192+D205*輸入與假設!$C$204+D215*輸入與假設!$C$214+D225*輸入與假設!$C$224</f>
        <v>46.4050957715279</v>
      </c>
      <c r="E286" s="32" t="n">
        <f aca="false">E128*輸入與假設!$C$126+E142*輸入與假設!$C$140+E156*輸入與假設!$C$154+E170*輸入與假設!$C$168+E194*輸入與假設!$C$192+E205*輸入與假設!$C$204+E215*輸入與假設!$C$214+E225*輸入與假設!$C$224</f>
        <v>54.6860484990016</v>
      </c>
      <c r="F286" s="32" t="n">
        <f aca="false">F128*輸入與假設!$C$126+F142*輸入與假設!$C$140+F156*輸入與假設!$C$154+F170*輸入與假設!$C$168+F194*輸入與假設!$C$192+F205*輸入與假設!$C$204+F215*輸入與假設!$C$214+F225*輸入與假設!$C$224</f>
        <v>61.8749063834732</v>
      </c>
      <c r="G286" s="32" t="n">
        <f aca="false">G128*輸入與假設!$C$126+G142*輸入與假設!$C$140+G156*輸入與假設!$C$154+G170*輸入與假設!$C$168+G194*輸入與假設!$C$192+G205*輸入與假設!$C$204+G215*輸入與假設!$C$214+G225*輸入與假設!$C$224</f>
        <v>66.7925450786147</v>
      </c>
      <c r="I286" s="6" t="s">
        <v>588</v>
      </c>
    </row>
    <row r="287" customFormat="false" ht="15" hidden="true" customHeight="false" outlineLevel="2" collapsed="false">
      <c r="A287" s="3" t="s">
        <v>589</v>
      </c>
      <c r="B287" s="11" t="s">
        <v>63</v>
      </c>
      <c r="C287" s="32" t="n">
        <f aca="false">C286*0.5</f>
        <v>19.0633773027235</v>
      </c>
      <c r="D287" s="32" t="n">
        <f aca="false">D286</f>
        <v>46.4050957715279</v>
      </c>
      <c r="E287" s="32" t="n">
        <f aca="false">E286</f>
        <v>54.6860484990016</v>
      </c>
      <c r="F287" s="32" t="n">
        <f aca="false">F286</f>
        <v>61.8749063834732</v>
      </c>
      <c r="G287" s="32" t="n">
        <f aca="false">G286</f>
        <v>66.7925450786147</v>
      </c>
      <c r="I287" s="11" t="s">
        <v>590</v>
      </c>
    </row>
    <row r="288" customFormat="false" ht="15" hidden="true" customHeight="false" outlineLevel="2" collapsed="false">
      <c r="A288" s="3" t="s">
        <v>591</v>
      </c>
      <c r="B288" s="11" t="s">
        <v>63</v>
      </c>
      <c r="C288" s="32" t="n">
        <f aca="false">MAX(C285+C286,輸入與假設!$C$250)-輸入與假設!$C$458</f>
        <v>119.402</v>
      </c>
      <c r="D288" s="32" t="n">
        <f aca="false">D285+D287</f>
        <v>218.526551448861</v>
      </c>
      <c r="E288" s="32" t="n">
        <f aca="false">E285+E287</f>
        <v>227.058542261668</v>
      </c>
      <c r="F288" s="32" t="n">
        <f aca="false">F285+F287</f>
        <v>234.24740014614</v>
      </c>
      <c r="G288" s="32" t="n">
        <f aca="false">G285+G287</f>
        <v>239.165038841281</v>
      </c>
      <c r="I288" s="11" t="s">
        <v>592</v>
      </c>
    </row>
    <row r="289" customFormat="false" ht="15" hidden="true" customHeight="false" outlineLevel="2" collapsed="false">
      <c r="A289" s="4" t="s">
        <v>593</v>
      </c>
      <c r="B289" s="11" t="s">
        <v>63</v>
      </c>
      <c r="C289" s="32" t="n">
        <f aca="false">C288-C287</f>
        <v>100.338622697276</v>
      </c>
      <c r="D289" s="32" t="n">
        <f aca="false">D288-D287</f>
        <v>172.121455677333</v>
      </c>
      <c r="E289" s="32" t="n">
        <f aca="false">E288-E287</f>
        <v>172.372493762667</v>
      </c>
      <c r="F289" s="32" t="n">
        <f aca="false">F288-F287</f>
        <v>172.372493762667</v>
      </c>
      <c r="G289" s="32" t="n">
        <f aca="false">G288-G287</f>
        <v>172.372493762667</v>
      </c>
      <c r="I289" s="6" t="s">
        <v>594</v>
      </c>
    </row>
    <row r="290" customFormat="false" ht="15" hidden="true" customHeight="false" outlineLevel="2" collapsed="false">
      <c r="A290" s="3" t="s">
        <v>595</v>
      </c>
      <c r="B290" s="11" t="s">
        <v>63</v>
      </c>
      <c r="C290" s="32" t="n">
        <f aca="false">IF(2026-輸入與假設!$C$251=2023,輸入與假設!$C$255,IF(2026-輸入與假設!$C$251=2024,輸入與假設!$C$256-輸入與假設!$C$255,IF(2026-輸入與假設!$C$251=2025,輸入與假設!$C$28-輸入與假設!$C$256,0)))/輸入與假設!$C$252*C261*輸入與假設!$C$258/1000</f>
        <v>0</v>
      </c>
      <c r="D290" s="32" t="n">
        <f aca="false">IF(2027-輸入與假設!$C$251=2023,輸入與假設!$C$255,IF(2027-輸入與假設!$C$251=2024,輸入與假設!$C$256-輸入與假設!$C$255,IF(2027-輸入與假設!$C$251=2025,輸入與假設!$C$28-輸入與假設!$C$256,0)))/輸入與假設!$C$252*D261*輸入與假設!$C$258/1000</f>
        <v>0</v>
      </c>
      <c r="E290" s="32" t="n">
        <f aca="false">IF(2028-輸入與假設!$C$251=2023,輸入與假設!$C$255,IF(2028-輸入與假設!$C$251=2024,輸入與假設!$C$256-輸入與假設!$C$255,IF(2028-輸入與假設!$C$251=2025,輸入與假設!$C$28-輸入與假設!$C$256,0)))/輸入與假設!$C$252*E261*輸入與假設!$C$258/1000</f>
        <v>0</v>
      </c>
      <c r="F290" s="32" t="n">
        <f aca="false">IF(2029-輸入與假設!$C$251=2023,輸入與假設!$C$255,IF(2029-輸入與假設!$C$251=2024,輸入與假設!$C$256-輸入與假設!$C$255,IF(2029-輸入與假設!$C$251=2025,輸入與假設!$C$28-輸入與假設!$C$256,0)))/輸入與假設!$C$252*F261*輸入與假設!$C$258/1000</f>
        <v>23.92997744</v>
      </c>
      <c r="G290" s="32" t="n">
        <f aca="false">IF(2030-輸入與假設!$C$251=2023,輸入與假設!$C$255,IF(2030-輸入與假設!$C$251=2024,輸入與假設!$C$256-輸入與假設!$C$255,IF(2030-輸入與假設!$C$251=2025,輸入與假設!$C$28-輸入與假設!$C$256,0)))/輸入與假設!$C$252*G261*輸入與假設!$C$258/1000</f>
        <v>56.63010368</v>
      </c>
      <c r="I290" s="6" t="s">
        <v>596</v>
      </c>
    </row>
    <row r="291" customFormat="false" ht="15" hidden="true" customHeight="false" outlineLevel="2" collapsed="false">
      <c r="A291" s="3" t="s">
        <v>597</v>
      </c>
      <c r="B291" s="11" t="s">
        <v>63</v>
      </c>
      <c r="C291" s="32" t="n">
        <f aca="false">(C278+C36)/2/輸入與假設!$C$252*C261*輸入與假設!$C$258/1000/輸入與假設!$C$251*C34</f>
        <v>20.2710195751111</v>
      </c>
      <c r="D291" s="32" t="n">
        <f aca="false">(D278+D36)/2/輸入與假設!$C$252*D261*輸入與假設!$C$258/1000/輸入與假設!$C$251*D34</f>
        <v>61.9096180728889</v>
      </c>
      <c r="E291" s="32" t="n">
        <f aca="false">(E278+E36)/2/輸入與假設!$C$252*E261*輸入與假設!$C$258/1000/輸入與假設!$C$251*E34</f>
        <v>66.21462344</v>
      </c>
      <c r="F291" s="32" t="n">
        <f aca="false">(F278+F36)/2/輸入與假設!$C$252*F261*輸入與假設!$C$258/1000/輸入與假設!$C$251*F34</f>
        <v>66.21462344</v>
      </c>
      <c r="G291" s="32" t="n">
        <f aca="false">(G278+G36)/2/輸入與假設!$C$252*G261*輸入與假設!$C$258/1000/輸入與假設!$C$251*G34</f>
        <v>129.017241370667</v>
      </c>
      <c r="I291" s="6" t="s">
        <v>598</v>
      </c>
    </row>
    <row r="292" customFormat="false" ht="15" hidden="true" customHeight="false" outlineLevel="2" collapsed="false">
      <c r="A292" s="3" t="s">
        <v>599</v>
      </c>
      <c r="B292" s="6"/>
      <c r="C292" s="22" t="n">
        <f aca="false">IF(C279&lt;=0,1,0)</f>
        <v>0</v>
      </c>
      <c r="D292" s="22" t="n">
        <f aca="false">IF(D279&lt;=0,1,0)</f>
        <v>0</v>
      </c>
      <c r="E292" s="22" t="n">
        <f aca="false">IF(E279&lt;=0,1,0)</f>
        <v>0</v>
      </c>
      <c r="F292" s="22" t="n">
        <f aca="false">IF(F279&lt;=0,1,0)</f>
        <v>0</v>
      </c>
      <c r="G292" s="22" t="n">
        <f aca="false">1</f>
        <v>1</v>
      </c>
      <c r="I292" s="6" t="s">
        <v>600</v>
      </c>
    </row>
    <row r="293" customFormat="false" ht="15" hidden="true" customHeight="false" outlineLevel="2" collapsed="false">
      <c r="A293" s="4" t="s">
        <v>601</v>
      </c>
      <c r="B293" s="11" t="s">
        <v>63</v>
      </c>
      <c r="C293" s="32" t="n">
        <f aca="false">IF(C292=1,C291,C290)</f>
        <v>0</v>
      </c>
      <c r="D293" s="32" t="n">
        <f aca="false">IF(D292=1,D291,D290)</f>
        <v>0</v>
      </c>
      <c r="E293" s="32" t="n">
        <f aca="false">IF(E292=1,E291,E290)</f>
        <v>0</v>
      </c>
      <c r="F293" s="32" t="n">
        <f aca="false">IF(F292=1,F291,F290)</f>
        <v>23.92997744</v>
      </c>
      <c r="G293" s="32" t="n">
        <f aca="false">IF(G292=1,G291,G290)</f>
        <v>129.017241370667</v>
      </c>
      <c r="I293" s="6" t="s">
        <v>602</v>
      </c>
    </row>
    <row r="294" customFormat="false" ht="15" hidden="true" customHeight="false" outlineLevel="2" collapsed="false">
      <c r="A294" s="3" t="s">
        <v>603</v>
      </c>
      <c r="B294" s="11" t="s">
        <v>63</v>
      </c>
      <c r="C294" s="32" t="n">
        <f aca="false">輸入與假設!$C$257</f>
        <v>321.212</v>
      </c>
      <c r="D294" s="32" t="n">
        <f aca="false">C294+運營_產能與收入!C$54</f>
        <v>440.614</v>
      </c>
      <c r="E294" s="32" t="n">
        <f aca="false">D294+運營_產能與收入!D$54</f>
        <v>659.140551448861</v>
      </c>
      <c r="F294" s="32" t="n">
        <f aca="false">E294+運營_產能與收入!E$54</f>
        <v>886.19909371053</v>
      </c>
      <c r="G294" s="32" t="n">
        <f aca="false">F294+運營_產能與收入!F$54</f>
        <v>1120.44649385667</v>
      </c>
      <c r="I294" s="6" t="s">
        <v>604</v>
      </c>
    </row>
    <row r="295" customFormat="false" ht="15" hidden="false" customHeight="false" outlineLevel="1" collapsed="false">
      <c r="A295" s="34" t="s">
        <v>605</v>
      </c>
      <c r="B295" s="20"/>
      <c r="C295" s="20"/>
      <c r="D295" s="20"/>
      <c r="E295" s="20"/>
      <c r="F295" s="20"/>
      <c r="G295" s="20"/>
      <c r="H295" s="20"/>
    </row>
    <row r="296" customFormat="false" ht="15" hidden="false" customHeight="false" outlineLevel="2" collapsed="false">
      <c r="A296" s="3" t="s">
        <v>606</v>
      </c>
      <c r="B296" s="11" t="s">
        <v>155</v>
      </c>
      <c r="C296" s="22" t="n">
        <f aca="false">MAX(0,輸入與假設!$C$29/輸入與假設!$C$252-輸入與假設!$C$281)</f>
        <v>6336.66666666667</v>
      </c>
      <c r="I296" s="6" t="s">
        <v>607</v>
      </c>
    </row>
    <row r="297" customFormat="false" ht="15" hidden="false" customHeight="false" outlineLevel="2" collapsed="false">
      <c r="A297" s="4" t="s">
        <v>608</v>
      </c>
      <c r="B297" s="11" t="s">
        <v>63</v>
      </c>
      <c r="C297" s="32" t="n">
        <f aca="false">輸入與假設!$C$296*(0.15*TK_CapexIT_H100+0.1*TK_CapexIT_H100+0.35*TK_CapexIT_GB200+0.1*TK_CapexIT_GB200+0.3*TK_CapexIT_GB300+0*TK_CapexIT_GB300+0*TK_CapexIT_VR200+0*TK_CapexIT_VR200)/1000</f>
        <v>183.243935776667</v>
      </c>
      <c r="I297" s="6" t="s">
        <v>609</v>
      </c>
    </row>
    <row r="298" customFormat="false" ht="15" hidden="false" customHeight="false" outlineLevel="2" collapsed="false">
      <c r="A298" s="4" t="s">
        <v>610</v>
      </c>
      <c r="B298" s="11" t="s">
        <v>63</v>
      </c>
      <c r="C298" s="32" t="n">
        <f aca="false">輸入與假設!$C$296*輸入與假設!$C$253*(0.15*TK_CapexFacility_H100+0.1*TK_CapexFacility_H100+0.35*TK_CapexFacility_GB200+0.1*TK_CapexFacility_GB200+0.3*TK_CapexFacility_GB300+0*TK_CapexFacility_GB300+0*TK_CapexFacility_VR200+0*TK_CapexFacility_VR200)/1000</f>
        <v>68.2427316666667</v>
      </c>
      <c r="I298" s="6" t="s">
        <v>611</v>
      </c>
    </row>
    <row r="299" customFormat="false" ht="15" hidden="false" customHeight="false" outlineLevel="2" collapsed="false">
      <c r="A299" s="3" t="s">
        <v>612</v>
      </c>
      <c r="B299" s="6" t="s">
        <v>182</v>
      </c>
      <c r="C299" s="41" t="n">
        <f aca="false">(0.15*TK_CapexFacility_H100+0.1*TK_CapexFacility_H100+0.35*TK_CapexFacility_GB200+0.1*TK_CapexFacility_GB200+0.3*TK_CapexFacility_GB300+0*TK_CapexFacility_GB300+0*TK_CapexFacility_VR200+0*TK_CapexFacility_VR200)/(0.15*TK_DeprFac_H100+0.1*TK_DeprFac_H100+0.35*TK_DeprFac_GB200+0.1*TK_DeprFac_GB200+0.3*TK_DeprFac_GB300+0*TK_DeprFac_GB300+0*TK_DeprFac_VR200+0*TK_DeprFac_VR200)</f>
        <v>19.9711020622619</v>
      </c>
      <c r="I299" s="6" t="s">
        <v>613</v>
      </c>
    </row>
    <row r="300" customFormat="false" ht="15" hidden="false" customHeight="false" outlineLevel="2" collapsed="false">
      <c r="A300" s="4" t="s">
        <v>614</v>
      </c>
      <c r="B300" s="11" t="s">
        <v>63</v>
      </c>
      <c r="C300" s="32" t="n">
        <f aca="false">輸入與假設!$C$297/輸入與假設!$C$251+輸入與假設!$C$298/輸入與假設!$C$299</f>
        <v>33.9577298655556</v>
      </c>
      <c r="I300" s="6" t="s">
        <v>615</v>
      </c>
    </row>
    <row r="301" customFormat="false" ht="15" hidden="false" customHeight="false" outlineLevel="2" collapsed="false">
      <c r="A301" s="3" t="s">
        <v>616</v>
      </c>
      <c r="B301" s="11" t="s">
        <v>63</v>
      </c>
      <c r="C301" s="32" t="n">
        <f aca="false">輸入與假設!$C$257-輸入與假設!$C$297-輸入與假設!$C$298</f>
        <v>69.7253325566666</v>
      </c>
      <c r="I301" s="6" t="s">
        <v>617</v>
      </c>
    </row>
    <row r="302" customFormat="false" ht="15" hidden="false" customHeight="false" outlineLevel="2" collapsed="false">
      <c r="A302" s="3" t="s">
        <v>618</v>
      </c>
      <c r="B302" s="11" t="s">
        <v>42</v>
      </c>
      <c r="C302" s="23" t="n">
        <v>0.75</v>
      </c>
      <c r="I302" s="6" t="s">
        <v>619</v>
      </c>
    </row>
    <row r="303" customFormat="false" ht="15" hidden="false" customHeight="false" outlineLevel="2" collapsed="false">
      <c r="A303" s="3" t="s">
        <v>620</v>
      </c>
      <c r="B303" s="6" t="s">
        <v>182</v>
      </c>
      <c r="C303" s="25" t="n">
        <v>10</v>
      </c>
      <c r="I303" s="6" t="s">
        <v>621</v>
      </c>
    </row>
    <row r="304" customFormat="false" ht="15" hidden="false" customHeight="false" outlineLevel="2" collapsed="false">
      <c r="A304" s="4" t="s">
        <v>622</v>
      </c>
      <c r="B304" s="11" t="s">
        <v>63</v>
      </c>
      <c r="C304" s="32" t="n">
        <f aca="false">輸入與假設!$C$254-輸入與假設!$C$300-輸入與假設!$C$301/輸入與假設!$C$303</f>
        <v>-12.5142631212222</v>
      </c>
      <c r="I304" s="6" t="s">
        <v>623</v>
      </c>
    </row>
    <row r="305" customFormat="false" ht="15" hidden="false" customHeight="false" outlineLevel="2" collapsed="false">
      <c r="A305" s="14" t="s">
        <v>57</v>
      </c>
      <c r="B305" s="14" t="s">
        <v>58</v>
      </c>
      <c r="C305" s="28" t="s">
        <v>59</v>
      </c>
      <c r="D305" s="28" t="s">
        <v>60</v>
      </c>
      <c r="E305" s="28" t="s">
        <v>61</v>
      </c>
      <c r="F305" s="28" t="s">
        <v>151</v>
      </c>
      <c r="G305" s="28" t="s">
        <v>152</v>
      </c>
      <c r="I305" s="14" t="s">
        <v>204</v>
      </c>
    </row>
    <row r="306" customFormat="false" ht="15" hidden="false" customHeight="false" outlineLevel="2" collapsed="false">
      <c r="A306" s="4" t="s">
        <v>624</v>
      </c>
      <c r="B306" s="11" t="s">
        <v>63</v>
      </c>
      <c r="C306" s="32" t="n">
        <f aca="false">輸入與假設!$C$297</f>
        <v>183.243935776667</v>
      </c>
      <c r="D306" s="32" t="n">
        <f aca="false">C306+(運營_產能與收入!C$54-C287)*C261/C260</f>
        <v>261.170514348875</v>
      </c>
      <c r="E306" s="32" t="n">
        <f aca="false">D306+(運營_產能與收入!D$54-D287)*D261/D260</f>
        <v>394.902292359542</v>
      </c>
      <c r="F306" s="32" t="n">
        <f aca="false">E306+(運營_產能與收入!E$54-E287)*E261/E260</f>
        <v>528.885108455542</v>
      </c>
      <c r="G306" s="32" t="n">
        <f aca="false">F306+(運營_產能與收入!F$54-F287)*F261/F260</f>
        <v>662.867924551542</v>
      </c>
      <c r="I306" s="6" t="s">
        <v>625</v>
      </c>
    </row>
    <row r="307" customFormat="false" ht="15" hidden="false" customHeight="false" outlineLevel="2" collapsed="false">
      <c r="A307" s="4" t="s">
        <v>626</v>
      </c>
      <c r="B307" s="11" t="s">
        <v>63</v>
      </c>
      <c r="C307" s="32" t="n">
        <f aca="false">輸入與假設!$C$298</f>
        <v>68.2427316666667</v>
      </c>
      <c r="D307" s="32" t="n">
        <f aca="false">C307+(運營_產能與收入!C$54-C287)*(1-C261/C260)</f>
        <v>90.6547757917344</v>
      </c>
      <c r="E307" s="32" t="n">
        <f aca="false">D307+(運營_產能與收入!D$54-D287)*(1-D261/D260)</f>
        <v>129.044453458401</v>
      </c>
      <c r="F307" s="32" t="n">
        <f aca="false">E307+(運營_產能與收入!E$54-E287)*(1-E261/E260)</f>
        <v>167.434131125068</v>
      </c>
      <c r="G307" s="32" t="n">
        <f aca="false">F307+(運營_產能與收入!F$54-F287)*(1-F261/F260)</f>
        <v>205.823808791734</v>
      </c>
      <c r="I307" s="6" t="s">
        <v>627</v>
      </c>
    </row>
    <row r="308" customFormat="false" ht="15" hidden="false" customHeight="false" outlineLevel="2" collapsed="false">
      <c r="A308" s="4" t="s">
        <v>628</v>
      </c>
      <c r="B308" s="11" t="s">
        <v>63</v>
      </c>
      <c r="C308" s="32" t="n">
        <f aca="false">((C306+0.5*(運營_產能與收入!C$54-C287)*C261/C260)/輸入與假設!$C$251+(C307+0.5*(運營_產能與收入!C$54-C287)*(1-C261/C260))/輸入與假設!$C$299)*C34</f>
        <v>20.5063616325672</v>
      </c>
      <c r="D308" s="32" t="n">
        <f aca="false">((D306+0.5*(運營_產能與收入!D$54-D287)*D261/D260)/輸入與假設!$C$251+(D307+0.5*(運營_產能與收入!D$54-D287)*(1-D261/D260))/輸入與假設!$C$299)*D34</f>
        <v>60.1731621753242</v>
      </c>
      <c r="E308" s="32" t="n">
        <f aca="false">((E306+0.5*(運營_產能與收入!E$54-E287)*E261/E260)/輸入與假設!$C$251+(E307+0.5*(運營_產能與收入!E$54-E287)*(1-E261/E260))/輸入與假設!$C$299)*E34</f>
        <v>84.4049730369909</v>
      </c>
      <c r="F308" s="32" t="n">
        <f aca="false">((F306+0.5*(運營_產能與收入!F$54-F287)*F261/F260)/輸入與假設!$C$251+(F307+0.5*(運營_產能與收入!F$54-F287)*(1-F261/F260))/輸入與假設!$C$299)*F34</f>
        <v>108.657703739102</v>
      </c>
      <c r="G308" s="32" t="n">
        <f aca="false">((G306+0.5*(運營_產能與收入!G$54-G287)*G261/G260)/輸入與假設!$C$251+(G307+0.5*(運營_產能與收入!G$54-G287)*(1-G261/G260))/輸入與假設!$C$299)*G34</f>
        <v>132.910434441213</v>
      </c>
      <c r="I308" s="6" t="s">
        <v>629</v>
      </c>
    </row>
    <row r="309" customFormat="false" ht="15" hidden="false" customHeight="false" outlineLevel="2" collapsed="false">
      <c r="A309" s="3" t="s">
        <v>630</v>
      </c>
      <c r="B309" s="11" t="s">
        <v>63</v>
      </c>
      <c r="C309" s="32" t="n">
        <f aca="false">輸入與假設!$C$301</f>
        <v>69.7253325566666</v>
      </c>
      <c r="D309" s="32" t="n">
        <f aca="false">C309+C287</f>
        <v>88.7887098593901</v>
      </c>
      <c r="E309" s="32" t="n">
        <f aca="false">D309+D287</f>
        <v>135.193805630918</v>
      </c>
      <c r="F309" s="32" t="n">
        <f aca="false">E309+E287</f>
        <v>189.87985412992</v>
      </c>
      <c r="G309" s="32" t="n">
        <f aca="false">F309+F287</f>
        <v>251.754760513393</v>
      </c>
      <c r="I309" s="6" t="s">
        <v>631</v>
      </c>
    </row>
    <row r="310" customFormat="false" ht="15" hidden="false" customHeight="false" outlineLevel="2" collapsed="false">
      <c r="A310" s="3" t="s">
        <v>632</v>
      </c>
      <c r="B310" s="11" t="s">
        <v>63</v>
      </c>
      <c r="C310" s="32" t="n">
        <f aca="false">(C309+0.5*C287)/輸入與假設!$C$303*C34</f>
        <v>3.96285106040142</v>
      </c>
      <c r="D310" s="32" t="n">
        <f aca="false">(D309+0.5*D287)/輸入與假設!$C$303*D34</f>
        <v>11.1991257745154</v>
      </c>
      <c r="E310" s="32" t="n">
        <f aca="false">(E309+0.5*E287)/輸入與假設!$C$303*E34</f>
        <v>16.2536829880419</v>
      </c>
      <c r="F310" s="32" t="n">
        <f aca="false">(F309+0.5*F287)/輸入與假設!$C$303*F34</f>
        <v>22.0817307321656</v>
      </c>
      <c r="G310" s="32" t="n">
        <f aca="false">(G309+0.5*G287)/輸入與假設!$C$303*G34</f>
        <v>28.51510330527</v>
      </c>
      <c r="I310" s="6" t="s">
        <v>633</v>
      </c>
    </row>
    <row r="311" customFormat="false" ht="15" hidden="false" customHeight="false" outlineLevel="1" collapsed="false">
      <c r="A311" s="34" t="s">
        <v>634</v>
      </c>
      <c r="B311" s="20"/>
      <c r="C311" s="20"/>
      <c r="D311" s="20"/>
      <c r="E311" s="20"/>
      <c r="F311" s="20"/>
      <c r="G311" s="20"/>
      <c r="H311" s="20"/>
    </row>
    <row r="312" customFormat="false" ht="15" hidden="false" customHeight="false" outlineLevel="2" collapsed="false">
      <c r="A312" s="3" t="s">
        <v>635</v>
      </c>
      <c r="B312" s="11" t="s">
        <v>63</v>
      </c>
      <c r="C312" s="42" t="n">
        <f aca="false">C288+C293</f>
        <v>119.402</v>
      </c>
      <c r="D312" s="42" t="n">
        <f aca="false">D288+D293</f>
        <v>218.526551448861</v>
      </c>
      <c r="E312" s="42" t="n">
        <f aca="false">E288+E293</f>
        <v>227.058542261668</v>
      </c>
      <c r="F312" s="42" t="n">
        <f aca="false">F288+F293</f>
        <v>258.17737758614</v>
      </c>
      <c r="G312" s="42" t="n">
        <f aca="false">G288+G293</f>
        <v>368.182280211948</v>
      </c>
      <c r="I312" s="6" t="s">
        <v>636</v>
      </c>
    </row>
    <row r="313" customFormat="false" ht="15" hidden="false" customHeight="false" outlineLevel="2" collapsed="false">
      <c r="A313" s="4" t="s">
        <v>637</v>
      </c>
      <c r="B313" s="11" t="s">
        <v>63</v>
      </c>
      <c r="C313" s="42" t="n">
        <f aca="false">C308+C310</f>
        <v>24.4692126929686</v>
      </c>
      <c r="D313" s="42" t="n">
        <f aca="false">D308+D310</f>
        <v>71.3722879498396</v>
      </c>
      <c r="E313" s="42" t="n">
        <f aca="false">E308+E310</f>
        <v>100.658656025033</v>
      </c>
      <c r="F313" s="42" t="n">
        <f aca="false">F308+F310</f>
        <v>130.739434471268</v>
      </c>
      <c r="G313" s="42" t="n">
        <f aca="false">G308+G310</f>
        <v>161.425537746483</v>
      </c>
      <c r="I313" s="6" t="s">
        <v>638</v>
      </c>
    </row>
    <row r="315" customFormat="false" ht="15" hidden="false" customHeight="false" outlineLevel="0" collapsed="false">
      <c r="A315" s="7" t="s">
        <v>639</v>
      </c>
      <c r="B315" s="8"/>
      <c r="C315" s="8"/>
      <c r="D315" s="8"/>
      <c r="E315" s="8"/>
      <c r="F315" s="8"/>
      <c r="G315" s="8"/>
      <c r="H315" s="8"/>
    </row>
    <row r="316" customFormat="false" ht="15" hidden="false" customHeight="false" outlineLevel="1" collapsed="false">
      <c r="A316" s="3" t="s">
        <v>640</v>
      </c>
      <c r="B316" s="11" t="s">
        <v>63</v>
      </c>
      <c r="C316" s="24" t="n">
        <v>155.411</v>
      </c>
      <c r="I316" s="6" t="s">
        <v>641</v>
      </c>
    </row>
    <row r="317" customFormat="false" ht="15" hidden="false" customHeight="false" outlineLevel="1" collapsed="false">
      <c r="A317" s="3" t="s">
        <v>642</v>
      </c>
      <c r="B317" s="11" t="s">
        <v>63</v>
      </c>
      <c r="C317" s="24" t="n">
        <v>0</v>
      </c>
      <c r="I317" s="6" t="s">
        <v>643</v>
      </c>
    </row>
    <row r="318" customFormat="false" ht="15" hidden="false" customHeight="false" outlineLevel="1" collapsed="false">
      <c r="A318" s="3" t="s">
        <v>644</v>
      </c>
      <c r="B318" s="6"/>
      <c r="C318" s="21" t="n">
        <v>1</v>
      </c>
      <c r="I318" s="6" t="s">
        <v>645</v>
      </c>
    </row>
    <row r="319" customFormat="false" ht="15" hidden="false" customHeight="false" outlineLevel="1" collapsed="false">
      <c r="A319" s="3" t="s">
        <v>646</v>
      </c>
      <c r="B319" s="11" t="s">
        <v>63</v>
      </c>
      <c r="C319" s="24" t="n">
        <v>10.4</v>
      </c>
      <c r="I319" s="6" t="s">
        <v>647</v>
      </c>
    </row>
    <row r="320" customFormat="false" ht="15" hidden="false" customHeight="false" outlineLevel="1" collapsed="false">
      <c r="A320" s="3" t="s">
        <v>648</v>
      </c>
      <c r="B320" s="6"/>
      <c r="C320" s="21" t="n">
        <v>0</v>
      </c>
      <c r="I320" s="6" t="s">
        <v>649</v>
      </c>
    </row>
    <row r="321" customFormat="false" ht="15" hidden="false" customHeight="false" outlineLevel="1" collapsed="false">
      <c r="A321" s="3" t="s">
        <v>650</v>
      </c>
      <c r="B321" s="6"/>
      <c r="C321" s="21" t="n">
        <v>1</v>
      </c>
      <c r="I321" s="6" t="s">
        <v>651</v>
      </c>
    </row>
    <row r="322" customFormat="false" ht="15" hidden="false" customHeight="false" outlineLevel="1" collapsed="false">
      <c r="A322" s="3" t="s">
        <v>652</v>
      </c>
      <c r="B322" s="11" t="s">
        <v>109</v>
      </c>
      <c r="C322" s="43" t="n">
        <v>0.5</v>
      </c>
      <c r="I322" s="6" t="s">
        <v>653</v>
      </c>
    </row>
    <row r="323" customFormat="false" ht="15" hidden="false" customHeight="false" outlineLevel="1" collapsed="false">
      <c r="A323" s="3" t="s">
        <v>654</v>
      </c>
      <c r="B323" s="6"/>
      <c r="C323" s="27" t="s">
        <v>655</v>
      </c>
      <c r="I323" s="11" t="s">
        <v>656</v>
      </c>
    </row>
    <row r="324" customFormat="false" ht="15" hidden="false" customHeight="false" outlineLevel="1" collapsed="false">
      <c r="A324" s="3" t="s">
        <v>657</v>
      </c>
      <c r="B324" s="11" t="s">
        <v>109</v>
      </c>
      <c r="C324" s="43" t="n">
        <v>3</v>
      </c>
      <c r="I324" s="11" t="s">
        <v>658</v>
      </c>
    </row>
    <row r="325" customFormat="false" ht="15" hidden="false" customHeight="false" outlineLevel="1" collapsed="false">
      <c r="A325" s="3" t="s">
        <v>659</v>
      </c>
      <c r="B325" s="6" t="s">
        <v>182</v>
      </c>
      <c r="C325" s="21" t="n">
        <v>3</v>
      </c>
      <c r="I325" s="11" t="s">
        <v>660</v>
      </c>
    </row>
    <row r="326" customFormat="false" ht="15" hidden="false" customHeight="false" outlineLevel="1" collapsed="false">
      <c r="A326" s="3" t="s">
        <v>661</v>
      </c>
      <c r="B326" s="11" t="s">
        <v>39</v>
      </c>
      <c r="C326" s="44" t="n">
        <v>0.22</v>
      </c>
      <c r="I326" s="6" t="s">
        <v>662</v>
      </c>
    </row>
    <row r="327" customFormat="false" ht="15" hidden="false" customHeight="false" outlineLevel="1" collapsed="false">
      <c r="A327" s="3" t="s">
        <v>663</v>
      </c>
      <c r="B327" s="11" t="s">
        <v>42</v>
      </c>
      <c r="C327" s="23" t="n">
        <v>0.05</v>
      </c>
      <c r="I327" s="6" t="s">
        <v>664</v>
      </c>
    </row>
    <row r="328" customFormat="false" ht="15" hidden="false" customHeight="false" outlineLevel="1" collapsed="false">
      <c r="A328" s="3" t="s">
        <v>665</v>
      </c>
      <c r="B328" s="11" t="s">
        <v>666</v>
      </c>
      <c r="C328" s="45" t="n">
        <v>12.23</v>
      </c>
      <c r="I328" s="6" t="s">
        <v>667</v>
      </c>
    </row>
    <row r="329" customFormat="false" ht="15" hidden="false" customHeight="false" outlineLevel="1" collapsed="false">
      <c r="A329" s="3" t="s">
        <v>668</v>
      </c>
      <c r="B329" s="11" t="s">
        <v>63</v>
      </c>
      <c r="C329" s="24" t="n">
        <v>50</v>
      </c>
      <c r="I329" s="6" t="s">
        <v>669</v>
      </c>
    </row>
    <row r="330" customFormat="false" ht="15" hidden="false" customHeight="false" outlineLevel="1" collapsed="false">
      <c r="A330" s="3" t="s">
        <v>670</v>
      </c>
      <c r="B330" s="11" t="s">
        <v>63</v>
      </c>
      <c r="C330" s="24" t="n">
        <v>17.003</v>
      </c>
      <c r="I330" s="6" t="s">
        <v>671</v>
      </c>
    </row>
    <row r="331" customFormat="false" ht="15" hidden="false" customHeight="false" outlineLevel="1" collapsed="false">
      <c r="A331" s="3" t="s">
        <v>672</v>
      </c>
      <c r="B331" s="11" t="s">
        <v>42</v>
      </c>
      <c r="C331" s="23" t="n">
        <v>0</v>
      </c>
      <c r="I331" s="11" t="s">
        <v>673</v>
      </c>
    </row>
    <row r="332" customFormat="false" ht="15" hidden="false" customHeight="false" outlineLevel="1" collapsed="false">
      <c r="A332" s="3" t="s">
        <v>674</v>
      </c>
      <c r="B332" s="11" t="s">
        <v>39</v>
      </c>
      <c r="C332" s="44" t="n">
        <v>350.5</v>
      </c>
      <c r="I332" s="6" t="s">
        <v>675</v>
      </c>
    </row>
    <row r="333" customFormat="false" ht="15" hidden="false" customHeight="false" outlineLevel="1" collapsed="false">
      <c r="A333" s="3" t="s">
        <v>676</v>
      </c>
      <c r="B333" s="11" t="s">
        <v>42</v>
      </c>
      <c r="C333" s="23" t="n">
        <v>0.1</v>
      </c>
      <c r="I333" s="6" t="s">
        <v>677</v>
      </c>
    </row>
    <row r="334" customFormat="false" ht="15" hidden="false" customHeight="false" outlineLevel="1" collapsed="false">
      <c r="A334" s="3" t="s">
        <v>678</v>
      </c>
      <c r="B334" s="11" t="s">
        <v>42</v>
      </c>
      <c r="C334" s="23" t="n">
        <v>0.05</v>
      </c>
      <c r="I334" s="6" t="s">
        <v>679</v>
      </c>
    </row>
    <row r="335" customFormat="false" ht="15" hidden="false" customHeight="false" outlineLevel="1" collapsed="false">
      <c r="A335" s="3" t="s">
        <v>680</v>
      </c>
      <c r="B335" s="11" t="s">
        <v>666</v>
      </c>
      <c r="C335" s="45" t="n">
        <v>12.23</v>
      </c>
      <c r="I335" s="6" t="s">
        <v>681</v>
      </c>
    </row>
    <row r="336" customFormat="false" ht="15" hidden="false" customHeight="false" outlineLevel="1" collapsed="false">
      <c r="A336" s="3" t="s">
        <v>682</v>
      </c>
      <c r="B336" s="11" t="s">
        <v>229</v>
      </c>
      <c r="C336" s="24" t="n">
        <v>0</v>
      </c>
      <c r="I336" s="6" t="s">
        <v>683</v>
      </c>
    </row>
    <row r="337" customFormat="false" ht="15" hidden="false" customHeight="false" outlineLevel="1" collapsed="false">
      <c r="A337" s="3" t="s">
        <v>684</v>
      </c>
      <c r="B337" s="11" t="s">
        <v>229</v>
      </c>
      <c r="C337" s="24" t="n">
        <v>0</v>
      </c>
      <c r="I337" s="6" t="s">
        <v>683</v>
      </c>
    </row>
    <row r="338" customFormat="false" ht="15" hidden="false" customHeight="false" outlineLevel="1" collapsed="false">
      <c r="A338" s="3" t="s">
        <v>685</v>
      </c>
      <c r="B338" s="11" t="s">
        <v>229</v>
      </c>
      <c r="C338" s="24" t="n">
        <v>0</v>
      </c>
      <c r="I338" s="6" t="s">
        <v>683</v>
      </c>
    </row>
    <row r="339" customFormat="false" ht="15" hidden="false" customHeight="false" outlineLevel="1" collapsed="false">
      <c r="A339" s="3" t="s">
        <v>686</v>
      </c>
      <c r="B339" s="11" t="s">
        <v>229</v>
      </c>
      <c r="C339" s="32" t="n">
        <f aca="false">CHOOSE(輸入與假設!$C$5,輸入與假設!$C$336,輸入與假設!$C$337,輸入與假設!$C$338)</f>
        <v>0</v>
      </c>
      <c r="I339" s="6" t="s">
        <v>687</v>
      </c>
    </row>
    <row r="340" customFormat="false" ht="15" hidden="false" customHeight="false" outlineLevel="1" collapsed="false">
      <c r="A340" s="3" t="s">
        <v>688</v>
      </c>
      <c r="B340" s="11" t="s">
        <v>42</v>
      </c>
      <c r="C340" s="23" t="n">
        <v>0</v>
      </c>
      <c r="I340" s="11" t="s">
        <v>689</v>
      </c>
    </row>
    <row r="341" customFormat="false" ht="15" hidden="false" customHeight="false" outlineLevel="1" collapsed="false">
      <c r="A341" s="3" t="s">
        <v>690</v>
      </c>
      <c r="B341" s="11" t="s">
        <v>42</v>
      </c>
      <c r="C341" s="23" t="n">
        <v>0</v>
      </c>
      <c r="I341" s="11" t="s">
        <v>691</v>
      </c>
    </row>
    <row r="342" customFormat="false" ht="15" hidden="false" customHeight="false" outlineLevel="1" collapsed="false">
      <c r="A342" s="3" t="s">
        <v>692</v>
      </c>
      <c r="B342" s="11" t="s">
        <v>42</v>
      </c>
      <c r="C342" s="23" t="n">
        <v>0.12</v>
      </c>
      <c r="I342" s="6" t="s">
        <v>693</v>
      </c>
    </row>
    <row r="343" customFormat="false" ht="15" hidden="false" customHeight="false" outlineLevel="1" collapsed="false">
      <c r="A343" s="3" t="s">
        <v>694</v>
      </c>
      <c r="B343" s="11" t="s">
        <v>42</v>
      </c>
      <c r="C343" s="23" t="n">
        <v>0.168</v>
      </c>
      <c r="I343" s="6" t="s">
        <v>695</v>
      </c>
    </row>
    <row r="344" customFormat="false" ht="15" hidden="false" customHeight="false" outlineLevel="1" collapsed="false">
      <c r="A344" s="4" t="s">
        <v>696</v>
      </c>
      <c r="B344" s="11" t="s">
        <v>697</v>
      </c>
      <c r="C344" s="21"/>
      <c r="I344" s="6" t="s">
        <v>698</v>
      </c>
    </row>
    <row r="345" customFormat="false" ht="15" hidden="false" customHeight="false" outlineLevel="1" collapsed="false">
      <c r="A345" s="4" t="s">
        <v>699</v>
      </c>
      <c r="B345" s="6"/>
      <c r="C345" s="21" t="n">
        <v>0</v>
      </c>
      <c r="I345" s="6" t="s">
        <v>700</v>
      </c>
    </row>
    <row r="346" customFormat="false" ht="15" hidden="false" customHeight="false" outlineLevel="1" collapsed="false">
      <c r="A346" s="4" t="s">
        <v>701</v>
      </c>
      <c r="B346" s="11" t="s">
        <v>697</v>
      </c>
      <c r="C346" s="21" t="n">
        <v>450</v>
      </c>
      <c r="I346" s="11" t="s">
        <v>702</v>
      </c>
    </row>
    <row r="347" customFormat="false" ht="15" hidden="false" customHeight="false" outlineLevel="1" collapsed="false">
      <c r="A347" s="4" t="s">
        <v>703</v>
      </c>
      <c r="B347" s="11" t="s">
        <v>42</v>
      </c>
      <c r="C347" s="23" t="n">
        <v>0.4</v>
      </c>
      <c r="I347" s="6" t="s">
        <v>704</v>
      </c>
    </row>
    <row r="348" customFormat="false" ht="15" hidden="false" customHeight="false" outlineLevel="1" collapsed="false">
      <c r="A348" s="14" t="s">
        <v>57</v>
      </c>
      <c r="B348" s="14" t="s">
        <v>58</v>
      </c>
      <c r="C348" s="28" t="s">
        <v>59</v>
      </c>
      <c r="D348" s="28" t="s">
        <v>60</v>
      </c>
      <c r="E348" s="28" t="s">
        <v>61</v>
      </c>
      <c r="F348" s="28" t="s">
        <v>151</v>
      </c>
      <c r="G348" s="28" t="s">
        <v>152</v>
      </c>
      <c r="I348" s="14" t="s">
        <v>204</v>
      </c>
    </row>
    <row r="349" customFormat="false" ht="15" hidden="false" customHeight="false" outlineLevel="1" collapsed="false">
      <c r="A349" s="3" t="s">
        <v>705</v>
      </c>
      <c r="B349" s="11" t="s">
        <v>63</v>
      </c>
      <c r="C349" s="24" t="n">
        <v>0.535</v>
      </c>
      <c r="D349" s="24" t="n">
        <v>1.203</v>
      </c>
      <c r="E349" s="24" t="n">
        <v>1.203</v>
      </c>
      <c r="F349" s="24" t="n">
        <v>0.602</v>
      </c>
      <c r="G349" s="24" t="n">
        <v>0</v>
      </c>
      <c r="I349" s="6" t="s">
        <v>706</v>
      </c>
    </row>
    <row r="350" customFormat="false" ht="15" hidden="false" customHeight="false" outlineLevel="1" collapsed="false">
      <c r="A350" s="3" t="s">
        <v>707</v>
      </c>
      <c r="B350" s="11" t="s">
        <v>63</v>
      </c>
      <c r="C350" s="24" t="n">
        <v>2</v>
      </c>
      <c r="D350" s="24" t="n">
        <v>1</v>
      </c>
      <c r="E350" s="24" t="n">
        <v>2.676</v>
      </c>
      <c r="F350" s="24" t="n">
        <v>1.764</v>
      </c>
      <c r="G350" s="24" t="n">
        <v>7.186</v>
      </c>
      <c r="I350" s="6" t="s">
        <v>708</v>
      </c>
    </row>
    <row r="351" customFormat="false" ht="15" hidden="false" customHeight="false" outlineLevel="1" collapsed="false">
      <c r="A351" s="3" t="s">
        <v>709</v>
      </c>
      <c r="B351" s="11" t="s">
        <v>42</v>
      </c>
      <c r="C351" s="23" t="n">
        <v>0.05</v>
      </c>
      <c r="D351" s="23" t="n">
        <v>0.05</v>
      </c>
      <c r="E351" s="23" t="n">
        <v>0.05</v>
      </c>
      <c r="F351" s="23" t="n">
        <v>0.05</v>
      </c>
      <c r="G351" s="23" t="n">
        <v>0.05</v>
      </c>
      <c r="I351" s="6" t="s">
        <v>710</v>
      </c>
    </row>
    <row r="352" customFormat="false" ht="15" hidden="false" customHeight="false" outlineLevel="1" collapsed="false">
      <c r="A352" s="3" t="s">
        <v>711</v>
      </c>
      <c r="B352" s="11" t="s">
        <v>63</v>
      </c>
      <c r="C352" s="39" t="n">
        <f aca="false">資產負債_既有債務!C42</f>
        <v>2.01268256759658</v>
      </c>
      <c r="D352" s="39" t="n">
        <f aca="false">資產負債_既有債務!D42</f>
        <v>3.96503593798289</v>
      </c>
      <c r="E352" s="39" t="n">
        <f aca="false">資產負債_既有債務!E42</f>
        <v>3.8911125616679</v>
      </c>
      <c r="F352" s="39" t="n">
        <f aca="false">資產負債_既有債務!F42</f>
        <v>3.80182534979671</v>
      </c>
      <c r="G352" s="39" t="n">
        <f aca="false">資產負債_既有債務!G42</f>
        <v>3.62184324478607</v>
      </c>
      <c r="I352" s="6" t="s">
        <v>712</v>
      </c>
    </row>
    <row r="354" customFormat="false" ht="15" hidden="false" customHeight="false" outlineLevel="0" collapsed="false">
      <c r="A354" s="7" t="s">
        <v>713</v>
      </c>
      <c r="B354" s="8"/>
      <c r="C354" s="8"/>
      <c r="D354" s="8"/>
      <c r="E354" s="8"/>
      <c r="F354" s="8"/>
      <c r="G354" s="8"/>
      <c r="H354" s="8"/>
    </row>
    <row r="355" customFormat="false" ht="15" hidden="false" customHeight="false" outlineLevel="1" collapsed="false">
      <c r="A355" s="3" t="s">
        <v>714</v>
      </c>
      <c r="B355" s="11" t="s">
        <v>39</v>
      </c>
      <c r="C355" s="44" t="n">
        <v>350.5</v>
      </c>
      <c r="I355" s="11" t="s">
        <v>715</v>
      </c>
    </row>
    <row r="356" customFormat="false" ht="15" hidden="false" customHeight="false" outlineLevel="1" collapsed="false">
      <c r="A356" s="3" t="s">
        <v>716</v>
      </c>
      <c r="B356" s="11" t="s">
        <v>666</v>
      </c>
      <c r="C356" s="45" t="n">
        <v>12.309</v>
      </c>
      <c r="I356" s="6" t="s">
        <v>717</v>
      </c>
    </row>
    <row r="357" customFormat="false" ht="15" hidden="false" customHeight="false" outlineLevel="1" collapsed="false">
      <c r="A357" s="3" t="s">
        <v>718</v>
      </c>
      <c r="B357" s="11" t="s">
        <v>63</v>
      </c>
      <c r="C357" s="24" t="n">
        <v>-54.326</v>
      </c>
      <c r="I357" s="6" t="s">
        <v>719</v>
      </c>
    </row>
    <row r="358" customFormat="false" ht="15" hidden="false" customHeight="false" outlineLevel="1" collapsed="false">
      <c r="A358" s="3" t="s">
        <v>720</v>
      </c>
      <c r="B358" s="11" t="s">
        <v>42</v>
      </c>
      <c r="C358" s="23" t="n">
        <v>0.2</v>
      </c>
      <c r="I358" s="6" t="s">
        <v>721</v>
      </c>
    </row>
    <row r="359" customFormat="false" ht="15" hidden="false" customHeight="false" outlineLevel="1" collapsed="false">
      <c r="A359" s="4" t="s">
        <v>722</v>
      </c>
      <c r="B359" s="11" t="s">
        <v>63</v>
      </c>
      <c r="C359" s="24" t="n">
        <v>965</v>
      </c>
      <c r="I359" s="6" t="s">
        <v>723</v>
      </c>
    </row>
    <row r="360" customFormat="false" ht="15" hidden="false" customHeight="false" outlineLevel="1" collapsed="false">
      <c r="A360" s="4" t="s">
        <v>724</v>
      </c>
      <c r="B360" s="11" t="s">
        <v>42</v>
      </c>
      <c r="C360" s="23" t="n">
        <v>0.125</v>
      </c>
      <c r="I360" s="6"/>
    </row>
    <row r="361" customFormat="false" ht="15" hidden="false" customHeight="false" outlineLevel="1" collapsed="false">
      <c r="A361" s="4" t="s">
        <v>725</v>
      </c>
      <c r="B361" s="6"/>
      <c r="C361" s="21" t="n">
        <v>0</v>
      </c>
      <c r="I361" s="11" t="s">
        <v>726</v>
      </c>
    </row>
    <row r="362" customFormat="false" ht="15" hidden="false" customHeight="false" outlineLevel="1" collapsed="false">
      <c r="A362" s="4" t="s">
        <v>727</v>
      </c>
      <c r="B362" s="11" t="s">
        <v>63</v>
      </c>
      <c r="C362" s="24" t="n">
        <v>94.1</v>
      </c>
      <c r="I362" s="11" t="s">
        <v>728</v>
      </c>
    </row>
    <row r="363" customFormat="false" ht="15" hidden="false" customHeight="false" outlineLevel="1" collapsed="false">
      <c r="A363" s="4" t="s">
        <v>729</v>
      </c>
      <c r="B363" s="11" t="s">
        <v>42</v>
      </c>
      <c r="C363" s="23" t="n">
        <v>1</v>
      </c>
      <c r="I363" s="6"/>
    </row>
    <row r="364" customFormat="false" ht="15" hidden="false" customHeight="false" outlineLevel="1" collapsed="false">
      <c r="A364" s="4" t="s">
        <v>730</v>
      </c>
      <c r="B364" s="6"/>
      <c r="C364" s="21" t="n">
        <v>1</v>
      </c>
      <c r="I364" s="11" t="s">
        <v>726</v>
      </c>
    </row>
    <row r="365" customFormat="false" ht="15" hidden="false" customHeight="false" outlineLevel="1" collapsed="false">
      <c r="A365" s="3" t="s">
        <v>731</v>
      </c>
      <c r="B365" s="11" t="s">
        <v>63</v>
      </c>
      <c r="C365" s="24" t="n">
        <v>7.089</v>
      </c>
      <c r="I365" s="6" t="s">
        <v>732</v>
      </c>
    </row>
    <row r="366" customFormat="false" ht="15" hidden="false" customHeight="false" outlineLevel="1" collapsed="false">
      <c r="A366" s="3" t="s">
        <v>733</v>
      </c>
      <c r="B366" s="11" t="s">
        <v>42</v>
      </c>
      <c r="C366" s="23" t="n">
        <v>1</v>
      </c>
      <c r="I366" s="6"/>
    </row>
    <row r="367" customFormat="false" ht="15" hidden="false" customHeight="false" outlineLevel="1" collapsed="false">
      <c r="A367" s="3" t="s">
        <v>734</v>
      </c>
      <c r="B367" s="6"/>
      <c r="C367" s="21" t="n">
        <v>1</v>
      </c>
      <c r="I367" s="11" t="s">
        <v>726</v>
      </c>
    </row>
    <row r="368" customFormat="false" ht="15" hidden="false" customHeight="false" outlineLevel="1" collapsed="false">
      <c r="A368" s="3" t="s">
        <v>735</v>
      </c>
      <c r="B368" s="11" t="s">
        <v>63</v>
      </c>
      <c r="C368" s="32" t="n">
        <f aca="false">輸入與假設!$C$359*輸入與假設!$C$360*(1-IF(輸入與假設!$C$361=1,0,輸入與假設!$C$358))+輸入與假設!$C$362*輸入與假設!$C$363*(1-IF(輸入與假設!$C$364=1,0,輸入與假設!$C$358))+輸入與假設!$C$365*輸入與假設!$C$366*(1-IF(輸入與假設!$C$367=1,0,輸入與假設!$C$358))</f>
        <v>197.689</v>
      </c>
      <c r="I368" s="6" t="s">
        <v>736</v>
      </c>
    </row>
    <row r="369" customFormat="false" ht="15" hidden="false" customHeight="false" outlineLevel="1" collapsed="false">
      <c r="A369" s="3" t="s">
        <v>737</v>
      </c>
      <c r="B369" s="11" t="s">
        <v>63</v>
      </c>
      <c r="C369" s="24" t="n">
        <v>17.356</v>
      </c>
      <c r="I369" s="11" t="s">
        <v>738</v>
      </c>
    </row>
    <row r="370" customFormat="false" ht="15" hidden="false" customHeight="false" outlineLevel="1" collapsed="false">
      <c r="A370" s="3" t="s">
        <v>739</v>
      </c>
      <c r="B370" s="11" t="s">
        <v>63</v>
      </c>
      <c r="C370" s="24" t="n">
        <v>7.1</v>
      </c>
      <c r="I370" s="11" t="s">
        <v>740</v>
      </c>
    </row>
    <row r="371" customFormat="false" ht="15" hidden="false" customHeight="false" outlineLevel="1" collapsed="false">
      <c r="A371" s="3" t="s">
        <v>741</v>
      </c>
      <c r="B371" s="11" t="s">
        <v>63</v>
      </c>
      <c r="C371" s="32" t="n">
        <f aca="false">輸入與假設!$C$369+輸入與假設!$C$370-輸入與假設!$C$368</f>
        <v>-173.233</v>
      </c>
      <c r="I371" s="6" t="s">
        <v>742</v>
      </c>
    </row>
    <row r="372" customFormat="false" ht="15" hidden="false" customHeight="false" outlineLevel="1" collapsed="false">
      <c r="A372" s="3" t="s">
        <v>743</v>
      </c>
      <c r="B372" s="11" t="s">
        <v>42</v>
      </c>
      <c r="C372" s="23" t="n">
        <v>0.168</v>
      </c>
      <c r="I372" s="11" t="s">
        <v>744</v>
      </c>
    </row>
    <row r="373" customFormat="false" ht="15" hidden="false" customHeight="false" outlineLevel="1" collapsed="false">
      <c r="A373" s="3" t="s">
        <v>745</v>
      </c>
      <c r="B373" s="11" t="s">
        <v>42</v>
      </c>
      <c r="C373" s="23" t="n">
        <v>0.0528</v>
      </c>
      <c r="I373" s="11" t="s">
        <v>746</v>
      </c>
    </row>
    <row r="374" customFormat="false" ht="15" hidden="false" customHeight="false" outlineLevel="1" collapsed="false">
      <c r="A374" s="4" t="s">
        <v>747</v>
      </c>
      <c r="B374" s="11" t="s">
        <v>109</v>
      </c>
      <c r="C374" s="37" t="n">
        <v>1.28845</v>
      </c>
      <c r="I374" s="11" t="s">
        <v>748</v>
      </c>
    </row>
    <row r="375" customFormat="false" ht="15" hidden="false" customHeight="false" outlineLevel="1" collapsed="false">
      <c r="A375" s="4" t="s">
        <v>749</v>
      </c>
      <c r="B375" s="11" t="s">
        <v>42</v>
      </c>
      <c r="C375" s="23" t="n">
        <v>0.05</v>
      </c>
      <c r="I375" s="11" t="s">
        <v>750</v>
      </c>
    </row>
    <row r="376" customFormat="false" ht="15" hidden="false" customHeight="false" outlineLevel="1" collapsed="false">
      <c r="A376" s="3" t="s">
        <v>751</v>
      </c>
      <c r="B376" s="11" t="s">
        <v>42</v>
      </c>
      <c r="C376" s="38" t="n">
        <f aca="false">輸入與假設!$C$373+輸入與假設!$C$374*輸入與假設!$C$375</f>
        <v>0.1172225</v>
      </c>
      <c r="I376" s="11" t="s">
        <v>752</v>
      </c>
    </row>
    <row r="377" customFormat="false" ht="15" hidden="false" customHeight="false" outlineLevel="1" collapsed="false">
      <c r="A377" s="3" t="s">
        <v>753</v>
      </c>
      <c r="B377" s="11" t="s">
        <v>42</v>
      </c>
      <c r="C377" s="23" t="n">
        <v>0.06527</v>
      </c>
      <c r="I377" s="11" t="s">
        <v>754</v>
      </c>
    </row>
    <row r="378" customFormat="false" ht="15" hidden="false" customHeight="false" outlineLevel="1" collapsed="false">
      <c r="A378" s="3" t="s">
        <v>755</v>
      </c>
      <c r="B378" s="11" t="s">
        <v>63</v>
      </c>
      <c r="C378" s="32" t="n">
        <f aca="false">輸入與假設!$C$355*12.23</f>
        <v>4286.615</v>
      </c>
      <c r="I378" s="6" t="s">
        <v>756</v>
      </c>
    </row>
    <row r="379" customFormat="false" ht="15" hidden="false" customHeight="false" outlineLevel="1" collapsed="false">
      <c r="A379" s="3" t="s">
        <v>757</v>
      </c>
      <c r="B379" s="11" t="s">
        <v>63</v>
      </c>
      <c r="C379" s="24" t="n">
        <v>101.085</v>
      </c>
      <c r="I379" s="6" t="s">
        <v>758</v>
      </c>
    </row>
    <row r="380" customFormat="false" ht="15" hidden="false" customHeight="false" outlineLevel="1" collapsed="false">
      <c r="A380" s="4" t="s">
        <v>759</v>
      </c>
      <c r="B380" s="11" t="s">
        <v>42</v>
      </c>
      <c r="C380" s="38" t="n">
        <f aca="false">輸入與假設!$C$378/(輸入與假設!$C$379+輸入與假設!$C$378)*輸入與假設!$C$376+輸入與假設!$C$379/(輸入與假設!$C$379+輸入與假設!$C$378)*輸入與假設!$C$377*(1-輸入與假設!$C$372)</f>
        <v>0.115772981601272</v>
      </c>
      <c r="I380" s="11" t="s">
        <v>760</v>
      </c>
    </row>
    <row r="381" customFormat="false" ht="15" hidden="false" customHeight="false" outlineLevel="1" collapsed="false">
      <c r="A381" s="4" t="s">
        <v>761</v>
      </c>
      <c r="B381" s="11" t="s">
        <v>42</v>
      </c>
      <c r="C381" s="23"/>
      <c r="I381" s="11" t="s">
        <v>762</v>
      </c>
    </row>
    <row r="382" customFormat="false" ht="15" hidden="false" customHeight="false" outlineLevel="1" collapsed="false">
      <c r="A382" s="4" t="s">
        <v>763</v>
      </c>
      <c r="B382" s="11" t="s">
        <v>42</v>
      </c>
      <c r="C382" s="38" t="n">
        <f aca="false">IF(ISBLANK(輸入與假設!$C$381),輸入與假設!$C$380,輸入與假設!$C$381)</f>
        <v>0.115772981601272</v>
      </c>
      <c r="I382" s="6" t="s">
        <v>764</v>
      </c>
    </row>
    <row r="383" customFormat="false" ht="15" hidden="false" customHeight="false" outlineLevel="1" collapsed="false">
      <c r="A383" s="3" t="s">
        <v>765</v>
      </c>
      <c r="B383" s="11" t="s">
        <v>42</v>
      </c>
      <c r="C383" s="23" t="n">
        <v>0.03</v>
      </c>
      <c r="I383" s="11" t="s">
        <v>223</v>
      </c>
    </row>
    <row r="384" customFormat="false" ht="15" hidden="false" customHeight="false" outlineLevel="1" collapsed="false">
      <c r="A384" s="3" t="s">
        <v>766</v>
      </c>
      <c r="B384" s="11" t="s">
        <v>42</v>
      </c>
      <c r="C384" s="23" t="n">
        <v>0.8</v>
      </c>
      <c r="I384" s="11" t="s">
        <v>767</v>
      </c>
    </row>
    <row r="385" customFormat="false" ht="15" hidden="false" customHeight="false" outlineLevel="1" collapsed="false">
      <c r="A385" s="3" t="s">
        <v>768</v>
      </c>
      <c r="B385" s="11" t="s">
        <v>63</v>
      </c>
      <c r="C385" s="24" t="n">
        <v>0</v>
      </c>
      <c r="I385" s="11" t="s">
        <v>769</v>
      </c>
    </row>
    <row r="386" customFormat="false" ht="15" hidden="false" customHeight="false" outlineLevel="1" collapsed="false">
      <c r="A386" s="4" t="s">
        <v>770</v>
      </c>
      <c r="B386" s="11" t="s">
        <v>42</v>
      </c>
      <c r="C386" s="23" t="n">
        <v>0.8</v>
      </c>
      <c r="I386" s="6" t="s">
        <v>771</v>
      </c>
    </row>
    <row r="387" customFormat="false" ht="15" hidden="false" customHeight="false" outlineLevel="1" collapsed="false">
      <c r="A387" s="3" t="s">
        <v>772</v>
      </c>
      <c r="B387" s="11" t="s">
        <v>42</v>
      </c>
      <c r="C387" s="23" t="n">
        <v>0</v>
      </c>
      <c r="I387" s="6" t="s">
        <v>773</v>
      </c>
    </row>
    <row r="388" customFormat="false" ht="15" hidden="false" customHeight="false" outlineLevel="1" collapsed="false">
      <c r="A388" s="4" t="s">
        <v>774</v>
      </c>
      <c r="B388" s="11" t="s">
        <v>109</v>
      </c>
      <c r="C388" s="46" t="n">
        <v>6</v>
      </c>
      <c r="I388" s="11" t="s">
        <v>775</v>
      </c>
    </row>
    <row r="389" customFormat="false" ht="15" hidden="false" customHeight="false" outlineLevel="1" collapsed="false">
      <c r="A389" s="3" t="s">
        <v>776</v>
      </c>
      <c r="B389" s="11" t="s">
        <v>109</v>
      </c>
      <c r="C389" s="46" t="n">
        <v>10.79</v>
      </c>
      <c r="I389" s="11" t="s">
        <v>777</v>
      </c>
    </row>
    <row r="390" customFormat="false" ht="15" hidden="false" customHeight="false" outlineLevel="1" collapsed="false">
      <c r="A390" s="3" t="s">
        <v>778</v>
      </c>
      <c r="B390" s="11" t="s">
        <v>109</v>
      </c>
      <c r="C390" s="46" t="n">
        <v>6.91</v>
      </c>
      <c r="I390" s="11" t="s">
        <v>779</v>
      </c>
    </row>
    <row r="391" customFormat="false" ht="15" hidden="false" customHeight="false" outlineLevel="1" collapsed="false">
      <c r="A391" s="3" t="s">
        <v>780</v>
      </c>
      <c r="B391" s="11" t="s">
        <v>109</v>
      </c>
      <c r="C391" s="46" t="n">
        <v>6.53</v>
      </c>
      <c r="I391" s="11" t="s">
        <v>781</v>
      </c>
    </row>
    <row r="392" customFormat="false" ht="15" hidden="false" customHeight="false" outlineLevel="1" collapsed="false">
      <c r="A392" s="3" t="s">
        <v>782</v>
      </c>
      <c r="B392" s="11" t="s">
        <v>109</v>
      </c>
      <c r="C392" s="46" t="n">
        <v>11.38</v>
      </c>
      <c r="I392" s="11" t="s">
        <v>783</v>
      </c>
    </row>
    <row r="393" customFormat="false" ht="15" hidden="false" customHeight="false" outlineLevel="1" collapsed="false">
      <c r="A393" s="3" t="s">
        <v>784</v>
      </c>
      <c r="B393" s="11" t="s">
        <v>109</v>
      </c>
      <c r="C393" s="46" t="n">
        <v>13.63</v>
      </c>
      <c r="I393" s="11" t="s">
        <v>785</v>
      </c>
    </row>
    <row r="394" customFormat="false" ht="15" hidden="false" customHeight="false" outlineLevel="1" collapsed="false">
      <c r="A394" s="3" t="s">
        <v>786</v>
      </c>
      <c r="B394" s="11" t="s">
        <v>109</v>
      </c>
      <c r="C394" s="46" t="n">
        <v>7.43</v>
      </c>
      <c r="I394" s="11" t="s">
        <v>787</v>
      </c>
    </row>
    <row r="395" customFormat="false" ht="15" hidden="false" customHeight="false" outlineLevel="1" collapsed="false">
      <c r="A395" s="3" t="s">
        <v>788</v>
      </c>
      <c r="B395" s="11" t="s">
        <v>109</v>
      </c>
      <c r="C395" s="46" t="n">
        <v>10.79</v>
      </c>
      <c r="I395" s="11" t="s">
        <v>777</v>
      </c>
    </row>
    <row r="396" customFormat="false" ht="15" hidden="false" customHeight="false" outlineLevel="1" collapsed="false">
      <c r="A396" s="3" t="s">
        <v>789</v>
      </c>
      <c r="B396" s="11" t="s">
        <v>109</v>
      </c>
      <c r="C396" s="46" t="n">
        <v>6.91</v>
      </c>
      <c r="I396" s="11" t="s">
        <v>779</v>
      </c>
    </row>
    <row r="397" customFormat="false" ht="15" hidden="false" customHeight="false" outlineLevel="1" collapsed="false">
      <c r="A397" s="3" t="s">
        <v>790</v>
      </c>
      <c r="B397" s="11" t="s">
        <v>109</v>
      </c>
      <c r="C397" s="46" t="n">
        <v>6.53</v>
      </c>
      <c r="I397" s="11" t="s">
        <v>781</v>
      </c>
    </row>
    <row r="398" customFormat="false" ht="15" hidden="false" customHeight="false" outlineLevel="1" collapsed="false">
      <c r="A398" s="3" t="s">
        <v>791</v>
      </c>
      <c r="B398" s="11" t="s">
        <v>109</v>
      </c>
      <c r="C398" s="46" t="n">
        <v>11.38</v>
      </c>
      <c r="I398" s="11" t="s">
        <v>783</v>
      </c>
    </row>
    <row r="399" customFormat="false" ht="15" hidden="false" customHeight="false" outlineLevel="1" collapsed="false">
      <c r="A399" s="3" t="s">
        <v>792</v>
      </c>
      <c r="B399" s="11" t="s">
        <v>109</v>
      </c>
      <c r="C399" s="46" t="n">
        <v>13.63</v>
      </c>
      <c r="I399" s="11" t="s">
        <v>785</v>
      </c>
    </row>
    <row r="400" customFormat="false" ht="15" hidden="false" customHeight="false" outlineLevel="1" collapsed="false">
      <c r="A400" s="3" t="s">
        <v>793</v>
      </c>
      <c r="B400" s="11" t="s">
        <v>109</v>
      </c>
      <c r="C400" s="46" t="n">
        <v>7.43</v>
      </c>
      <c r="I400" s="11" t="s">
        <v>787</v>
      </c>
    </row>
    <row r="401" customFormat="false" ht="15" hidden="false" customHeight="false" outlineLevel="1" collapsed="false">
      <c r="A401" s="3" t="s">
        <v>794</v>
      </c>
      <c r="B401" s="11" t="s">
        <v>109</v>
      </c>
      <c r="C401" s="47" t="n">
        <f aca="false">MEDIAN(輸入與假設!$C$395,輸入與假設!$C$396,輸入與假設!$C$397,輸入與假設!$C$398,輸入與假設!$C$399,輸入與假設!$C$400)</f>
        <v>9.11</v>
      </c>
      <c r="I401" s="6" t="s">
        <v>795</v>
      </c>
    </row>
    <row r="402" customFormat="false" ht="15" hidden="false" customHeight="false" outlineLevel="1" collapsed="false">
      <c r="A402" s="3" t="s">
        <v>796</v>
      </c>
      <c r="B402" s="11" t="s">
        <v>109</v>
      </c>
      <c r="C402" s="46" t="n">
        <v>15.41</v>
      </c>
      <c r="I402" s="11" t="s">
        <v>797</v>
      </c>
    </row>
    <row r="403" customFormat="false" ht="15" hidden="false" customHeight="false" outlineLevel="1" collapsed="false">
      <c r="A403" s="3" t="s">
        <v>798</v>
      </c>
      <c r="B403" s="11" t="s">
        <v>109</v>
      </c>
      <c r="C403" s="46" t="n">
        <v>31.97</v>
      </c>
      <c r="I403" s="11" t="s">
        <v>799</v>
      </c>
    </row>
    <row r="404" customFormat="false" ht="15" hidden="false" customHeight="false" outlineLevel="1" collapsed="false">
      <c r="A404" s="3" t="s">
        <v>800</v>
      </c>
      <c r="B404" s="11" t="s">
        <v>109</v>
      </c>
      <c r="C404" s="46" t="n">
        <v>10.58</v>
      </c>
      <c r="I404" s="11" t="s">
        <v>801</v>
      </c>
    </row>
    <row r="405" customFormat="false" ht="15" hidden="false" customHeight="false" outlineLevel="1" collapsed="false">
      <c r="A405" s="3" t="s">
        <v>802</v>
      </c>
      <c r="B405" s="11" t="s">
        <v>109</v>
      </c>
      <c r="C405" s="47" t="n">
        <f aca="false">MEDIAN(輸入與假設!$C$402,輸入與假設!$C$403,輸入與假設!$C$404)</f>
        <v>15.41</v>
      </c>
      <c r="I405" s="6" t="s">
        <v>795</v>
      </c>
    </row>
    <row r="406" customFormat="false" ht="15" hidden="false" customHeight="false" outlineLevel="1" collapsed="false">
      <c r="A406" s="3" t="s">
        <v>803</v>
      </c>
      <c r="B406" s="11" t="s">
        <v>109</v>
      </c>
      <c r="C406" s="46" t="n">
        <v>9.49</v>
      </c>
      <c r="I406" s="11" t="s">
        <v>804</v>
      </c>
    </row>
    <row r="407" customFormat="false" ht="15" hidden="false" customHeight="false" outlineLevel="1" collapsed="false">
      <c r="A407" s="3" t="s">
        <v>805</v>
      </c>
      <c r="B407" s="11" t="s">
        <v>109</v>
      </c>
      <c r="C407" s="46" t="n">
        <v>12.51</v>
      </c>
      <c r="I407" s="11" t="s">
        <v>806</v>
      </c>
    </row>
    <row r="408" customFormat="false" ht="15" hidden="false" customHeight="false" outlineLevel="1" collapsed="false">
      <c r="A408" s="3" t="s">
        <v>807</v>
      </c>
      <c r="B408" s="11" t="s">
        <v>109</v>
      </c>
      <c r="C408" s="46" t="n">
        <v>15.13</v>
      </c>
      <c r="I408" s="11" t="s">
        <v>808</v>
      </c>
    </row>
    <row r="409" customFormat="false" ht="15" hidden="false" customHeight="false" outlineLevel="1" collapsed="false">
      <c r="A409" s="3" t="s">
        <v>809</v>
      </c>
      <c r="B409" s="11" t="s">
        <v>109</v>
      </c>
      <c r="C409" s="46" t="n">
        <v>10.81</v>
      </c>
      <c r="I409" s="11" t="s">
        <v>810</v>
      </c>
    </row>
    <row r="410" customFormat="false" ht="15" hidden="false" customHeight="false" outlineLevel="1" collapsed="false">
      <c r="A410" s="3" t="s">
        <v>811</v>
      </c>
      <c r="B410" s="11" t="s">
        <v>109</v>
      </c>
      <c r="C410" s="46" t="n">
        <v>20.63</v>
      </c>
      <c r="I410" s="11" t="s">
        <v>812</v>
      </c>
    </row>
    <row r="411" customFormat="false" ht="15" hidden="false" customHeight="false" outlineLevel="1" collapsed="false">
      <c r="A411" s="3" t="s">
        <v>813</v>
      </c>
      <c r="B411" s="11" t="s">
        <v>109</v>
      </c>
      <c r="C411" s="46" t="n">
        <v>9.7</v>
      </c>
      <c r="I411" s="11" t="s">
        <v>814</v>
      </c>
    </row>
    <row r="412" customFormat="false" ht="15" hidden="false" customHeight="false" outlineLevel="1" collapsed="false">
      <c r="A412" s="3" t="s">
        <v>815</v>
      </c>
      <c r="B412" s="11" t="s">
        <v>109</v>
      </c>
      <c r="C412" s="46" t="n">
        <v>21.2</v>
      </c>
      <c r="I412" s="11" t="s">
        <v>816</v>
      </c>
    </row>
    <row r="413" customFormat="false" ht="15" hidden="false" customHeight="false" outlineLevel="1" collapsed="false">
      <c r="A413" s="3" t="s">
        <v>817</v>
      </c>
      <c r="B413" s="11" t="s">
        <v>109</v>
      </c>
      <c r="C413" s="46" t="n">
        <v>24.49</v>
      </c>
      <c r="I413" s="11" t="s">
        <v>818</v>
      </c>
    </row>
    <row r="414" customFormat="false" ht="15" hidden="false" customHeight="false" outlineLevel="1" collapsed="false">
      <c r="A414" s="3" t="s">
        <v>819</v>
      </c>
      <c r="B414" s="11" t="s">
        <v>109</v>
      </c>
      <c r="C414" s="47" t="n">
        <f aca="false">MEDIAN(輸入與假設!$C$406,輸入與假設!$C$407,輸入與假設!$C$408,輸入與假設!$C$409,輸入與假設!$C$410,輸入與假設!$C$411,輸入與假設!$C$412,輸入與假設!$C$413)</f>
        <v>13.82</v>
      </c>
      <c r="I414" s="6" t="s">
        <v>795</v>
      </c>
    </row>
    <row r="415" customFormat="false" ht="15" hidden="false" customHeight="false" outlineLevel="1" collapsed="false">
      <c r="A415" s="3" t="s">
        <v>820</v>
      </c>
      <c r="B415" s="11" t="s">
        <v>109</v>
      </c>
      <c r="C415" s="47" t="n">
        <f aca="false">輸入與假設!$C$388</f>
        <v>6</v>
      </c>
      <c r="I415" s="6" t="s">
        <v>821</v>
      </c>
    </row>
    <row r="416" customFormat="false" ht="15" hidden="false" customHeight="false" outlineLevel="1" collapsed="false">
      <c r="A416" s="3" t="s">
        <v>822</v>
      </c>
      <c r="B416" s="11" t="s">
        <v>109</v>
      </c>
      <c r="C416" s="47" t="n">
        <f aca="false">輸入與假設!$C$388</f>
        <v>6</v>
      </c>
      <c r="I416" s="6" t="s">
        <v>823</v>
      </c>
    </row>
    <row r="417" customFormat="false" ht="15" hidden="false" customHeight="false" outlineLevel="1" collapsed="false">
      <c r="A417" s="3" t="s">
        <v>824</v>
      </c>
      <c r="B417" s="11" t="s">
        <v>109</v>
      </c>
      <c r="C417" s="47" t="n">
        <f aca="false">(INDEX(輸入與假設!$D$131:$G$131,1,輸入與假設!$C$420)*輸入與假設!$C$401+INDEX(輸入與假設!$D$145:$G$145,1,輸入與假設!$C$420)*輸入與假設!$C$401+INDEX(輸入與假設!$D$159:$G$159,1,輸入與假設!$C$420)*輸入與假設!$C$401+INDEX(輸入與假設!$D$173:$G$173,1,輸入與假設!$C$420)*輸入與假設!$C$405+INDEX(輸入與假設!$D$197:$G$197,1,輸入與假設!$C$420)*輸入與假設!$C$414+INDEX(輸入與假設!$D$207:$G$207,1,輸入與假設!$C$420)*輸入與假設!$C$415+INDEX(輸入與假設!$D$217:$G$217,1,輸入與假設!$C$420)*輸入與假設!$C$416+INDEX(輸入與假設!$D$227:$G$227,1,輸入與假設!$C$420)*輸入與假設!$C$401)/MAX(0.000000001,INDEX(輸入與假設!$D$131:$G$131,1,輸入與假設!$C$420)+INDEX(輸入與假設!$D$145:$G$145,1,輸入與假設!$C$420)+INDEX(輸入與假設!$D$159:$G$159,1,輸入與假設!$C$420)+INDEX(輸入與假設!$D$173:$G$173,1,輸入與假設!$C$420)+INDEX(輸入與假設!$D$197:$G$197,1,輸入與假設!$C$420)+INDEX(輸入與假設!$D$207:$G$207,1,輸入與假設!$C$420)+INDEX(輸入與假設!$D$217:$G$217,1,輸入與假設!$C$420)+INDEX(輸入與假設!$D$227:$G$227,1,輸入與假設!$C$420))</f>
        <v>10.2197537959307</v>
      </c>
      <c r="I417" s="6" t="s">
        <v>825</v>
      </c>
    </row>
    <row r="418" customFormat="false" ht="15" hidden="false" customHeight="false" outlineLevel="1" collapsed="false">
      <c r="A418" s="3" t="s">
        <v>826</v>
      </c>
      <c r="B418" s="11" t="s">
        <v>109</v>
      </c>
      <c r="C418" s="46"/>
      <c r="I418" s="11" t="s">
        <v>827</v>
      </c>
    </row>
    <row r="419" customFormat="false" ht="15" hidden="false" customHeight="false" outlineLevel="1" collapsed="false">
      <c r="A419" s="3" t="s">
        <v>828</v>
      </c>
      <c r="B419" s="11" t="s">
        <v>109</v>
      </c>
      <c r="C419" s="47" t="n">
        <f aca="false">IF(ISBLANK(輸入與假設!$C$418),輸入與假設!$C$417,輸入與假設!$C$418)</f>
        <v>10.2197537959307</v>
      </c>
      <c r="I419" s="6" t="s">
        <v>829</v>
      </c>
    </row>
    <row r="420" customFormat="false" ht="15" hidden="false" customHeight="false" outlineLevel="1" collapsed="false">
      <c r="A420" s="4" t="s">
        <v>830</v>
      </c>
      <c r="B420" s="6"/>
      <c r="C420" s="18" t="n">
        <v>3</v>
      </c>
      <c r="I420" s="6" t="s">
        <v>831</v>
      </c>
    </row>
    <row r="421" customFormat="false" ht="15" hidden="false" customHeight="false" outlineLevel="1" collapsed="false">
      <c r="A421" s="3" t="s">
        <v>832</v>
      </c>
      <c r="B421" s="11" t="s">
        <v>42</v>
      </c>
      <c r="C421" s="23" t="n">
        <v>0.45</v>
      </c>
      <c r="I421" s="6"/>
    </row>
    <row r="422" customFormat="false" ht="15" hidden="false" customHeight="false" outlineLevel="1" collapsed="false">
      <c r="A422" s="3" t="s">
        <v>833</v>
      </c>
      <c r="B422" s="11" t="s">
        <v>42</v>
      </c>
      <c r="C422" s="23" t="n">
        <v>0.55</v>
      </c>
      <c r="I422" s="6"/>
    </row>
    <row r="423" customFormat="false" ht="15" hidden="false" customHeight="false" outlineLevel="1" collapsed="false">
      <c r="A423" s="3" t="s">
        <v>834</v>
      </c>
      <c r="B423" s="11" t="s">
        <v>109</v>
      </c>
      <c r="C423" s="46" t="n">
        <v>5</v>
      </c>
      <c r="I423" s="11" t="s">
        <v>835</v>
      </c>
    </row>
    <row r="424" customFormat="false" ht="15" hidden="false" customHeight="false" outlineLevel="1" collapsed="false">
      <c r="A424" s="3" t="s">
        <v>836</v>
      </c>
      <c r="B424" s="11" t="s">
        <v>109</v>
      </c>
      <c r="C424" s="46" t="n">
        <v>6</v>
      </c>
      <c r="I424" s="6"/>
    </row>
    <row r="425" customFormat="false" ht="15" hidden="false" customHeight="false" outlineLevel="1" collapsed="false">
      <c r="A425" s="3" t="s">
        <v>837</v>
      </c>
      <c r="B425" s="11" t="s">
        <v>42</v>
      </c>
      <c r="C425" s="23" t="n">
        <v>0.01</v>
      </c>
      <c r="I425" s="6" t="s">
        <v>838</v>
      </c>
    </row>
    <row r="426" customFormat="false" ht="15" hidden="false" customHeight="false" outlineLevel="1" collapsed="false">
      <c r="A426" s="3" t="s">
        <v>839</v>
      </c>
      <c r="B426" s="11" t="s">
        <v>63</v>
      </c>
      <c r="C426" s="24" t="n">
        <v>28.147</v>
      </c>
      <c r="I426" s="11" t="s">
        <v>840</v>
      </c>
    </row>
    <row r="427" customFormat="false" ht="15" hidden="false" customHeight="false" outlineLevel="1" collapsed="false">
      <c r="A427" s="34" t="s">
        <v>841</v>
      </c>
      <c r="B427" s="20"/>
      <c r="C427" s="20"/>
      <c r="D427" s="20"/>
      <c r="E427" s="20"/>
      <c r="F427" s="20"/>
      <c r="G427" s="20"/>
      <c r="H427" s="20"/>
    </row>
    <row r="428" customFormat="false" ht="15" hidden="false" customHeight="false" outlineLevel="2" collapsed="false">
      <c r="A428" s="4" t="s">
        <v>842</v>
      </c>
      <c r="B428" s="6"/>
      <c r="C428" s="18" t="n">
        <v>1</v>
      </c>
      <c r="I428" s="11" t="s">
        <v>843</v>
      </c>
    </row>
    <row r="429" customFormat="false" ht="15" hidden="false" customHeight="false" outlineLevel="2" collapsed="false">
      <c r="A429" s="3" t="s">
        <v>844</v>
      </c>
      <c r="B429" s="11" t="s">
        <v>42</v>
      </c>
      <c r="C429" s="23" t="n">
        <v>0.5</v>
      </c>
      <c r="I429" s="6" t="s">
        <v>845</v>
      </c>
    </row>
    <row r="430" customFormat="false" ht="15" hidden="false" customHeight="false" outlineLevel="2" collapsed="false">
      <c r="A430" s="3" t="s">
        <v>846</v>
      </c>
      <c r="B430" s="6" t="s">
        <v>182</v>
      </c>
      <c r="C430" s="25" t="n">
        <v>4.5</v>
      </c>
      <c r="I430" s="6" t="s">
        <v>847</v>
      </c>
    </row>
    <row r="431" customFormat="false" ht="15" hidden="false" customHeight="false" outlineLevel="1" collapsed="false">
      <c r="A431" s="19" t="s">
        <v>848</v>
      </c>
      <c r="B431" s="20"/>
      <c r="C431" s="20"/>
      <c r="D431" s="20"/>
      <c r="E431" s="20"/>
      <c r="F431" s="20"/>
      <c r="G431" s="20"/>
      <c r="H431" s="20"/>
    </row>
    <row r="432" customFormat="false" ht="15" hidden="false" customHeight="false" outlineLevel="2" collapsed="false">
      <c r="A432" s="3" t="s">
        <v>849</v>
      </c>
      <c r="B432" s="6" t="s">
        <v>850</v>
      </c>
      <c r="C432" s="22" t="n">
        <v>12</v>
      </c>
      <c r="I432" s="11" t="s">
        <v>851</v>
      </c>
    </row>
    <row r="433" customFormat="false" ht="15" hidden="false" customHeight="false" outlineLevel="2" collapsed="false">
      <c r="A433" s="3" t="s">
        <v>852</v>
      </c>
      <c r="B433" s="6"/>
      <c r="C433" s="48" t="s">
        <v>853</v>
      </c>
      <c r="I433" s="11" t="s">
        <v>854</v>
      </c>
    </row>
    <row r="434" customFormat="false" ht="15" hidden="false" customHeight="false" outlineLevel="2" collapsed="false">
      <c r="A434" s="3" t="s">
        <v>855</v>
      </c>
      <c r="B434" s="6"/>
      <c r="C434" s="48" t="s">
        <v>856</v>
      </c>
      <c r="I434" s="11" t="s">
        <v>857</v>
      </c>
    </row>
    <row r="435" customFormat="false" ht="15" hidden="false" customHeight="false" outlineLevel="2" collapsed="false">
      <c r="A435" s="3" t="s">
        <v>858</v>
      </c>
      <c r="B435" s="6"/>
      <c r="C435" s="48" t="s">
        <v>859</v>
      </c>
      <c r="I435" s="6" t="s">
        <v>860</v>
      </c>
    </row>
    <row r="436" customFormat="false" ht="15" hidden="false" customHeight="false" outlineLevel="2" collapsed="false">
      <c r="A436" s="3" t="s">
        <v>861</v>
      </c>
      <c r="B436" s="6" t="s">
        <v>182</v>
      </c>
      <c r="C436" s="32" t="n">
        <v>1</v>
      </c>
      <c r="I436" s="6"/>
    </row>
    <row r="437" customFormat="false" ht="15" hidden="false" customHeight="false" outlineLevel="2" collapsed="false">
      <c r="A437" s="3" t="s">
        <v>862</v>
      </c>
      <c r="B437" s="6"/>
      <c r="C437" s="48" t="s">
        <v>863</v>
      </c>
      <c r="I437" s="6" t="s">
        <v>864</v>
      </c>
    </row>
    <row r="438" customFormat="false" ht="15" hidden="false" customHeight="false" outlineLevel="2" collapsed="false">
      <c r="A438" s="3" t="s">
        <v>865</v>
      </c>
      <c r="B438" s="6"/>
      <c r="C438" s="48" t="s">
        <v>866</v>
      </c>
      <c r="I438" s="11" t="s">
        <v>867</v>
      </c>
    </row>
    <row r="439" customFormat="false" ht="15" hidden="false" customHeight="false" outlineLevel="2" collapsed="false">
      <c r="A439" s="3" t="s">
        <v>868</v>
      </c>
      <c r="B439" s="6"/>
      <c r="C439" s="48" t="s">
        <v>869</v>
      </c>
      <c r="I439" s="11" t="s">
        <v>870</v>
      </c>
    </row>
    <row r="440" customFormat="false" ht="15" hidden="false" customHeight="false" outlineLevel="2" collapsed="false">
      <c r="A440" s="3" t="s">
        <v>871</v>
      </c>
      <c r="B440" s="6" t="s">
        <v>182</v>
      </c>
      <c r="C440" s="32" t="n">
        <v>0.5</v>
      </c>
      <c r="I440" s="11" t="s">
        <v>872</v>
      </c>
    </row>
    <row r="441" customFormat="false" ht="15" hidden="false" customHeight="false" outlineLevel="2" collapsed="false">
      <c r="A441" s="14" t="s">
        <v>873</v>
      </c>
      <c r="B441" s="14" t="s">
        <v>58</v>
      </c>
      <c r="C441" s="28" t="s">
        <v>59</v>
      </c>
      <c r="D441" s="28" t="s">
        <v>60</v>
      </c>
      <c r="E441" s="28" t="s">
        <v>61</v>
      </c>
      <c r="F441" s="28" t="s">
        <v>151</v>
      </c>
      <c r="G441" s="28" t="s">
        <v>152</v>
      </c>
      <c r="I441" s="14" t="s">
        <v>204</v>
      </c>
    </row>
    <row r="442" customFormat="false" ht="15" hidden="false" customHeight="false" outlineLevel="2" collapsed="false">
      <c r="A442" s="3" t="s">
        <v>874</v>
      </c>
      <c r="B442" s="6"/>
      <c r="C442" s="48" t="s">
        <v>875</v>
      </c>
      <c r="D442" s="48" t="s">
        <v>876</v>
      </c>
      <c r="E442" s="48" t="s">
        <v>877</v>
      </c>
      <c r="F442" s="48" t="s">
        <v>878</v>
      </c>
      <c r="G442" s="48" t="s">
        <v>879</v>
      </c>
      <c r="I442" s="6" t="s">
        <v>880</v>
      </c>
    </row>
    <row r="443" customFormat="false" ht="15" hidden="false" customHeight="false" outlineLevel="2" collapsed="false">
      <c r="A443" s="3" t="s">
        <v>881</v>
      </c>
      <c r="B443" s="6" t="s">
        <v>182</v>
      </c>
      <c r="C443" s="32" t="n">
        <v>0.5</v>
      </c>
      <c r="D443" s="32" t="n">
        <v>1.5</v>
      </c>
      <c r="E443" s="32" t="n">
        <v>2.5</v>
      </c>
      <c r="F443" s="32" t="n">
        <v>3.5</v>
      </c>
      <c r="G443" s="32" t="n">
        <v>4.5</v>
      </c>
      <c r="I443" s="6" t="s">
        <v>880</v>
      </c>
    </row>
    <row r="444" customFormat="false" ht="15" hidden="false" customHeight="false" outlineLevel="2" collapsed="false">
      <c r="A444" s="3" t="s">
        <v>882</v>
      </c>
      <c r="B444" s="6" t="s">
        <v>182</v>
      </c>
      <c r="C444" s="32" t="n">
        <v>0</v>
      </c>
      <c r="D444" s="32" t="n">
        <v>0.5</v>
      </c>
      <c r="E444" s="32" t="n">
        <v>1.5</v>
      </c>
      <c r="F444" s="32" t="n">
        <v>2.5</v>
      </c>
      <c r="G444" s="32" t="n">
        <v>3.5</v>
      </c>
      <c r="I444" s="6" t="s">
        <v>880</v>
      </c>
    </row>
    <row r="445" customFormat="false" ht="15" hidden="false" customHeight="false" outlineLevel="1" collapsed="false">
      <c r="A445" s="19" t="s">
        <v>883</v>
      </c>
      <c r="B445" s="20"/>
      <c r="C445" s="20"/>
      <c r="D445" s="20"/>
      <c r="E445" s="20"/>
      <c r="F445" s="20"/>
      <c r="G445" s="20"/>
      <c r="H445" s="20"/>
    </row>
    <row r="446" customFormat="false" ht="15" hidden="false" customHeight="false" outlineLevel="2" collapsed="false">
      <c r="A446" s="3" t="s">
        <v>884</v>
      </c>
      <c r="B446" s="11" t="s">
        <v>42</v>
      </c>
      <c r="C446" s="23" t="n">
        <v>0.25</v>
      </c>
      <c r="I446" s="6" t="s">
        <v>885</v>
      </c>
    </row>
    <row r="447" customFormat="false" ht="15" hidden="false" customHeight="false" outlineLevel="2" collapsed="false">
      <c r="A447" s="3" t="s">
        <v>886</v>
      </c>
      <c r="B447" s="11" t="s">
        <v>42</v>
      </c>
      <c r="C447" s="23" t="n">
        <v>0.9</v>
      </c>
      <c r="I447" s="6" t="s">
        <v>887</v>
      </c>
    </row>
    <row r="448" customFormat="false" ht="15" hidden="false" customHeight="false" outlineLevel="2" collapsed="false">
      <c r="A448" s="3" t="s">
        <v>888</v>
      </c>
      <c r="B448" s="11" t="s">
        <v>42</v>
      </c>
      <c r="C448" s="23" t="n">
        <v>-0.15</v>
      </c>
      <c r="I448" s="6" t="s">
        <v>889</v>
      </c>
    </row>
    <row r="449" customFormat="false" ht="15" hidden="false" customHeight="false" outlineLevel="2" collapsed="false">
      <c r="A449" s="3" t="s">
        <v>890</v>
      </c>
      <c r="B449" s="11" t="s">
        <v>109</v>
      </c>
      <c r="C449" s="46" t="n">
        <v>1.5</v>
      </c>
      <c r="I449" s="6" t="s">
        <v>891</v>
      </c>
    </row>
    <row r="450" customFormat="false" ht="15" hidden="false" customHeight="false" outlineLevel="2" collapsed="false">
      <c r="A450" s="3" t="s">
        <v>892</v>
      </c>
      <c r="B450" s="11" t="s">
        <v>42</v>
      </c>
      <c r="C450" s="23" t="n">
        <v>-0.08</v>
      </c>
      <c r="I450" s="6" t="s">
        <v>893</v>
      </c>
    </row>
    <row r="451" customFormat="false" ht="15" hidden="false" customHeight="false" outlineLevel="2" collapsed="false">
      <c r="A451" s="3" t="s">
        <v>894</v>
      </c>
      <c r="B451" s="11" t="s">
        <v>42</v>
      </c>
      <c r="C451" s="23" t="n">
        <v>0.05</v>
      </c>
      <c r="I451" s="6" t="s">
        <v>895</v>
      </c>
    </row>
    <row r="452" customFormat="false" ht="15" hidden="false" customHeight="false" outlineLevel="2" collapsed="false">
      <c r="A452" s="3" t="s">
        <v>896</v>
      </c>
      <c r="B452" s="11" t="s">
        <v>42</v>
      </c>
      <c r="C452" s="23" t="n">
        <v>0.85</v>
      </c>
      <c r="I452" s="6" t="s">
        <v>897</v>
      </c>
    </row>
    <row r="454" customFormat="false" ht="15" hidden="false" customHeight="false" outlineLevel="0" collapsed="true">
      <c r="A454" s="7" t="s">
        <v>898</v>
      </c>
      <c r="B454" s="8"/>
      <c r="C454" s="8"/>
      <c r="D454" s="8"/>
      <c r="E454" s="8"/>
      <c r="F454" s="8"/>
      <c r="G454" s="8"/>
      <c r="H454" s="8"/>
    </row>
    <row r="455" customFormat="false" ht="15" hidden="true" customHeight="false" outlineLevel="1" collapsed="false">
      <c r="A455" s="4" t="s">
        <v>899</v>
      </c>
      <c r="B455" s="11" t="s">
        <v>63</v>
      </c>
      <c r="C455" s="24" t="n">
        <v>120.53</v>
      </c>
      <c r="I455" s="11" t="s">
        <v>900</v>
      </c>
    </row>
    <row r="456" customFormat="false" ht="15" hidden="true" customHeight="false" outlineLevel="1" collapsed="false">
      <c r="A456" s="3" t="s">
        <v>901</v>
      </c>
      <c r="B456" s="11" t="s">
        <v>63</v>
      </c>
      <c r="C456" s="24" t="n">
        <v>84.859</v>
      </c>
      <c r="I456" s="11" t="s">
        <v>902</v>
      </c>
    </row>
    <row r="457" customFormat="false" ht="15" hidden="true" customHeight="false" outlineLevel="1" collapsed="false">
      <c r="A457" s="3" t="s">
        <v>903</v>
      </c>
      <c r="B457" s="11" t="s">
        <v>63</v>
      </c>
      <c r="C457" s="24" t="n">
        <v>80.598</v>
      </c>
      <c r="I457" s="6" t="s">
        <v>904</v>
      </c>
    </row>
    <row r="458" customFormat="false" ht="15" hidden="true" customHeight="false" outlineLevel="1" collapsed="false">
      <c r="A458" s="4" t="s">
        <v>905</v>
      </c>
      <c r="B458" s="11" t="s">
        <v>63</v>
      </c>
      <c r="C458" s="24" t="n">
        <v>80.598</v>
      </c>
      <c r="I458" s="6" t="s">
        <v>906</v>
      </c>
    </row>
    <row r="459" customFormat="false" ht="15" hidden="true" customHeight="false" outlineLevel="1" collapsed="false">
      <c r="A459" s="4" t="s">
        <v>907</v>
      </c>
      <c r="B459" s="11" t="s">
        <v>63</v>
      </c>
      <c r="C459" s="24" t="n">
        <v>55.44</v>
      </c>
      <c r="I459" s="6" t="s">
        <v>908</v>
      </c>
    </row>
    <row r="460" customFormat="false" ht="15" hidden="true" customHeight="false" outlineLevel="1" collapsed="false">
      <c r="A460" s="3" t="s">
        <v>909</v>
      </c>
      <c r="B460" s="11" t="s">
        <v>63</v>
      </c>
      <c r="C460" s="24" t="n">
        <v>56.226</v>
      </c>
      <c r="I460" s="6" t="s">
        <v>910</v>
      </c>
    </row>
    <row r="461" customFormat="false" ht="15" hidden="true" customHeight="false" outlineLevel="1" collapsed="false">
      <c r="A461" s="3" t="s">
        <v>911</v>
      </c>
      <c r="B461" s="11" t="s">
        <v>63</v>
      </c>
      <c r="C461" s="24" t="n">
        <v>5.253</v>
      </c>
      <c r="I461" s="6" t="s">
        <v>912</v>
      </c>
    </row>
    <row r="462" customFormat="false" ht="15" hidden="true" customHeight="false" outlineLevel="1" collapsed="false">
      <c r="A462" s="4" t="s">
        <v>913</v>
      </c>
      <c r="B462" s="11" t="s">
        <v>63</v>
      </c>
      <c r="C462" s="24" t="n">
        <v>1.011</v>
      </c>
      <c r="I462" s="6" t="s">
        <v>914</v>
      </c>
    </row>
    <row r="463" customFormat="false" ht="15" hidden="true" customHeight="false" outlineLevel="1" collapsed="false">
      <c r="A463" s="3" t="s">
        <v>915</v>
      </c>
      <c r="B463" s="11" t="s">
        <v>63</v>
      </c>
      <c r="C463" s="24" t="n">
        <v>49.562</v>
      </c>
      <c r="I463" s="6" t="s">
        <v>916</v>
      </c>
    </row>
    <row r="464" customFormat="false" ht="15" hidden="true" customHeight="false" outlineLevel="1" collapsed="false">
      <c r="A464" s="3" t="s">
        <v>917</v>
      </c>
      <c r="B464" s="11" t="s">
        <v>63</v>
      </c>
      <c r="C464" s="24" t="n">
        <v>1.811</v>
      </c>
      <c r="I464" s="11" t="s">
        <v>918</v>
      </c>
    </row>
    <row r="465" customFormat="false" ht="15" hidden="true" customHeight="false" outlineLevel="1" collapsed="false">
      <c r="A465" s="3" t="s">
        <v>919</v>
      </c>
      <c r="B465" s="11" t="s">
        <v>63</v>
      </c>
      <c r="C465" s="24" t="n">
        <v>2.692</v>
      </c>
      <c r="I465" s="6" t="s">
        <v>920</v>
      </c>
    </row>
    <row r="466" customFormat="false" ht="15" hidden="true" customHeight="false" outlineLevel="1" collapsed="false">
      <c r="A466" s="3" t="s">
        <v>921</v>
      </c>
      <c r="B466" s="11" t="s">
        <v>63</v>
      </c>
      <c r="C466" s="24" t="n">
        <v>229.692</v>
      </c>
      <c r="I466" s="6" t="s">
        <v>922</v>
      </c>
    </row>
    <row r="467" customFormat="false" ht="15" hidden="true" customHeight="false" outlineLevel="1" collapsed="false">
      <c r="A467" s="4" t="s">
        <v>923</v>
      </c>
      <c r="B467" s="11" t="s">
        <v>63</v>
      </c>
      <c r="C467" s="24" t="n">
        <v>80.466</v>
      </c>
      <c r="I467" s="11" t="s">
        <v>924</v>
      </c>
    </row>
    <row r="468" customFormat="false" ht="15" hidden="true" customHeight="false" outlineLevel="1" collapsed="false">
      <c r="A468" s="3" t="s">
        <v>925</v>
      </c>
      <c r="B468" s="11" t="s">
        <v>63</v>
      </c>
      <c r="C468" s="24" t="n">
        <v>174.771</v>
      </c>
      <c r="I468" s="6" t="s">
        <v>926</v>
      </c>
    </row>
    <row r="469" customFormat="false" ht="15" hidden="true" customHeight="false" outlineLevel="1" collapsed="false">
      <c r="A469" s="3" t="s">
        <v>927</v>
      </c>
      <c r="B469" s="11" t="s">
        <v>63</v>
      </c>
      <c r="C469" s="24" t="n">
        <v>0</v>
      </c>
      <c r="I469" s="6" t="s">
        <v>928</v>
      </c>
    </row>
    <row r="470" customFormat="false" ht="15" hidden="true" customHeight="false" outlineLevel="1" collapsed="false">
      <c r="A470" s="4" t="s">
        <v>929</v>
      </c>
      <c r="B470" s="11" t="s">
        <v>63</v>
      </c>
      <c r="C470" s="24" t="n">
        <v>13.586</v>
      </c>
      <c r="I470" s="6" t="s">
        <v>930</v>
      </c>
    </row>
    <row r="471" customFormat="false" ht="15" hidden="true" customHeight="false" outlineLevel="1" collapsed="false">
      <c r="A471" s="4" t="s">
        <v>931</v>
      </c>
      <c r="B471" s="11" t="s">
        <v>63</v>
      </c>
      <c r="C471" s="24" t="n">
        <v>14.708</v>
      </c>
      <c r="I471" s="6" t="s">
        <v>932</v>
      </c>
    </row>
    <row r="472" customFormat="false" ht="15" hidden="true" customHeight="false" outlineLevel="1" collapsed="false">
      <c r="A472" s="4" t="s">
        <v>933</v>
      </c>
      <c r="B472" s="11" t="s">
        <v>39</v>
      </c>
      <c r="C472" s="24" t="n">
        <v>14.22</v>
      </c>
      <c r="I472" s="11" t="s">
        <v>934</v>
      </c>
    </row>
    <row r="473" customFormat="false" ht="15" hidden="true" customHeight="false" outlineLevel="1" collapsed="false">
      <c r="A473" s="4" t="s">
        <v>935</v>
      </c>
      <c r="B473" s="11" t="s">
        <v>39</v>
      </c>
      <c r="C473" s="24" t="n">
        <v>15.44</v>
      </c>
      <c r="I473" s="11" t="s">
        <v>936</v>
      </c>
    </row>
    <row r="474" customFormat="false" ht="15" hidden="true" customHeight="false" outlineLevel="1" collapsed="false">
      <c r="A474" s="3" t="s">
        <v>937</v>
      </c>
      <c r="B474" s="11" t="s">
        <v>63</v>
      </c>
      <c r="C474" s="24" t="n">
        <v>5.231</v>
      </c>
      <c r="I474" s="6" t="s">
        <v>938</v>
      </c>
    </row>
    <row r="475" customFormat="false" ht="15" hidden="true" customHeight="false" outlineLevel="1" collapsed="false">
      <c r="A475" s="3" t="s">
        <v>939</v>
      </c>
      <c r="B475" s="11" t="s">
        <v>63</v>
      </c>
      <c r="C475" s="24" t="n">
        <v>94.052</v>
      </c>
      <c r="I475" s="11" t="s">
        <v>940</v>
      </c>
    </row>
    <row r="476" customFormat="false" ht="15" hidden="true" customHeight="false" outlineLevel="1" collapsed="false">
      <c r="A476" s="3" t="s">
        <v>941</v>
      </c>
      <c r="B476" s="11" t="s">
        <v>63</v>
      </c>
      <c r="C476" s="24" t="n">
        <v>0</v>
      </c>
      <c r="I476" s="11" t="s">
        <v>942</v>
      </c>
    </row>
    <row r="478" customFormat="false" ht="15" hidden="false" customHeight="false" outlineLevel="0" collapsed="false">
      <c r="A478" s="7" t="s">
        <v>943</v>
      </c>
      <c r="B478" s="8"/>
      <c r="C478" s="8"/>
      <c r="D478" s="8"/>
      <c r="E478" s="8"/>
      <c r="F478" s="8"/>
      <c r="G478" s="8"/>
      <c r="H478" s="8"/>
      <c r="I478" s="6" t="s">
        <v>944</v>
      </c>
    </row>
    <row r="479" customFormat="false" ht="15" hidden="false" customHeight="false" outlineLevel="1" collapsed="false">
      <c r="A479" s="3" t="s">
        <v>945</v>
      </c>
      <c r="D479" s="12" t="n">
        <f aca="false">評價_DCF與目標價!C51</f>
        <v>150.523278047555</v>
      </c>
      <c r="E479" s="9" t="n">
        <f aca="false">評價_DCF與目標價!C99</f>
        <v>-1</v>
      </c>
    </row>
    <row r="480" customFormat="false" ht="15" hidden="false" customHeight="false" outlineLevel="1" collapsed="false">
      <c r="A480" s="3" t="s">
        <v>946</v>
      </c>
      <c r="C480" s="9" t="n">
        <v>1</v>
      </c>
      <c r="D480" s="49" t="n">
        <f t="dataTable" ref="D480:E482" dt2D="0" dtr="0" r1="C5"/>
        <v>174.813411581545</v>
      </c>
      <c r="E480" s="50" t="n">
        <v>-1</v>
      </c>
    </row>
    <row r="481" customFormat="false" ht="15" hidden="false" customHeight="false" outlineLevel="1" collapsed="false">
      <c r="A481" s="3" t="s">
        <v>947</v>
      </c>
      <c r="C481" s="9" t="n">
        <v>2</v>
      </c>
      <c r="D481" s="49" t="n">
        <v>150.523278047555</v>
      </c>
      <c r="E481" s="50" t="n">
        <v>-1</v>
      </c>
    </row>
    <row r="482" customFormat="false" ht="15" hidden="false" customHeight="false" outlineLevel="1" collapsed="false">
      <c r="A482" s="3" t="s">
        <v>948</v>
      </c>
      <c r="C482" s="9" t="n">
        <v>3</v>
      </c>
      <c r="D482" s="49" t="n">
        <v>130.314303022505</v>
      </c>
      <c r="E482" s="50" t="n">
        <v>-1</v>
      </c>
    </row>
    <row r="484" customFormat="false" ht="15" hidden="false" customHeight="false" outlineLevel="0" collapsed="false">
      <c r="A484" s="7" t="s">
        <v>949</v>
      </c>
      <c r="B484" s="8"/>
      <c r="C484" s="8"/>
      <c r="D484" s="8"/>
      <c r="E484" s="8"/>
      <c r="F484" s="8"/>
      <c r="G484" s="8"/>
      <c r="H484" s="8"/>
      <c r="I484" s="6" t="s">
        <v>950</v>
      </c>
    </row>
    <row r="485" customFormat="false" ht="15" hidden="false" customHeight="false" outlineLevel="1" collapsed="false">
      <c r="A485" s="14" t="s">
        <v>951</v>
      </c>
      <c r="B485" s="14" t="s">
        <v>58</v>
      </c>
      <c r="C485" s="14" t="s">
        <v>952</v>
      </c>
      <c r="D485" s="14"/>
      <c r="E485" s="14"/>
      <c r="F485" s="14" t="s">
        <v>953</v>
      </c>
      <c r="G485" s="14" t="s">
        <v>954</v>
      </c>
      <c r="H485" s="14"/>
      <c r="I485" s="14" t="s">
        <v>955</v>
      </c>
      <c r="J485" s="14" t="s">
        <v>956</v>
      </c>
    </row>
    <row r="486" customFormat="false" ht="15" hidden="false" customHeight="false" outlineLevel="1" collapsed="false">
      <c r="A486" s="3" t="s">
        <v>957</v>
      </c>
      <c r="B486" s="11" t="s">
        <v>39</v>
      </c>
      <c r="C486" s="44" t="n">
        <v>350.5</v>
      </c>
      <c r="F486" s="11" t="s">
        <v>869</v>
      </c>
      <c r="G486" s="11" t="s">
        <v>958</v>
      </c>
      <c r="I486" s="11" t="s">
        <v>959</v>
      </c>
      <c r="J486" s="6" t="s">
        <v>960</v>
      </c>
    </row>
    <row r="487" customFormat="false" ht="15" hidden="false" customHeight="false" outlineLevel="1" collapsed="false">
      <c r="A487" s="3" t="s">
        <v>961</v>
      </c>
      <c r="B487" s="11" t="s">
        <v>39</v>
      </c>
      <c r="C487" s="44" t="n">
        <v>429.47</v>
      </c>
      <c r="F487" s="11" t="s">
        <v>962</v>
      </c>
      <c r="G487" s="11" t="s">
        <v>963</v>
      </c>
      <c r="I487" s="11" t="s">
        <v>964</v>
      </c>
      <c r="J487" s="6"/>
    </row>
    <row r="488" customFormat="false" ht="15" hidden="false" customHeight="false" outlineLevel="1" collapsed="false">
      <c r="A488" s="3" t="s">
        <v>965</v>
      </c>
      <c r="B488" s="11" t="s">
        <v>39</v>
      </c>
      <c r="C488" s="44" t="n">
        <v>430</v>
      </c>
      <c r="F488" s="11" t="s">
        <v>962</v>
      </c>
      <c r="G488" s="11" t="s">
        <v>963</v>
      </c>
      <c r="I488" s="11" t="s">
        <v>964</v>
      </c>
      <c r="J488" s="6"/>
    </row>
    <row r="489" customFormat="false" ht="15" hidden="false" customHeight="false" outlineLevel="1" collapsed="false">
      <c r="A489" s="3" t="s">
        <v>966</v>
      </c>
      <c r="B489" s="11" t="s">
        <v>39</v>
      </c>
      <c r="C489" s="44" t="n">
        <v>340</v>
      </c>
      <c r="F489" s="11" t="s">
        <v>962</v>
      </c>
      <c r="G489" s="11" t="s">
        <v>963</v>
      </c>
      <c r="I489" s="11" t="s">
        <v>964</v>
      </c>
      <c r="J489" s="6"/>
    </row>
    <row r="490" customFormat="false" ht="15" hidden="false" customHeight="false" outlineLevel="1" collapsed="false">
      <c r="A490" s="3" t="s">
        <v>967</v>
      </c>
      <c r="B490" s="11" t="s">
        <v>39</v>
      </c>
      <c r="C490" s="44" t="n">
        <v>515</v>
      </c>
      <c r="F490" s="11" t="s">
        <v>962</v>
      </c>
      <c r="G490" s="11" t="s">
        <v>963</v>
      </c>
      <c r="I490" s="11" t="s">
        <v>964</v>
      </c>
      <c r="J490" s="6"/>
    </row>
    <row r="491" customFormat="false" ht="15" hidden="false" customHeight="false" outlineLevel="1" collapsed="false">
      <c r="A491" s="3" t="s">
        <v>968</v>
      </c>
      <c r="B491" s="6" t="s">
        <v>138</v>
      </c>
      <c r="C491" s="21" t="n">
        <v>61</v>
      </c>
      <c r="F491" s="11" t="s">
        <v>962</v>
      </c>
      <c r="G491" s="11" t="s">
        <v>963</v>
      </c>
      <c r="I491" s="11" t="s">
        <v>964</v>
      </c>
      <c r="J491" s="6"/>
    </row>
    <row r="492" customFormat="false" ht="15" hidden="false" customHeight="false" outlineLevel="1" collapsed="false">
      <c r="A492" s="3" t="s">
        <v>969</v>
      </c>
      <c r="B492" s="6"/>
      <c r="C492" s="4" t="s">
        <v>970</v>
      </c>
      <c r="F492" s="11" t="s">
        <v>962</v>
      </c>
      <c r="G492" s="11" t="s">
        <v>963</v>
      </c>
      <c r="I492" s="11" t="s">
        <v>964</v>
      </c>
      <c r="J492" s="6"/>
    </row>
    <row r="493" customFormat="false" ht="15" hidden="false" customHeight="false" outlineLevel="1" collapsed="false">
      <c r="A493" s="3" t="s">
        <v>971</v>
      </c>
      <c r="B493" s="11" t="s">
        <v>39</v>
      </c>
      <c r="C493" s="44" t="n">
        <v>425.72</v>
      </c>
      <c r="F493" s="11" t="s">
        <v>962</v>
      </c>
      <c r="G493" s="11" t="s">
        <v>963</v>
      </c>
      <c r="I493" s="11" t="s">
        <v>972</v>
      </c>
      <c r="J493" s="6"/>
    </row>
    <row r="494" customFormat="false" ht="15" hidden="false" customHeight="false" outlineLevel="1" collapsed="false">
      <c r="A494" s="3" t="s">
        <v>973</v>
      </c>
      <c r="B494" s="6" t="s">
        <v>138</v>
      </c>
      <c r="C494" s="21" t="n">
        <v>55</v>
      </c>
      <c r="F494" s="11" t="s">
        <v>962</v>
      </c>
      <c r="G494" s="11" t="s">
        <v>963</v>
      </c>
      <c r="I494" s="11" t="s">
        <v>972</v>
      </c>
      <c r="J494" s="6"/>
    </row>
    <row r="495" customFormat="false" ht="15" hidden="false" customHeight="false" outlineLevel="1" collapsed="false">
      <c r="A495" s="3" t="s">
        <v>974</v>
      </c>
      <c r="B495" s="6"/>
      <c r="C495" s="4" t="s">
        <v>975</v>
      </c>
      <c r="F495" s="11" t="s">
        <v>962</v>
      </c>
      <c r="G495" s="11" t="s">
        <v>963</v>
      </c>
      <c r="I495" s="11" t="s">
        <v>972</v>
      </c>
      <c r="J495" s="6"/>
    </row>
    <row r="496" customFormat="false" ht="15" hidden="false" customHeight="false" outlineLevel="1" collapsed="false">
      <c r="A496" s="3" t="s">
        <v>976</v>
      </c>
      <c r="B496" s="11" t="s">
        <v>39</v>
      </c>
      <c r="C496" s="44" t="n">
        <v>429.47</v>
      </c>
      <c r="F496" s="11" t="s">
        <v>962</v>
      </c>
      <c r="G496" s="11" t="s">
        <v>963</v>
      </c>
      <c r="I496" s="11" t="s">
        <v>977</v>
      </c>
      <c r="J496" s="6"/>
    </row>
    <row r="497" customFormat="false" ht="17.15" hidden="false" customHeight="false" outlineLevel="1" collapsed="false">
      <c r="A497" s="14" t="s">
        <v>978</v>
      </c>
      <c r="B497" s="14" t="s">
        <v>58</v>
      </c>
      <c r="C497" s="14" t="s">
        <v>952</v>
      </c>
      <c r="D497" s="14"/>
      <c r="E497" s="14"/>
      <c r="F497" s="14" t="s">
        <v>953</v>
      </c>
      <c r="G497" s="14" t="s">
        <v>954</v>
      </c>
      <c r="H497" s="14"/>
      <c r="I497" s="14" t="s">
        <v>955</v>
      </c>
      <c r="J497" s="14" t="s">
        <v>956</v>
      </c>
    </row>
    <row r="498" customFormat="false" ht="15" hidden="false" customHeight="false" outlineLevel="1" collapsed="false">
      <c r="A498" s="3" t="s">
        <v>979</v>
      </c>
      <c r="B498" s="6" t="s">
        <v>138</v>
      </c>
      <c r="C498" s="21" t="n">
        <v>43</v>
      </c>
      <c r="F498" s="11" t="s">
        <v>962</v>
      </c>
      <c r="G498" s="11" t="s">
        <v>963</v>
      </c>
      <c r="I498" s="11" t="s">
        <v>964</v>
      </c>
      <c r="J498" s="6"/>
    </row>
    <row r="499" customFormat="false" ht="15" hidden="false" customHeight="false" outlineLevel="1" collapsed="false">
      <c r="A499" s="3" t="s">
        <v>980</v>
      </c>
      <c r="B499" s="6" t="s">
        <v>138</v>
      </c>
      <c r="C499" s="21" t="n">
        <v>13</v>
      </c>
      <c r="F499" s="11" t="s">
        <v>962</v>
      </c>
      <c r="G499" s="11" t="s">
        <v>963</v>
      </c>
      <c r="I499" s="11" t="s">
        <v>964</v>
      </c>
      <c r="J499" s="6"/>
    </row>
    <row r="500" customFormat="false" ht="15" hidden="false" customHeight="false" outlineLevel="1" collapsed="false">
      <c r="A500" s="3" t="s">
        <v>981</v>
      </c>
      <c r="B500" s="6" t="s">
        <v>138</v>
      </c>
      <c r="C500" s="21" t="n">
        <v>5</v>
      </c>
      <c r="F500" s="11" t="s">
        <v>962</v>
      </c>
      <c r="G500" s="11" t="s">
        <v>963</v>
      </c>
      <c r="I500" s="11" t="s">
        <v>964</v>
      </c>
      <c r="J500" s="6"/>
    </row>
    <row r="501" customFormat="false" ht="15" hidden="false" customHeight="false" outlineLevel="1" collapsed="false">
      <c r="A501" s="3" t="s">
        <v>982</v>
      </c>
      <c r="B501" s="6" t="s">
        <v>138</v>
      </c>
      <c r="C501" s="21" t="n">
        <v>0</v>
      </c>
      <c r="F501" s="11" t="s">
        <v>962</v>
      </c>
      <c r="G501" s="11" t="s">
        <v>963</v>
      </c>
      <c r="I501" s="11" t="s">
        <v>964</v>
      </c>
      <c r="J501" s="6"/>
    </row>
    <row r="502" customFormat="false" ht="15" hidden="false" customHeight="false" outlineLevel="1" collapsed="false">
      <c r="A502" s="3" t="s">
        <v>983</v>
      </c>
      <c r="B502" s="6" t="s">
        <v>138</v>
      </c>
      <c r="C502" s="21" t="n">
        <v>0</v>
      </c>
      <c r="F502" s="11" t="s">
        <v>962</v>
      </c>
      <c r="G502" s="11" t="s">
        <v>963</v>
      </c>
      <c r="I502" s="11" t="s">
        <v>964</v>
      </c>
      <c r="J502" s="6"/>
    </row>
    <row r="503" customFormat="false" ht="15" hidden="false" customHeight="false" outlineLevel="1" collapsed="false">
      <c r="A503" s="3" t="s">
        <v>984</v>
      </c>
      <c r="B503" s="6" t="s">
        <v>138</v>
      </c>
      <c r="C503" s="21" t="n">
        <v>61</v>
      </c>
      <c r="F503" s="11" t="s">
        <v>962</v>
      </c>
      <c r="G503" s="11" t="s">
        <v>963</v>
      </c>
      <c r="I503" s="11" t="s">
        <v>964</v>
      </c>
      <c r="J503" s="6"/>
    </row>
    <row r="504" customFormat="false" ht="17.15" hidden="false" customHeight="false" outlineLevel="1" collapsed="false">
      <c r="A504" s="14" t="s">
        <v>985</v>
      </c>
      <c r="B504" s="14" t="s">
        <v>58</v>
      </c>
      <c r="C504" s="14" t="s">
        <v>952</v>
      </c>
      <c r="D504" s="14"/>
      <c r="E504" s="14"/>
      <c r="F504" s="14" t="s">
        <v>953</v>
      </c>
      <c r="G504" s="14" t="s">
        <v>954</v>
      </c>
      <c r="H504" s="14"/>
      <c r="I504" s="14" t="s">
        <v>955</v>
      </c>
      <c r="J504" s="14" t="s">
        <v>956</v>
      </c>
    </row>
    <row r="505" customFormat="false" ht="15" hidden="false" customHeight="false" outlineLevel="1" collapsed="false">
      <c r="A505" s="3" t="s">
        <v>986</v>
      </c>
      <c r="B505" s="11" t="s">
        <v>63</v>
      </c>
      <c r="C505" s="51" t="n">
        <v>498.69</v>
      </c>
      <c r="D505" s="51" t="n">
        <v>615.038</v>
      </c>
      <c r="E505" s="51" t="n">
        <v>734.199</v>
      </c>
      <c r="F505" s="11" t="s">
        <v>962</v>
      </c>
      <c r="G505" s="11" t="s">
        <v>963</v>
      </c>
      <c r="I505" s="11" t="s">
        <v>987</v>
      </c>
      <c r="J505" s="6"/>
    </row>
    <row r="506" customFormat="false" ht="15" hidden="false" customHeight="false" outlineLevel="1" collapsed="false">
      <c r="A506" s="3" t="s">
        <v>988</v>
      </c>
      <c r="B506" s="11" t="s">
        <v>63</v>
      </c>
      <c r="C506" s="51" t="n">
        <v>233.431</v>
      </c>
      <c r="D506" s="51" t="n">
        <v>298.668</v>
      </c>
      <c r="E506" s="51" t="n">
        <v>382.826</v>
      </c>
      <c r="F506" s="11" t="s">
        <v>962</v>
      </c>
      <c r="G506" s="11" t="s">
        <v>963</v>
      </c>
      <c r="I506" s="11" t="s">
        <v>987</v>
      </c>
      <c r="J506" s="6"/>
    </row>
    <row r="507" customFormat="false" ht="15" hidden="false" customHeight="false" outlineLevel="1" collapsed="false">
      <c r="A507" s="3" t="s">
        <v>989</v>
      </c>
      <c r="B507" s="11" t="s">
        <v>42</v>
      </c>
      <c r="C507" s="23" t="n">
        <v>0.468088391585955</v>
      </c>
      <c r="D507" s="23" t="n">
        <v>0.48560901928011</v>
      </c>
      <c r="E507" s="23" t="n">
        <v>0.521419942004824</v>
      </c>
      <c r="F507" s="11" t="s">
        <v>962</v>
      </c>
      <c r="G507" s="11" t="s">
        <v>963</v>
      </c>
      <c r="I507" s="11" t="s">
        <v>987</v>
      </c>
      <c r="J507" s="6"/>
    </row>
    <row r="508" customFormat="false" ht="15" hidden="false" customHeight="false" outlineLevel="1" collapsed="false">
      <c r="A508" s="3" t="s">
        <v>990</v>
      </c>
      <c r="B508" s="11" t="s">
        <v>63</v>
      </c>
      <c r="C508" s="51" t="n">
        <v>171.681</v>
      </c>
      <c r="D508" s="51" t="n">
        <v>216.996</v>
      </c>
      <c r="E508" s="51" t="n">
        <v>263.325</v>
      </c>
      <c r="F508" s="11" t="s">
        <v>962</v>
      </c>
      <c r="G508" s="11" t="s">
        <v>963</v>
      </c>
      <c r="I508" s="11" t="s">
        <v>987</v>
      </c>
      <c r="J508" s="6"/>
    </row>
    <row r="509" customFormat="false" ht="15" hidden="false" customHeight="false" outlineLevel="1" collapsed="false">
      <c r="A509" s="3" t="s">
        <v>991</v>
      </c>
      <c r="B509" s="11" t="s">
        <v>63</v>
      </c>
      <c r="C509" s="51" t="n">
        <v>254.864</v>
      </c>
      <c r="D509" s="51" t="n">
        <v>187.475</v>
      </c>
      <c r="E509" s="51" t="n">
        <v>223.329</v>
      </c>
      <c r="F509" s="11" t="s">
        <v>962</v>
      </c>
      <c r="G509" s="11" t="s">
        <v>963</v>
      </c>
      <c r="I509" s="11" t="s">
        <v>987</v>
      </c>
      <c r="J509" s="6"/>
    </row>
    <row r="510" customFormat="false" ht="15" hidden="false" customHeight="false" outlineLevel="1" collapsed="false">
      <c r="A510" s="3" t="s">
        <v>992</v>
      </c>
      <c r="B510" s="11" t="s">
        <v>39</v>
      </c>
      <c r="C510" s="44" t="n">
        <v>20.63</v>
      </c>
      <c r="D510" s="44" t="n">
        <v>14.95</v>
      </c>
      <c r="E510" s="44" t="n">
        <v>17.89</v>
      </c>
      <c r="F510" s="11" t="s">
        <v>962</v>
      </c>
      <c r="G510" s="11" t="s">
        <v>963</v>
      </c>
      <c r="I510" s="11" t="s">
        <v>987</v>
      </c>
      <c r="J510" s="6"/>
    </row>
    <row r="511" customFormat="false" ht="15" hidden="false" customHeight="false" outlineLevel="1" collapsed="false">
      <c r="A511" s="3" t="s">
        <v>993</v>
      </c>
      <c r="B511" s="11" t="s">
        <v>63</v>
      </c>
      <c r="C511" s="51" t="n">
        <v>201.748</v>
      </c>
      <c r="D511" s="51" t="n">
        <v>300.979</v>
      </c>
      <c r="E511" s="51" t="n">
        <v>339.451</v>
      </c>
      <c r="F511" s="11" t="s">
        <v>962</v>
      </c>
      <c r="G511" s="11" t="s">
        <v>963</v>
      </c>
      <c r="I511" s="11" t="s">
        <v>987</v>
      </c>
      <c r="J511" s="6"/>
    </row>
    <row r="512" customFormat="false" ht="15" hidden="false" customHeight="false" outlineLevel="1" collapsed="false">
      <c r="A512" s="3" t="s">
        <v>994</v>
      </c>
      <c r="B512" s="11" t="s">
        <v>63</v>
      </c>
      <c r="C512" s="51" t="n">
        <v>8.448</v>
      </c>
      <c r="D512" s="51" t="n">
        <v>-36.658</v>
      </c>
      <c r="E512" s="51" t="n">
        <v>6.759</v>
      </c>
      <c r="F512" s="11" t="s">
        <v>962</v>
      </c>
      <c r="G512" s="11" t="s">
        <v>963</v>
      </c>
      <c r="I512" s="11" t="s">
        <v>987</v>
      </c>
      <c r="J512" s="6"/>
    </row>
    <row r="513" customFormat="false" ht="15" hidden="false" customHeight="false" outlineLevel="1" collapsed="false">
      <c r="A513" s="3" t="s">
        <v>995</v>
      </c>
      <c r="B513" s="11" t="s">
        <v>63</v>
      </c>
      <c r="C513" s="51" t="n">
        <v>-131.323</v>
      </c>
      <c r="D513" s="51" t="n">
        <v>-79.012</v>
      </c>
      <c r="E513" s="51" t="n">
        <v>-56.291</v>
      </c>
      <c r="F513" s="11" t="s">
        <v>962</v>
      </c>
      <c r="G513" s="11" t="s">
        <v>963</v>
      </c>
      <c r="I513" s="11" t="s">
        <v>987</v>
      </c>
      <c r="J513" s="6"/>
    </row>
    <row r="514" customFormat="false" ht="15" hidden="false" customHeight="false" outlineLevel="1" collapsed="false">
      <c r="A514" s="3" t="s">
        <v>996</v>
      </c>
      <c r="B514" s="11" t="s">
        <v>39</v>
      </c>
      <c r="C514" s="44" t="n">
        <v>0.8727</v>
      </c>
      <c r="D514" s="44" t="n">
        <v>0.9153</v>
      </c>
      <c r="E514" s="44" t="n">
        <v>0.9546</v>
      </c>
      <c r="F514" s="11" t="s">
        <v>962</v>
      </c>
      <c r="G514" s="11" t="s">
        <v>963</v>
      </c>
      <c r="I514" s="11" t="s">
        <v>987</v>
      </c>
      <c r="J514" s="6"/>
    </row>
    <row r="515" customFormat="false" ht="15" hidden="false" customHeight="false" outlineLevel="1" collapsed="false">
      <c r="A515" s="3" t="s">
        <v>997</v>
      </c>
      <c r="B515" s="6"/>
      <c r="C515" s="3" t="s">
        <v>998</v>
      </c>
      <c r="F515" s="11" t="s">
        <v>962</v>
      </c>
      <c r="G515" s="11" t="s">
        <v>963</v>
      </c>
      <c r="I515" s="11" t="s">
        <v>987</v>
      </c>
      <c r="J515" s="6"/>
    </row>
    <row r="516" customFormat="false" ht="17.15" hidden="false" customHeight="false" outlineLevel="1" collapsed="false">
      <c r="A516" s="15" t="s">
        <v>999</v>
      </c>
      <c r="B516" s="14" t="s">
        <v>58</v>
      </c>
      <c r="C516" s="14" t="s">
        <v>952</v>
      </c>
      <c r="D516" s="14"/>
      <c r="E516" s="14"/>
      <c r="F516" s="14" t="s">
        <v>953</v>
      </c>
      <c r="G516" s="14" t="s">
        <v>954</v>
      </c>
      <c r="H516" s="14"/>
      <c r="I516" s="14" t="s">
        <v>955</v>
      </c>
      <c r="J516" s="14" t="s">
        <v>956</v>
      </c>
    </row>
    <row r="517" customFormat="false" ht="15" hidden="false" customHeight="false" outlineLevel="1" collapsed="false">
      <c r="A517" s="3" t="s">
        <v>1000</v>
      </c>
      <c r="B517" s="11" t="s">
        <v>63</v>
      </c>
      <c r="C517" s="51" t="n">
        <v>498.74</v>
      </c>
      <c r="D517" s="51" t="n">
        <v>614.95</v>
      </c>
      <c r="F517" s="11" t="s">
        <v>962</v>
      </c>
      <c r="G517" s="11" t="s">
        <v>963</v>
      </c>
      <c r="I517" s="11" t="s">
        <v>1001</v>
      </c>
      <c r="J517" s="6"/>
    </row>
    <row r="518" customFormat="false" ht="15" hidden="false" customHeight="false" outlineLevel="1" collapsed="false">
      <c r="A518" s="3" t="s">
        <v>1002</v>
      </c>
      <c r="B518" s="11" t="s">
        <v>63</v>
      </c>
      <c r="C518" s="51" t="n">
        <v>489.8</v>
      </c>
      <c r="D518" s="51" t="n">
        <v>519.8</v>
      </c>
      <c r="F518" s="11" t="s">
        <v>962</v>
      </c>
      <c r="G518" s="11" t="s">
        <v>963</v>
      </c>
      <c r="I518" s="11" t="s">
        <v>1001</v>
      </c>
      <c r="J518" s="6"/>
    </row>
    <row r="519" customFormat="false" ht="15" hidden="false" customHeight="false" outlineLevel="1" collapsed="false">
      <c r="A519" s="3" t="s">
        <v>1003</v>
      </c>
      <c r="B519" s="11" t="s">
        <v>39</v>
      </c>
      <c r="C519" s="44" t="n">
        <v>12.15</v>
      </c>
      <c r="D519" s="44" t="n">
        <v>15.17</v>
      </c>
      <c r="F519" s="11" t="s">
        <v>962</v>
      </c>
      <c r="G519" s="11" t="s">
        <v>963</v>
      </c>
      <c r="I519" s="11" t="s">
        <v>1001</v>
      </c>
      <c r="J519" s="6"/>
    </row>
    <row r="520" customFormat="false" ht="15" hidden="false" customHeight="false" outlineLevel="1" collapsed="false">
      <c r="A520" s="3" t="s">
        <v>1004</v>
      </c>
      <c r="B520" s="11" t="s">
        <v>39</v>
      </c>
      <c r="C520" s="44" t="n">
        <v>11.5</v>
      </c>
      <c r="D520" s="44" t="n">
        <v>13.47</v>
      </c>
      <c r="F520" s="11" t="s">
        <v>962</v>
      </c>
      <c r="G520" s="11" t="s">
        <v>963</v>
      </c>
      <c r="I520" s="11" t="s">
        <v>1001</v>
      </c>
      <c r="J520" s="11" t="s">
        <v>1005</v>
      </c>
    </row>
    <row r="521" customFormat="false" ht="15" hidden="false" customHeight="false" outlineLevel="1" collapsed="false">
      <c r="A521" s="14" t="s">
        <v>1006</v>
      </c>
      <c r="B521" s="14" t="s">
        <v>58</v>
      </c>
      <c r="C521" s="14" t="s">
        <v>952</v>
      </c>
      <c r="D521" s="14"/>
      <c r="E521" s="14"/>
      <c r="F521" s="14" t="s">
        <v>953</v>
      </c>
      <c r="G521" s="14" t="s">
        <v>954</v>
      </c>
      <c r="H521" s="14"/>
      <c r="I521" s="14" t="s">
        <v>955</v>
      </c>
      <c r="J521" s="14" t="s">
        <v>956</v>
      </c>
    </row>
    <row r="522" customFormat="false" ht="15" hidden="false" customHeight="false" outlineLevel="1" collapsed="false">
      <c r="A522" s="3" t="s">
        <v>1007</v>
      </c>
      <c r="B522" s="11" t="s">
        <v>63</v>
      </c>
      <c r="C522" s="51" t="n">
        <v>195</v>
      </c>
      <c r="D522" s="51" t="n">
        <v>205</v>
      </c>
      <c r="F522" s="6" t="s">
        <v>1008</v>
      </c>
      <c r="G522" s="11" t="s">
        <v>963</v>
      </c>
      <c r="I522" s="11" t="s">
        <v>1009</v>
      </c>
      <c r="J522" s="6" t="s">
        <v>1010</v>
      </c>
    </row>
    <row r="523" customFormat="false" ht="15" hidden="false" customHeight="false" outlineLevel="1" collapsed="false">
      <c r="A523" s="14" t="s">
        <v>1011</v>
      </c>
      <c r="B523" s="14" t="s">
        <v>58</v>
      </c>
      <c r="C523" s="14" t="s">
        <v>952</v>
      </c>
      <c r="D523" s="14"/>
      <c r="E523" s="14"/>
      <c r="F523" s="14" t="s">
        <v>953</v>
      </c>
      <c r="G523" s="14" t="s">
        <v>954</v>
      </c>
      <c r="H523" s="14"/>
      <c r="I523" s="14" t="s">
        <v>955</v>
      </c>
      <c r="J523" s="14" t="s">
        <v>956</v>
      </c>
    </row>
    <row r="524" customFormat="false" ht="15" hidden="false" customHeight="false" outlineLevel="1" collapsed="false">
      <c r="A524" s="3" t="s">
        <v>1012</v>
      </c>
      <c r="B524" s="11" t="s">
        <v>39</v>
      </c>
      <c r="C524" s="44" t="n">
        <v>400</v>
      </c>
      <c r="F524" s="11" t="s">
        <v>962</v>
      </c>
      <c r="G524" s="11" t="s">
        <v>963</v>
      </c>
      <c r="I524" s="11" t="s">
        <v>1013</v>
      </c>
      <c r="J524" s="11" t="s">
        <v>1014</v>
      </c>
    </row>
    <row r="525" customFormat="false" ht="15" hidden="false" customHeight="false" outlineLevel="1" collapsed="false">
      <c r="A525" s="3" t="s">
        <v>1015</v>
      </c>
      <c r="B525" s="11" t="s">
        <v>39</v>
      </c>
      <c r="C525" s="44" t="n">
        <v>400</v>
      </c>
      <c r="F525" s="11" t="s">
        <v>962</v>
      </c>
      <c r="G525" s="11" t="s">
        <v>963</v>
      </c>
      <c r="I525" s="11" t="s">
        <v>1013</v>
      </c>
      <c r="J525" s="11" t="s">
        <v>1016</v>
      </c>
    </row>
    <row r="526" customFormat="false" ht="15" hidden="false" customHeight="false" outlineLevel="1" collapsed="false">
      <c r="A526" s="3" t="s">
        <v>1017</v>
      </c>
      <c r="B526" s="11" t="s">
        <v>39</v>
      </c>
      <c r="C526" s="44" t="n">
        <v>450</v>
      </c>
      <c r="F526" s="11" t="s">
        <v>962</v>
      </c>
      <c r="G526" s="11" t="s">
        <v>963</v>
      </c>
      <c r="I526" s="11" t="s">
        <v>1013</v>
      </c>
      <c r="J526" s="11" t="s">
        <v>1016</v>
      </c>
    </row>
    <row r="527" customFormat="false" ht="15" hidden="false" customHeight="false" outlineLevel="1" collapsed="false">
      <c r="A527" s="3" t="s">
        <v>1018</v>
      </c>
      <c r="B527" s="11" t="s">
        <v>39</v>
      </c>
      <c r="C527" s="44" t="n">
        <v>417</v>
      </c>
      <c r="F527" s="11" t="s">
        <v>962</v>
      </c>
      <c r="G527" s="11" t="s">
        <v>963</v>
      </c>
      <c r="I527" s="11" t="s">
        <v>1013</v>
      </c>
      <c r="J527" s="11" t="s">
        <v>1019</v>
      </c>
    </row>
    <row r="528" customFormat="false" ht="15" hidden="false" customHeight="false" outlineLevel="1" collapsed="false">
      <c r="A528" s="3" t="s">
        <v>1020</v>
      </c>
      <c r="B528" s="11" t="s">
        <v>39</v>
      </c>
      <c r="C528" s="44" t="n">
        <v>420</v>
      </c>
      <c r="F528" s="11" t="s">
        <v>962</v>
      </c>
      <c r="G528" s="11" t="s">
        <v>963</v>
      </c>
      <c r="I528" s="11" t="s">
        <v>1013</v>
      </c>
      <c r="J528" s="11" t="s">
        <v>1019</v>
      </c>
    </row>
    <row r="529" customFormat="false" ht="15" hidden="false" customHeight="false" outlineLevel="1" collapsed="false">
      <c r="A529" s="14" t="s">
        <v>1021</v>
      </c>
      <c r="B529" s="14" t="s">
        <v>58</v>
      </c>
      <c r="C529" s="14" t="s">
        <v>952</v>
      </c>
      <c r="D529" s="14"/>
      <c r="E529" s="14"/>
      <c r="F529" s="14" t="s">
        <v>953</v>
      </c>
      <c r="G529" s="14" t="s">
        <v>954</v>
      </c>
      <c r="H529" s="14"/>
      <c r="I529" s="14" t="s">
        <v>955</v>
      </c>
      <c r="J529" s="14" t="s">
        <v>956</v>
      </c>
    </row>
    <row r="530" customFormat="false" ht="15" hidden="false" customHeight="false" outlineLevel="1" collapsed="false">
      <c r="A530" s="3" t="s">
        <v>1022</v>
      </c>
      <c r="B530" s="6"/>
      <c r="C530" s="4" t="s">
        <v>1023</v>
      </c>
      <c r="F530" s="11" t="s">
        <v>962</v>
      </c>
      <c r="G530" s="6"/>
      <c r="I530" s="6" t="s">
        <v>1024</v>
      </c>
      <c r="J530" s="6"/>
    </row>
    <row r="531" customFormat="false" ht="15" hidden="false" customHeight="false" outlineLevel="1" collapsed="false">
      <c r="A531" s="3" t="s">
        <v>1025</v>
      </c>
      <c r="B531" s="6"/>
      <c r="C531" s="3" t="s">
        <v>1026</v>
      </c>
      <c r="F531" s="11" t="s">
        <v>962</v>
      </c>
      <c r="G531" s="6"/>
      <c r="I531" s="6" t="s">
        <v>1024</v>
      </c>
      <c r="J531" s="6"/>
    </row>
    <row r="532" customFormat="false" ht="15" hidden="false" customHeight="false" outlineLevel="1" collapsed="false">
      <c r="A532" s="3" t="s">
        <v>1027</v>
      </c>
      <c r="B532" s="6"/>
      <c r="C532" s="4" t="s">
        <v>1028</v>
      </c>
      <c r="F532" s="11" t="s">
        <v>962</v>
      </c>
      <c r="G532" s="6"/>
      <c r="I532" s="6" t="s">
        <v>1024</v>
      </c>
      <c r="J532" s="6"/>
    </row>
    <row r="533" customFormat="false" ht="15" hidden="false" customHeight="false" outlineLevel="1" collapsed="false">
      <c r="A533" s="3" t="s">
        <v>1029</v>
      </c>
      <c r="B533" s="6"/>
      <c r="C533" s="3" t="s">
        <v>1030</v>
      </c>
      <c r="F533" s="11" t="s">
        <v>962</v>
      </c>
      <c r="G533" s="6"/>
      <c r="I533" s="6" t="s">
        <v>1024</v>
      </c>
      <c r="J533" s="6"/>
    </row>
    <row r="534" customFormat="false" ht="15" hidden="false" customHeight="false" outlineLevel="1" collapsed="false">
      <c r="A534" s="3" t="s">
        <v>1031</v>
      </c>
      <c r="B534" s="11" t="s">
        <v>42</v>
      </c>
      <c r="C534" s="23" t="n">
        <v>0.05</v>
      </c>
      <c r="I534" s="6" t="s">
        <v>1032</v>
      </c>
    </row>
    <row r="535" customFormat="false" ht="15" hidden="false" customHeight="false" outlineLevel="1" collapsed="false">
      <c r="A535" s="3" t="s">
        <v>1033</v>
      </c>
      <c r="B535" s="11" t="s">
        <v>75</v>
      </c>
      <c r="C535" s="23" t="n">
        <v>0.02</v>
      </c>
      <c r="I535" s="6" t="s">
        <v>1034</v>
      </c>
    </row>
    <row r="537" customFormat="false" ht="15" hidden="false" customHeight="false" outlineLevel="0" collapsed="false">
      <c r="A537" s="7" t="s">
        <v>1035</v>
      </c>
      <c r="B537" s="8"/>
      <c r="C537" s="8"/>
      <c r="D537" s="8"/>
      <c r="E537" s="8"/>
      <c r="F537" s="8"/>
      <c r="G537" s="8"/>
      <c r="H537" s="8"/>
    </row>
    <row r="538" customFormat="false" ht="15" hidden="false" customHeight="false" outlineLevel="1" collapsed="false">
      <c r="A538" s="14" t="s">
        <v>1036</v>
      </c>
      <c r="B538" s="14" t="s">
        <v>58</v>
      </c>
      <c r="C538" s="15" t="s">
        <v>1037</v>
      </c>
      <c r="D538" s="15" t="s">
        <v>1038</v>
      </c>
      <c r="E538" s="15" t="s">
        <v>1039</v>
      </c>
      <c r="F538" s="15" t="s">
        <v>1040</v>
      </c>
      <c r="G538" s="15" t="s">
        <v>1041</v>
      </c>
      <c r="H538" s="15" t="s">
        <v>1042</v>
      </c>
      <c r="J538" s="14" t="s">
        <v>1043</v>
      </c>
    </row>
    <row r="539" customFormat="false" ht="15" hidden="false" customHeight="false" outlineLevel="1" collapsed="false">
      <c r="A539" s="3" t="s">
        <v>1044</v>
      </c>
      <c r="C539" s="22" t="n">
        <v>1</v>
      </c>
      <c r="D539" s="22" t="n">
        <v>1</v>
      </c>
      <c r="E539" s="22" t="n">
        <v>2</v>
      </c>
      <c r="F539" s="22" t="n">
        <v>2</v>
      </c>
      <c r="G539" s="22" t="n">
        <v>2</v>
      </c>
      <c r="H539" s="22" t="n">
        <v>2</v>
      </c>
      <c r="J539" s="6" t="s">
        <v>1045</v>
      </c>
    </row>
    <row r="540" customFormat="false" ht="15" hidden="false" customHeight="false" outlineLevel="1" collapsed="false">
      <c r="A540" s="3" t="s">
        <v>1046</v>
      </c>
      <c r="C540" s="18" t="n">
        <v>1</v>
      </c>
      <c r="J540" s="6" t="s">
        <v>1047</v>
      </c>
    </row>
    <row r="541" customFormat="false" ht="15" hidden="false" customHeight="false" outlineLevel="1" collapsed="false">
      <c r="A541" s="3" t="s">
        <v>1048</v>
      </c>
      <c r="B541" s="11" t="s">
        <v>63</v>
      </c>
      <c r="C541" s="51" t="n">
        <v>119.796</v>
      </c>
      <c r="J541" s="6" t="s">
        <v>1049</v>
      </c>
    </row>
    <row r="542" customFormat="false" ht="15" hidden="false" customHeight="false" outlineLevel="1" collapsed="false">
      <c r="A542" s="3" t="s">
        <v>1050</v>
      </c>
      <c r="B542" s="11" t="s">
        <v>155</v>
      </c>
      <c r="C542" s="21" t="n">
        <v>1901</v>
      </c>
      <c r="J542" s="6" t="s">
        <v>1051</v>
      </c>
    </row>
    <row r="543" customFormat="false" ht="15" hidden="false" customHeight="false" outlineLevel="1" collapsed="false">
      <c r="A543" s="3" t="s">
        <v>1052</v>
      </c>
      <c r="B543" s="11" t="s">
        <v>63</v>
      </c>
      <c r="C543" s="51"/>
      <c r="D543" s="51"/>
      <c r="E543" s="51"/>
      <c r="F543" s="51"/>
      <c r="G543" s="51"/>
      <c r="H543" s="51"/>
      <c r="J543" s="6" t="s">
        <v>1053</v>
      </c>
    </row>
    <row r="544" customFormat="false" ht="15" hidden="false" customHeight="false" outlineLevel="1" collapsed="false">
      <c r="A544" s="3" t="s">
        <v>1054</v>
      </c>
      <c r="B544" s="11" t="s">
        <v>63</v>
      </c>
      <c r="C544" s="51"/>
      <c r="D544" s="51"/>
      <c r="E544" s="51"/>
      <c r="F544" s="51"/>
      <c r="G544" s="51"/>
      <c r="H544" s="51"/>
    </row>
    <row r="545" customFormat="false" ht="15" hidden="false" customHeight="false" outlineLevel="1" collapsed="false">
      <c r="A545" s="3" t="s">
        <v>1055</v>
      </c>
      <c r="B545" s="11" t="s">
        <v>63</v>
      </c>
      <c r="C545" s="51"/>
      <c r="D545" s="51"/>
      <c r="E545" s="51"/>
      <c r="F545" s="51"/>
      <c r="G545" s="51"/>
      <c r="H545" s="51"/>
    </row>
    <row r="546" customFormat="false" ht="15" hidden="false" customHeight="false" outlineLevel="1" collapsed="false">
      <c r="A546" s="3" t="s">
        <v>1056</v>
      </c>
      <c r="B546" s="11" t="s">
        <v>63</v>
      </c>
      <c r="C546" s="51"/>
      <c r="D546" s="51"/>
      <c r="E546" s="51"/>
      <c r="F546" s="51"/>
      <c r="G546" s="51"/>
      <c r="H546" s="51"/>
    </row>
    <row r="547" customFormat="false" ht="15" hidden="false" customHeight="false" outlineLevel="1" collapsed="false">
      <c r="A547" s="3" t="s">
        <v>1057</v>
      </c>
      <c r="B547" s="11" t="s">
        <v>155</v>
      </c>
      <c r="C547" s="21"/>
      <c r="D547" s="21"/>
      <c r="E547" s="21"/>
      <c r="F547" s="21"/>
      <c r="G547" s="21"/>
      <c r="H547" s="21"/>
    </row>
    <row r="548" customFormat="false" ht="15" hidden="false" customHeight="false" outlineLevel="1" collapsed="false">
      <c r="A548" s="3" t="s">
        <v>1058</v>
      </c>
      <c r="C548" s="27"/>
      <c r="D548" s="27"/>
      <c r="E548" s="27"/>
      <c r="F548" s="27"/>
      <c r="G548" s="27"/>
      <c r="H548" s="27"/>
    </row>
    <row r="549" customFormat="false" ht="15" hidden="false" customHeight="false" outlineLevel="1" collapsed="false">
      <c r="A549" s="3" t="s">
        <v>1059</v>
      </c>
      <c r="C549" s="27"/>
      <c r="D549" s="27"/>
      <c r="E549" s="27"/>
      <c r="F549" s="27"/>
      <c r="G549" s="27"/>
      <c r="H549" s="27"/>
    </row>
    <row r="550" customFormat="false" ht="15" hidden="false" customHeight="false" outlineLevel="1" collapsed="false">
      <c r="A550" s="3" t="s">
        <v>1060</v>
      </c>
      <c r="C550" s="27"/>
      <c r="D550" s="27"/>
      <c r="E550" s="27"/>
      <c r="F550" s="27"/>
      <c r="G550" s="27"/>
      <c r="H550" s="27"/>
    </row>
    <row r="551" customFormat="false" ht="15" hidden="false" customHeight="false" outlineLevel="1" collapsed="false">
      <c r="A551" s="3" t="s">
        <v>1061</v>
      </c>
      <c r="B551" s="11" t="s">
        <v>63</v>
      </c>
      <c r="C551" s="51" t="n">
        <v>195</v>
      </c>
      <c r="D551" s="51" t="n">
        <v>205</v>
      </c>
      <c r="E551" s="51" t="n">
        <v>80.598</v>
      </c>
      <c r="J551" s="11" t="s">
        <v>1062</v>
      </c>
    </row>
  </sheetData>
  <dataValidations count="1">
    <dataValidation allowBlank="false" error="請輸入 1–4" errorStyle="stop" errorTitle="錨定年度" operator="between" showDropDown="false" showErrorMessage="true" showInputMessage="false" sqref="C420" type="whole">
      <formula1>1</formula1>
      <formula2>4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B4C"/>
    <outlinePr summaryBelow="0" summaryRight="1"/>
    <pageSetUpPr fitToPage="false"/>
  </sheetPr>
  <dimension ref="A1:I1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42"/>
    <col collapsed="false" customWidth="true" hidden="false" outlineLevel="0" max="2" min="2" style="0" width="12"/>
    <col collapsed="false" customWidth="true" hidden="false" outlineLevel="0" max="7" min="3" style="0" width="13"/>
    <col collapsed="false" customWidth="true" hidden="false" outlineLevel="0" max="9" min="9" style="0" width="96"/>
  </cols>
  <sheetData>
    <row r="1" customFormat="false" ht="17.35" hidden="false" customHeight="false" outlineLevel="0" collapsed="false">
      <c r="A1" s="5" t="s">
        <v>1063</v>
      </c>
    </row>
    <row r="2" customFormat="false" ht="15" hidden="false" customHeight="false" outlineLevel="0" collapsed="false">
      <c r="A2" s="11" t="s">
        <v>1064</v>
      </c>
    </row>
    <row r="4" customFormat="false" ht="15" hidden="false" customHeight="false" outlineLevel="0" collapsed="false">
      <c r="A4" s="14" t="s">
        <v>57</v>
      </c>
      <c r="B4" s="14" t="s">
        <v>58</v>
      </c>
      <c r="C4" s="28" t="s">
        <v>59</v>
      </c>
      <c r="D4" s="28" t="s">
        <v>60</v>
      </c>
      <c r="E4" s="28" t="s">
        <v>61</v>
      </c>
      <c r="F4" s="28" t="s">
        <v>151</v>
      </c>
      <c r="G4" s="28" t="s">
        <v>152</v>
      </c>
      <c r="I4" s="14" t="s">
        <v>1065</v>
      </c>
    </row>
    <row r="5" customFormat="false" ht="15" hidden="false" customHeight="false" outlineLevel="0" collapsed="false">
      <c r="A5" s="52" t="s">
        <v>1066</v>
      </c>
      <c r="B5" s="8"/>
      <c r="C5" s="8"/>
      <c r="D5" s="8"/>
      <c r="E5" s="8"/>
      <c r="F5" s="8"/>
      <c r="G5" s="8"/>
      <c r="H5" s="8"/>
    </row>
    <row r="6" customFormat="false" ht="15" hidden="false" customHeight="false" outlineLevel="1" collapsed="false">
      <c r="A6" s="3" t="s">
        <v>1067</v>
      </c>
      <c r="B6" s="11" t="s">
        <v>63</v>
      </c>
      <c r="C6" s="32" t="n">
        <f aca="false">輸入與假設!$C$458+輸入與假設!C$312</f>
        <v>200</v>
      </c>
      <c r="D6" s="32" t="n">
        <f aca="false">輸入與假設!D$312</f>
        <v>218.526551448861</v>
      </c>
      <c r="E6" s="32" t="n">
        <f aca="false">輸入與假設!E$312</f>
        <v>227.058542261668</v>
      </c>
      <c r="F6" s="32" t="n">
        <f aca="false">輸入與假設!F$312</f>
        <v>258.17737758614</v>
      </c>
      <c r="G6" s="32" t="n">
        <f aca="false">輸入與假設!G$312</f>
        <v>368.182280211948</v>
      </c>
      <c r="I6" s="11" t="s">
        <v>1068</v>
      </c>
    </row>
    <row r="7" customFormat="false" ht="15" hidden="false" customHeight="false" outlineLevel="1" collapsed="false">
      <c r="A7" s="3" t="s">
        <v>1069</v>
      </c>
      <c r="B7" s="11" t="s">
        <v>42</v>
      </c>
      <c r="C7" s="53" t="n">
        <f aca="false">輸入與假設!C$268</f>
        <v>0</v>
      </c>
      <c r="D7" s="53" t="n">
        <f aca="false">輸入與假設!D$268</f>
        <v>0</v>
      </c>
      <c r="E7" s="53" t="n">
        <f aca="false">輸入與假設!E$268</f>
        <v>0</v>
      </c>
      <c r="F7" s="53" t="n">
        <f aca="false">輸入與假設!F$268</f>
        <v>0</v>
      </c>
      <c r="G7" s="53" t="n">
        <f aca="false">輸入與假設!G$268</f>
        <v>0</v>
      </c>
    </row>
    <row r="8" customFormat="false" ht="15" hidden="false" customHeight="false" outlineLevel="1" collapsed="false">
      <c r="A8" s="3" t="s">
        <v>1070</v>
      </c>
      <c r="B8" s="11" t="s">
        <v>63</v>
      </c>
      <c r="C8" s="32" t="n">
        <f aca="false">輸入與假設!C$288*C7</f>
        <v>0</v>
      </c>
      <c r="D8" s="32" t="n">
        <f aca="false">輸入與假設!D$288*D7</f>
        <v>0</v>
      </c>
      <c r="E8" s="32" t="n">
        <f aca="false">輸入與假設!E$288*E7</f>
        <v>0</v>
      </c>
      <c r="F8" s="32" t="n">
        <f aca="false">輸入與假設!F$288*F7</f>
        <v>0</v>
      </c>
      <c r="G8" s="32" t="n">
        <f aca="false">輸入與假設!G$288*G7</f>
        <v>0</v>
      </c>
      <c r="I8" s="6" t="s">
        <v>1071</v>
      </c>
    </row>
    <row r="9" customFormat="false" ht="15" hidden="false" customHeight="false" outlineLevel="1" collapsed="false">
      <c r="A9" s="3" t="s">
        <v>1072</v>
      </c>
      <c r="B9" s="11" t="s">
        <v>63</v>
      </c>
      <c r="C9" s="32" t="n">
        <f aca="false">輸入與假設!$C$265</f>
        <v>0</v>
      </c>
      <c r="D9" s="32" t="n">
        <f aca="false">C12</f>
        <v>0</v>
      </c>
      <c r="E9" s="32" t="n">
        <f aca="false">D12</f>
        <v>0</v>
      </c>
      <c r="F9" s="32" t="n">
        <f aca="false">E12</f>
        <v>0</v>
      </c>
      <c r="G9" s="32" t="n">
        <f aca="false">F12</f>
        <v>0</v>
      </c>
      <c r="I9" s="11" t="s">
        <v>1073</v>
      </c>
    </row>
    <row r="10" customFormat="false" ht="15" hidden="false" customHeight="false" outlineLevel="1" collapsed="false">
      <c r="A10" s="3" t="s">
        <v>1074</v>
      </c>
      <c r="B10" s="11" t="s">
        <v>63</v>
      </c>
      <c r="C10" s="32" t="n">
        <f aca="false">輸入與假設!$C$266*(C9+0.5*C8)*運營_產能與收入!C7</f>
        <v>0</v>
      </c>
      <c r="D10" s="32" t="n">
        <f aca="false">輸入與假設!$C$266*(D9+0.5*D8)*運營_產能與收入!D7</f>
        <v>0</v>
      </c>
      <c r="E10" s="32" t="n">
        <f aca="false">輸入與假設!$C$266*(E9+0.5*E8)*運營_產能與收入!E7</f>
        <v>0</v>
      </c>
      <c r="F10" s="32" t="n">
        <f aca="false">輸入與假設!$C$266*(F9+0.5*F8)*運營_產能與收入!F7</f>
        <v>0</v>
      </c>
      <c r="G10" s="32" t="n">
        <f aca="false">輸入與假設!$C$266*(G9+0.5*G8)*運營_產能與收入!G7</f>
        <v>0</v>
      </c>
      <c r="I10" s="6" t="s">
        <v>1075</v>
      </c>
    </row>
    <row r="11" customFormat="false" ht="15" hidden="false" customHeight="false" outlineLevel="1" collapsed="false">
      <c r="A11" s="3" t="s">
        <v>1076</v>
      </c>
      <c r="B11" s="11" t="s">
        <v>63</v>
      </c>
      <c r="C11" s="32" t="n">
        <f aca="false">MIN(C9+C10,(C9+C10)/輸入與假設!$C$264*運營_產能與收入!C7)</f>
        <v>0</v>
      </c>
      <c r="D11" s="32" t="n">
        <f aca="false">MIN(D9+D10,(D9+D10)/輸入與假設!$C$264*運營_產能與收入!D7)</f>
        <v>0</v>
      </c>
      <c r="E11" s="32" t="n">
        <f aca="false">MIN(E9+E10,(E9+E10)/輸入與假設!$C$264*運營_產能與收入!E7)</f>
        <v>0</v>
      </c>
      <c r="F11" s="32" t="n">
        <f aca="false">MIN(F9+F10,(F9+F10)/輸入與假設!$C$264*運營_產能與收入!F7)</f>
        <v>0</v>
      </c>
      <c r="G11" s="32" t="n">
        <f aca="false">MIN(G9+G10,(G9+G10)/輸入與假設!$C$264*運營_產能與收入!G7)</f>
        <v>0</v>
      </c>
      <c r="I11" s="6" t="s">
        <v>1077</v>
      </c>
    </row>
    <row r="12" customFormat="false" ht="15" hidden="false" customHeight="false" outlineLevel="1" collapsed="false">
      <c r="A12" s="3" t="s">
        <v>1078</v>
      </c>
      <c r="B12" s="11" t="s">
        <v>63</v>
      </c>
      <c r="C12" s="32" t="n">
        <f aca="false">C9+C8+C10-C11</f>
        <v>0</v>
      </c>
      <c r="D12" s="32" t="n">
        <f aca="false">D9+D8+D10-D11</f>
        <v>0</v>
      </c>
      <c r="E12" s="32" t="n">
        <f aca="false">E9+E8+E10-E11</f>
        <v>0</v>
      </c>
      <c r="F12" s="32" t="n">
        <f aca="false">F9+F8+F10-F11</f>
        <v>0</v>
      </c>
      <c r="G12" s="32" t="n">
        <f aca="false">G9+G8+G10-G11</f>
        <v>0</v>
      </c>
      <c r="I12" s="6" t="s">
        <v>1079</v>
      </c>
    </row>
    <row r="13" customFormat="false" ht="15" hidden="false" customHeight="false" outlineLevel="1" collapsed="false">
      <c r="A13" s="4" t="s">
        <v>1080</v>
      </c>
      <c r="B13" s="11" t="s">
        <v>63</v>
      </c>
      <c r="C13" s="32" t="n">
        <f aca="false">輸入與假設!$C$457+輸入與假設!C$312</f>
        <v>200</v>
      </c>
      <c r="D13" s="32" t="n">
        <f aca="false">輸入與假設!D$312</f>
        <v>218.526551448861</v>
      </c>
      <c r="E13" s="32" t="n">
        <f aca="false">輸入與假設!E$312</f>
        <v>227.058542261668</v>
      </c>
      <c r="F13" s="32" t="n">
        <f aca="false">輸入與假設!F$312</f>
        <v>258.17737758614</v>
      </c>
      <c r="G13" s="32" t="n">
        <f aca="false">輸入與假設!G$312</f>
        <v>368.182280211948</v>
      </c>
      <c r="I13" s="11" t="s">
        <v>1081</v>
      </c>
    </row>
    <row r="14" customFormat="false" ht="15" hidden="false" customHeight="false" outlineLevel="1" collapsed="false">
      <c r="A14" s="3" t="s">
        <v>1082</v>
      </c>
      <c r="B14" s="11" t="s">
        <v>63</v>
      </c>
      <c r="C14" s="39" t="n">
        <f aca="false">輸入與假設!C$269</f>
        <v>2.042</v>
      </c>
      <c r="D14" s="39" t="n">
        <f aca="false">輸入與假設!D$269</f>
        <v>3.885</v>
      </c>
      <c r="E14" s="39" t="n">
        <f aca="false">輸入與假設!E$269</f>
        <v>3.356</v>
      </c>
      <c r="F14" s="39" t="n">
        <f aca="false">輸入與假設!F$269</f>
        <v>2.932</v>
      </c>
      <c r="G14" s="39" t="n">
        <f aca="false">輸入與假設!G$269</f>
        <v>2.331</v>
      </c>
      <c r="I14" s="6" t="s">
        <v>1083</v>
      </c>
    </row>
    <row r="15" customFormat="false" ht="15" hidden="false" customHeight="false" outlineLevel="1" collapsed="false">
      <c r="A15" s="3" t="s">
        <v>1084</v>
      </c>
      <c r="B15" s="11" t="s">
        <v>63</v>
      </c>
      <c r="C15" s="39" t="n">
        <f aca="false">運營_產能與收入!C59</f>
        <v>0.193636363636364</v>
      </c>
      <c r="D15" s="39" t="n">
        <f aca="false">運營_產能與收入!D59</f>
        <v>1.16181818181818</v>
      </c>
      <c r="E15" s="39" t="n">
        <f aca="false">運營_產能與收入!E59</f>
        <v>2.19454545454545</v>
      </c>
      <c r="F15" s="39" t="n">
        <f aca="false">運營_產能與收入!F59</f>
        <v>3.22727272727273</v>
      </c>
      <c r="G15" s="39" t="n">
        <f aca="false">運營_產能與收入!G59</f>
        <v>4.26</v>
      </c>
      <c r="I15" s="6" t="s">
        <v>1085</v>
      </c>
    </row>
    <row r="16" customFormat="false" ht="15" hidden="false" customHeight="false" outlineLevel="1" collapsed="false">
      <c r="A16" s="3" t="s">
        <v>1086</v>
      </c>
      <c r="B16" s="11" t="s">
        <v>63</v>
      </c>
      <c r="C16" s="32" t="n">
        <f aca="false">輸入與假設!C$272+C15*輸入與假設!$C$273</f>
        <v>0.230313756363636</v>
      </c>
      <c r="D16" s="32" t="n">
        <f aca="false">輸入與假設!D$272+D15*輸入與假設!$C$273</f>
        <v>0.532882538181818</v>
      </c>
      <c r="E16" s="32" t="n">
        <f aca="false">輸入與假設!E$272+E15*輸入與假設!$C$273</f>
        <v>0.652555905454545</v>
      </c>
      <c r="F16" s="32" t="n">
        <f aca="false">輸入與假設!F$272+F15*輸入與假設!$C$273</f>
        <v>0.761229272727273</v>
      </c>
      <c r="G16" s="32" t="n">
        <f aca="false">輸入與假設!G$272+G15*輸入與假設!$C$273</f>
        <v>0.81990264</v>
      </c>
      <c r="I16" s="6" t="s">
        <v>1087</v>
      </c>
    </row>
    <row r="17" customFormat="false" ht="15" hidden="false" customHeight="false" outlineLevel="1" collapsed="false">
      <c r="A17" s="3" t="s">
        <v>1088</v>
      </c>
      <c r="B17" s="11" t="s">
        <v>63</v>
      </c>
      <c r="C17" s="39" t="n">
        <f aca="false">輸入與假設!C$352</f>
        <v>2.01268256759658</v>
      </c>
      <c r="D17" s="39" t="n">
        <f aca="false">輸入與假設!D$352</f>
        <v>3.96503593798289</v>
      </c>
      <c r="E17" s="39" t="n">
        <f aca="false">輸入與假設!E$352</f>
        <v>3.8911125616679</v>
      </c>
      <c r="F17" s="39" t="n">
        <f aca="false">輸入與假設!F$352</f>
        <v>3.80182534979671</v>
      </c>
      <c r="G17" s="39" t="n">
        <f aca="false">輸入與假設!G$352</f>
        <v>3.62184324478607</v>
      </c>
      <c r="I17" s="6" t="str">
        <f aca="false">"6/30 債務餘額的利息。2026 全年利息＝1H 實際 1.811＋2H "&amp;TEXT(C17,"0.0")&amp;"＝"&amp;TEXT(1.811+C17,"0.00")&amp;"（見下方備忘）"</f>
        <v>6/30 債務餘額的利息。2026 全年利息＝1H 實際 1.811＋2H 2.0＝3.82（見下方備忘）</v>
      </c>
    </row>
    <row r="18" customFormat="false" ht="15" hidden="false" customHeight="false" outlineLevel="1" collapsed="false">
      <c r="A18" s="3" t="s">
        <v>1089</v>
      </c>
      <c r="B18" s="11" t="s">
        <v>63</v>
      </c>
      <c r="C18" s="32" t="n">
        <f aca="false">輸入與假設!$C$455</f>
        <v>120.53</v>
      </c>
      <c r="D18" s="32" t="n">
        <f aca="false">C56</f>
        <v>128.121462806694</v>
      </c>
      <c r="E18" s="32" t="n">
        <f aca="false">D56</f>
        <v>102.840348550017</v>
      </c>
      <c r="F18" s="32" t="n">
        <f aca="false">E56</f>
        <v>105.704996839912</v>
      </c>
      <c r="G18" s="32" t="n">
        <f aca="false">F56</f>
        <v>118.76051173717</v>
      </c>
      <c r="I18" s="11" t="s">
        <v>1090</v>
      </c>
    </row>
    <row r="19" customFormat="false" ht="15" hidden="false" customHeight="false" outlineLevel="1" collapsed="false">
      <c r="A19" s="3" t="s">
        <v>1091</v>
      </c>
      <c r="B19" s="11" t="s">
        <v>42</v>
      </c>
      <c r="C19" s="38" t="n">
        <f aca="false">IF(輸入與假設!$C$345=1,輸入與假設!C$351+MAX(0,輸入與假設!$C$344-450)/100*0.004,輸入與假設!C$351)</f>
        <v>0.05</v>
      </c>
      <c r="D19" s="38" t="n">
        <f aca="false">IF(輸入與假設!$C$345=1,輸入與假設!D$351+MAX(0,輸入與假設!$C$344-450)/100*0.004,輸入與假設!D$351)</f>
        <v>0.05</v>
      </c>
      <c r="E19" s="38" t="n">
        <f aca="false">IF(輸入與假設!$C$345=1,輸入與假設!E$351+MAX(0,輸入與假設!$C$344-450)/100*0.004,輸入與假設!E$351)</f>
        <v>0.05</v>
      </c>
      <c r="F19" s="38" t="n">
        <f aca="false">IF(輸入與假設!$C$345=1,輸入與假設!F$351+MAX(0,輸入與假設!$C$344-450)/100*0.004,輸入與假設!F$351)</f>
        <v>0.05</v>
      </c>
      <c r="G19" s="38" t="n">
        <f aca="false">IF(輸入與假設!$C$345=1,輸入與假設!G$351+MAX(0,輸入與假設!$C$344-450)/100*0.004,輸入與假設!G$351)</f>
        <v>0.05</v>
      </c>
      <c r="I19" s="11" t="s">
        <v>1092</v>
      </c>
    </row>
    <row r="20" customFormat="false" ht="15" hidden="false" customHeight="false" outlineLevel="1" collapsed="false">
      <c r="A20" s="3" t="s">
        <v>1093</v>
      </c>
      <c r="B20" s="11" t="s">
        <v>63</v>
      </c>
      <c r="C20" s="32" t="n">
        <f aca="false">C94</f>
        <v>0</v>
      </c>
      <c r="D20" s="32" t="n">
        <f aca="false">D94</f>
        <v>0</v>
      </c>
      <c r="E20" s="32" t="n">
        <f aca="false">E94</f>
        <v>0</v>
      </c>
      <c r="F20" s="32" t="n">
        <f aca="false">F94</f>
        <v>0</v>
      </c>
      <c r="G20" s="32" t="n">
        <f aca="false">G94</f>
        <v>0</v>
      </c>
      <c r="I20" s="6" t="s">
        <v>1094</v>
      </c>
    </row>
    <row r="21" customFormat="false" ht="15" hidden="false" customHeight="false" outlineLevel="1" collapsed="false">
      <c r="A21" s="3" t="s">
        <v>1095</v>
      </c>
      <c r="B21" s="11" t="s">
        <v>63</v>
      </c>
      <c r="C21" s="32" t="n">
        <f aca="false">C17+C20</f>
        <v>2.01268256759658</v>
      </c>
      <c r="D21" s="32" t="n">
        <f aca="false">D17+D20</f>
        <v>3.96503593798289</v>
      </c>
      <c r="E21" s="32" t="n">
        <f aca="false">E17+E20</f>
        <v>3.8911125616679</v>
      </c>
      <c r="F21" s="32" t="n">
        <f aca="false">F17+F20</f>
        <v>3.80182534979671</v>
      </c>
      <c r="G21" s="32" t="n">
        <f aca="false">G17+G20</f>
        <v>3.62184324478607</v>
      </c>
    </row>
    <row r="22" customFormat="false" ht="15" hidden="false" customHeight="false" outlineLevel="1" collapsed="false">
      <c r="A22" s="4" t="s">
        <v>1096</v>
      </c>
      <c r="B22" s="11" t="s">
        <v>63</v>
      </c>
      <c r="C22" s="32" t="n">
        <f aca="false">輸入與假設!$C$459+輸入與假設!C$276</f>
        <v>57.662222</v>
      </c>
      <c r="D22" s="32" t="n">
        <f aca="false">輸入與假設!D$276</f>
        <v>4.444444</v>
      </c>
      <c r="E22" s="32" t="n">
        <f aca="false">輸入與假設!E$276</f>
        <v>4.444444</v>
      </c>
      <c r="F22" s="32" t="n">
        <f aca="false">輸入與假設!F$276</f>
        <v>4.444444</v>
      </c>
      <c r="G22" s="32" t="n">
        <f aca="false">輸入與假設!G$276</f>
        <v>4.444444</v>
      </c>
      <c r="I22" s="11" t="s">
        <v>1097</v>
      </c>
    </row>
    <row r="23" customFormat="false" ht="15" hidden="false" customHeight="false" outlineLevel="1" collapsed="false">
      <c r="A23" s="3" t="s">
        <v>1098</v>
      </c>
      <c r="B23" s="11" t="s">
        <v>63</v>
      </c>
      <c r="C23" s="32" t="n">
        <f aca="false">輸入與假設!$C$474+4*輸入與假設!$C$326*(1+輸入與假設!$C$327)^0*運營_產能與收入!C7*(輸入與假設!$C$328+0+SUMPRODUCT(資產負債_既有債務!$D$27:$D$27*資產負債_既有債務!$H$23:$H$23*(資產負債_既有債務!$G$23:$G$23&lt;0)))+輸入與假設!C$349</f>
        <v>11.1472</v>
      </c>
      <c r="D23" s="32" t="n">
        <f aca="false">4*輸入與假設!$C$326*(1+輸入與假設!$C$327)^1*運營_產能與收入!D7*(輸入與假設!$C$328+C97+SUMPRODUCT(資產負債_既有債務!$D$27:$D$27*資產負債_既有債務!$H$23:$H$23*(資產負債_既有債務!$G$23:$G$23&lt;1)))+輸入與假設!D$349</f>
        <v>12.4811080570613</v>
      </c>
      <c r="E23" s="32" t="n">
        <f aca="false">4*輸入與假設!$C$326*(1+輸入與假設!$C$327)^2*運營_產能與收入!E7*(輸入與假設!$C$328+D97+SUMPRODUCT(資產負債_既有債務!$D$27:$D$27*資產負債_既有債務!$H$23:$H$23*(資產負債_既有債務!$G$23:$G$23&lt;2)))+輸入與假設!E$349</f>
        <v>12.9979483797432</v>
      </c>
      <c r="F23" s="32" t="n">
        <f aca="false">4*輸入與假設!$C$326*(1+輸入與假設!$C$327)^3*運營_產能與收入!F7*(輸入與假設!$C$328+E97+SUMPRODUCT(資產負債_既有債務!$D$27:$D$27*資產負債_既有債務!$H$23:$H$23*(資產負債_既有債務!$G$23:$G$23&lt;3)))+輸入與假設!F$349</f>
        <v>12.9372774645506</v>
      </c>
      <c r="G23" s="32" t="n">
        <f aca="false">4*輸入與假設!$C$326*(1+輸入與假設!$C$327)^4*運營_產能與收入!G7*(輸入與假設!$C$328+F97+SUMPRODUCT(資產負債_既有債務!$D$27:$D$27*資產負債_既有債務!$H$23:$H$23*(資產負債_既有債務!$G$23:$G$23&lt;4)))+輸入與假設!G$349</f>
        <v>12.9585554107918</v>
      </c>
      <c r="I23" s="6" t="s">
        <v>1099</v>
      </c>
    </row>
    <row r="24" customFormat="false" ht="15" hidden="false" customHeight="false" outlineLevel="1" collapsed="false">
      <c r="A24" s="3" t="s">
        <v>1100</v>
      </c>
      <c r="B24" s="11" t="s">
        <v>63</v>
      </c>
      <c r="C24" s="32" t="n">
        <f aca="false">輸入與假設!$C$476+C76</f>
        <v>8.5015</v>
      </c>
      <c r="D24" s="32" t="n">
        <f aca="false">D76</f>
        <v>17.003</v>
      </c>
      <c r="E24" s="32" t="n">
        <f aca="false">E76</f>
        <v>17.003</v>
      </c>
      <c r="F24" s="32" t="n">
        <f aca="false">F76</f>
        <v>17.003</v>
      </c>
      <c r="G24" s="32" t="n">
        <f aca="false">G76</f>
        <v>17.003</v>
      </c>
      <c r="I24" s="11" t="s">
        <v>1101</v>
      </c>
    </row>
    <row r="25" customFormat="false" ht="15" hidden="false" customHeight="false" outlineLevel="1" collapsed="false">
      <c r="A25" s="3" t="s">
        <v>1102</v>
      </c>
      <c r="B25" s="11" t="s">
        <v>63</v>
      </c>
      <c r="C25" s="32" t="n">
        <f aca="false">IF(輸入與假設!$C$242=1,運營_產能與收入!C9*8760*輸入與假設!C$244*輸入與假設!C$243/1000000000*運營_產能與收入!C7,0)</f>
        <v>0</v>
      </c>
      <c r="D25" s="32" t="n">
        <f aca="false">IF(輸入與假設!$C$242=1,運營_產能與收入!D9*8760*輸入與假設!D$244*輸入與假設!D$243/1000000000*運營_產能與收入!D7,0)</f>
        <v>0</v>
      </c>
      <c r="E25" s="32" t="n">
        <f aca="false">IF(輸入與假設!$C$242=1,運營_產能與收入!E9*8760*輸入與假設!E$244*輸入與假設!E$243/1000000000*運營_產能與收入!E7,0)</f>
        <v>0</v>
      </c>
      <c r="F25" s="32" t="n">
        <f aca="false">IF(輸入與假設!$C$242=1,運營_產能與收入!F9*8760*輸入與假設!F$244*輸入與假設!F$243/1000000000*運營_產能與收入!F7,0)</f>
        <v>0</v>
      </c>
      <c r="G25" s="32" t="n">
        <f aca="false">IF(輸入與假設!$C$242=1,運營_產能與收入!G9*8760*輸入與假設!G$244*輸入與假設!G$243/1000000000*運營_產能與收入!G7,0)</f>
        <v>0</v>
      </c>
      <c r="I25" s="6" t="s">
        <v>1103</v>
      </c>
    </row>
    <row r="26" customFormat="false" ht="15" hidden="false" customHeight="false" outlineLevel="1" collapsed="false">
      <c r="A26" s="3" t="s">
        <v>1104</v>
      </c>
      <c r="B26" s="11" t="s">
        <v>63</v>
      </c>
      <c r="C26" s="32" t="n">
        <f aca="false">IF(輸入與假設!$C$242=1,運營_產能與收入!C9*輸入與假設!C$245/1000*運營_產能與收入!C7,0)</f>
        <v>0</v>
      </c>
      <c r="D26" s="32" t="n">
        <f aca="false">IF(輸入與假設!$C$242=1,運營_產能與收入!D9*輸入與假設!D$245/1000*運營_產能與收入!D7,0)</f>
        <v>0</v>
      </c>
      <c r="E26" s="32" t="n">
        <f aca="false">IF(輸入與假設!$C$242=1,運營_產能與收入!E9*輸入與假設!E$245/1000*運營_產能與收入!E7,0)</f>
        <v>0</v>
      </c>
      <c r="F26" s="32" t="n">
        <f aca="false">IF(輸入與假設!$C$242=1,運營_產能與收入!F9*輸入與假設!F$245/1000*運營_產能與收入!F7,0)</f>
        <v>0</v>
      </c>
      <c r="G26" s="32" t="n">
        <f aca="false">IF(輸入與假設!$C$242=1,運營_產能與收入!G9*輸入與假設!G$245/1000*運營_產能與收入!G7,0)</f>
        <v>0</v>
      </c>
    </row>
    <row r="27" customFormat="false" ht="15" hidden="false" customHeight="false" outlineLevel="1" collapsed="false">
      <c r="A27" s="3" t="s">
        <v>1105</v>
      </c>
      <c r="B27" s="11" t="s">
        <v>63</v>
      </c>
      <c r="C27" s="32" t="n">
        <f aca="false">輸入與假設!$C$461+IF(輸入與假設!$C$321=1,輸入與假設!C$350,0)+資產負債_既有債務!C38</f>
        <v>7.253</v>
      </c>
      <c r="D27" s="32" t="n">
        <f aca="false">IF(輸入與假設!$C$321=1,輸入與假設!D$350,0)+資產負債_既有債務!D38</f>
        <v>1</v>
      </c>
      <c r="E27" s="32" t="n">
        <f aca="false">IF(輸入與假設!$C$321=1,輸入與假設!E$350,0)+資產負債_既有債務!E38</f>
        <v>2.676</v>
      </c>
      <c r="F27" s="32" t="n">
        <f aca="false">IF(輸入與假設!$C$321=1,輸入與假設!F$350,0)+資產負債_既有債務!F38</f>
        <v>1.764</v>
      </c>
      <c r="G27" s="32" t="n">
        <f aca="false">IF(輸入與假設!$C$321=1,輸入與假設!G$350,0)+資產負債_既有債務!G38</f>
        <v>7.186</v>
      </c>
      <c r="I27" s="11" t="s">
        <v>1106</v>
      </c>
    </row>
    <row r="28" customFormat="false" ht="15" hidden="false" customHeight="false" outlineLevel="1" collapsed="false">
      <c r="A28" s="4" t="s">
        <v>1107</v>
      </c>
      <c r="B28" s="11" t="s">
        <v>63</v>
      </c>
      <c r="C28" s="32" t="n">
        <f aca="false">輸入與假設!$C$462</f>
        <v>1.011</v>
      </c>
      <c r="D28" s="32" t="n">
        <f aca="false">0</f>
        <v>0</v>
      </c>
      <c r="E28" s="32" t="n">
        <f aca="false">0</f>
        <v>0</v>
      </c>
      <c r="F28" s="32" t="n">
        <f aca="false">0</f>
        <v>0</v>
      </c>
      <c r="G28" s="32" t="n">
        <f aca="false">0</f>
        <v>0</v>
      </c>
      <c r="I28" s="6" t="s">
        <v>1108</v>
      </c>
    </row>
    <row r="29" customFormat="false" ht="15" hidden="false" customHeight="false" outlineLevel="1" collapsed="false">
      <c r="A29" s="3" t="s">
        <v>1109</v>
      </c>
      <c r="B29" s="11" t="s">
        <v>63</v>
      </c>
      <c r="C29" s="32" t="n">
        <f aca="false">輸入與假設!$C$343*MAX(0,運營_產能與收入!C38*輸入與假設!C$239+輸入與假設!C$48+輸入與假設!C$230-輸入與假設!C$231-運營_產能與收入!C62-輸入與假設!C$313-輸入與假設!C$352)</f>
        <v>12.4076290920902</v>
      </c>
      <c r="D29" s="32" t="n">
        <f aca="false">輸入與假設!$C$343*MAX(0,運營_產能與收入!D38*輸入與假設!D$239+輸入與假設!D$48+輸入與假設!D$230-輸入與假設!D$231-運營_產能與收入!D62-輸入與假設!D$313-輸入與假設!D$352)</f>
        <v>24.1595127428043</v>
      </c>
      <c r="E29" s="32" t="n">
        <f aca="false">輸入與假設!$C$343*MAX(0,運營_產能與收入!E38*輸入與假設!E$239+輸入與假設!E$48+輸入與假設!E$230-輸入與假設!E$231-運營_產能與收入!E62-輸入與假設!E$313-輸入與假設!E$352)</f>
        <v>24.9353118941193</v>
      </c>
      <c r="F29" s="32" t="n">
        <f aca="false">輸入與假設!$C$343*MAX(0,運營_產能與收入!F38*輸入與假設!F$239+輸入與假設!F$48+輸入與假設!F$230-輸入與假設!F$231-運營_產能與收入!F62-輸入與假設!F$313-輸入與假設!F$352)</f>
        <v>25.9390275949132</v>
      </c>
      <c r="G29" s="32" t="n">
        <f aca="false">輸入與假設!$C$343*MAX(0,運營_產能與收入!G38*輸入與假設!G$239+輸入與假設!G$48+輸入與假設!G$230-輸入與假設!G$231-運營_產能與收入!G62-輸入與假設!G$313-輸入與假設!G$352)</f>
        <v>25.9711086076634</v>
      </c>
      <c r="I29" s="6" t="s">
        <v>1110</v>
      </c>
    </row>
    <row r="30" customFormat="false" ht="15" hidden="false" customHeight="false" outlineLevel="1" collapsed="false">
      <c r="A30" s="2" t="s">
        <v>1111</v>
      </c>
      <c r="B30" s="11" t="s">
        <v>63</v>
      </c>
      <c r="C30" s="42" t="n">
        <f aca="false">C13+C16+C21+C22+C25+C26+C27+C28+C29+C23+C24</f>
        <v>300.22554741605</v>
      </c>
      <c r="D30" s="42" t="n">
        <f aca="false">D13+D16+D21+D22+D25+D26+D27+D28+D29+D23+D24</f>
        <v>282.112534724892</v>
      </c>
      <c r="E30" s="42" t="n">
        <f aca="false">E13+E16+E21+E22+E25+E26+E27+E28+E29+E23+E24</f>
        <v>293.658915002653</v>
      </c>
      <c r="F30" s="42" t="n">
        <f aca="false">F13+F16+F21+F22+F25+F26+F27+F28+F29+F23+F24</f>
        <v>324.828181268128</v>
      </c>
      <c r="G30" s="42" t="n">
        <f aca="false">G13+G16+G21+G22+G25+G26+G27+G28+G29+G23+G24</f>
        <v>440.187134115189</v>
      </c>
      <c r="I30" s="11" t="s">
        <v>1112</v>
      </c>
    </row>
    <row r="31" customFormat="false" ht="15" hidden="false" customHeight="false" outlineLevel="0" collapsed="false">
      <c r="A31" s="52" t="s">
        <v>1113</v>
      </c>
      <c r="B31" s="8"/>
      <c r="C31" s="8"/>
      <c r="D31" s="8"/>
      <c r="E31" s="8"/>
      <c r="F31" s="8"/>
      <c r="G31" s="8"/>
      <c r="H31" s="8"/>
    </row>
    <row r="32" customFormat="false" ht="15" hidden="false" customHeight="false" outlineLevel="1" collapsed="false">
      <c r="A32" s="4" t="s">
        <v>1114</v>
      </c>
      <c r="B32" s="11" t="s">
        <v>63</v>
      </c>
      <c r="C32" s="39" t="n">
        <f aca="false">輸入與假設!$C$456</f>
        <v>84.859</v>
      </c>
      <c r="D32" s="39" t="n">
        <f aca="false">0</f>
        <v>0</v>
      </c>
      <c r="E32" s="39" t="n">
        <f aca="false">0</f>
        <v>0</v>
      </c>
      <c r="F32" s="39" t="n">
        <f aca="false">0</f>
        <v>0</v>
      </c>
      <c r="G32" s="39" t="n">
        <f aca="false">0</f>
        <v>0</v>
      </c>
      <c r="I32" s="6" t="s">
        <v>1115</v>
      </c>
    </row>
    <row r="33" customFormat="false" ht="15" hidden="false" customHeight="false" outlineLevel="1" collapsed="false">
      <c r="A33" s="4" t="s">
        <v>1116</v>
      </c>
      <c r="B33" s="11" t="s">
        <v>63</v>
      </c>
      <c r="C33" s="39" t="n">
        <f aca="false">運營_產能與收入!C40</f>
        <v>0</v>
      </c>
      <c r="D33" s="39" t="n">
        <f aca="false">運營_產能與收入!D40</f>
        <v>0</v>
      </c>
      <c r="E33" s="39" t="n">
        <f aca="false">運營_產能與收入!E40</f>
        <v>0</v>
      </c>
      <c r="F33" s="39" t="n">
        <f aca="false">運營_產能與收入!F40</f>
        <v>0</v>
      </c>
      <c r="G33" s="39" t="n">
        <f aca="false">運營_產能與收入!G40</f>
        <v>0</v>
      </c>
    </row>
    <row r="34" customFormat="false" ht="15" hidden="false" customHeight="false" outlineLevel="1" collapsed="false">
      <c r="A34" s="3" t="s">
        <v>1117</v>
      </c>
      <c r="B34" s="11" t="s">
        <v>63</v>
      </c>
      <c r="C34" s="39" t="n">
        <f aca="false">運營_產能與收入!C41</f>
        <v>11.1235216188824</v>
      </c>
      <c r="D34" s="39" t="n">
        <f aca="false">運營_產能與收入!D41</f>
        <v>32.123393741955</v>
      </c>
      <c r="E34" s="39" t="n">
        <f aca="false">運營_產能與收入!E41</f>
        <v>44.8999299062734</v>
      </c>
      <c r="F34" s="39" t="n">
        <f aca="false">運營_產能與收入!F41</f>
        <v>57.7377947719511</v>
      </c>
      <c r="G34" s="39" t="n">
        <f aca="false">運營_產能與收入!G41</f>
        <v>70.6051122863379</v>
      </c>
    </row>
    <row r="35" customFormat="false" ht="15" hidden="false" customHeight="false" outlineLevel="1" collapsed="false">
      <c r="A35" s="3" t="s">
        <v>1118</v>
      </c>
      <c r="B35" s="11" t="s">
        <v>63</v>
      </c>
      <c r="C35" s="39" t="n">
        <f aca="false">輸入與假設!C$240</f>
        <v>0</v>
      </c>
      <c r="D35" s="39" t="n">
        <f aca="false">輸入與假設!D$240</f>
        <v>0</v>
      </c>
      <c r="E35" s="39" t="n">
        <f aca="false">輸入與假設!E$240</f>
        <v>0</v>
      </c>
      <c r="F35" s="39" t="n">
        <f aca="false">輸入與假設!F$240</f>
        <v>0</v>
      </c>
      <c r="G35" s="39" t="n">
        <f aca="false">輸入與假設!G$240</f>
        <v>0</v>
      </c>
    </row>
    <row r="36" customFormat="false" ht="15" hidden="false" customHeight="false" outlineLevel="1" collapsed="false">
      <c r="A36" s="4" t="s">
        <v>1119</v>
      </c>
      <c r="B36" s="11" t="s">
        <v>63</v>
      </c>
      <c r="C36" s="39" t="n">
        <f aca="false">輸入與假設!C$48</f>
        <v>-2.76</v>
      </c>
      <c r="D36" s="39" t="n">
        <f aca="false">輸入與假設!D$48</f>
        <v>-11.04</v>
      </c>
      <c r="E36" s="39" t="n">
        <f aca="false">輸入與假設!E$48</f>
        <v>-11.04</v>
      </c>
      <c r="F36" s="39" t="n">
        <f aca="false">輸入與假設!F$48</f>
        <v>-5.52</v>
      </c>
      <c r="G36" s="39" t="n">
        <f aca="false">輸入與假設!G$48</f>
        <v>0</v>
      </c>
      <c r="I36" s="6" t="s">
        <v>1120</v>
      </c>
    </row>
    <row r="37" customFormat="false" ht="15" hidden="false" customHeight="false" outlineLevel="1" collapsed="false">
      <c r="A37" s="4" t="s">
        <v>1121</v>
      </c>
      <c r="B37" s="11" t="s">
        <v>63</v>
      </c>
      <c r="C37" s="39" t="n">
        <f aca="false">輸入與假設!C$230-輸入與假設!C$231</f>
        <v>91.9733087136481</v>
      </c>
      <c r="D37" s="39" t="n">
        <f aca="false">輸入與假設!D$230-輸入與假設!D$231</f>
        <v>198.060553614941</v>
      </c>
      <c r="E37" s="39" t="n">
        <f aca="false">輸入與假設!E$230-輸入與假設!E$231</f>
        <v>219.114314240661</v>
      </c>
      <c r="F37" s="39" t="n">
        <f aca="false">輸入與假設!F$230-輸入與假設!F$231</f>
        <v>236.722438828359</v>
      </c>
      <c r="G37" s="39" t="n">
        <f aca="false">輸入與假設!G$230-輸入與假設!G$231</f>
        <v>249.032200893404</v>
      </c>
      <c r="I37" s="6" t="s">
        <v>1122</v>
      </c>
    </row>
    <row r="38" customFormat="false" ht="15" hidden="false" customHeight="false" outlineLevel="1" collapsed="false">
      <c r="A38" s="4" t="s">
        <v>1123</v>
      </c>
      <c r="B38" s="11" t="s">
        <v>63</v>
      </c>
      <c r="C38" s="32" t="n">
        <f aca="false">-運營_產能與收入!C62</f>
        <v>-0</v>
      </c>
      <c r="D38" s="32" t="n">
        <f aca="false">-運營_產能與收入!D62</f>
        <v>-0</v>
      </c>
      <c r="E38" s="32" t="n">
        <f aca="false">-運營_產能與收入!E62</f>
        <v>-0</v>
      </c>
      <c r="F38" s="32" t="n">
        <f aca="false">-運營_產能與收入!F62</f>
        <v>-0</v>
      </c>
      <c r="G38" s="32" t="n">
        <f aca="false">-運營_產能與收入!G62</f>
        <v>-0</v>
      </c>
      <c r="I38" s="6" t="s">
        <v>1124</v>
      </c>
    </row>
    <row r="39" customFormat="false" ht="15" hidden="false" customHeight="false" outlineLevel="1" collapsed="false">
      <c r="A39" s="4" t="s">
        <v>1125</v>
      </c>
      <c r="B39" s="11" t="s">
        <v>63</v>
      </c>
      <c r="C39" s="32" t="n">
        <f aca="false">輸入與假設!$C$49*(運營_產能與收入!C38+輸入與假設!C$229)</f>
        <v>16.5761798902142</v>
      </c>
      <c r="D39" s="32" t="n">
        <f aca="false">輸入與假設!$C$49*(運營_產能與收入!D38+輸入與假設!D$229)</f>
        <v>37.6874731113192</v>
      </c>
      <c r="E39" s="32" t="n">
        <f aca="false">輸入與假設!$C$49*(運營_產能與收入!E38+輸入與假設!E$229)</f>
        <v>43.5493191456132</v>
      </c>
      <c r="F39" s="32" t="n">
        <f aca="false">輸入與假設!$C$49*(運營_產能與收入!F38+輸入與假設!F$229)</f>
        <v>48.9434625650759</v>
      </c>
      <c r="G39" s="32" t="n">
        <f aca="false">輸入與假設!$C$49*(運營_產能與收入!G38+輸入與假設!G$229)</f>
        <v>53.3917244555788</v>
      </c>
      <c r="I39" s="6" t="s">
        <v>1126</v>
      </c>
    </row>
    <row r="40" customFormat="false" ht="15" hidden="false" customHeight="false" outlineLevel="1" collapsed="false">
      <c r="A40" s="4" t="s">
        <v>1127</v>
      </c>
      <c r="B40" s="11" t="s">
        <v>63</v>
      </c>
      <c r="C40" s="32" t="n">
        <f aca="false">IF(ISBLANK(輸入與假設!$C$50),0,輸入與假設!$C$50)</f>
        <v>8.49</v>
      </c>
      <c r="D40" s="32" t="n">
        <f aca="false">0</f>
        <v>0</v>
      </c>
      <c r="E40" s="32" t="n">
        <f aca="false">0</f>
        <v>0</v>
      </c>
      <c r="F40" s="32" t="n">
        <f aca="false">0</f>
        <v>0</v>
      </c>
      <c r="G40" s="32" t="n">
        <f aca="false">0</f>
        <v>0</v>
      </c>
      <c r="I40" s="11" t="s">
        <v>1128</v>
      </c>
    </row>
    <row r="41" customFormat="false" ht="15" hidden="false" customHeight="false" outlineLevel="1" collapsed="false">
      <c r="A41" s="3" t="s">
        <v>1129</v>
      </c>
      <c r="B41" s="11" t="s">
        <v>63</v>
      </c>
      <c r="C41" s="32" t="n">
        <f aca="false">C8</f>
        <v>0</v>
      </c>
      <c r="D41" s="32" t="n">
        <f aca="false">D8</f>
        <v>0</v>
      </c>
      <c r="E41" s="32" t="n">
        <f aca="false">E8</f>
        <v>0</v>
      </c>
      <c r="F41" s="32" t="n">
        <f aca="false">F8</f>
        <v>0</v>
      </c>
      <c r="G41" s="32" t="n">
        <f aca="false">G8</f>
        <v>0</v>
      </c>
    </row>
    <row r="42" customFormat="false" ht="15" hidden="false" customHeight="false" outlineLevel="1" collapsed="false">
      <c r="A42" s="4" t="s">
        <v>1130</v>
      </c>
      <c r="B42" s="11" t="s">
        <v>63</v>
      </c>
      <c r="C42" s="32" t="n">
        <f aca="false">-C11</f>
        <v>-0</v>
      </c>
      <c r="D42" s="32" t="n">
        <f aca="false">-D11</f>
        <v>-0</v>
      </c>
      <c r="E42" s="32" t="n">
        <f aca="false">-E11</f>
        <v>-0</v>
      </c>
      <c r="F42" s="32" t="n">
        <f aca="false">-F11</f>
        <v>-0</v>
      </c>
      <c r="G42" s="32" t="n">
        <f aca="false">-G11</f>
        <v>-0</v>
      </c>
      <c r="I42" s="6" t="s">
        <v>1131</v>
      </c>
    </row>
    <row r="43" customFormat="false" ht="15" hidden="false" customHeight="false" outlineLevel="1" collapsed="false">
      <c r="A43" s="2" t="s">
        <v>1132</v>
      </c>
      <c r="B43" s="11" t="s">
        <v>63</v>
      </c>
      <c r="C43" s="42" t="n">
        <f aca="false">C32+C33+C34+C35+C36+C37+C38+C39+C40+C41+C42</f>
        <v>210.262010222745</v>
      </c>
      <c r="D43" s="42" t="n">
        <f aca="false">D32+D33+D34+D35+D36+D37+D38+D39+D40+D41+D42</f>
        <v>256.831420468215</v>
      </c>
      <c r="E43" s="42" t="n">
        <f aca="false">E32+E33+E34+E35+E36+E37+E38+E39+E40+E41+E42</f>
        <v>296.523563292548</v>
      </c>
      <c r="F43" s="42" t="n">
        <f aca="false">F32+F33+F34+F35+F36+F37+F38+F39+F40+F41+F42</f>
        <v>337.883696165386</v>
      </c>
      <c r="G43" s="42" t="n">
        <f aca="false">G32+G33+G34+G35+G36+G37+G38+G39+G40+G41+G42</f>
        <v>373.029037635321</v>
      </c>
    </row>
    <row r="44" customFormat="false" ht="15" hidden="false" customHeight="false" outlineLevel="1" collapsed="false">
      <c r="A44" s="2" t="s">
        <v>1133</v>
      </c>
      <c r="B44" s="11" t="s">
        <v>63</v>
      </c>
      <c r="C44" s="42" t="n">
        <f aca="false">C43-C29-C21-C13</f>
        <v>-4.15830143694208</v>
      </c>
      <c r="D44" s="42" t="n">
        <f aca="false">D43-D29-D21-D13</f>
        <v>10.1803203385664</v>
      </c>
      <c r="E44" s="42" t="n">
        <f aca="false">E43-E29-E21-E13</f>
        <v>40.6385965750922</v>
      </c>
      <c r="F44" s="42" t="n">
        <f aca="false">F43-F29-F21-F13</f>
        <v>49.9654656345358</v>
      </c>
      <c r="G44" s="42" t="n">
        <f aca="false">G43-G29-G21-G13</f>
        <v>-24.7461944290768</v>
      </c>
      <c r="I44" s="6" t="s">
        <v>1134</v>
      </c>
    </row>
    <row r="45" customFormat="false" ht="15" hidden="false" customHeight="false" outlineLevel="1" collapsed="false">
      <c r="A45" s="3" t="s">
        <v>1135</v>
      </c>
      <c r="B45" s="11" t="s">
        <v>63</v>
      </c>
      <c r="C45" s="32" t="n">
        <f aca="false">輸入與假設!$C$463+IF(輸入與假設!$C$318=1,輸入與假設!$C$317,0)</f>
        <v>49.562</v>
      </c>
      <c r="D45" s="32" t="n">
        <f aca="false">0</f>
        <v>0</v>
      </c>
      <c r="E45" s="32" t="n">
        <f aca="false">0</f>
        <v>0</v>
      </c>
      <c r="F45" s="32" t="n">
        <f aca="false">0</f>
        <v>0</v>
      </c>
      <c r="G45" s="32" t="n">
        <f aca="false">0</f>
        <v>0</v>
      </c>
      <c r="I45" s="11" t="s">
        <v>1136</v>
      </c>
    </row>
    <row r="46" customFormat="false" ht="15" hidden="false" customHeight="false" outlineLevel="1" collapsed="false">
      <c r="A46" s="4" t="s">
        <v>1137</v>
      </c>
      <c r="B46" s="11" t="s">
        <v>63</v>
      </c>
      <c r="C46" s="39" t="n">
        <f aca="false">輸入與假設!$C$460</f>
        <v>56.226</v>
      </c>
      <c r="D46" s="39" t="n">
        <f aca="false">0</f>
        <v>0</v>
      </c>
      <c r="E46" s="39" t="n">
        <f aca="false">0</f>
        <v>0</v>
      </c>
      <c r="F46" s="39" t="n">
        <f aca="false">0</f>
        <v>0</v>
      </c>
      <c r="G46" s="39" t="n">
        <f aca="false">0</f>
        <v>0</v>
      </c>
      <c r="I46" s="6" t="s">
        <v>1138</v>
      </c>
    </row>
    <row r="47" customFormat="false" ht="15" hidden="false" customHeight="false" outlineLevel="1" collapsed="false">
      <c r="A47" s="3" t="s">
        <v>1139</v>
      </c>
      <c r="B47" s="11" t="s">
        <v>63</v>
      </c>
      <c r="C47" s="32" t="n">
        <f aca="false">C86</f>
        <v>0</v>
      </c>
      <c r="D47" s="32" t="n">
        <f aca="false">D86</f>
        <v>0</v>
      </c>
      <c r="E47" s="32" t="n">
        <f aca="false">E86</f>
        <v>0</v>
      </c>
      <c r="F47" s="32" t="n">
        <f aca="false">F86</f>
        <v>0</v>
      </c>
      <c r="G47" s="32" t="n">
        <f aca="false">G86</f>
        <v>0</v>
      </c>
      <c r="I47" s="6" t="s">
        <v>1140</v>
      </c>
    </row>
    <row r="48" customFormat="false" ht="15" hidden="false" customHeight="false" outlineLevel="1" collapsed="false">
      <c r="A48" s="4" t="s">
        <v>1141</v>
      </c>
      <c r="B48" s="11" t="s">
        <v>63</v>
      </c>
      <c r="C48" s="32" t="n">
        <f aca="false">C89</f>
        <v>0</v>
      </c>
      <c r="D48" s="32" t="n">
        <f aca="false">D89</f>
        <v>0</v>
      </c>
      <c r="E48" s="32" t="n">
        <f aca="false">E89</f>
        <v>0</v>
      </c>
      <c r="F48" s="32" t="n">
        <f aca="false">F89</f>
        <v>0</v>
      </c>
      <c r="G48" s="32" t="n">
        <f aca="false">G89</f>
        <v>0</v>
      </c>
      <c r="I48" s="6" t="s">
        <v>1142</v>
      </c>
    </row>
    <row r="49" customFormat="false" ht="15" hidden="false" customHeight="false" outlineLevel="1" collapsed="false">
      <c r="A49" s="3" t="s">
        <v>1143</v>
      </c>
      <c r="B49" s="11" t="s">
        <v>63</v>
      </c>
      <c r="C49" s="32" t="n">
        <f aca="false">C92</f>
        <v>0</v>
      </c>
      <c r="D49" s="32" t="n">
        <f aca="false">D92</f>
        <v>0</v>
      </c>
      <c r="E49" s="32" t="n">
        <f aca="false">E92</f>
        <v>0</v>
      </c>
      <c r="F49" s="32" t="n">
        <f aca="false">F92</f>
        <v>0</v>
      </c>
      <c r="G49" s="32" t="n">
        <f aca="false">G92</f>
        <v>0</v>
      </c>
      <c r="I49" s="6" t="s">
        <v>1144</v>
      </c>
    </row>
    <row r="50" customFormat="false" ht="15" hidden="false" customHeight="false" outlineLevel="1" collapsed="false">
      <c r="A50" s="3" t="s">
        <v>1145</v>
      </c>
      <c r="B50" s="11" t="s">
        <v>63</v>
      </c>
      <c r="C50" s="32" t="n">
        <f aca="false">C93</f>
        <v>0</v>
      </c>
      <c r="D50" s="32" t="n">
        <f aca="false">D93</f>
        <v>0</v>
      </c>
      <c r="E50" s="32" t="n">
        <f aca="false">E93</f>
        <v>0</v>
      </c>
      <c r="F50" s="32" t="n">
        <f aca="false">F93</f>
        <v>0</v>
      </c>
      <c r="G50" s="32" t="n">
        <f aca="false">G93</f>
        <v>0</v>
      </c>
      <c r="I50" s="6" t="s">
        <v>1146</v>
      </c>
    </row>
    <row r="51" customFormat="false" ht="15" hidden="false" customHeight="false" outlineLevel="1" collapsed="false">
      <c r="A51" s="2" t="s">
        <v>1147</v>
      </c>
      <c r="B51" s="11" t="s">
        <v>63</v>
      </c>
      <c r="C51" s="42" t="n">
        <f aca="false">C43+C45+C46+C47+C48+C49+C50</f>
        <v>316.050010222745</v>
      </c>
      <c r="D51" s="42" t="n">
        <f aca="false">D43+D45+D46+D47+D48+D49+D50</f>
        <v>256.831420468215</v>
      </c>
      <c r="E51" s="42" t="n">
        <f aca="false">E43+E45+E46+E47+E48+E49+E50</f>
        <v>296.523563292548</v>
      </c>
      <c r="F51" s="42" t="n">
        <f aca="false">F43+F45+F46+F47+F48+F49+F50</f>
        <v>337.883696165386</v>
      </c>
      <c r="G51" s="42" t="n">
        <f aca="false">G43+G45+G46+G47+G48+G49+G50</f>
        <v>373.029037635321</v>
      </c>
    </row>
    <row r="52" customFormat="false" ht="15" hidden="false" customHeight="false" outlineLevel="0" collapsed="false">
      <c r="A52" s="52" t="s">
        <v>1148</v>
      </c>
      <c r="B52" s="8"/>
      <c r="C52" s="8"/>
      <c r="D52" s="8"/>
      <c r="E52" s="8"/>
      <c r="F52" s="8"/>
      <c r="G52" s="8"/>
      <c r="H52" s="8"/>
    </row>
    <row r="53" customFormat="false" ht="15" hidden="false" customHeight="false" outlineLevel="1" collapsed="false">
      <c r="A53" s="3" t="s">
        <v>1149</v>
      </c>
      <c r="B53" s="11" t="s">
        <v>63</v>
      </c>
      <c r="C53" s="32" t="n">
        <f aca="false">輸入與假設!$C$316-(輸入與假設!$C$455+輸入與假設!$C$456+輸入與假設!$C$460+輸入與假設!$C$463-輸入與假設!$C$457-輸入與假設!$C$459-輸入與假設!$C$461-輸入與假設!$C$462-輸入與假設!$C$474-輸入與假設!$C$476)</f>
        <v>-8.23300000000003</v>
      </c>
      <c r="D53" s="32" t="n">
        <f aca="false">0</f>
        <v>0</v>
      </c>
      <c r="E53" s="32" t="n">
        <f aca="false">0</f>
        <v>0</v>
      </c>
      <c r="F53" s="32" t="n">
        <f aca="false">0</f>
        <v>0</v>
      </c>
      <c r="G53" s="32" t="n">
        <f aca="false">0</f>
        <v>0</v>
      </c>
      <c r="I53" s="6" t="s">
        <v>1150</v>
      </c>
    </row>
    <row r="54" customFormat="false" ht="15" hidden="false" customHeight="false" outlineLevel="1" collapsed="false">
      <c r="A54" s="2" t="s">
        <v>1151</v>
      </c>
      <c r="B54" s="11" t="s">
        <v>63</v>
      </c>
      <c r="C54" s="42" t="n">
        <f aca="false">C43-(C30-C27-C28)</f>
        <v>-81.6995371933058</v>
      </c>
      <c r="D54" s="42" t="n">
        <f aca="false">D43-(D30-D27-D28)</f>
        <v>-24.2811142566767</v>
      </c>
      <c r="E54" s="42" t="n">
        <f aca="false">E43-(E30-E27-E28)</f>
        <v>5.54064828989448</v>
      </c>
      <c r="F54" s="42" t="n">
        <f aca="false">F43-(F30-F27-F28)</f>
        <v>14.8195148972579</v>
      </c>
      <c r="G54" s="42" t="n">
        <f aca="false">G43-(G30-G27-G28)</f>
        <v>-59.9720964798685</v>
      </c>
      <c r="I54" s="6" t="s">
        <v>1152</v>
      </c>
    </row>
    <row r="55" customFormat="false" ht="15" hidden="false" customHeight="false" outlineLevel="1" collapsed="false">
      <c r="A55" s="3" t="s">
        <v>1153</v>
      </c>
      <c r="B55" s="11" t="s">
        <v>63</v>
      </c>
      <c r="C55" s="32" t="n">
        <f aca="false">C51-C30+C53</f>
        <v>7.59146280669418</v>
      </c>
      <c r="D55" s="32" t="n">
        <f aca="false">D51-D30+D53</f>
        <v>-25.2811142566767</v>
      </c>
      <c r="E55" s="32" t="n">
        <f aca="false">E51-E30+E53</f>
        <v>2.86464828989449</v>
      </c>
      <c r="F55" s="32" t="n">
        <f aca="false">F51-F30+F53</f>
        <v>13.0555148972579</v>
      </c>
      <c r="G55" s="32" t="n">
        <f aca="false">G51-G30+G53</f>
        <v>-67.1580964798685</v>
      </c>
    </row>
    <row r="56" customFormat="false" ht="15" hidden="false" customHeight="false" outlineLevel="1" collapsed="false">
      <c r="A56" s="2" t="s">
        <v>1154</v>
      </c>
      <c r="B56" s="11" t="s">
        <v>63</v>
      </c>
      <c r="C56" s="42" t="n">
        <f aca="false">C18+C55</f>
        <v>128.121462806694</v>
      </c>
      <c r="D56" s="42" t="n">
        <f aca="false">D18+D55</f>
        <v>102.840348550017</v>
      </c>
      <c r="E56" s="42" t="n">
        <f aca="false">E18+E55</f>
        <v>105.704996839912</v>
      </c>
      <c r="F56" s="42" t="n">
        <f aca="false">F18+F55</f>
        <v>118.76051173717</v>
      </c>
      <c r="G56" s="42" t="n">
        <f aca="false">G18+G55</f>
        <v>51.6024152573014</v>
      </c>
      <c r="I56" s="6" t="s">
        <v>1155</v>
      </c>
    </row>
    <row r="58" customFormat="false" ht="15" hidden="false" customHeight="false" outlineLevel="0" collapsed="false">
      <c r="A58" s="52" t="s">
        <v>1156</v>
      </c>
      <c r="B58" s="8"/>
      <c r="C58" s="8"/>
      <c r="D58" s="8"/>
      <c r="E58" s="8"/>
      <c r="F58" s="8"/>
      <c r="G58" s="8"/>
      <c r="H58" s="8"/>
    </row>
    <row r="59" customFormat="false" ht="15" hidden="false" customHeight="false" outlineLevel="1" collapsed="false">
      <c r="A59" s="3" t="s">
        <v>1157</v>
      </c>
      <c r="B59" s="11" t="s">
        <v>42</v>
      </c>
      <c r="C59" s="23" t="n">
        <v>0.038</v>
      </c>
      <c r="I59" s="11" t="s">
        <v>1158</v>
      </c>
    </row>
    <row r="60" customFormat="false" ht="15" hidden="false" customHeight="false" outlineLevel="1" collapsed="false">
      <c r="A60" s="3" t="s">
        <v>1159</v>
      </c>
      <c r="B60" s="6" t="s">
        <v>182</v>
      </c>
      <c r="C60" s="25" t="n">
        <v>8</v>
      </c>
      <c r="I60" s="6" t="s">
        <v>1160</v>
      </c>
    </row>
    <row r="61" customFormat="false" ht="15" hidden="false" customHeight="false" outlineLevel="1" collapsed="false">
      <c r="A61" s="3" t="s">
        <v>1161</v>
      </c>
      <c r="B61" s="11" t="s">
        <v>63</v>
      </c>
      <c r="C61" s="32" t="n">
        <f aca="false">輸入與假設!D$269*(1+各期收支!$C$59)^(-(運營_產能與收入!$D$51-運營_產能與收入!$D$7/2-運營_產能與收入!$C$51))+輸入與假設!E$269*(1+各期收支!$C$59)^(-(運營_產能與收入!$E$51-運營_產能與收入!$E$7/2-運營_產能與收入!$C$51))+輸入與假設!F$269*(1+各期收支!$C$59)^(-(運營_產能與收入!$F$51-運營_產能與收入!$F$7/2-運營_產能與收入!$C$51))+輸入與假設!G$269*(1+各期收支!$C$59)^(-(運營_產能與收入!$G$51-運營_產能與收入!$G$7/2-運營_產能與收入!$C$51))+9.707/各期收支!$C$60*(1+各期收支!$C$59)^0.5*(1-(1+各期收支!$C$59)^(-各期收支!$C$60))/各期收支!$C$59*(1+各期收支!$C$59)^(-(運營_產能與收入!$G$51-運營_產能與收入!$C$51))</f>
        <v>18.9325657023888</v>
      </c>
      <c r="D61" s="32" t="n">
        <f aca="false">輸入與假設!E$269*(1+各期收支!$C$59)^(-(運營_產能與收入!$E$51-運營_產能與收入!$E$7/2-運營_產能與收入!$D$51))+輸入與假設!F$269*(1+各期收支!$C$59)^(-(運營_產能與收入!$F$51-運營_產能與收入!$F$7/2-運營_產能與收入!$D$51))+輸入與假設!G$269*(1+各期收支!$C$59)^(-(運營_產能與收入!$G$51-運營_產能與收入!$G$7/2-運營_產能與收入!$D$51))+9.707/各期收支!$C$60*(1+各期收支!$C$59)^0.5*(1-(1+各期收支!$C$59)^(-各期收支!$C$60))/各期收支!$C$59*(1+各期收支!$C$59)^(-(運營_產能與收入!$G$51-運營_產能與收入!$D$51))</f>
        <v>15.6938764262235</v>
      </c>
      <c r="E61" s="32" t="n">
        <f aca="false">輸入與假設!F$269*(1+各期收支!$C$59)^(-(運營_產能與收入!$F$51-運營_產能與收入!$F$7/2-運營_產能與收入!$E$51))+輸入與假設!G$269*(1+各期收支!$C$59)^(-(運營_產能與收入!$G$51-運營_產能與收入!$G$7/2-運營_產能與收入!$E$51))+9.707/各期收支!$C$60*(1+各期收支!$C$59)^0.5*(1-(1+各期收支!$C$59)^(-各期收支!$C$60))/各期收支!$C$59*(1+各期收支!$C$59)^(-(運營_產能與收入!$G$51-運營_產能與收入!$E$51))</f>
        <v>12.8710742452964</v>
      </c>
      <c r="F61" s="32" t="n">
        <f aca="false">輸入與假設!G$269*(1+各期收支!$C$59)^(-(運營_產能與收入!$G$51-運營_產能與收入!$G$7/2-運營_產能與收入!$F$51))+9.707/各期收支!$C$60*(1+各期收支!$C$59)^0.5*(1-(1+各期收支!$C$59)^(-各期收支!$C$60))/各期收支!$C$59*(1+各期收支!$C$59)^(-(運營_產能與收入!$G$51-運營_產能與收入!$F$51))</f>
        <v>10.3729864699603</v>
      </c>
      <c r="G61" s="32" t="n">
        <f aca="false">9.707/各期收支!$C$60*(1+各期收支!$C$59)^0.5*(1-(1+各期收支!$C$59)^(-各期收支!$C$60))/各期收支!$C$59*(1+各期收支!$C$59)^(-(運營_產能與收入!$G$51-運營_產能與收入!$G$51))</f>
        <v>8.39228389210513</v>
      </c>
      <c r="I61" s="6" t="s">
        <v>1162</v>
      </c>
    </row>
    <row r="62" customFormat="false" ht="15" hidden="false" customHeight="false" outlineLevel="1" collapsed="false">
      <c r="A62" s="3" t="s">
        <v>1163</v>
      </c>
      <c r="B62" s="11" t="s">
        <v>63</v>
      </c>
      <c r="C62" s="32" t="n">
        <f aca="false">IF(OR(運營_產能與收入!$C$50&lt;=0,運營_產能與收入!$C$56&lt;=0),1*輸入與假設!$C$19/輸入與假設!$C$21/輸入與假設!$C$22/4/((1+各期收支!$C$59)^0.25-1)*(MIN(MAX(0,輸入與假設!C$270-(輸入與假設!$C$20)),輸入與假設!$C$21)-(1+各期收支!$C$59)^(-(4*輸入與假設!$C$22-MAX(0,輸入與假設!C$270-(輸入與假設!$C$20)))/4)*(1-(1+各期收支!$C$59)^(-MIN(MAX(0,輸入與假設!C$270-(輸入與假設!$C$20)),輸入與假設!$C$21)/4))/(1-(1+各期收支!$C$59)^(-0.25))),(1-運營_產能與收入!$C$56)*輸入與假設!$C$19/輸入與假設!$C$21/輸入與假設!$C$22/4/((1+各期收支!$C$59)^0.25-1)*(MIN(MAX(0,輸入與假設!C$270-(輸入與假設!$C$20)),輸入與假設!$C$21)-(1+各期收支!$C$59)^(-(4*輸入與假設!$C$22-MAX(0,輸入與假設!C$270-(輸入與假設!$C$20)))/4)*(1-(1+各期收支!$C$59)^(-MIN(MAX(0,輸入與假設!C$270-(輸入與假設!$C$20)),輸入與假設!$C$21)/4))/(1-(1+各期收支!$C$59)^(-0.25)))+運營_產能與收入!$C$56*輸入與假設!$C$19/輸入與假設!$C$21/輸入與假設!$C$22/4/((1+各期收支!$C$59)^0.25-1)*(MIN(MAX(0,輸入與假設!C$270-(輸入與假設!$C$20+運營_產能與收入!$C$50/3)),輸入與假設!$C$21)-(1+各期收支!$C$59)^(-(4*輸入與假設!$C$22-MAX(0,輸入與假設!C$270-(輸入與假設!$C$20+運營_產能與收入!$C$50/3)))/4)*(1-(1+各期收支!$C$59)^(-MIN(MAX(0,輸入與假設!C$270-(輸入與假設!$C$20+運營_產能與收入!$C$50/3)),輸入與假設!$C$21)/4))/(1-(1+各期收支!$C$59)^(-0.25))))</f>
        <v>5.79356770907146</v>
      </c>
      <c r="D62" s="32" t="n">
        <f aca="false">IF(OR(運營_產能與收入!$C$50&lt;=0,運營_產能與收入!$C$56&lt;=0),1*輸入與假設!$C$19/輸入與假設!$C$21/輸入與假設!$C$22/4/((1+各期收支!$C$59)^0.25-1)*(MIN(MAX(0,輸入與假設!D$270-(輸入與假設!$C$20)),輸入與假設!$C$21)-(1+各期收支!$C$59)^(-(4*輸入與假設!$C$22-MAX(0,輸入與假設!D$270-(輸入與假設!$C$20)))/4)*(1-(1+各期收支!$C$59)^(-MIN(MAX(0,輸入與假設!D$270-(輸入與假設!$C$20)),輸入與假設!$C$21)/4))/(1-(1+各期收支!$C$59)^(-0.25))),(1-運營_產能與收入!$C$56)*輸入與假設!$C$19/輸入與假設!$C$21/輸入與假設!$C$22/4/((1+各期收支!$C$59)^0.25-1)*(MIN(MAX(0,輸入與假設!D$270-(輸入與假設!$C$20)),輸入與假設!$C$21)-(1+各期收支!$C$59)^(-(4*輸入與假設!$C$22-MAX(0,輸入與假設!D$270-(輸入與假設!$C$20)))/4)*(1-(1+各期收支!$C$59)^(-MIN(MAX(0,輸入與假設!D$270-(輸入與假設!$C$20)),輸入與假設!$C$21)/4))/(1-(1+各期收支!$C$59)^(-0.25)))+運營_產能與收入!$C$56*輸入與假設!$C$19/輸入與假設!$C$21/輸入與假設!$C$22/4/((1+各期收支!$C$59)^0.25-1)*(MIN(MAX(0,輸入與假設!D$270-(輸入與假設!$C$20+運營_產能與收入!$C$50/3)),輸入與假設!$C$21)-(1+各期收支!$C$59)^(-(4*輸入與假設!$C$22-MAX(0,輸入與假設!D$270-(輸入與假設!$C$20+運營_產能與收入!$C$50/3)))/4)*(1-(1+各期收支!$C$59)^(-MIN(MAX(0,輸入與假設!D$270-(輸入與假設!$C$20+運營_產能與收入!$C$50/3)),輸入與假設!$C$21)/4))/(1-(1+各期收支!$C$59)^(-0.25))))</f>
        <v>16.9268544264945</v>
      </c>
      <c r="E62" s="32" t="n">
        <f aca="false">IF(OR(運營_產能與收入!$C$50&lt;=0,運營_產能與收入!$C$56&lt;=0),1*輸入與假設!$C$19/輸入與假設!$C$21/輸入與假設!$C$22/4/((1+各期收支!$C$59)^0.25-1)*(MIN(MAX(0,輸入與假設!E$270-(輸入與假設!$C$20)),輸入與假設!$C$21)-(1+各期收支!$C$59)^(-(4*輸入與假設!$C$22-MAX(0,輸入與假設!E$270-(輸入與假設!$C$20)))/4)*(1-(1+各期收支!$C$59)^(-MIN(MAX(0,輸入與假設!E$270-(輸入與假設!$C$20)),輸入與假設!$C$21)/4))/(1-(1+各期收支!$C$59)^(-0.25))),(1-運營_產能與收入!$C$56)*輸入與假設!$C$19/輸入與假設!$C$21/輸入與假設!$C$22/4/((1+各期收支!$C$59)^0.25-1)*(MIN(MAX(0,輸入與假設!E$270-(輸入與假設!$C$20)),輸入與假設!$C$21)-(1+各期收支!$C$59)^(-(4*輸入與假設!$C$22-MAX(0,輸入與假設!E$270-(輸入與假設!$C$20)))/4)*(1-(1+各期收支!$C$59)^(-MIN(MAX(0,輸入與假設!E$270-(輸入與假設!$C$20)),輸入與假設!$C$21)/4))/(1-(1+各期收支!$C$59)^(-0.25)))+運營_產能與收入!$C$56*輸入與假設!$C$19/輸入與假設!$C$21/輸入與假設!$C$22/4/((1+各期收支!$C$59)^0.25-1)*(MIN(MAX(0,輸入與假設!E$270-(輸入與假設!$C$20+運營_產能與收入!$C$50/3)),輸入與假設!$C$21)-(1+各期收支!$C$59)^(-(4*輸入與假設!$C$22-MAX(0,輸入與假設!E$270-(輸入與假設!$C$20+運營_產能與收入!$C$50/3)))/4)*(1-(1+各期收支!$C$59)^(-MIN(MAX(0,輸入與假設!E$270-(輸入與假設!$C$20+運營_產能與收入!$C$50/3)),輸入與假設!$C$21)/4))/(1-(1+各期收支!$C$59)^(-0.25))))</f>
        <v>27.435876745485</v>
      </c>
      <c r="F62" s="32" t="n">
        <f aca="false">IF(OR(運營_產能與收入!$C$50&lt;=0,運營_產能與收入!$C$56&lt;=0),1*輸入與假設!$C$19/輸入與假設!$C$21/輸入與假設!$C$22/4/((1+各期收支!$C$59)^0.25-1)*(MIN(MAX(0,輸入與假設!F$270-(輸入與假設!$C$20)),輸入與假設!$C$21)-(1+各期收支!$C$59)^(-(4*輸入與假設!$C$22-MAX(0,輸入與假設!F$270-(輸入與假設!$C$20)))/4)*(1-(1+各期收支!$C$59)^(-MIN(MAX(0,輸入與假設!F$270-(輸入與假設!$C$20)),輸入與假設!$C$21)/4))/(1-(1+各期收支!$C$59)^(-0.25))),(1-運營_產能與收入!$C$56)*輸入與假設!$C$19/輸入與假設!$C$21/輸入與假設!$C$22/4/((1+各期收支!$C$59)^0.25-1)*(MIN(MAX(0,輸入與假設!F$270-(輸入與假設!$C$20)),輸入與假設!$C$21)-(1+各期收支!$C$59)^(-(4*輸入與假設!$C$22-MAX(0,輸入與假設!F$270-(輸入與假設!$C$20)))/4)*(1-(1+各期收支!$C$59)^(-MIN(MAX(0,輸入與假設!F$270-(輸入與假設!$C$20)),輸入與假設!$C$21)/4))/(1-(1+各期收支!$C$59)^(-0.25)))+運營_產能與收入!$C$56*輸入與假設!$C$19/輸入與假設!$C$21/輸入與假設!$C$22/4/((1+各期收支!$C$59)^0.25-1)*(MIN(MAX(0,輸入與假設!F$270-(輸入與假設!$C$20+運營_產能與收入!$C$50/3)),輸入與假設!$C$21)-(1+各期收支!$C$59)^(-(4*輸入與假設!$C$22-MAX(0,輸入與假設!F$270-(輸入與假設!$C$20+運營_產能與收入!$C$50/3)))/4)*(1-(1+各期收支!$C$59)^(-MIN(MAX(0,輸入與假設!F$270-(輸入與假設!$C$20+運營_產能與收入!$C$50/3)),輸入與假設!$C$21)/4))/(1-(1+各期收支!$C$59)^(-0.25))))</f>
        <v>37.2969126189025</v>
      </c>
      <c r="G62" s="32" t="n">
        <f aca="false">IF(OR(運營_產能與收入!$C$50&lt;=0,運營_產能與收入!$C$56&lt;=0),1*輸入與假設!$C$19/輸入與假設!$C$21/輸入與假設!$C$22/4/((1+各期收支!$C$59)^0.25-1)*(MIN(MAX(0,輸入與假設!G$270-(輸入與假設!$C$20)),輸入與假設!$C$21)-(1+各期收支!$C$59)^(-(4*輸入與假設!$C$22-MAX(0,輸入與假設!G$270-(輸入與假設!$C$20)))/4)*(1-(1+各期收支!$C$59)^(-MIN(MAX(0,輸入與假設!G$270-(輸入與假設!$C$20)),輸入與假設!$C$21)/4))/(1-(1+各期收支!$C$59)^(-0.25))),(1-運營_產能與收入!$C$56)*輸入與假設!$C$19/輸入與假設!$C$21/輸入與假設!$C$22/4/((1+各期收支!$C$59)^0.25-1)*(MIN(MAX(0,輸入與假設!G$270-(輸入與假設!$C$20)),輸入與假設!$C$21)-(1+各期收支!$C$59)^(-(4*輸入與假設!$C$22-MAX(0,輸入與假設!G$270-(輸入與假設!$C$20)))/4)*(1-(1+各期收支!$C$59)^(-MIN(MAX(0,輸入與假設!G$270-(輸入與假設!$C$20)),輸入與假設!$C$21)/4))/(1-(1+各期收支!$C$59)^(-0.25)))+運營_產能與收入!$C$56*輸入與假設!$C$19/輸入與假設!$C$21/輸入與假設!$C$22/4/((1+各期收支!$C$59)^0.25-1)*(MIN(MAX(0,輸入與假設!G$270-(輸入與假設!$C$20+運營_產能與收入!$C$50/3)),輸入與假設!$C$21)-(1+各期收支!$C$59)^(-(4*輸入與假設!$C$22-MAX(0,輸入與假設!G$270-(輸入與假設!$C$20+運營_產能與收入!$C$50/3)))/4)*(1-(1+各期收支!$C$59)^(-MIN(MAX(0,輸入與假設!G$270-(輸入與假設!$C$20+運營_產能與收入!$C$50/3)),輸入與假設!$C$21)/4))/(1-(1+各期收支!$C$59)^(-0.25))))</f>
        <v>46.4853385618154</v>
      </c>
      <c r="I62" s="6" t="s">
        <v>1164</v>
      </c>
    </row>
    <row r="63" customFormat="false" ht="15" hidden="false" customHeight="false" outlineLevel="1" collapsed="false">
      <c r="A63" s="2" t="s">
        <v>1165</v>
      </c>
      <c r="B63" s="11" t="s">
        <v>63</v>
      </c>
      <c r="C63" s="42" t="n">
        <f aca="false">C61+C62</f>
        <v>24.7261334114602</v>
      </c>
      <c r="D63" s="42" t="n">
        <f aca="false">D61+D62</f>
        <v>32.620730852718</v>
      </c>
      <c r="E63" s="42" t="n">
        <f aca="false">E61+E62</f>
        <v>40.3069509907814</v>
      </c>
      <c r="F63" s="42" t="n">
        <f aca="false">F61+F62</f>
        <v>47.6698990888628</v>
      </c>
      <c r="G63" s="42" t="n">
        <f aca="false">G61+G62</f>
        <v>54.8776224539205</v>
      </c>
    </row>
    <row r="65" customFormat="false" ht="15" hidden="false" customHeight="false" outlineLevel="0" collapsed="false">
      <c r="A65" s="52" t="s">
        <v>1166</v>
      </c>
      <c r="B65" s="8"/>
      <c r="C65" s="8"/>
      <c r="D65" s="8"/>
      <c r="E65" s="8"/>
      <c r="F65" s="8"/>
      <c r="G65" s="8"/>
      <c r="H65" s="8"/>
    </row>
    <row r="66" customFormat="false" ht="15" hidden="false" customHeight="false" outlineLevel="1" collapsed="false">
      <c r="A66" s="3" t="s">
        <v>1167</v>
      </c>
      <c r="B66" s="11" t="s">
        <v>63</v>
      </c>
      <c r="C66" s="32" t="n">
        <f aca="false">C13+C16+C17+C22+C25+C26+C27+C28+C29+C23</f>
        <v>291.72404741605</v>
      </c>
      <c r="D66" s="32" t="n">
        <f aca="false">D13+D16+D17+D22+D25+D26+D27+D28+D29+D23</f>
        <v>265.109534724892</v>
      </c>
      <c r="E66" s="32" t="n">
        <f aca="false">E13+E16+E17+E22+E25+E26+E27+E28+E29+E23</f>
        <v>276.655915002653</v>
      </c>
      <c r="F66" s="32" t="n">
        <f aca="false">F13+F16+F17+F22+F25+F26+F27+F28+F29+F23</f>
        <v>307.825181268128</v>
      </c>
      <c r="G66" s="32" t="n">
        <f aca="false">G13+G16+G17+G22+G25+G26+G27+G28+G29+G23</f>
        <v>423.184134115189</v>
      </c>
      <c r="I66" s="6" t="s">
        <v>1168</v>
      </c>
    </row>
    <row r="67" customFormat="false" ht="15" hidden="false" customHeight="false" outlineLevel="1" collapsed="false">
      <c r="A67" s="3" t="s">
        <v>1169</v>
      </c>
      <c r="B67" s="11" t="s">
        <v>63</v>
      </c>
      <c r="C67" s="32" t="n">
        <f aca="false">0</f>
        <v>0</v>
      </c>
      <c r="D67" s="32" t="n">
        <f aca="false">C98</f>
        <v>0</v>
      </c>
      <c r="E67" s="32" t="n">
        <f aca="false">D98</f>
        <v>0</v>
      </c>
      <c r="F67" s="32" t="n">
        <f aca="false">E98</f>
        <v>0</v>
      </c>
      <c r="G67" s="32" t="n">
        <f aca="false">F98</f>
        <v>0</v>
      </c>
    </row>
    <row r="68" customFormat="false" ht="15" hidden="false" customHeight="false" outlineLevel="1" collapsed="false">
      <c r="A68" s="3" t="s">
        <v>1170</v>
      </c>
      <c r="B68" s="11" t="s">
        <v>42</v>
      </c>
      <c r="C68" s="54" t="n">
        <f aca="false">C19*運營_產能與收入!C7</f>
        <v>0.025</v>
      </c>
      <c r="D68" s="54" t="n">
        <f aca="false">D19*運營_產能與收入!D7</f>
        <v>0.05</v>
      </c>
      <c r="E68" s="54" t="n">
        <f aca="false">E19*運營_產能與收入!E7</f>
        <v>0.05</v>
      </c>
      <c r="F68" s="54" t="n">
        <f aca="false">F19*運營_產能與收入!F7</f>
        <v>0.05</v>
      </c>
      <c r="G68" s="54" t="n">
        <f aca="false">G19*運營_產能與收入!G7</f>
        <v>0.05</v>
      </c>
    </row>
    <row r="69" customFormat="false" ht="15" hidden="false" customHeight="false" outlineLevel="1" collapsed="false">
      <c r="A69" s="3" t="s">
        <v>1171</v>
      </c>
      <c r="B69" s="11" t="s">
        <v>63</v>
      </c>
      <c r="C69" s="32" t="n">
        <f aca="false">0</f>
        <v>0</v>
      </c>
      <c r="D69" s="32" t="n">
        <f aca="false">C100</f>
        <v>0</v>
      </c>
      <c r="E69" s="32" t="n">
        <f aca="false">D100</f>
        <v>0</v>
      </c>
      <c r="F69" s="32" t="n">
        <f aca="false">E100</f>
        <v>0</v>
      </c>
      <c r="G69" s="32" t="n">
        <f aca="false">F100</f>
        <v>0</v>
      </c>
    </row>
    <row r="70" customFormat="false" ht="15" hidden="false" customHeight="false" outlineLevel="1" collapsed="false">
      <c r="A70" s="3" t="s">
        <v>1172</v>
      </c>
      <c r="B70" s="11" t="s">
        <v>63</v>
      </c>
      <c r="C70" s="32" t="n">
        <f aca="false">0</f>
        <v>0</v>
      </c>
      <c r="D70" s="32" t="n">
        <f aca="false">C101</f>
        <v>0</v>
      </c>
      <c r="E70" s="32" t="n">
        <f aca="false">D101</f>
        <v>0</v>
      </c>
      <c r="F70" s="32" t="n">
        <f aca="false">E101</f>
        <v>0</v>
      </c>
      <c r="G70" s="32" t="n">
        <f aca="false">F101</f>
        <v>0</v>
      </c>
    </row>
    <row r="71" customFormat="false" ht="15" hidden="false" customHeight="false" outlineLevel="1" collapsed="false">
      <c r="A71" s="3" t="s">
        <v>1173</v>
      </c>
      <c r="B71" s="11" t="s">
        <v>42</v>
      </c>
      <c r="C71" s="54" t="n">
        <f aca="false">輸入與假設!$C$340*運營_產能與收入!C7</f>
        <v>0</v>
      </c>
      <c r="D71" s="54" t="n">
        <f aca="false">輸入與假設!$C$340*運營_產能與收入!D7</f>
        <v>0</v>
      </c>
      <c r="E71" s="54" t="n">
        <f aca="false">輸入與假設!$C$340*運營_產能與收入!E7</f>
        <v>0</v>
      </c>
      <c r="F71" s="54" t="n">
        <f aca="false">輸入與假設!$C$340*運營_產能與收入!F7</f>
        <v>0</v>
      </c>
      <c r="G71" s="54" t="n">
        <f aca="false">輸入與假設!$C$340*運營_產能與收入!G7</f>
        <v>0</v>
      </c>
    </row>
    <row r="72" customFormat="false" ht="15" hidden="false" customHeight="false" outlineLevel="1" collapsed="false">
      <c r="A72" s="3" t="s">
        <v>1174</v>
      </c>
      <c r="B72" s="11" t="s">
        <v>42</v>
      </c>
      <c r="C72" s="54" t="n">
        <f aca="false">(輸入與假設!$C$342+IF(輸入與假設!$C$345=1,MAX(0,輸入與假設!$C$344-輸入與假設!$C$346)/10000*輸入與假設!$C$347,0))*運營_產能與收入!C7</f>
        <v>0.06</v>
      </c>
      <c r="D72" s="54" t="n">
        <f aca="false">(輸入與假設!$C$342+IF(輸入與假設!$C$345=1,MAX(0,輸入與假設!$C$344-輸入與假設!$C$346)/10000*輸入與假設!$C$347,0))*運營_產能與收入!D7</f>
        <v>0.12</v>
      </c>
      <c r="E72" s="54" t="n">
        <f aca="false">(輸入與假設!$C$342+IF(輸入與假設!$C$345=1,MAX(0,輸入與假設!$C$344-輸入與假設!$C$346)/10000*輸入與假設!$C$347,0))*運營_產能與收入!E7</f>
        <v>0.12</v>
      </c>
      <c r="F72" s="54" t="n">
        <f aca="false">(輸入與假設!$C$342+IF(輸入與假設!$C$345=1,MAX(0,輸入與假設!$C$344-輸入與假設!$C$346)/10000*輸入與假設!$C$347,0))*運營_產能與收入!F7</f>
        <v>0.12</v>
      </c>
      <c r="G72" s="54" t="n">
        <f aca="false">(輸入與假設!$C$342+IF(輸入與假設!$C$345=1,MAX(0,輸入與假設!$C$344-輸入與假設!$C$346)/10000*輸入與假設!$C$347,0))*運營_產能與收入!G7</f>
        <v>0.12</v>
      </c>
    </row>
    <row r="73" customFormat="false" ht="15" hidden="false" customHeight="false" outlineLevel="1" collapsed="false">
      <c r="A73" s="3" t="s">
        <v>1175</v>
      </c>
      <c r="B73" s="11" t="s">
        <v>63</v>
      </c>
      <c r="C73" s="32" t="n">
        <f aca="false">C18+C43+C45+C46+C53-C66-C68*C67-C72*C69-C71*C70</f>
        <v>136.622962806694</v>
      </c>
      <c r="D73" s="32" t="n">
        <f aca="false">D18+D43+D45+D46+D53-D66-D68*D67-D72*D69-D71*D70</f>
        <v>119.843348550017</v>
      </c>
      <c r="E73" s="32" t="n">
        <f aca="false">E18+E43+E45+E46+E53-E66-E68*E67-E72*E69-E71*E70</f>
        <v>122.707996839912</v>
      </c>
      <c r="F73" s="32" t="n">
        <f aca="false">F18+F43+F45+F46+F53-F66-F68*F67-F72*F69-F71*F70</f>
        <v>135.76351173717</v>
      </c>
      <c r="G73" s="32" t="n">
        <f aca="false">G18+G43+G45+G46+G53-G66-G68*G67-G72*G69-G71*G70</f>
        <v>68.6054152573014</v>
      </c>
    </row>
    <row r="74" customFormat="false" ht="15" hidden="false" customHeight="false" outlineLevel="1" collapsed="false">
      <c r="A74" s="2" t="s">
        <v>1176</v>
      </c>
      <c r="B74" s="11" t="s">
        <v>63</v>
      </c>
      <c r="C74" s="42" t="n">
        <f aca="false">MAX(0,輸入與假設!$C$329-(C73-C76))</f>
        <v>0</v>
      </c>
      <c r="D74" s="42" t="n">
        <f aca="false">MAX(0,輸入與假設!$C$329-(D73-D76))</f>
        <v>0</v>
      </c>
      <c r="E74" s="42" t="n">
        <f aca="false">MAX(0,輸入與假設!$C$329-(E73-E76))</f>
        <v>0</v>
      </c>
      <c r="F74" s="42" t="n">
        <f aca="false">MAX(0,輸入與假設!$C$329-(F73-F76))</f>
        <v>0</v>
      </c>
      <c r="G74" s="42" t="n">
        <f aca="false">MAX(0,輸入與假設!$C$329-(G73-G76))</f>
        <v>0</v>
      </c>
      <c r="I74" s="6" t="s">
        <v>1177</v>
      </c>
    </row>
    <row r="75" customFormat="false" ht="15" hidden="false" customHeight="false" outlineLevel="1" collapsed="false">
      <c r="A75" s="3" t="s">
        <v>1178</v>
      </c>
      <c r="B75" s="11" t="s">
        <v>63</v>
      </c>
      <c r="C75" s="32" t="n">
        <f aca="false">輸入與假設!$C$330*運營_產能與收入!C7</f>
        <v>8.5015</v>
      </c>
      <c r="D75" s="32" t="n">
        <f aca="false">輸入與假設!$C$330*運營_產能與收入!D7</f>
        <v>17.003</v>
      </c>
      <c r="E75" s="32" t="n">
        <f aca="false">輸入與假設!$C$330*運營_產能與收入!E7</f>
        <v>17.003</v>
      </c>
      <c r="F75" s="32" t="n">
        <f aca="false">輸入與假設!$C$330*運營_產能與收入!F7</f>
        <v>17.003</v>
      </c>
      <c r="G75" s="32" t="n">
        <f aca="false">輸入與假設!$C$330*運營_產能與收入!G7</f>
        <v>17.003</v>
      </c>
      <c r="I75" s="11" t="s">
        <v>1179</v>
      </c>
    </row>
    <row r="76" customFormat="false" ht="15" hidden="false" customHeight="false" outlineLevel="1" collapsed="false">
      <c r="A76" s="2" t="s">
        <v>1180</v>
      </c>
      <c r="B76" s="11" t="s">
        <v>63</v>
      </c>
      <c r="C76" s="42" t="n">
        <f aca="false">MIN(C75,MAX(C75*輸入與假設!$C$331,C73-輸入與假設!$C$329))</f>
        <v>8.5015</v>
      </c>
      <c r="D76" s="42" t="n">
        <f aca="false">MIN(D75,MAX(D75*輸入與假設!$C$331,D73-輸入與假設!$C$329))</f>
        <v>17.003</v>
      </c>
      <c r="E76" s="42" t="n">
        <f aca="false">MIN(E75,MAX(E75*輸入與假設!$C$331,E73-輸入與假設!$C$329))</f>
        <v>17.003</v>
      </c>
      <c r="F76" s="42" t="n">
        <f aca="false">MIN(F75,MAX(F75*輸入與假設!$C$331,F73-輸入與假設!$C$329))</f>
        <v>17.003</v>
      </c>
      <c r="G76" s="42" t="n">
        <f aca="false">MIN(G75,MAX(G75*輸入與假設!$C$331,G73-輸入與假設!$C$329))</f>
        <v>17.003</v>
      </c>
      <c r="I76" s="6" t="s">
        <v>1181</v>
      </c>
    </row>
    <row r="77" customFormat="false" ht="15" hidden="false" customHeight="false" outlineLevel="1" collapsed="false">
      <c r="A77" s="3" t="s">
        <v>1182</v>
      </c>
      <c r="B77" s="11" t="s">
        <v>63</v>
      </c>
      <c r="C77" s="32" t="n">
        <f aca="false">C75-C76</f>
        <v>0</v>
      </c>
      <c r="D77" s="32" t="n">
        <f aca="false">D75-D76</f>
        <v>0</v>
      </c>
      <c r="E77" s="32" t="n">
        <f aca="false">E75-E76</f>
        <v>0</v>
      </c>
      <c r="F77" s="32" t="n">
        <f aca="false">F75-F76</f>
        <v>0</v>
      </c>
      <c r="G77" s="32" t="n">
        <f aca="false">G75-G76</f>
        <v>0</v>
      </c>
      <c r="I77" s="6" t="s">
        <v>1183</v>
      </c>
    </row>
    <row r="78" customFormat="false" ht="15" hidden="false" customHeight="false" outlineLevel="1" collapsed="false">
      <c r="A78" s="3" t="s">
        <v>1184</v>
      </c>
      <c r="B78" s="11" t="s">
        <v>666</v>
      </c>
      <c r="C78" s="31" t="n">
        <f aca="false">C76/MAX(0.01,輸入與假設!$C$332)</f>
        <v>0.0242553495007133</v>
      </c>
      <c r="D78" s="31" t="n">
        <f aca="false">D76/MAX(0.01,輸入與假設!$C$332)</f>
        <v>0.0485106990014265</v>
      </c>
      <c r="E78" s="31" t="n">
        <f aca="false">E76/MAX(0.01,輸入與假設!$C$332)</f>
        <v>0.0485106990014265</v>
      </c>
      <c r="F78" s="31" t="n">
        <f aca="false">F76/MAX(0.01,輸入與假設!$C$332)</f>
        <v>0.0485106990014265</v>
      </c>
      <c r="G78" s="31" t="n">
        <f aca="false">G76/MAX(0.01,輸入與假設!$C$332)</f>
        <v>0.0485106990014265</v>
      </c>
      <c r="I78" s="6" t="s">
        <v>1185</v>
      </c>
    </row>
    <row r="79" customFormat="false" ht="15" hidden="false" customHeight="false" outlineLevel="1" collapsed="false">
      <c r="A79" s="3" t="s">
        <v>1186</v>
      </c>
      <c r="B79" s="11" t="s">
        <v>63</v>
      </c>
      <c r="C79" s="32" t="n">
        <f aca="false">輸入與假設!$C$24+輸入與假設!$C$25</f>
        <v>0</v>
      </c>
      <c r="D79" s="32" t="n">
        <f aca="false">C81</f>
        <v>68.5852587124612</v>
      </c>
      <c r="E79" s="32" t="n">
        <f aca="false">D81</f>
        <v>65.1675688836746</v>
      </c>
      <c r="F79" s="32" t="n">
        <f aca="false">E81</f>
        <v>56.8619453135774</v>
      </c>
      <c r="G79" s="32" t="n">
        <f aca="false">F81</f>
        <v>33.1266212115226</v>
      </c>
      <c r="I79" s="11" t="s">
        <v>1187</v>
      </c>
    </row>
    <row r="80" customFormat="false" ht="15" hidden="false" customHeight="false" outlineLevel="1" collapsed="false">
      <c r="A80" s="3" t="s">
        <v>1188</v>
      </c>
      <c r="B80" s="11" t="s">
        <v>63</v>
      </c>
      <c r="C80" s="32" t="n">
        <f aca="false">MAX(0,運營_產能與收入!C24/運營_產能與收入!C7-0)*輸入與假設!$C$325</f>
        <v>82.3023104549535</v>
      </c>
      <c r="D80" s="32" t="n">
        <f aca="false">MAX(0,運營_產能與收入!D24/運營_產能與收入!D7-運營_產能與收入!C24/運營_產能與收入!C7)*輸入與假設!$C$325</f>
        <v>36.0246204842968</v>
      </c>
      <c r="E80" s="32" t="n">
        <f aca="false">MAX(0,運營_產能與收入!E24/運營_產能與收入!E7-運營_產能與收入!D24/運營_產能與收入!D7)*輸入與假設!$C$325</f>
        <v>46.7050301144793</v>
      </c>
      <c r="F80" s="32" t="n">
        <f aca="false">MAX(0,運營_產能與收入!F24/運營_產能與收入!F7-運營_產能與收入!E24/運營_產能與收入!E7)*輸入與假設!$C$325</f>
        <v>46.9129943737826</v>
      </c>
      <c r="G80" s="32" t="n">
        <f aca="false">MAX(0,運營_產能與收入!G24/運營_產能與收入!G7-運營_產能與收入!F24/運營_產能與收入!F7)*輸入與假設!$C$325</f>
        <v>47.0121526435555</v>
      </c>
    </row>
    <row r="81" customFormat="false" ht="15" hidden="false" customHeight="false" outlineLevel="1" collapsed="false">
      <c r="A81" s="3" t="s">
        <v>1189</v>
      </c>
      <c r="B81" s="11" t="s">
        <v>63</v>
      </c>
      <c r="C81" s="32" t="n">
        <f aca="false">C79-運營_產能與收入!C18-運營_產能與收入!C24+C80</f>
        <v>68.5852587124612</v>
      </c>
      <c r="D81" s="32" t="n">
        <f aca="false">D79-運營_產能與收入!D18-運營_產能與收入!D24+D80</f>
        <v>65.1675688836746</v>
      </c>
      <c r="E81" s="32" t="n">
        <f aca="false">E79-運營_產能與收入!E18-運營_產能與收入!E24+E80</f>
        <v>56.8619453135774</v>
      </c>
      <c r="F81" s="32" t="n">
        <f aca="false">F79-運營_產能與收入!F18-運營_產能與收入!F24+F80</f>
        <v>33.1266212115226</v>
      </c>
      <c r="G81" s="32" t="n">
        <f aca="false">G79-運營_產能與收入!G18-運營_產能與收入!G24+G80</f>
        <v>-6.18026216861112</v>
      </c>
      <c r="I81" s="6" t="s">
        <v>1190</v>
      </c>
    </row>
    <row r="82" customFormat="false" ht="15" hidden="false" customHeight="false" outlineLevel="1" collapsed="false">
      <c r="A82" s="3" t="s">
        <v>1191</v>
      </c>
      <c r="B82" s="11" t="s">
        <v>63</v>
      </c>
      <c r="C82" s="32" t="n">
        <f aca="false">IF(輸入與假設!$C$321=1,資產負債_既有債務!C34,資產負債_既有債務!$E$16)+資產負債_既有債務!$E$19+資產負債_既有債務!C39</f>
        <v>99.085</v>
      </c>
      <c r="D82" s="32" t="n">
        <f aca="false">IF(輸入與假設!$C$321=1,資產負債_既有債務!D34,資產負債_既有債務!$E$16)+資產負債_既有債務!$E$19+資產負債_既有債務!D39</f>
        <v>98.085</v>
      </c>
      <c r="E82" s="32" t="n">
        <f aca="false">IF(輸入與假設!$C$321=1,資產負債_既有債務!E34,資產負債_既有債務!$E$16)+資產負債_既有債務!$E$19+資產負債_既有債務!E39</f>
        <v>95.409</v>
      </c>
      <c r="F82" s="32" t="n">
        <f aca="false">IF(輸入與假設!$C$321=1,資產負債_既有債務!F34,資產負債_既有債務!$E$16)+資產負債_既有債務!$E$19+資產負債_既有債務!F39</f>
        <v>93.645</v>
      </c>
      <c r="G82" s="32" t="n">
        <f aca="false">IF(輸入與假設!$C$321=1,資產負債_既有債務!G34,資產負債_既有債務!$E$16)+資產負債_既有債務!$E$19+資產負債_既有債務!G39</f>
        <v>86.459</v>
      </c>
      <c r="I82" s="6" t="s">
        <v>1192</v>
      </c>
    </row>
    <row r="83" customFormat="false" ht="15" hidden="false" customHeight="false" outlineLevel="1" collapsed="false">
      <c r="A83" s="3" t="s">
        <v>1193</v>
      </c>
      <c r="B83" s="11" t="s">
        <v>63</v>
      </c>
      <c r="C83" s="32" t="n">
        <f aca="false">IF(輸入與假設!$C$323="leaseAdj",輸入與假設!$C$324*(損益!C22+C16)/運營_產能與收入!C7-C63,IF(輸入與假設!$C$323="ebitda",輸入與假設!$C$324*損益!C22/運營_產能與收入!C7,輸入與假設!$C$322*C81))</f>
        <v>578.676731121905</v>
      </c>
      <c r="D83" s="32" t="n">
        <f aca="false">IF(輸入與假設!$C$323="leaseAdj",輸入與假設!$C$324*(損益!D22+D16)/運營_產能與收入!D7-D63,IF(輸入與假設!$C$323="ebitda",輸入與假設!$C$324*損益!D22/運營_產能與收入!D7,輸入與假設!$C$322*D81))</f>
        <v>626.409758832515</v>
      </c>
      <c r="E83" s="32" t="n">
        <f aca="false">IF(輸入與假設!$C$323="leaseAdj",輸入與假設!$C$324*(損益!E22+E16)/運營_產能與收入!E7-E63,IF(輸入與假設!$C$323="ebitda",輸入與假設!$C$324*損益!E22/運營_產能與收入!E7,輸入與假設!$C$322*E81))</f>
        <v>720.573449166386</v>
      </c>
      <c r="F83" s="32" t="n">
        <f aca="false">IF(輸入與假設!$C$323="leaseAdj",輸入與假設!$C$324*(損益!F22+F16)/運營_產能與收入!F7-F63,IF(輸入與假設!$C$323="ebitda",輸入與假設!$C$324*損益!F22/運營_產能與收入!F7,輸入與假設!$C$322*F81))</f>
        <v>821.434489530248</v>
      </c>
      <c r="G83" s="32" t="n">
        <f aca="false">IF(輸入與假設!$C$323="leaseAdj",輸入與假設!$C$324*(損益!G22+G16)/運營_產能與收入!G7-G63,IF(輸入與假設!$C$323="ebitda",輸入與假設!$C$324*損益!G22/運營_產能與收入!G7,輸入與假設!$C$322*G81))</f>
        <v>906.494025005305</v>
      </c>
      <c r="I83" s="11" t="s">
        <v>1194</v>
      </c>
    </row>
    <row r="84" customFormat="false" ht="15" hidden="false" customHeight="false" outlineLevel="1" collapsed="false">
      <c r="A84" s="3" t="s">
        <v>1195</v>
      </c>
      <c r="B84" s="11" t="s">
        <v>63</v>
      </c>
      <c r="C84" s="32" t="n">
        <f aca="false">IF(輸入與假設!$C$320=1,輸入與假設!$C$319,0)</f>
        <v>0</v>
      </c>
      <c r="D84" s="32" t="n">
        <f aca="false">C99</f>
        <v>0</v>
      </c>
      <c r="E84" s="32" t="n">
        <f aca="false">D99</f>
        <v>0</v>
      </c>
      <c r="F84" s="32" t="n">
        <f aca="false">E99</f>
        <v>0</v>
      </c>
      <c r="G84" s="32" t="n">
        <f aca="false">F99</f>
        <v>0</v>
      </c>
    </row>
    <row r="85" customFormat="false" ht="15" hidden="false" customHeight="false" outlineLevel="1" collapsed="false">
      <c r="A85" s="3" t="s">
        <v>1196</v>
      </c>
      <c r="B85" s="11" t="s">
        <v>63</v>
      </c>
      <c r="C85" s="32" t="n">
        <f aca="false">MAX(0,C83-(C82+C67+C70),C84)</f>
        <v>479.591731121905</v>
      </c>
      <c r="D85" s="32" t="n">
        <f aca="false">MAX(0,D83-(D82+D67+D70),D84)</f>
        <v>528.324758832515</v>
      </c>
      <c r="E85" s="32" t="n">
        <f aca="false">MAX(0,E83-(E82+E67+E70),E84)</f>
        <v>625.164449166386</v>
      </c>
      <c r="F85" s="32" t="n">
        <f aca="false">MAX(0,F83-(F82+F67+F70),F84)</f>
        <v>727.789489530248</v>
      </c>
      <c r="G85" s="32" t="n">
        <f aca="false">MAX(0,G83-(G82+G67+G70),G84)</f>
        <v>820.035025005305</v>
      </c>
      <c r="I85" s="6" t="s">
        <v>1197</v>
      </c>
    </row>
    <row r="86" customFormat="false" ht="15" hidden="false" customHeight="false" outlineLevel="1" collapsed="false">
      <c r="A86" s="2" t="s">
        <v>1198</v>
      </c>
      <c r="B86" s="11" t="s">
        <v>63</v>
      </c>
      <c r="C86" s="42" t="n">
        <f aca="false">MIN(C85,C74/(1-C68))</f>
        <v>0</v>
      </c>
      <c r="D86" s="42" t="n">
        <f aca="false">MIN(D85,D74/(1-D68))</f>
        <v>0</v>
      </c>
      <c r="E86" s="42" t="n">
        <f aca="false">MIN(E85,E74/(1-E68))</f>
        <v>0</v>
      </c>
      <c r="F86" s="42" t="n">
        <f aca="false">MIN(F85,F74/(1-F68))</f>
        <v>0</v>
      </c>
      <c r="G86" s="42" t="n">
        <f aca="false">MIN(G85,G74/(1-G68))</f>
        <v>0</v>
      </c>
      <c r="I86" s="6" t="s">
        <v>1199</v>
      </c>
    </row>
    <row r="87" customFormat="false" ht="15" hidden="false" customHeight="false" outlineLevel="1" collapsed="false">
      <c r="A87" s="3" t="s">
        <v>1200</v>
      </c>
      <c r="B87" s="11" t="s">
        <v>63</v>
      </c>
      <c r="C87" s="32" t="n">
        <f aca="false">MAX(0,C74+C68*C86-C86)</f>
        <v>0</v>
      </c>
      <c r="D87" s="32" t="n">
        <f aca="false">MAX(0,D74+D68*D86-D86)</f>
        <v>0</v>
      </c>
      <c r="E87" s="32" t="n">
        <f aca="false">MAX(0,E74+E68*E86-E86)</f>
        <v>0</v>
      </c>
      <c r="F87" s="32" t="n">
        <f aca="false">MAX(0,F74+F68*F86-F86)</f>
        <v>0</v>
      </c>
      <c r="G87" s="32" t="n">
        <f aca="false">MAX(0,G74+G68*G86-G86)</f>
        <v>0</v>
      </c>
    </row>
    <row r="88" customFormat="false" ht="15" hidden="false" customHeight="false" outlineLevel="1" collapsed="false">
      <c r="A88" s="3" t="s">
        <v>1201</v>
      </c>
      <c r="B88" s="11" t="s">
        <v>63</v>
      </c>
      <c r="C88" s="32" t="n">
        <f aca="false">MAX(0,輸入與假設!$C$339)*運營_產能與收入!C7</f>
        <v>0</v>
      </c>
      <c r="D88" s="32" t="n">
        <f aca="false">MAX(0,輸入與假設!$C$339)*運營_產能與收入!D7</f>
        <v>0</v>
      </c>
      <c r="E88" s="32" t="n">
        <f aca="false">MAX(0,輸入與假設!$C$339)*運營_產能與收入!E7</f>
        <v>0</v>
      </c>
      <c r="F88" s="32" t="n">
        <f aca="false">MAX(0,輸入與假設!$C$339)*運營_產能與收入!F7</f>
        <v>0</v>
      </c>
      <c r="G88" s="32" t="n">
        <f aca="false">MAX(0,輸入與假設!$C$339)*運營_產能與收入!G7</f>
        <v>0</v>
      </c>
      <c r="I88" s="6" t="s">
        <v>1202</v>
      </c>
    </row>
    <row r="89" customFormat="false" ht="15" hidden="false" customHeight="false" outlineLevel="1" collapsed="false">
      <c r="A89" s="2" t="s">
        <v>1203</v>
      </c>
      <c r="B89" s="11" t="s">
        <v>63</v>
      </c>
      <c r="C89" s="42" t="n">
        <f aca="false">MIN(C88,C87/(1-C71))</f>
        <v>0</v>
      </c>
      <c r="D89" s="42" t="n">
        <f aca="false">MIN(D88,D87/(1-D71))</f>
        <v>0</v>
      </c>
      <c r="E89" s="42" t="n">
        <f aca="false">MIN(E88,E87/(1-E71))</f>
        <v>0</v>
      </c>
      <c r="F89" s="42" t="n">
        <f aca="false">MIN(F88,F87/(1-F71))</f>
        <v>0</v>
      </c>
      <c r="G89" s="42" t="n">
        <f aca="false">MIN(G88,G87/(1-G71))</f>
        <v>0</v>
      </c>
      <c r="I89" s="6" t="s">
        <v>1204</v>
      </c>
    </row>
    <row r="90" customFormat="false" ht="15" hidden="false" customHeight="false" outlineLevel="1" collapsed="false">
      <c r="A90" s="3" t="s">
        <v>1205</v>
      </c>
      <c r="B90" s="11" t="s">
        <v>63</v>
      </c>
      <c r="C90" s="32" t="n">
        <f aca="false">MAX(0,C87+C71*C89-C89)</f>
        <v>0</v>
      </c>
      <c r="D90" s="32" t="n">
        <f aca="false">MAX(0,D87+D71*D89-D89)</f>
        <v>0</v>
      </c>
      <c r="E90" s="32" t="n">
        <f aca="false">MAX(0,E87+E71*E89-E89)</f>
        <v>0</v>
      </c>
      <c r="F90" s="32" t="n">
        <f aca="false">MAX(0,F87+F71*F89-F89)</f>
        <v>0</v>
      </c>
      <c r="G90" s="32" t="n">
        <f aca="false">MAX(0,G87+G71*G89-G89)</f>
        <v>0</v>
      </c>
    </row>
    <row r="91" customFormat="false" ht="15" hidden="false" customHeight="false" outlineLevel="1" collapsed="false">
      <c r="A91" s="3" t="s">
        <v>1206</v>
      </c>
      <c r="B91" s="11" t="s">
        <v>63</v>
      </c>
      <c r="C91" s="32" t="n">
        <f aca="false">IF(輸入與假設!$C$334&gt;=9,1E+099,輸入與假設!$C$334*輸入與假設!$C$332*輸入與假設!$C$335*運營_產能與收入!C7)</f>
        <v>107.165375</v>
      </c>
      <c r="D91" s="32" t="n">
        <f aca="false">IF(輸入與假設!$C$334&gt;=9,1E+099,輸入與假設!$C$334*輸入與假設!$C$332*輸入與假設!$C$335*運營_產能與收入!D7)</f>
        <v>214.33075</v>
      </c>
      <c r="E91" s="32" t="n">
        <f aca="false">IF(輸入與假設!$C$334&gt;=9,1E+099,輸入與假設!$C$334*輸入與假設!$C$332*輸入與假設!$C$335*運營_產能與收入!E7)</f>
        <v>214.33075</v>
      </c>
      <c r="F91" s="32" t="n">
        <f aca="false">IF(輸入與假設!$C$334&gt;=9,1E+099,輸入與假設!$C$334*輸入與假設!$C$332*輸入與假設!$C$335*運營_產能與收入!F7)</f>
        <v>214.33075</v>
      </c>
      <c r="G91" s="32" t="n">
        <f aca="false">IF(輸入與假設!$C$334&gt;=9,1E+099,輸入與假設!$C$334*輸入與假設!$C$332*輸入與假設!$C$335*運營_產能與收入!G7)</f>
        <v>214.33075</v>
      </c>
      <c r="I91" s="6" t="s">
        <v>1207</v>
      </c>
    </row>
    <row r="92" customFormat="false" ht="15" hidden="false" customHeight="false" outlineLevel="1" collapsed="false">
      <c r="A92" s="2" t="s">
        <v>1208</v>
      </c>
      <c r="B92" s="11" t="s">
        <v>63</v>
      </c>
      <c r="C92" s="42" t="n">
        <f aca="false">MIN(C90,C91)</f>
        <v>0</v>
      </c>
      <c r="D92" s="42" t="n">
        <f aca="false">MIN(D90,D91)</f>
        <v>0</v>
      </c>
      <c r="E92" s="42" t="n">
        <f aca="false">MIN(E90,E91)</f>
        <v>0</v>
      </c>
      <c r="F92" s="42" t="n">
        <f aca="false">MIN(F90,F91)</f>
        <v>0</v>
      </c>
      <c r="G92" s="42" t="n">
        <f aca="false">MIN(G90,G91)</f>
        <v>0</v>
      </c>
    </row>
    <row r="93" customFormat="false" ht="15" hidden="false" customHeight="false" outlineLevel="1" collapsed="false">
      <c r="A93" s="2" t="s">
        <v>1209</v>
      </c>
      <c r="B93" s="11" t="s">
        <v>63</v>
      </c>
      <c r="C93" s="42" t="n">
        <f aca="false">(C90-C92)/(1-C72)</f>
        <v>0</v>
      </c>
      <c r="D93" s="42" t="n">
        <f aca="false">(D90-D92)/(1-D72)</f>
        <v>0</v>
      </c>
      <c r="E93" s="42" t="n">
        <f aca="false">(E90-E92)/(1-E72)</f>
        <v>0</v>
      </c>
      <c r="F93" s="42" t="n">
        <f aca="false">(F90-F92)/(1-F72)</f>
        <v>0</v>
      </c>
      <c r="G93" s="42" t="n">
        <f aca="false">(G90-G92)/(1-G72)</f>
        <v>0</v>
      </c>
    </row>
    <row r="94" customFormat="false" ht="15" hidden="false" customHeight="false" outlineLevel="1" collapsed="false">
      <c r="A94" s="3" t="s">
        <v>1210</v>
      </c>
      <c r="B94" s="11" t="s">
        <v>63</v>
      </c>
      <c r="C94" s="32" t="n">
        <f aca="false">C68*(C67+C86)+C72*(C69+C93)+C71*(C70+C89)</f>
        <v>0</v>
      </c>
      <c r="D94" s="32" t="n">
        <f aca="false">D68*(D67+D86)+D72*(D69+D93)+D71*(D70+D89)</f>
        <v>0</v>
      </c>
      <c r="E94" s="32" t="n">
        <f aca="false">E68*(E67+E86)+E72*(E69+E93)+E71*(E70+E89)</f>
        <v>0</v>
      </c>
      <c r="F94" s="32" t="n">
        <f aca="false">F68*(F67+F86)+F72*(F69+F93)+F71*(F70+F89)</f>
        <v>0</v>
      </c>
      <c r="G94" s="32" t="n">
        <f aca="false">G68*(G67+G86)+G72*(G69+G93)+G71*(G70+G89)</f>
        <v>0</v>
      </c>
      <c r="I94" s="6" t="s">
        <v>1211</v>
      </c>
    </row>
    <row r="95" customFormat="false" ht="15" hidden="false" customHeight="false" outlineLevel="1" collapsed="false">
      <c r="A95" s="3" t="s">
        <v>1212</v>
      </c>
      <c r="B95" s="11" t="s">
        <v>39</v>
      </c>
      <c r="C95" s="55" t="n">
        <f aca="false">輸入與假設!$C$332*(1-輸入與假設!$C$333)</f>
        <v>315.45</v>
      </c>
      <c r="D95" s="55" t="n">
        <f aca="false">輸入與假設!$C$332*(1-輸入與假設!$C$333)</f>
        <v>315.45</v>
      </c>
      <c r="E95" s="55" t="n">
        <f aca="false">輸入與假設!$C$332*(1-輸入與假設!$C$333)</f>
        <v>315.45</v>
      </c>
      <c r="F95" s="55" t="n">
        <f aca="false">輸入與假設!$C$332*(1-輸入與假設!$C$333)</f>
        <v>315.45</v>
      </c>
      <c r="G95" s="55" t="n">
        <f aca="false">輸入與假設!$C$332*(1-輸入與假設!$C$333)</f>
        <v>315.45</v>
      </c>
    </row>
    <row r="96" customFormat="false" ht="15" hidden="false" customHeight="false" outlineLevel="1" collapsed="false">
      <c r="A96" s="3" t="s">
        <v>1213</v>
      </c>
      <c r="B96" s="11" t="s">
        <v>666</v>
      </c>
      <c r="C96" s="31" t="n">
        <f aca="false">C92/C95</f>
        <v>0</v>
      </c>
      <c r="D96" s="31" t="n">
        <f aca="false">D92/D95</f>
        <v>0</v>
      </c>
      <c r="E96" s="31" t="n">
        <f aca="false">E92/E95</f>
        <v>0</v>
      </c>
      <c r="F96" s="31" t="n">
        <f aca="false">F92/F95</f>
        <v>0</v>
      </c>
      <c r="G96" s="31" t="n">
        <f aca="false">G92/G95</f>
        <v>0</v>
      </c>
    </row>
    <row r="97" customFormat="false" ht="15" hidden="false" customHeight="false" outlineLevel="1" collapsed="false">
      <c r="A97" s="2" t="s">
        <v>1214</v>
      </c>
      <c r="B97" s="11" t="s">
        <v>666</v>
      </c>
      <c r="C97" s="56" t="n">
        <f aca="false">C96-C78</f>
        <v>-0.0242553495007133</v>
      </c>
      <c r="D97" s="56" t="n">
        <f aca="false">C97+D96-D78</f>
        <v>-0.0727660485021398</v>
      </c>
      <c r="E97" s="56" t="n">
        <f aca="false">D97+E96-E78</f>
        <v>-0.121276747503566</v>
      </c>
      <c r="F97" s="56" t="n">
        <f aca="false">E97+F96-F78</f>
        <v>-0.169787446504993</v>
      </c>
      <c r="G97" s="56" t="n">
        <f aca="false">F97+G96-G78</f>
        <v>-0.218298145506419</v>
      </c>
    </row>
    <row r="98" customFormat="false" ht="15" hidden="false" customHeight="false" outlineLevel="1" collapsed="false">
      <c r="A98" s="3" t="s">
        <v>1215</v>
      </c>
      <c r="B98" s="11" t="s">
        <v>63</v>
      </c>
      <c r="C98" s="32" t="n">
        <f aca="false">C67+C86</f>
        <v>0</v>
      </c>
      <c r="D98" s="32" t="n">
        <f aca="false">D67+D86</f>
        <v>0</v>
      </c>
      <c r="E98" s="32" t="n">
        <f aca="false">E67+E86</f>
        <v>0</v>
      </c>
      <c r="F98" s="32" t="n">
        <f aca="false">F67+F86</f>
        <v>0</v>
      </c>
      <c r="G98" s="32" t="n">
        <f aca="false">G67+G86</f>
        <v>0</v>
      </c>
    </row>
    <row r="99" customFormat="false" ht="15" hidden="false" customHeight="false" outlineLevel="1" collapsed="false">
      <c r="A99" s="3" t="s">
        <v>1216</v>
      </c>
      <c r="B99" s="11" t="s">
        <v>63</v>
      </c>
      <c r="C99" s="32" t="n">
        <f aca="false">C84-MIN(C84,C86)</f>
        <v>0</v>
      </c>
      <c r="D99" s="32" t="n">
        <f aca="false">D84-MIN(D84,D86)</f>
        <v>0</v>
      </c>
      <c r="E99" s="32" t="n">
        <f aca="false">E84-MIN(E84,E86)</f>
        <v>0</v>
      </c>
      <c r="F99" s="32" t="n">
        <f aca="false">F84-MIN(F84,F86)</f>
        <v>0</v>
      </c>
      <c r="G99" s="32" t="n">
        <f aca="false">G84-MIN(G84,G86)</f>
        <v>0</v>
      </c>
    </row>
    <row r="100" customFormat="false" ht="15" hidden="false" customHeight="false" outlineLevel="1" collapsed="false">
      <c r="A100" s="3" t="s">
        <v>1217</v>
      </c>
      <c r="B100" s="11" t="s">
        <v>63</v>
      </c>
      <c r="C100" s="32" t="n">
        <f aca="false">C69+C93</f>
        <v>0</v>
      </c>
      <c r="D100" s="32" t="n">
        <f aca="false">D69+D93</f>
        <v>0</v>
      </c>
      <c r="E100" s="32" t="n">
        <f aca="false">E69+E93</f>
        <v>0</v>
      </c>
      <c r="F100" s="32" t="n">
        <f aca="false">F69+F93</f>
        <v>0</v>
      </c>
      <c r="G100" s="32" t="n">
        <f aca="false">G69+G93</f>
        <v>0</v>
      </c>
    </row>
    <row r="101" customFormat="false" ht="15" hidden="false" customHeight="false" outlineLevel="1" collapsed="false">
      <c r="A101" s="3" t="s">
        <v>1218</v>
      </c>
      <c r="B101" s="11" t="s">
        <v>63</v>
      </c>
      <c r="C101" s="32" t="n">
        <f aca="false">C70+C89</f>
        <v>0</v>
      </c>
      <c r="D101" s="32" t="n">
        <f aca="false">D70+D89</f>
        <v>0</v>
      </c>
      <c r="E101" s="32" t="n">
        <f aca="false">E70+E89</f>
        <v>0</v>
      </c>
      <c r="F101" s="32" t="n">
        <f aca="false">F70+F89</f>
        <v>0</v>
      </c>
      <c r="G101" s="32" t="n">
        <f aca="false">G70+G89</f>
        <v>0</v>
      </c>
    </row>
    <row r="102" customFormat="false" ht="15" hidden="false" customHeight="false" outlineLevel="1" collapsed="false">
      <c r="A102" s="2" t="s">
        <v>1219</v>
      </c>
      <c r="B102" s="11" t="s">
        <v>63</v>
      </c>
      <c r="C102" s="42" t="n">
        <f aca="false">C82+C98+C101+C100</f>
        <v>99.085</v>
      </c>
      <c r="D102" s="42" t="n">
        <f aca="false">D82+D98+D101+D100</f>
        <v>98.085</v>
      </c>
      <c r="E102" s="42" t="n">
        <f aca="false">E82+E98+E101+E100</f>
        <v>95.409</v>
      </c>
      <c r="F102" s="42" t="n">
        <f aca="false">F82+F98+F101+F100</f>
        <v>93.645</v>
      </c>
      <c r="G102" s="42" t="n">
        <f aca="false">G82+G98+G101+G100</f>
        <v>86.459</v>
      </c>
    </row>
    <row r="103" customFormat="false" ht="15" hidden="false" customHeight="false" outlineLevel="1" collapsed="false">
      <c r="A103" s="2" t="s">
        <v>1220</v>
      </c>
      <c r="B103" s="11" t="s">
        <v>63</v>
      </c>
      <c r="C103" s="42" t="n">
        <f aca="false">C18+C43+C45+C46+C53-C66</f>
        <v>136.622962806694</v>
      </c>
      <c r="D103" s="42" t="n">
        <f aca="false">C103+D43+D45-D66</f>
        <v>128.344848550017</v>
      </c>
      <c r="E103" s="42" t="n">
        <f aca="false">D103+E43+E45-E66</f>
        <v>148.212496839912</v>
      </c>
      <c r="F103" s="42" t="n">
        <f aca="false">E103+F43+F45-F66</f>
        <v>178.27101173717</v>
      </c>
      <c r="G103" s="42" t="n">
        <f aca="false">F103+G43+G45-G66</f>
        <v>128.115915257301</v>
      </c>
      <c r="I103" s="6" t="s">
        <v>1221</v>
      </c>
    </row>
    <row r="105" customFormat="false" ht="15" hidden="false" customHeight="false" outlineLevel="0" collapsed="true">
      <c r="A105" s="52" t="s">
        <v>1222</v>
      </c>
      <c r="B105" s="8"/>
      <c r="C105" s="8"/>
      <c r="D105" s="8"/>
      <c r="E105" s="8"/>
      <c r="F105" s="8"/>
      <c r="G105" s="8"/>
      <c r="H105" s="8"/>
    </row>
    <row r="106" customFormat="false" ht="15" hidden="true" customHeight="false" outlineLevel="1" collapsed="false">
      <c r="A106" s="3" t="s">
        <v>1223</v>
      </c>
      <c r="C106" s="57" t="n">
        <f aca="false">輸入與假設!$C$455</f>
        <v>120.53</v>
      </c>
    </row>
    <row r="107" customFormat="false" ht="15" hidden="true" customHeight="false" outlineLevel="1" collapsed="false">
      <c r="A107" s="3" t="s">
        <v>1224</v>
      </c>
      <c r="C107" s="57" t="n">
        <f aca="false">SUM(C54:G54)</f>
        <v>-145.592584742699</v>
      </c>
    </row>
    <row r="108" customFormat="false" ht="15" hidden="true" customHeight="false" outlineLevel="1" collapsed="false">
      <c r="A108" s="3" t="s">
        <v>1225</v>
      </c>
      <c r="C108" s="57" t="n">
        <f aca="false">SUM(C45:G45)</f>
        <v>49.562</v>
      </c>
    </row>
    <row r="109" customFormat="false" ht="15" hidden="true" customHeight="false" outlineLevel="1" collapsed="false">
      <c r="A109" s="3" t="s">
        <v>1226</v>
      </c>
      <c r="C109" s="57" t="n">
        <f aca="false">SUM(C46:G46)</f>
        <v>56.226</v>
      </c>
    </row>
    <row r="110" customFormat="false" ht="15" hidden="true" customHeight="false" outlineLevel="1" collapsed="false">
      <c r="A110" s="4" t="s">
        <v>1227</v>
      </c>
      <c r="C110" s="57" t="n">
        <f aca="false">-SUM(C28:G28)</f>
        <v>-1.011</v>
      </c>
    </row>
    <row r="111" customFormat="false" ht="15" hidden="true" customHeight="false" outlineLevel="1" collapsed="false">
      <c r="A111" s="3" t="s">
        <v>1228</v>
      </c>
      <c r="C111" s="57" t="n">
        <f aca="false">SUM(C53:G53)</f>
        <v>-8.23300000000003</v>
      </c>
    </row>
    <row r="112" customFormat="false" ht="15" hidden="true" customHeight="false" outlineLevel="1" collapsed="false">
      <c r="A112" s="3" t="s">
        <v>1229</v>
      </c>
      <c r="C112" s="57" t="n">
        <f aca="false">SUM(C47:G47)+SUM(C48:G48)+SUM(C49:G49)+SUM(C50:G50)</f>
        <v>0</v>
      </c>
    </row>
    <row r="113" customFormat="false" ht="15" hidden="true" customHeight="false" outlineLevel="1" collapsed="false">
      <c r="A113" s="3" t="s">
        <v>1230</v>
      </c>
      <c r="C113" s="57" t="n">
        <f aca="false">-SUM(C27:G27)</f>
        <v>-19.879</v>
      </c>
    </row>
    <row r="114" customFormat="false" ht="15" hidden="true" customHeight="false" outlineLevel="1" collapsed="false">
      <c r="A114" s="2" t="s">
        <v>1231</v>
      </c>
      <c r="C114" s="58" t="n">
        <f aca="false">SUM(C106:C113)</f>
        <v>51.6024152573014</v>
      </c>
    </row>
    <row r="115" customFormat="false" ht="15" hidden="true" customHeight="false" outlineLevel="1" collapsed="false">
      <c r="A115" s="3" t="s">
        <v>1232</v>
      </c>
      <c r="C115" s="57" t="n">
        <f aca="false">G56</f>
        <v>51.6024152573014</v>
      </c>
    </row>
    <row r="116" customFormat="false" ht="15" hidden="true" customHeight="false" outlineLevel="1" collapsed="false">
      <c r="A116" s="2" t="s">
        <v>1233</v>
      </c>
      <c r="C116" s="57" t="n">
        <f aca="false">C114-C115</f>
        <v>0</v>
      </c>
      <c r="I116" s="6" t="s">
        <v>1234</v>
      </c>
    </row>
    <row r="118" customFormat="false" ht="15" hidden="false" customHeight="false" outlineLevel="0" collapsed="true">
      <c r="A118" s="7" t="s">
        <v>1235</v>
      </c>
      <c r="B118" s="8"/>
      <c r="C118" s="8"/>
      <c r="D118" s="8"/>
      <c r="E118" s="8"/>
      <c r="F118" s="8"/>
      <c r="G118" s="8"/>
      <c r="H118" s="8"/>
    </row>
    <row r="119" customFormat="false" ht="15" hidden="true" customHeight="false" outlineLevel="1" collapsed="false">
      <c r="A119" s="4" t="s">
        <v>1236</v>
      </c>
      <c r="C119" s="10" t="n">
        <f aca="false">運營_產能與收入!C31</f>
        <v>492.268310257</v>
      </c>
      <c r="I119" s="6" t="s">
        <v>1237</v>
      </c>
    </row>
    <row r="120" customFormat="false" ht="15" hidden="true" customHeight="false" outlineLevel="1" collapsed="false">
      <c r="A120" s="4" t="s">
        <v>1238</v>
      </c>
      <c r="C120" s="10" t="n">
        <f aca="false">C6</f>
        <v>200</v>
      </c>
      <c r="I120" s="6" t="s">
        <v>1239</v>
      </c>
    </row>
    <row r="121" customFormat="false" ht="15" hidden="true" customHeight="false" outlineLevel="1" collapsed="false">
      <c r="A121" s="4" t="s">
        <v>1240</v>
      </c>
      <c r="C121" s="10" t="n">
        <f aca="false">輸入與假設!$C$464+輸入與假設!C$352+C20</f>
        <v>3.82368256759658</v>
      </c>
      <c r="I121" s="6" t="s">
        <v>1241</v>
      </c>
    </row>
    <row r="122" customFormat="false" ht="15" hidden="true" customHeight="false" outlineLevel="1" collapsed="false">
      <c r="A122" s="4" t="s">
        <v>1242</v>
      </c>
      <c r="C122" s="10" t="n">
        <f aca="false">輸入與假設!$C$465+C16</f>
        <v>2.92231375636364</v>
      </c>
      <c r="I122" s="11" t="s">
        <v>1243</v>
      </c>
    </row>
    <row r="123" customFormat="false" ht="15" hidden="true" customHeight="false" outlineLevel="1" collapsed="false">
      <c r="A123" s="4" t="s">
        <v>1244</v>
      </c>
      <c r="C123" s="10" t="n">
        <f aca="false">C27</f>
        <v>7.253</v>
      </c>
      <c r="I123" s="11" t="s">
        <v>1245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B4C"/>
    <outlinePr summaryBelow="0" summaryRight="1"/>
    <pageSetUpPr fitToPage="false"/>
  </sheetPr>
  <dimension ref="A1:Q1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44"/>
    <col collapsed="false" customWidth="true" hidden="false" outlineLevel="0" max="2" min="2" style="0" width="8"/>
    <col collapsed="false" customWidth="true" hidden="false" outlineLevel="0" max="12" min="3" style="0" width="14"/>
    <col collapsed="false" customWidth="true" hidden="false" outlineLevel="0" max="13" min="13" style="0" width="60"/>
  </cols>
  <sheetData>
    <row r="1" customFormat="false" ht="17.35" hidden="false" customHeight="false" outlineLevel="0" collapsed="false">
      <c r="A1" s="5" t="s">
        <v>1246</v>
      </c>
    </row>
    <row r="2" customFormat="false" ht="15" hidden="false" customHeight="false" outlineLevel="0" collapsed="false">
      <c r="A2" s="6" t="s">
        <v>1247</v>
      </c>
    </row>
    <row r="4" customFormat="false" ht="15" hidden="false" customHeight="false" outlineLevel="0" collapsed="false">
      <c r="A4" s="7" t="s">
        <v>1248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</row>
    <row r="5" customFormat="false" ht="17.15" hidden="false" customHeight="false" outlineLevel="1" collapsed="false">
      <c r="A5" s="14" t="s">
        <v>1249</v>
      </c>
      <c r="B5" s="14" t="s">
        <v>58</v>
      </c>
      <c r="C5" s="14" t="s">
        <v>1250</v>
      </c>
      <c r="D5" s="14" t="s">
        <v>1251</v>
      </c>
      <c r="E5" s="14" t="s">
        <v>1252</v>
      </c>
      <c r="F5" s="14" t="s">
        <v>1253</v>
      </c>
      <c r="G5" s="14" t="s">
        <v>1254</v>
      </c>
      <c r="H5" s="14" t="s">
        <v>1255</v>
      </c>
      <c r="I5" s="14" t="s">
        <v>1256</v>
      </c>
      <c r="J5" s="14" t="s">
        <v>1257</v>
      </c>
      <c r="K5" s="14" t="s">
        <v>1258</v>
      </c>
      <c r="L5" s="14" t="s">
        <v>1259</v>
      </c>
      <c r="M5" s="14" t="s">
        <v>1260</v>
      </c>
      <c r="N5" s="14" t="s">
        <v>1261</v>
      </c>
      <c r="O5" s="14" t="s">
        <v>1257</v>
      </c>
      <c r="P5" s="14" t="s">
        <v>1258</v>
      </c>
      <c r="Q5" s="14" t="s">
        <v>1262</v>
      </c>
    </row>
    <row r="6" customFormat="false" ht="15" hidden="false" customHeight="false" outlineLevel="1" collapsed="false">
      <c r="A6" s="3" t="s">
        <v>1263</v>
      </c>
      <c r="B6" s="11" t="s">
        <v>63</v>
      </c>
      <c r="C6" s="59" t="n">
        <f aca="false">INDEX($C$22:$H$22,輸入與假設!$C$540)</f>
        <v>127.457436752333</v>
      </c>
      <c r="D6" s="59" t="str">
        <f aca="false">INDEX($C$33:$H$33,輸入與假設!$C$540)</f>
        <v>不適用</v>
      </c>
      <c r="E6" s="60" t="str">
        <f aca="false">INDEX($C$43:$H$43,輸入與假設!$C$540)</f>
        <v>不適用</v>
      </c>
      <c r="F6" s="61" t="s">
        <v>1264</v>
      </c>
      <c r="G6" s="61" t="s">
        <v>1264</v>
      </c>
      <c r="H6" s="60" t="str">
        <f aca="false">INDEX($C$44:$H$44,輸入與假設!$C$540)</f>
        <v>不適用</v>
      </c>
      <c r="I6" s="59" t="str">
        <f aca="false">IF(ISNUMBER(INDEX($C$37:$H$37,輸入與假設!$C$540)),INDEX($C$37:$H$37,輸入與假設!$C$540),"待公布")</f>
        <v>待公布</v>
      </c>
      <c r="J6" s="60" t="str">
        <f aca="false">INDEX($C$45:$H$45,輸入與假設!$C$540)</f>
        <v/>
      </c>
      <c r="K6" s="60" t="str">
        <f aca="false">INDEX($C$46:$H$46,輸入與假設!$C$540)</f>
        <v/>
      </c>
      <c r="L6" s="60" t="str">
        <f aca="false">INDEX($C$47:$H$47,輸入與假設!$C$540)</f>
        <v/>
      </c>
      <c r="M6" s="60"/>
      <c r="N6" s="60"/>
      <c r="O6" s="60"/>
      <c r="P6" s="60"/>
      <c r="Q6" s="60"/>
    </row>
    <row r="7" customFormat="false" ht="15" hidden="false" customHeight="false" outlineLevel="1" collapsed="false">
      <c r="A7" s="3" t="s">
        <v>1265</v>
      </c>
      <c r="B7" s="11" t="s">
        <v>63</v>
      </c>
      <c r="C7" s="59" t="n">
        <f aca="false">INDEX($C$28:$H$28,輸入與假設!$C$540)</f>
        <v>49.0231101570612</v>
      </c>
      <c r="D7" s="59" t="str">
        <f aca="false">INDEX($C$34:$H$34,輸入與假設!$C$540)</f>
        <v>不適用</v>
      </c>
      <c r="E7" s="59" t="str">
        <f aca="false">INDEX($C$48:$H$48,輸入與假設!$C$540)</f>
        <v>不適用</v>
      </c>
      <c r="F7" s="61" t="s">
        <v>1264</v>
      </c>
      <c r="G7" s="61" t="s">
        <v>1264</v>
      </c>
      <c r="H7" s="59" t="str">
        <f aca="false">INDEX($C$49:$H$49,輸入與假設!$C$540)</f>
        <v>不適用</v>
      </c>
      <c r="I7" s="59" t="str">
        <f aca="false">IF(ISNUMBER(INDEX($C$38:$H$38,輸入與假設!$C$540)),INDEX($C$38:$H$38,輸入與假設!$C$540),"待公布")</f>
        <v>待公布</v>
      </c>
      <c r="J7" s="59" t="str">
        <f aca="false">INDEX($C$50:$H$50,輸入與假設!$C$540)</f>
        <v/>
      </c>
      <c r="K7" s="59" t="str">
        <f aca="false">INDEX($C$51:$H$51,輸入與假設!$C$540)</f>
        <v/>
      </c>
      <c r="L7" s="59" t="str">
        <f aca="false">INDEX($C$52:$H$52,輸入與假設!$C$540)</f>
        <v/>
      </c>
      <c r="M7" s="60" t="str">
        <f aca="false">INDEX($C$53:$H$53,輸入與假設!$C$540)</f>
        <v>不適用</v>
      </c>
      <c r="N7" s="60" t="str">
        <f aca="false">INDEX($C$54:$H$54,輸入與假設!$C$540)</f>
        <v>不適用</v>
      </c>
      <c r="O7" s="60" t="str">
        <f aca="false">INDEX($C$55:$H$55,輸入與假設!$C$540)</f>
        <v/>
      </c>
      <c r="P7" s="60" t="str">
        <f aca="false">INDEX($C$56:$H$56,輸入與假設!$C$540)</f>
        <v/>
      </c>
      <c r="Q7" s="60" t="str">
        <f aca="false">INDEX($C$57:$H$57,輸入與假設!$C$540)</f>
        <v/>
      </c>
    </row>
    <row r="8" customFormat="false" ht="15" hidden="false" customHeight="false" outlineLevel="1" collapsed="false">
      <c r="A8" s="3" t="s">
        <v>1266</v>
      </c>
      <c r="B8" s="11" t="s">
        <v>42</v>
      </c>
      <c r="C8" s="60" t="n">
        <f aca="false">INDEX($C$27:$H$27,輸入與假設!$C$540)</f>
        <v>0.384623380213738</v>
      </c>
      <c r="D8" s="60" t="str">
        <f aca="false">INDEX($C$35:$H$35,輸入與假設!$C$540)</f>
        <v>不適用</v>
      </c>
      <c r="E8" s="60" t="str">
        <f aca="false">INDEX($C$58:$H$58,輸入與假設!$C$540)</f>
        <v>不適用</v>
      </c>
      <c r="F8" s="62" t="s">
        <v>1264</v>
      </c>
      <c r="G8" s="62" t="s">
        <v>1264</v>
      </c>
      <c r="H8" s="60" t="str">
        <f aca="false">INDEX($C$59:$H$59,輸入與假設!$C$540)</f>
        <v>不適用</v>
      </c>
      <c r="I8" s="60" t="str">
        <f aca="false">IF(ISNUMBER(INDEX($C$39:$H$39,輸入與假設!$C$540)),INDEX($C$39:$H$39,輸入與假設!$C$540),"待公布")</f>
        <v>待公布</v>
      </c>
      <c r="J8" s="60" t="str">
        <f aca="false">INDEX($C$60:$H$60,輸入與假設!$C$540)</f>
        <v/>
      </c>
      <c r="K8" s="60" t="str">
        <f aca="false">INDEX($C$61:$H$61,輸入與假設!$C$540)</f>
        <v/>
      </c>
      <c r="L8" s="60" t="str">
        <f aca="false">INDEX($C$62:$H$62,輸入與假設!$C$540)</f>
        <v/>
      </c>
      <c r="M8" s="60"/>
      <c r="N8" s="60"/>
      <c r="O8" s="60"/>
      <c r="P8" s="60"/>
      <c r="Q8" s="60"/>
    </row>
    <row r="9" customFormat="false" ht="15" hidden="false" customHeight="false" outlineLevel="1" collapsed="false">
      <c r="A9" s="3" t="s">
        <v>1267</v>
      </c>
      <c r="B9" s="11" t="s">
        <v>63</v>
      </c>
      <c r="C9" s="59" t="n">
        <f aca="false">INDEX($C$31:$H$31,輸入與假設!$C$540)</f>
        <v>36.7885038105769</v>
      </c>
      <c r="D9" s="61" t="s">
        <v>1264</v>
      </c>
      <c r="E9" s="59" t="str">
        <f aca="false">INDEX($C$63:$H$63,輸入與假設!$C$540)</f>
        <v>不適用</v>
      </c>
      <c r="F9" s="61" t="s">
        <v>1264</v>
      </c>
      <c r="G9" s="61" t="s">
        <v>1264</v>
      </c>
      <c r="H9" s="59" t="str">
        <f aca="false">INDEX($C$64:$H$64,輸入與假設!$C$540)</f>
        <v>不適用</v>
      </c>
      <c r="I9" s="59" t="str">
        <f aca="false">IF(ISNUMBER(INDEX($C$40:$H$40,輸入與假設!$C$540)),INDEX($C$40:$H$40,輸入與假設!$C$540),"待公布")</f>
        <v>待公布</v>
      </c>
      <c r="J9" s="59" t="str">
        <f aca="false">INDEX($C$65:$H$65,輸入與假設!$C$540)</f>
        <v/>
      </c>
      <c r="K9" s="59" t="str">
        <f aca="false">INDEX($C$66:$H$66,輸入與假設!$C$540)</f>
        <v/>
      </c>
      <c r="L9" s="59" t="str">
        <f aca="false">INDEX($C$67:$H$67,輸入與假設!$C$540)</f>
        <v/>
      </c>
      <c r="M9" s="60" t="str">
        <f aca="false">INDEX($C$68:$H$68,輸入與假設!$C$540)</f>
        <v>不適用</v>
      </c>
      <c r="N9" s="60" t="str">
        <f aca="false">INDEX($C$69:$H$69,輸入與假設!$C$540)</f>
        <v>不適用</v>
      </c>
      <c r="O9" s="60" t="str">
        <f aca="false">INDEX($C$70:$H$70,輸入與假設!$C$540)</f>
        <v/>
      </c>
      <c r="P9" s="60" t="str">
        <f aca="false">INDEX($C$71:$H$71,輸入與假設!$C$540)</f>
        <v/>
      </c>
      <c r="Q9" s="60" t="str">
        <f aca="false">INDEX($C$72:$H$72,輸入與假設!$C$540)</f>
        <v/>
      </c>
    </row>
    <row r="10" customFormat="false" ht="15" hidden="false" customHeight="false" outlineLevel="1" collapsed="false">
      <c r="A10" s="3" t="s">
        <v>1268</v>
      </c>
      <c r="B10" s="11" t="s">
        <v>63</v>
      </c>
      <c r="C10" s="59" t="n">
        <f aca="false">INDEX($C$32:$H$32,輸入與假設!$C$540)</f>
        <v>59.701</v>
      </c>
      <c r="D10" s="61" t="s">
        <v>1264</v>
      </c>
      <c r="E10" s="60" t="str">
        <f aca="false">INDEX($C$73:$H$73,輸入與假設!$C$540)</f>
        <v>不適用</v>
      </c>
      <c r="F10" s="61" t="s">
        <v>1264</v>
      </c>
      <c r="G10" s="61" t="s">
        <v>1264</v>
      </c>
      <c r="H10" s="60" t="str">
        <f aca="false">INDEX($C$74:$H$74,輸入與假設!$C$540)</f>
        <v>不適用</v>
      </c>
      <c r="I10" s="59" t="str">
        <f aca="false">IF(ISNUMBER(INDEX($C$41:$H$41,輸入與假設!$C$540)),INDEX($C$41:$H$41,輸入與假設!$C$540),"待公布")</f>
        <v>待公布</v>
      </c>
      <c r="J10" s="60" t="str">
        <f aca="false">INDEX($C$75:$H$75,輸入與假設!$C$540)</f>
        <v/>
      </c>
      <c r="K10" s="60" t="str">
        <f aca="false">INDEX($C$76:$H$76,輸入與假設!$C$540)</f>
        <v/>
      </c>
      <c r="L10" s="60" t="str">
        <f aca="false">INDEX($C$77:$H$77,輸入與假設!$C$540)</f>
        <v/>
      </c>
      <c r="M10" s="60"/>
      <c r="N10" s="60"/>
      <c r="O10" s="60"/>
      <c r="P10" s="60"/>
      <c r="Q10" s="60"/>
    </row>
    <row r="11" customFormat="false" ht="15" hidden="false" customHeight="false" outlineLevel="1" collapsed="false">
      <c r="A11" s="3" t="s">
        <v>1269</v>
      </c>
      <c r="B11" s="11" t="s">
        <v>155</v>
      </c>
      <c r="C11" s="63" t="n">
        <f aca="false">INDEX($C$19:$H$19,輸入與假設!$C$540)</f>
        <v>2168.35</v>
      </c>
      <c r="D11" s="64" t="s">
        <v>1264</v>
      </c>
      <c r="E11" s="63" t="str">
        <f aca="false">INDEX($C$78:$H$78,輸入與假設!$C$540)</f>
        <v>不適用</v>
      </c>
      <c r="F11" s="64" t="s">
        <v>1264</v>
      </c>
      <c r="G11" s="64" t="s">
        <v>1264</v>
      </c>
      <c r="H11" s="63" t="str">
        <f aca="false">INDEX($C$79:$H$79,輸入與假設!$C$540)</f>
        <v>不適用</v>
      </c>
      <c r="I11" s="63" t="str">
        <f aca="false">IF(ISNUMBER(INDEX($C$42:$H$42,輸入與假設!$C$540)),INDEX($C$42:$H$42,輸入與假設!$C$540),"待公布")</f>
        <v>待公布</v>
      </c>
      <c r="J11" s="63" t="str">
        <f aca="false">INDEX($C$80:$H$80,輸入與假設!$C$540)</f>
        <v/>
      </c>
      <c r="K11" s="63" t="str">
        <f aca="false">INDEX($C$81:$H$81,輸入與假設!$C$540)</f>
        <v/>
      </c>
      <c r="L11" s="63" t="str">
        <f aca="false">INDEX($C$82:$H$82,輸入與假設!$C$540)</f>
        <v/>
      </c>
      <c r="M11" s="60"/>
      <c r="N11" s="60"/>
      <c r="O11" s="60"/>
      <c r="P11" s="60"/>
      <c r="Q11" s="60"/>
    </row>
    <row r="12" customFormat="false" ht="15" hidden="false" customHeight="false" outlineLevel="1" collapsed="false">
      <c r="A12" s="2" t="s">
        <v>1270</v>
      </c>
      <c r="C12" s="2" t="str">
        <f aca="false">INDEX($C$16:$H$16,輸入與假設!$C$540)</f>
        <v>Q3 2026</v>
      </c>
    </row>
    <row r="13" customFormat="false" ht="17.15" hidden="false" customHeight="false" outlineLevel="1" collapsed="false">
      <c r="A13" s="2" t="s">
        <v>1271</v>
      </c>
      <c r="C13" s="0" t="str">
        <f aca="false">IF(INDEX($C$119:$H$119,輸入與假設!$C$540)="","無（差距皆在 "&amp;IF(ROUND(ABS(輸入與假設!$C$534)*100,4)=INT(ROUND(ABS(輸入與假設!$C$534)*100,4)),TEXT(ROUND(ABS(輸入與假設!$C$534)*100,4),"0"),TEXT(ROUND(ABS(輸入與假設!$C$534)*100,4),"0.0"))&amp;"%"&amp;" 以內）",INDEX($C$119:$H$119,輸入與假設!$C$540))</f>
        <v>無（差距皆在 5% 以內）</v>
      </c>
    </row>
    <row r="15" customFormat="false" ht="15" hidden="false" customHeight="false" outlineLevel="0" collapsed="true">
      <c r="A15" s="7" t="s">
        <v>1272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</row>
    <row r="16" customFormat="false" ht="15" hidden="true" customHeight="false" outlineLevel="1" collapsed="false">
      <c r="A16" s="14" t="s">
        <v>57</v>
      </c>
      <c r="B16" s="14" t="s">
        <v>58</v>
      </c>
      <c r="C16" s="15" t="s">
        <v>1037</v>
      </c>
      <c r="D16" s="15" t="s">
        <v>1038</v>
      </c>
      <c r="E16" s="15" t="s">
        <v>1039</v>
      </c>
      <c r="F16" s="15" t="s">
        <v>1040</v>
      </c>
      <c r="G16" s="15" t="s">
        <v>1041</v>
      </c>
      <c r="H16" s="15" t="s">
        <v>1042</v>
      </c>
    </row>
    <row r="17" customFormat="false" ht="15" hidden="true" customHeight="false" outlineLevel="1" collapsed="false">
      <c r="A17" s="3" t="s">
        <v>1273</v>
      </c>
      <c r="C17" s="26" t="n">
        <f aca="false">輸入與假設!C$539</f>
        <v>1</v>
      </c>
      <c r="D17" s="26" t="n">
        <f aca="false">輸入與假設!D$539</f>
        <v>1</v>
      </c>
      <c r="E17" s="26" t="n">
        <f aca="false">輸入與假設!E$539</f>
        <v>2</v>
      </c>
      <c r="F17" s="26" t="n">
        <f aca="false">輸入與假設!F$539</f>
        <v>2</v>
      </c>
      <c r="G17" s="26" t="n">
        <f aca="false">輸入與假設!G$539</f>
        <v>2</v>
      </c>
      <c r="H17" s="26" t="n">
        <f aca="false">輸入與假設!H$539</f>
        <v>2</v>
      </c>
      <c r="J17" s="11" t="s">
        <v>1274</v>
      </c>
    </row>
    <row r="18" customFormat="false" ht="15" hidden="true" customHeight="false" outlineLevel="1" collapsed="false">
      <c r="A18" s="3" t="s">
        <v>1275</v>
      </c>
      <c r="C18" s="22" t="n">
        <v>1</v>
      </c>
      <c r="D18" s="22" t="n">
        <v>2</v>
      </c>
      <c r="E18" s="22" t="n">
        <v>3</v>
      </c>
      <c r="F18" s="22" t="n">
        <v>4</v>
      </c>
      <c r="G18" s="22" t="n">
        <v>5</v>
      </c>
      <c r="H18" s="22" t="n">
        <v>6</v>
      </c>
      <c r="J18" s="11" t="s">
        <v>1276</v>
      </c>
    </row>
    <row r="19" customFormat="false" ht="15" hidden="true" customHeight="false" outlineLevel="1" collapsed="false">
      <c r="A19" s="3" t="s">
        <v>1277</v>
      </c>
      <c r="B19" s="11" t="s">
        <v>155</v>
      </c>
      <c r="C19" s="22" t="n">
        <f aca="false">輸入與假設!$C$542+(輸入與假設!C$36-輸入與假設!$C$542)*1/2</f>
        <v>2168.35</v>
      </c>
      <c r="D19" s="22" t="n">
        <f aca="false">輸入與假設!$C$542+(輸入與假設!C$36-輸入與假設!$C$542)*2/2</f>
        <v>2435.7</v>
      </c>
      <c r="E19" s="22" t="n">
        <f aca="false">輸入與假設!C$36+(輸入與假設!D$36-輸入與假設!C$36)*1/4</f>
        <v>2703.05</v>
      </c>
      <c r="F19" s="22" t="n">
        <f aca="false">輸入與假設!C$36+(輸入與假設!D$36-輸入與假設!C$36)*2/4</f>
        <v>2970.4</v>
      </c>
      <c r="G19" s="22" t="n">
        <f aca="false">輸入與假設!C$36+(輸入與假設!D$36-輸入與假設!C$36)*3/4</f>
        <v>3237.75</v>
      </c>
      <c r="H19" s="22" t="n">
        <f aca="false">輸入與假設!C$36+(輸入與假設!D$36-輸入與假設!C$36)*4/4</f>
        <v>3505.1</v>
      </c>
      <c r="J19" s="6" t="s">
        <v>1278</v>
      </c>
    </row>
    <row r="20" customFormat="false" ht="15" hidden="true" customHeight="false" outlineLevel="1" collapsed="false">
      <c r="A20" s="3" t="s">
        <v>1279</v>
      </c>
      <c r="B20" s="11" t="s">
        <v>155</v>
      </c>
      <c r="C20" s="22" t="n">
        <f aca="false">輸入與假設!$C$29+(運營_產能與收入!C$11-輸入與假設!$C$29)*1/4</f>
        <v>2034.675</v>
      </c>
      <c r="D20" s="22" t="n">
        <f aca="false">輸入與假設!$C$29+(運營_產能與收入!C$11-輸入與假設!$C$29)*3/4</f>
        <v>2302.025</v>
      </c>
      <c r="E20" s="22" t="n">
        <f aca="false">運營_產能與收入!C$11+(運營_產能與收入!D$11-運營_產能與收入!C$11)*1/8</f>
        <v>2569.3625</v>
      </c>
      <c r="F20" s="22" t="n">
        <f aca="false">運營_產能與收入!C$11+(運營_產能與收入!D$11-運營_產能與收入!C$11)*3/8</f>
        <v>2836.6875</v>
      </c>
      <c r="G20" s="22" t="n">
        <f aca="false">運營_產能與收入!C$11+(運營_產能與收入!D$11-運營_產能與收入!C$11)*5/8</f>
        <v>3104.0125</v>
      </c>
      <c r="H20" s="22" t="n">
        <f aca="false">運營_產能與收入!C$11+(運營_產能與收入!D$11-運營_產能與收入!C$11)*7/8</f>
        <v>3371.3375</v>
      </c>
      <c r="J20" s="6" t="s">
        <v>1280</v>
      </c>
    </row>
    <row r="21" customFormat="false" ht="15" hidden="true" customHeight="false" outlineLevel="1" collapsed="false">
      <c r="A21" s="3" t="s">
        <v>1281</v>
      </c>
      <c r="B21" s="11" t="s">
        <v>155</v>
      </c>
      <c r="C21" s="22" t="n">
        <f aca="false">C19-輸入與假設!$C$542</f>
        <v>267.35</v>
      </c>
      <c r="D21" s="22" t="n">
        <f aca="false">D19-C19</f>
        <v>267.35</v>
      </c>
      <c r="E21" s="22" t="n">
        <f aca="false">E19-輸入與假設!C$36</f>
        <v>267.35</v>
      </c>
      <c r="F21" s="22" t="n">
        <f aca="false">F19-E19</f>
        <v>267.35</v>
      </c>
      <c r="G21" s="22" t="n">
        <f aca="false">G19-F19</f>
        <v>267.35</v>
      </c>
      <c r="H21" s="22" t="n">
        <f aca="false">H19-G19</f>
        <v>267.35</v>
      </c>
      <c r="J21" s="11" t="s">
        <v>1282</v>
      </c>
    </row>
    <row r="22" customFormat="false" ht="15" hidden="true" customHeight="false" outlineLevel="1" collapsed="false">
      <c r="A22" s="3" t="s">
        <v>1283</v>
      </c>
      <c r="B22" s="11" t="s">
        <v>63</v>
      </c>
      <c r="C22" s="32" t="n">
        <f aca="false">輸入與假設!$C$541+1*(損益!C9-2*輸入與假設!$C$541)/3</f>
        <v>127.457436752333</v>
      </c>
      <c r="D22" s="32" t="n">
        <f aca="false">輸入與假設!$C$541+2*(損益!C9-2*輸入與假設!$C$541)/3</f>
        <v>135.118873504667</v>
      </c>
      <c r="E22" s="32" t="n">
        <f aca="false">損益!D9*E20/(E20+F20+G20+H20)</f>
        <v>129.099890494921</v>
      </c>
      <c r="F22" s="32" t="n">
        <f aca="false">損益!D9*F20/(E20+F20+G20+H20)</f>
        <v>142.531871473298</v>
      </c>
      <c r="G22" s="32" t="n">
        <f aca="false">損益!D9*G20/(E20+F20+G20+H20)</f>
        <v>155.963852451675</v>
      </c>
      <c r="H22" s="32" t="n">
        <f aca="false">損益!D9*H20/(E20+F20+G20+H20)</f>
        <v>169.395833430051</v>
      </c>
      <c r="J22" s="6" t="s">
        <v>1284</v>
      </c>
    </row>
    <row r="23" customFormat="false" ht="15" hidden="true" customHeight="false" outlineLevel="1" collapsed="false">
      <c r="A23" s="4" t="s">
        <v>1285</v>
      </c>
      <c r="C23" s="59" t="n">
        <f aca="false">C22+D22</f>
        <v>262.576310257</v>
      </c>
      <c r="D23" s="59" t="n">
        <f aca="false">E22+F22+G22+H22</f>
        <v>596.991447849945</v>
      </c>
      <c r="J23" s="6" t="s">
        <v>1286</v>
      </c>
    </row>
    <row r="24" customFormat="false" ht="15" hidden="true" customHeight="false" outlineLevel="1" collapsed="false">
      <c r="A24" s="4" t="s">
        <v>1287</v>
      </c>
      <c r="C24" s="59" t="n">
        <f aca="false">C22*C18+D22*D18</f>
        <v>397.695183761667</v>
      </c>
      <c r="D24" s="59" t="n">
        <f aca="false">E22*E18+F22*F18+G22*G18+H22*H18</f>
        <v>2753.62142021663</v>
      </c>
      <c r="J24" s="6" t="s">
        <v>1286</v>
      </c>
    </row>
    <row r="25" customFormat="false" ht="15" hidden="true" customHeight="false" outlineLevel="1" collapsed="false">
      <c r="A25" s="4" t="s">
        <v>1288</v>
      </c>
      <c r="C25" s="59" t="n">
        <f aca="false">損益!C22</f>
        <v>100.336830332531</v>
      </c>
      <c r="D25" s="59" t="n">
        <f aca="false">損益!D22</f>
        <v>219.143947356896</v>
      </c>
      <c r="J25" s="6" t="s">
        <v>1286</v>
      </c>
    </row>
    <row r="26" customFormat="false" ht="15" hidden="true" customHeight="false" outlineLevel="1" collapsed="false">
      <c r="A26" s="4" t="s">
        <v>1289</v>
      </c>
      <c r="C26" s="65" t="n">
        <f aca="false">(C25*D24-C24*D25)/(C23*D24-C24*D23)</f>
        <v>0.389479531434872</v>
      </c>
      <c r="D26" s="65" t="n">
        <f aca="false">(C23*D25-D23*C25)/(C23*D24-C24*D23)</f>
        <v>-0.00485615122113432</v>
      </c>
      <c r="J26" s="6" t="s">
        <v>1290</v>
      </c>
    </row>
    <row r="27" customFormat="false" ht="15" hidden="true" customHeight="false" outlineLevel="1" collapsed="false">
      <c r="A27" s="4" t="s">
        <v>1291</v>
      </c>
      <c r="B27" s="11" t="s">
        <v>42</v>
      </c>
      <c r="C27" s="38" t="n">
        <f aca="false">$C$26+$D$26*C18</f>
        <v>0.384623380213738</v>
      </c>
      <c r="D27" s="38" t="n">
        <f aca="false">$C$26+$D$26*D18</f>
        <v>0.379767228992604</v>
      </c>
      <c r="E27" s="38" t="n">
        <f aca="false">$C$26+$D$26*E18</f>
        <v>0.374911077771469</v>
      </c>
      <c r="F27" s="38" t="n">
        <f aca="false">$C$26+$D$26*F18</f>
        <v>0.370054926550335</v>
      </c>
      <c r="G27" s="38" t="n">
        <f aca="false">$C$26+$D$26*G18</f>
        <v>0.365198775329201</v>
      </c>
      <c r="H27" s="38" t="n">
        <f aca="false">$C$26+$D$26*H18</f>
        <v>0.360342624108066</v>
      </c>
      <c r="J27" s="6" t="s">
        <v>1292</v>
      </c>
    </row>
    <row r="28" customFormat="false" ht="15" hidden="true" customHeight="false" outlineLevel="1" collapsed="false">
      <c r="A28" s="3" t="s">
        <v>1293</v>
      </c>
      <c r="B28" s="11" t="s">
        <v>63</v>
      </c>
      <c r="C28" s="32" t="n">
        <f aca="false">C22*C27</f>
        <v>49.0231101570612</v>
      </c>
      <c r="D28" s="32" t="n">
        <f aca="false">D22*D27</f>
        <v>51.3137201754694</v>
      </c>
      <c r="E28" s="32" t="n">
        <f aca="false">E22*E27</f>
        <v>48.4009790856295</v>
      </c>
      <c r="F28" s="32" t="n">
        <f aca="false">F22*F27</f>
        <v>52.744621229133</v>
      </c>
      <c r="G28" s="32" t="n">
        <f aca="false">G22*G27</f>
        <v>56.9578079109757</v>
      </c>
      <c r="H28" s="32" t="n">
        <f aca="false">H22*H27</f>
        <v>61.0405391311576</v>
      </c>
    </row>
    <row r="29" customFormat="false" ht="15" hidden="true" customHeight="false" outlineLevel="1" collapsed="false">
      <c r="A29" s="3" t="s">
        <v>1294</v>
      </c>
      <c r="B29" s="11" t="s">
        <v>63</v>
      </c>
      <c r="C29" s="32" t="n">
        <f aca="false">輸入與假設!C$313/2</f>
        <v>12.2346063464843</v>
      </c>
      <c r="D29" s="32" t="n">
        <f aca="false">輸入與假設!C$313/2</f>
        <v>12.2346063464843</v>
      </c>
      <c r="E29" s="32" t="n">
        <f aca="false">輸入與假設!D$313/4</f>
        <v>17.8430719874599</v>
      </c>
      <c r="F29" s="32" t="n">
        <f aca="false">輸入與假設!D$313/4</f>
        <v>17.8430719874599</v>
      </c>
      <c r="G29" s="32" t="n">
        <f aca="false">輸入與假設!D$313/4</f>
        <v>17.8430719874599</v>
      </c>
      <c r="H29" s="32" t="n">
        <f aca="false">輸入與假設!D$313/4</f>
        <v>17.8430719874599</v>
      </c>
      <c r="J29" s="6" t="s">
        <v>1295</v>
      </c>
    </row>
    <row r="30" customFormat="false" ht="15" hidden="true" customHeight="false" outlineLevel="1" collapsed="false">
      <c r="A30" s="3" t="s">
        <v>1296</v>
      </c>
      <c r="B30" s="11" t="s">
        <v>63</v>
      </c>
      <c r="C30" s="32" t="n">
        <f aca="false">輸入與假設!C$231*C22/MAX(0.000000001,C23)</f>
        <v>0</v>
      </c>
      <c r="D30" s="32" t="n">
        <f aca="false">輸入與假設!C$231*D22/MAX(0.000000001,C23)</f>
        <v>0</v>
      </c>
      <c r="E30" s="32" t="n">
        <f aca="false">輸入與假設!D$231*E22/MAX(0.000000001,D23)</f>
        <v>0</v>
      </c>
      <c r="F30" s="32" t="n">
        <f aca="false">輸入與假設!D$231*F22/MAX(0.000000001,D23)</f>
        <v>0</v>
      </c>
      <c r="G30" s="32" t="n">
        <f aca="false">輸入與假設!D$231*G22/MAX(0.000000001,D23)</f>
        <v>0</v>
      </c>
      <c r="H30" s="32" t="n">
        <f aca="false">輸入與假設!D$231*H22/MAX(0.000000001,D23)</f>
        <v>0</v>
      </c>
      <c r="J30" s="6" t="s">
        <v>1297</v>
      </c>
    </row>
    <row r="31" customFormat="false" ht="15" hidden="true" customHeight="false" outlineLevel="1" collapsed="false">
      <c r="A31" s="3" t="s">
        <v>1298</v>
      </c>
      <c r="B31" s="11" t="s">
        <v>63</v>
      </c>
      <c r="C31" s="32" t="n">
        <f aca="false">C28-C29-C30</f>
        <v>36.7885038105769</v>
      </c>
      <c r="D31" s="32" t="n">
        <f aca="false">D28-D29-D30</f>
        <v>39.0791138289851</v>
      </c>
      <c r="E31" s="32" t="n">
        <f aca="false">E28-E29-E30</f>
        <v>30.5579070981696</v>
      </c>
      <c r="F31" s="32" t="n">
        <f aca="false">F28-F29-F30</f>
        <v>34.9015492416731</v>
      </c>
      <c r="G31" s="32" t="n">
        <f aca="false">G28-G29-G30</f>
        <v>39.1147359235158</v>
      </c>
      <c r="H31" s="32" t="n">
        <f aca="false">H28-H29-H30</f>
        <v>43.1974671436977</v>
      </c>
      <c r="J31" s="6" t="s">
        <v>1299</v>
      </c>
    </row>
    <row r="32" customFormat="false" ht="15" hidden="true" customHeight="false" outlineLevel="1" collapsed="false">
      <c r="A32" s="4" t="s">
        <v>1300</v>
      </c>
      <c r="B32" s="11" t="s">
        <v>63</v>
      </c>
      <c r="C32" s="32" t="n">
        <f aca="false">IF((C21+D21)&gt;0,輸入與假設!C$312*C21/(C21+D21),輸入與假設!C$312/2)</f>
        <v>59.701</v>
      </c>
      <c r="D32" s="32" t="n">
        <f aca="false">IF((C21+D21)&gt;0,輸入與假設!C$312*D21/(C21+D21),輸入與假設!C$312/2)</f>
        <v>59.701</v>
      </c>
      <c r="E32" s="32" t="n">
        <f aca="false">IF((E21+F21+G21+H21)&gt;0,輸入與假設!D$312*E21/(E21+F21+G21+H21),輸入與假設!D$312/4)</f>
        <v>54.6316378622153</v>
      </c>
      <c r="F32" s="32" t="n">
        <f aca="false">IF((E21+F21+G21+H21)&gt;0,輸入與假設!D$312*F21/(E21+F21+G21+H21),輸入與假設!D$312/4)</f>
        <v>54.6316378622153</v>
      </c>
      <c r="G32" s="32" t="n">
        <f aca="false">IF((E21+F21+G21+H21)&gt;0,輸入與假設!D$312*G21/(E21+F21+G21+H21),輸入與假設!D$312/4)</f>
        <v>54.6316378622154</v>
      </c>
      <c r="H32" s="32" t="n">
        <f aca="false">IF((E21+F21+G21+H21)&gt;0,輸入與假設!D$312*H21/(E21+F21+G21+H21),輸入與假設!D$312/4)</f>
        <v>54.6316378622153</v>
      </c>
      <c r="J32" s="6" t="s">
        <v>1301</v>
      </c>
    </row>
    <row r="33" customFormat="false" ht="15" hidden="true" customHeight="false" outlineLevel="1" collapsed="false">
      <c r="A33" s="3" t="s">
        <v>1302</v>
      </c>
      <c r="B33" s="11" t="s">
        <v>63</v>
      </c>
      <c r="C33" s="66" t="s">
        <v>1264</v>
      </c>
      <c r="D33" s="66" t="s">
        <v>1264</v>
      </c>
      <c r="E33" s="66" t="s">
        <v>1264</v>
      </c>
      <c r="F33" s="66" t="s">
        <v>1264</v>
      </c>
      <c r="G33" s="66" t="s">
        <v>1264</v>
      </c>
      <c r="H33" s="66" t="s">
        <v>1264</v>
      </c>
      <c r="J33" s="11" t="s">
        <v>1303</v>
      </c>
    </row>
    <row r="34" customFormat="false" ht="15" hidden="true" customHeight="false" outlineLevel="1" collapsed="false">
      <c r="A34" s="3" t="s">
        <v>1304</v>
      </c>
      <c r="B34" s="11" t="s">
        <v>63</v>
      </c>
      <c r="C34" s="66" t="s">
        <v>1264</v>
      </c>
      <c r="D34" s="66" t="s">
        <v>1264</v>
      </c>
      <c r="E34" s="66" t="s">
        <v>1264</v>
      </c>
      <c r="F34" s="66" t="s">
        <v>1264</v>
      </c>
      <c r="G34" s="66" t="s">
        <v>1264</v>
      </c>
      <c r="H34" s="66" t="s">
        <v>1264</v>
      </c>
      <c r="J34" s="11" t="s">
        <v>1303</v>
      </c>
    </row>
    <row r="35" customFormat="false" ht="15" hidden="true" customHeight="false" outlineLevel="1" collapsed="false">
      <c r="A35" s="3" t="s">
        <v>1305</v>
      </c>
      <c r="B35" s="11" t="s">
        <v>42</v>
      </c>
      <c r="C35" s="67" t="s">
        <v>1264</v>
      </c>
      <c r="D35" s="67" t="s">
        <v>1264</v>
      </c>
      <c r="E35" s="67" t="s">
        <v>1264</v>
      </c>
      <c r="F35" s="67" t="s">
        <v>1264</v>
      </c>
      <c r="G35" s="67" t="s">
        <v>1264</v>
      </c>
      <c r="H35" s="67" t="s">
        <v>1264</v>
      </c>
      <c r="J35" s="6" t="s">
        <v>1306</v>
      </c>
    </row>
    <row r="36" customFormat="false" ht="15" hidden="true" customHeight="false" outlineLevel="1" collapsed="false">
      <c r="A36" s="3" t="s">
        <v>1307</v>
      </c>
      <c r="B36" s="11" t="s">
        <v>63</v>
      </c>
      <c r="C36" s="66" t="s">
        <v>1264</v>
      </c>
      <c r="D36" s="66" t="s">
        <v>1264</v>
      </c>
      <c r="E36" s="66" t="s">
        <v>1264</v>
      </c>
      <c r="F36" s="66" t="s">
        <v>1264</v>
      </c>
      <c r="G36" s="66" t="s">
        <v>1264</v>
      </c>
      <c r="H36" s="66" t="s">
        <v>1264</v>
      </c>
      <c r="J36" s="6" t="s">
        <v>1308</v>
      </c>
    </row>
    <row r="37" customFormat="false" ht="15" hidden="true" customHeight="false" outlineLevel="1" collapsed="false">
      <c r="A37" s="3" t="s">
        <v>1309</v>
      </c>
      <c r="B37" s="11" t="s">
        <v>63</v>
      </c>
      <c r="C37" s="39" t="str">
        <f aca="false">IF(ISNUMBER(輸入與假設!C$543),輸入與假設!C$543,"")</f>
        <v/>
      </c>
      <c r="D37" s="39" t="str">
        <f aca="false">IF(ISNUMBER(輸入與假設!D$543),輸入與假設!D$543,"")</f>
        <v/>
      </c>
      <c r="E37" s="39" t="str">
        <f aca="false">IF(ISNUMBER(輸入與假設!E$543),輸入與假設!E$543,"")</f>
        <v/>
      </c>
      <c r="F37" s="39" t="str">
        <f aca="false">IF(ISNUMBER(輸入與假設!F$543),輸入與假設!F$543,"")</f>
        <v/>
      </c>
      <c r="G37" s="39" t="str">
        <f aca="false">IF(ISNUMBER(輸入與假設!G$543),輸入與假設!G$543,"")</f>
        <v/>
      </c>
      <c r="H37" s="39" t="str">
        <f aca="false">IF(ISNUMBER(輸入與假設!H$543),輸入與假設!H$543,"")</f>
        <v/>
      </c>
    </row>
    <row r="38" customFormat="false" ht="15" hidden="true" customHeight="false" outlineLevel="1" collapsed="false">
      <c r="A38" s="3" t="s">
        <v>1310</v>
      </c>
      <c r="B38" s="11" t="s">
        <v>63</v>
      </c>
      <c r="C38" s="39" t="str">
        <f aca="false">IF(ISNUMBER(輸入與假設!C$544),輸入與假設!C$544,"")</f>
        <v/>
      </c>
      <c r="D38" s="39" t="str">
        <f aca="false">IF(ISNUMBER(輸入與假設!D$544),輸入與假設!D$544,"")</f>
        <v/>
      </c>
      <c r="E38" s="39" t="str">
        <f aca="false">IF(ISNUMBER(輸入與假設!E$544),輸入與假設!E$544,"")</f>
        <v/>
      </c>
      <c r="F38" s="39" t="str">
        <f aca="false">IF(ISNUMBER(輸入與假設!F$544),輸入與假設!F$544,"")</f>
        <v/>
      </c>
      <c r="G38" s="39" t="str">
        <f aca="false">IF(ISNUMBER(輸入與假設!G$544),輸入與假設!G$544,"")</f>
        <v/>
      </c>
      <c r="H38" s="39" t="str">
        <f aca="false">IF(ISNUMBER(輸入與假設!H$544),輸入與假設!H$544,"")</f>
        <v/>
      </c>
    </row>
    <row r="39" customFormat="false" ht="15" hidden="true" customHeight="false" outlineLevel="1" collapsed="false">
      <c r="A39" s="3" t="s">
        <v>1311</v>
      </c>
      <c r="B39" s="11" t="s">
        <v>42</v>
      </c>
      <c r="C39" s="67" t="str">
        <f aca="false">IF(AND(ISNUMBER(輸入與假設!C$544),ISNUMBER(輸入與假設!C$543)),輸入與假設!C$544/輸入與假設!C$543,"")</f>
        <v/>
      </c>
      <c r="D39" s="67" t="str">
        <f aca="false">IF(AND(ISNUMBER(輸入與假設!D$544),ISNUMBER(輸入與假設!D$543)),輸入與假設!D$544/輸入與假設!D$543,"")</f>
        <v/>
      </c>
      <c r="E39" s="67" t="str">
        <f aca="false">IF(AND(ISNUMBER(輸入與假設!E$544),ISNUMBER(輸入與假設!E$543)),輸入與假設!E$544/輸入與假設!E$543,"")</f>
        <v/>
      </c>
      <c r="F39" s="67" t="str">
        <f aca="false">IF(AND(ISNUMBER(輸入與假設!F$544),ISNUMBER(輸入與假設!F$543)),輸入與假設!F$544/輸入與假設!F$543,"")</f>
        <v/>
      </c>
      <c r="G39" s="67" t="str">
        <f aca="false">IF(AND(ISNUMBER(輸入與假設!G$544),ISNUMBER(輸入與假設!G$543)),輸入與假設!G$544/輸入與假設!G$543,"")</f>
        <v/>
      </c>
      <c r="H39" s="67" t="str">
        <f aca="false">IF(AND(ISNUMBER(輸入與假設!H$544),ISNUMBER(輸入與假設!H$543)),輸入與假設!H$544/輸入與假設!H$543,"")</f>
        <v/>
      </c>
      <c r="J39" s="6" t="s">
        <v>1312</v>
      </c>
    </row>
    <row r="40" customFormat="false" ht="15" hidden="true" customHeight="false" outlineLevel="1" collapsed="false">
      <c r="A40" s="3" t="s">
        <v>1313</v>
      </c>
      <c r="B40" s="11" t="s">
        <v>63</v>
      </c>
      <c r="C40" s="39" t="str">
        <f aca="false">IF(ISNUMBER(輸入與假設!C$545),輸入與假設!C$545,"")</f>
        <v/>
      </c>
      <c r="D40" s="39" t="str">
        <f aca="false">IF(ISNUMBER(輸入與假設!D$545),輸入與假設!D$545,"")</f>
        <v/>
      </c>
      <c r="E40" s="39" t="str">
        <f aca="false">IF(ISNUMBER(輸入與假設!E$545),輸入與假設!E$545,"")</f>
        <v/>
      </c>
      <c r="F40" s="39" t="str">
        <f aca="false">IF(ISNUMBER(輸入與假設!F$545),輸入與假設!F$545,"")</f>
        <v/>
      </c>
      <c r="G40" s="39" t="str">
        <f aca="false">IF(ISNUMBER(輸入與假設!G$545),輸入與假設!G$545,"")</f>
        <v/>
      </c>
      <c r="H40" s="39" t="str">
        <f aca="false">IF(ISNUMBER(輸入與假設!H$545),輸入與假設!H$545,"")</f>
        <v/>
      </c>
    </row>
    <row r="41" customFormat="false" ht="15" hidden="true" customHeight="false" outlineLevel="1" collapsed="false">
      <c r="A41" s="3" t="s">
        <v>1314</v>
      </c>
      <c r="B41" s="11" t="s">
        <v>63</v>
      </c>
      <c r="C41" s="39" t="str">
        <f aca="false">IF(ISNUMBER(輸入與假設!C$546),輸入與假設!C$546,"")</f>
        <v/>
      </c>
      <c r="D41" s="39" t="str">
        <f aca="false">IF(ISNUMBER(輸入與假設!D$546),輸入與假設!D$546,"")</f>
        <v/>
      </c>
      <c r="E41" s="39" t="str">
        <f aca="false">IF(ISNUMBER(輸入與假設!E$546),輸入與假設!E$546,"")</f>
        <v/>
      </c>
      <c r="F41" s="39" t="str">
        <f aca="false">IF(ISNUMBER(輸入與假設!F$546),輸入與假設!F$546,"")</f>
        <v/>
      </c>
      <c r="G41" s="39" t="str">
        <f aca="false">IF(ISNUMBER(輸入與假設!G$546),輸入與假設!G$546,"")</f>
        <v/>
      </c>
      <c r="H41" s="39" t="str">
        <f aca="false">IF(ISNUMBER(輸入與假設!H$546),輸入與假設!H$546,"")</f>
        <v/>
      </c>
    </row>
    <row r="42" customFormat="false" ht="15" hidden="true" customHeight="false" outlineLevel="1" collapsed="false">
      <c r="A42" s="3" t="s">
        <v>1315</v>
      </c>
      <c r="B42" s="11" t="s">
        <v>155</v>
      </c>
      <c r="C42" s="39" t="str">
        <f aca="false">IF(ISNUMBER(輸入與假設!C$547),輸入與假設!C$547,"")</f>
        <v/>
      </c>
      <c r="D42" s="39" t="str">
        <f aca="false">IF(ISNUMBER(輸入與假設!D$547),輸入與假設!D$547,"")</f>
        <v/>
      </c>
      <c r="E42" s="39" t="str">
        <f aca="false">IF(ISNUMBER(輸入與假設!E$547),輸入與假設!E$547,"")</f>
        <v/>
      </c>
      <c r="F42" s="39" t="str">
        <f aca="false">IF(ISNUMBER(輸入與假設!F$547),輸入與假設!F$547,"")</f>
        <v/>
      </c>
      <c r="G42" s="39" t="str">
        <f aca="false">IF(ISNUMBER(輸入與假設!G$547),輸入與假設!G$547,"")</f>
        <v/>
      </c>
      <c r="H42" s="39" t="str">
        <f aca="false">IF(ISNUMBER(輸入與假設!H$547),輸入與假設!H$547,"")</f>
        <v/>
      </c>
    </row>
    <row r="43" customFormat="false" ht="15" hidden="true" customHeight="false" outlineLevel="1" collapsed="false">
      <c r="A43" s="3" t="s">
        <v>1316</v>
      </c>
      <c r="B43" s="11" t="s">
        <v>42</v>
      </c>
      <c r="C43" s="67" t="str">
        <f aca="false">IF(AND(ISNUMBER(C22),ISNUMBER(C33),C33&lt;&gt;0),C22/(C33)-1,"不適用")</f>
        <v>不適用</v>
      </c>
      <c r="D43" s="67" t="str">
        <f aca="false">IF(AND(ISNUMBER(D22),ISNUMBER(D33),D33&lt;&gt;0),D22/(D33)-1,"不適用")</f>
        <v>不適用</v>
      </c>
      <c r="E43" s="67" t="str">
        <f aca="false">IF(AND(ISNUMBER(E22),ISNUMBER(E33),E33&lt;&gt;0),E22/(E33)-1,"不適用")</f>
        <v>不適用</v>
      </c>
      <c r="F43" s="67" t="str">
        <f aca="false">IF(AND(ISNUMBER(F22),ISNUMBER(F33),F33&lt;&gt;0),F22/(F33)-1,"不適用")</f>
        <v>不適用</v>
      </c>
      <c r="G43" s="67" t="str">
        <f aca="false">IF(AND(ISNUMBER(G22),ISNUMBER(G33),G33&lt;&gt;0),G22/(G33)-1,"不適用")</f>
        <v>不適用</v>
      </c>
      <c r="H43" s="67" t="str">
        <f aca="false">IF(AND(ISNUMBER(H22),ISNUMBER(H33),H33&lt;&gt;0),H22/(H33)-1,"不適用")</f>
        <v>不適用</v>
      </c>
    </row>
    <row r="44" customFormat="false" ht="15" hidden="true" customHeight="false" outlineLevel="1" collapsed="false">
      <c r="A44" s="3" t="s">
        <v>1317</v>
      </c>
      <c r="B44" s="11" t="s">
        <v>42</v>
      </c>
      <c r="C44" s="67" t="s">
        <v>1264</v>
      </c>
      <c r="D44" s="67" t="s">
        <v>1264</v>
      </c>
      <c r="E44" s="67" t="s">
        <v>1264</v>
      </c>
      <c r="F44" s="67" t="s">
        <v>1264</v>
      </c>
      <c r="G44" s="67" t="s">
        <v>1264</v>
      </c>
      <c r="H44" s="67" t="s">
        <v>1264</v>
      </c>
    </row>
    <row r="45" customFormat="false" ht="15" hidden="true" customHeight="false" outlineLevel="1" collapsed="false">
      <c r="A45" s="3" t="s">
        <v>1318</v>
      </c>
      <c r="B45" s="11" t="s">
        <v>42</v>
      </c>
      <c r="C45" s="67" t="str">
        <f aca="false">IF(ISNUMBER(C37),IF(AND(ISNUMBER(C22),C22&lt;&gt;0),C37/(C22)-1,"不適用"),"")</f>
        <v/>
      </c>
      <c r="D45" s="67" t="str">
        <f aca="false">IF(ISNUMBER(D37),IF(AND(ISNUMBER(D22),D22&lt;&gt;0),D37/(D22)-1,"不適用"),"")</f>
        <v/>
      </c>
      <c r="E45" s="67" t="str">
        <f aca="false">IF(ISNUMBER(E37),IF(AND(ISNUMBER(E22),E22&lt;&gt;0),E37/(E22)-1,"不適用"),"")</f>
        <v/>
      </c>
      <c r="F45" s="67" t="str">
        <f aca="false">IF(ISNUMBER(F37),IF(AND(ISNUMBER(F22),F22&lt;&gt;0),F37/(F22)-1,"不適用"),"")</f>
        <v/>
      </c>
      <c r="G45" s="67" t="str">
        <f aca="false">IF(ISNUMBER(G37),IF(AND(ISNUMBER(G22),G22&lt;&gt;0),G37/(G22)-1,"不適用"),"")</f>
        <v/>
      </c>
      <c r="H45" s="67" t="str">
        <f aca="false">IF(ISNUMBER(H37),IF(AND(ISNUMBER(H22),H22&lt;&gt;0),H37/(H22)-1,"不適用"),"")</f>
        <v/>
      </c>
    </row>
    <row r="46" customFormat="false" ht="15" hidden="true" customHeight="false" outlineLevel="1" collapsed="false">
      <c r="A46" s="3" t="s">
        <v>1319</v>
      </c>
      <c r="B46" s="11" t="s">
        <v>42</v>
      </c>
      <c r="C46" s="67" t="str">
        <f aca="false">IF(ISNUMBER(C37),IF(AND(ISNUMBER(C33),C33&lt;&gt;0),C37/(C33)-1,"不適用"),"")</f>
        <v/>
      </c>
      <c r="D46" s="67" t="str">
        <f aca="false">IF(ISNUMBER(D37),IF(AND(ISNUMBER(D33),D33&lt;&gt;0),D37/(D33)-1,"不適用"),"")</f>
        <v/>
      </c>
      <c r="E46" s="67" t="str">
        <f aca="false">IF(ISNUMBER(E37),IF(AND(ISNUMBER(E33),E33&lt;&gt;0),E37/(E33)-1,"不適用"),"")</f>
        <v/>
      </c>
      <c r="F46" s="67" t="str">
        <f aca="false">IF(ISNUMBER(F37),IF(AND(ISNUMBER(F33),F33&lt;&gt;0),F37/(F33)-1,"不適用"),"")</f>
        <v/>
      </c>
      <c r="G46" s="67" t="str">
        <f aca="false">IF(ISNUMBER(G37),IF(AND(ISNUMBER(G33),G33&lt;&gt;0),G37/(G33)-1,"不適用"),"")</f>
        <v/>
      </c>
      <c r="H46" s="67" t="str">
        <f aca="false">IF(ISNUMBER(H37),IF(AND(ISNUMBER(H33),H33&lt;&gt;0),H37/(H33)-1,"不適用"),"")</f>
        <v/>
      </c>
    </row>
    <row r="47" customFormat="false" ht="15" hidden="true" customHeight="false" outlineLevel="1" collapsed="false">
      <c r="A47" s="3" t="s">
        <v>1320</v>
      </c>
      <c r="B47" s="11" t="s">
        <v>42</v>
      </c>
      <c r="C47" s="67" t="str">
        <f aca="false">IF(ISNUMBER(C37),"不適用","")</f>
        <v/>
      </c>
      <c r="D47" s="67" t="str">
        <f aca="false">IF(ISNUMBER(D37),"不適用","")</f>
        <v/>
      </c>
      <c r="E47" s="67" t="str">
        <f aca="false">IF(ISNUMBER(E37),"不適用","")</f>
        <v/>
      </c>
      <c r="F47" s="67" t="str">
        <f aca="false">IF(ISNUMBER(F37),"不適用","")</f>
        <v/>
      </c>
      <c r="G47" s="67" t="str">
        <f aca="false">IF(ISNUMBER(G37),"不適用","")</f>
        <v/>
      </c>
      <c r="H47" s="67" t="str">
        <f aca="false">IF(ISNUMBER(H37),"不適用","")</f>
        <v/>
      </c>
    </row>
    <row r="48" customFormat="false" ht="15" hidden="true" customHeight="false" outlineLevel="1" collapsed="false">
      <c r="A48" s="3" t="s">
        <v>1321</v>
      </c>
      <c r="B48" s="11" t="s">
        <v>63</v>
      </c>
      <c r="C48" s="66" t="str">
        <f aca="false">IF(AND(ISNUMBER(C28),ISNUMBER(C34)),C28-(C34),"不適用")</f>
        <v>不適用</v>
      </c>
      <c r="D48" s="66" t="str">
        <f aca="false">IF(AND(ISNUMBER(D28),ISNUMBER(D34)),D28-(D34),"不適用")</f>
        <v>不適用</v>
      </c>
      <c r="E48" s="66" t="str">
        <f aca="false">IF(AND(ISNUMBER(E28),ISNUMBER(E34)),E28-(E34),"不適用")</f>
        <v>不適用</v>
      </c>
      <c r="F48" s="66" t="str">
        <f aca="false">IF(AND(ISNUMBER(F28),ISNUMBER(F34)),F28-(F34),"不適用")</f>
        <v>不適用</v>
      </c>
      <c r="G48" s="66" t="str">
        <f aca="false">IF(AND(ISNUMBER(G28),ISNUMBER(G34)),G28-(G34),"不適用")</f>
        <v>不適用</v>
      </c>
      <c r="H48" s="66" t="str">
        <f aca="false">IF(AND(ISNUMBER(H28),ISNUMBER(H34)),H28-(H34),"不適用")</f>
        <v>不適用</v>
      </c>
    </row>
    <row r="49" customFormat="false" ht="15" hidden="true" customHeight="false" outlineLevel="1" collapsed="false">
      <c r="A49" s="3" t="s">
        <v>1322</v>
      </c>
      <c r="B49" s="11" t="s">
        <v>63</v>
      </c>
      <c r="C49" s="66" t="s">
        <v>1264</v>
      </c>
      <c r="D49" s="66" t="s">
        <v>1264</v>
      </c>
      <c r="E49" s="66" t="s">
        <v>1264</v>
      </c>
      <c r="F49" s="66" t="s">
        <v>1264</v>
      </c>
      <c r="G49" s="66" t="s">
        <v>1264</v>
      </c>
      <c r="H49" s="66" t="s">
        <v>1264</v>
      </c>
    </row>
    <row r="50" customFormat="false" ht="15" hidden="true" customHeight="false" outlineLevel="1" collapsed="false">
      <c r="A50" s="3" t="s">
        <v>1323</v>
      </c>
      <c r="B50" s="11" t="s">
        <v>63</v>
      </c>
      <c r="C50" s="66" t="str">
        <f aca="false">IF(ISNUMBER(C38),IF(AND(ISNUMBER(C28)),C38-(C28),"不適用"),"")</f>
        <v/>
      </c>
      <c r="D50" s="66" t="str">
        <f aca="false">IF(ISNUMBER(D38),IF(AND(ISNUMBER(D28)),D38-(D28),"不適用"),"")</f>
        <v/>
      </c>
      <c r="E50" s="66" t="str">
        <f aca="false">IF(ISNUMBER(E38),IF(AND(ISNUMBER(E28)),E38-(E28),"不適用"),"")</f>
        <v/>
      </c>
      <c r="F50" s="66" t="str">
        <f aca="false">IF(ISNUMBER(F38),IF(AND(ISNUMBER(F28)),F38-(F28),"不適用"),"")</f>
        <v/>
      </c>
      <c r="G50" s="66" t="str">
        <f aca="false">IF(ISNUMBER(G38),IF(AND(ISNUMBER(G28)),G38-(G28),"不適用"),"")</f>
        <v/>
      </c>
      <c r="H50" s="66" t="str">
        <f aca="false">IF(ISNUMBER(H38),IF(AND(ISNUMBER(H28)),H38-(H28),"不適用"),"")</f>
        <v/>
      </c>
    </row>
    <row r="51" customFormat="false" ht="15" hidden="true" customHeight="false" outlineLevel="1" collapsed="false">
      <c r="A51" s="3" t="s">
        <v>1324</v>
      </c>
      <c r="B51" s="11" t="s">
        <v>63</v>
      </c>
      <c r="C51" s="66" t="str">
        <f aca="false">IF(ISNUMBER(C38),IF(AND(ISNUMBER(C34)),C38-(C34),"不適用"),"")</f>
        <v/>
      </c>
      <c r="D51" s="66" t="str">
        <f aca="false">IF(ISNUMBER(D38),IF(AND(ISNUMBER(D34)),D38-(D34),"不適用"),"")</f>
        <v/>
      </c>
      <c r="E51" s="66" t="str">
        <f aca="false">IF(ISNUMBER(E38),IF(AND(ISNUMBER(E34)),E38-(E34),"不適用"),"")</f>
        <v/>
      </c>
      <c r="F51" s="66" t="str">
        <f aca="false">IF(ISNUMBER(F38),IF(AND(ISNUMBER(F34)),F38-(F34),"不適用"),"")</f>
        <v/>
      </c>
      <c r="G51" s="66" t="str">
        <f aca="false">IF(ISNUMBER(G38),IF(AND(ISNUMBER(G34)),G38-(G34),"不適用"),"")</f>
        <v/>
      </c>
      <c r="H51" s="66" t="str">
        <f aca="false">IF(ISNUMBER(H38),IF(AND(ISNUMBER(H34)),H38-(H34),"不適用"),"")</f>
        <v/>
      </c>
    </row>
    <row r="52" customFormat="false" ht="15" hidden="true" customHeight="false" outlineLevel="1" collapsed="false">
      <c r="A52" s="3" t="s">
        <v>1325</v>
      </c>
      <c r="B52" s="11" t="s">
        <v>63</v>
      </c>
      <c r="C52" s="66" t="str">
        <f aca="false">IF(ISNUMBER(C38),"不適用","")</f>
        <v/>
      </c>
      <c r="D52" s="66" t="str">
        <f aca="false">IF(ISNUMBER(D38),"不適用","")</f>
        <v/>
      </c>
      <c r="E52" s="66" t="str">
        <f aca="false">IF(ISNUMBER(E38),"不適用","")</f>
        <v/>
      </c>
      <c r="F52" s="66" t="str">
        <f aca="false">IF(ISNUMBER(F38),"不適用","")</f>
        <v/>
      </c>
      <c r="G52" s="66" t="str">
        <f aca="false">IF(ISNUMBER(G38),"不適用","")</f>
        <v/>
      </c>
      <c r="H52" s="66" t="str">
        <f aca="false">IF(ISNUMBER(H38),"不適用","")</f>
        <v/>
      </c>
    </row>
    <row r="53" customFormat="false" ht="15" hidden="true" customHeight="false" outlineLevel="1" collapsed="false">
      <c r="A53" s="3" t="s">
        <v>1326</v>
      </c>
      <c r="B53" s="11" t="s">
        <v>75</v>
      </c>
      <c r="C53" s="67" t="str">
        <f aca="false">IF(AND(ISNUMBER(C28),ISNUMBER(C22),C22&lt;&gt;0,ISNUMBER(C34),ISNUMBER(C33),C33&lt;&gt;0),C28/C22-C34/C33,"不適用")</f>
        <v>不適用</v>
      </c>
      <c r="D53" s="67" t="str">
        <f aca="false">IF(AND(ISNUMBER(D28),ISNUMBER(D22),D22&lt;&gt;0,ISNUMBER(D34),ISNUMBER(D33),D33&lt;&gt;0),D28/D22-D34/D33,"不適用")</f>
        <v>不適用</v>
      </c>
      <c r="E53" s="67" t="str">
        <f aca="false">IF(AND(ISNUMBER(E28),ISNUMBER(E22),E22&lt;&gt;0,ISNUMBER(E34),ISNUMBER(E33),E33&lt;&gt;0),E28/E22-E34/E33,"不適用")</f>
        <v>不適用</v>
      </c>
      <c r="F53" s="67" t="str">
        <f aca="false">IF(AND(ISNUMBER(F28),ISNUMBER(F22),F22&lt;&gt;0,ISNUMBER(F34),ISNUMBER(F33),F33&lt;&gt;0),F28/F22-F34/F33,"不適用")</f>
        <v>不適用</v>
      </c>
      <c r="G53" s="67" t="str">
        <f aca="false">IF(AND(ISNUMBER(G28),ISNUMBER(G22),G22&lt;&gt;0,ISNUMBER(G34),ISNUMBER(G33),G33&lt;&gt;0),G28/G22-G34/G33,"不適用")</f>
        <v>不適用</v>
      </c>
      <c r="H53" s="67" t="str">
        <f aca="false">IF(AND(ISNUMBER(H28),ISNUMBER(H22),H22&lt;&gt;0,ISNUMBER(H34),ISNUMBER(H33),H33&lt;&gt;0),H28/H22-H34/H33,"不適用")</f>
        <v>不適用</v>
      </c>
    </row>
    <row r="54" customFormat="false" ht="15" hidden="true" customHeight="false" outlineLevel="1" collapsed="false">
      <c r="A54" s="3" t="s">
        <v>1327</v>
      </c>
      <c r="B54" s="11" t="s">
        <v>75</v>
      </c>
      <c r="C54" s="67" t="s">
        <v>1264</v>
      </c>
      <c r="D54" s="67" t="s">
        <v>1264</v>
      </c>
      <c r="E54" s="67" t="s">
        <v>1264</v>
      </c>
      <c r="F54" s="67" t="s">
        <v>1264</v>
      </c>
      <c r="G54" s="67" t="s">
        <v>1264</v>
      </c>
      <c r="H54" s="67" t="s">
        <v>1264</v>
      </c>
    </row>
    <row r="55" customFormat="false" ht="15" hidden="true" customHeight="false" outlineLevel="1" collapsed="false">
      <c r="A55" s="3" t="s">
        <v>1328</v>
      </c>
      <c r="B55" s="11" t="s">
        <v>75</v>
      </c>
      <c r="C55" s="67" t="str">
        <f aca="false">IF(ISNUMBER(C38),IF(AND(ISNUMBER(C38),ISNUMBER(C37),C37&lt;&gt;0,ISNUMBER(C28),ISNUMBER(C22),C22&lt;&gt;0),C38/C37-C28/C22,"不適用"),"")</f>
        <v/>
      </c>
      <c r="D55" s="67" t="str">
        <f aca="false">IF(ISNUMBER(D38),IF(AND(ISNUMBER(D38),ISNUMBER(D37),D37&lt;&gt;0,ISNUMBER(D28),ISNUMBER(D22),D22&lt;&gt;0),D38/D37-D28/D22,"不適用"),"")</f>
        <v/>
      </c>
      <c r="E55" s="67" t="str">
        <f aca="false">IF(ISNUMBER(E38),IF(AND(ISNUMBER(E38),ISNUMBER(E37),E37&lt;&gt;0,ISNUMBER(E28),ISNUMBER(E22),E22&lt;&gt;0),E38/E37-E28/E22,"不適用"),"")</f>
        <v/>
      </c>
      <c r="F55" s="67" t="str">
        <f aca="false">IF(ISNUMBER(F38),IF(AND(ISNUMBER(F38),ISNUMBER(F37),F37&lt;&gt;0,ISNUMBER(F28),ISNUMBER(F22),F22&lt;&gt;0),F38/F37-F28/F22,"不適用"),"")</f>
        <v/>
      </c>
      <c r="G55" s="67" t="str">
        <f aca="false">IF(ISNUMBER(G38),IF(AND(ISNUMBER(G38),ISNUMBER(G37),G37&lt;&gt;0,ISNUMBER(G28),ISNUMBER(G22),G22&lt;&gt;0),G38/G37-G28/G22,"不適用"),"")</f>
        <v/>
      </c>
      <c r="H55" s="67" t="str">
        <f aca="false">IF(ISNUMBER(H38),IF(AND(ISNUMBER(H38),ISNUMBER(H37),H37&lt;&gt;0,ISNUMBER(H28),ISNUMBER(H22),H22&lt;&gt;0),H38/H37-H28/H22,"不適用"),"")</f>
        <v/>
      </c>
    </row>
    <row r="56" customFormat="false" ht="15" hidden="true" customHeight="false" outlineLevel="1" collapsed="false">
      <c r="A56" s="3" t="s">
        <v>1329</v>
      </c>
      <c r="B56" s="11" t="s">
        <v>75</v>
      </c>
      <c r="C56" s="67" t="str">
        <f aca="false">IF(ISNUMBER(C38),IF(AND(ISNUMBER(C38),ISNUMBER(C37),C37&lt;&gt;0,ISNUMBER(C34),ISNUMBER(C33),C33&lt;&gt;0),C38/C37-C34/C33,"不適用"),"")</f>
        <v/>
      </c>
      <c r="D56" s="67" t="str">
        <f aca="false">IF(ISNUMBER(D38),IF(AND(ISNUMBER(D38),ISNUMBER(D37),D37&lt;&gt;0,ISNUMBER(D34),ISNUMBER(D33),D33&lt;&gt;0),D38/D37-D34/D33,"不適用"),"")</f>
        <v/>
      </c>
      <c r="E56" s="67" t="str">
        <f aca="false">IF(ISNUMBER(E38),IF(AND(ISNUMBER(E38),ISNUMBER(E37),E37&lt;&gt;0,ISNUMBER(E34),ISNUMBER(E33),E33&lt;&gt;0),E38/E37-E34/E33,"不適用"),"")</f>
        <v/>
      </c>
      <c r="F56" s="67" t="str">
        <f aca="false">IF(ISNUMBER(F38),IF(AND(ISNUMBER(F38),ISNUMBER(F37),F37&lt;&gt;0,ISNUMBER(F34),ISNUMBER(F33),F33&lt;&gt;0),F38/F37-F34/F33,"不適用"),"")</f>
        <v/>
      </c>
      <c r="G56" s="67" t="str">
        <f aca="false">IF(ISNUMBER(G38),IF(AND(ISNUMBER(G38),ISNUMBER(G37),G37&lt;&gt;0,ISNUMBER(G34),ISNUMBER(G33),G33&lt;&gt;0),G38/G37-G34/G33,"不適用"),"")</f>
        <v/>
      </c>
      <c r="H56" s="67" t="str">
        <f aca="false">IF(ISNUMBER(H38),IF(AND(ISNUMBER(H38),ISNUMBER(H37),H37&lt;&gt;0,ISNUMBER(H34),ISNUMBER(H33),H33&lt;&gt;0),H38/H37-H34/H33,"不適用"),"")</f>
        <v/>
      </c>
    </row>
    <row r="57" customFormat="false" ht="15" hidden="true" customHeight="false" outlineLevel="1" collapsed="false">
      <c r="A57" s="3" t="s">
        <v>1330</v>
      </c>
      <c r="B57" s="11" t="s">
        <v>75</v>
      </c>
      <c r="C57" s="67" t="str">
        <f aca="false">IF(ISNUMBER(C38),"不適用","")</f>
        <v/>
      </c>
      <c r="D57" s="67" t="str">
        <f aca="false">IF(ISNUMBER(D38),"不適用","")</f>
        <v/>
      </c>
      <c r="E57" s="67" t="str">
        <f aca="false">IF(ISNUMBER(E38),"不適用","")</f>
        <v/>
      </c>
      <c r="F57" s="67" t="str">
        <f aca="false">IF(ISNUMBER(F38),"不適用","")</f>
        <v/>
      </c>
      <c r="G57" s="67" t="str">
        <f aca="false">IF(ISNUMBER(G38),"不適用","")</f>
        <v/>
      </c>
      <c r="H57" s="67" t="str">
        <f aca="false">IF(ISNUMBER(H38),"不適用","")</f>
        <v/>
      </c>
    </row>
    <row r="58" customFormat="false" ht="15" hidden="true" customHeight="false" outlineLevel="1" collapsed="false">
      <c r="A58" s="3" t="s">
        <v>1331</v>
      </c>
      <c r="B58" s="11" t="s">
        <v>75</v>
      </c>
      <c r="C58" s="67" t="str">
        <f aca="false">IF(AND(ISNUMBER(C27),ISNUMBER(C35)),C27-(C35),"不適用")</f>
        <v>不適用</v>
      </c>
      <c r="D58" s="67" t="str">
        <f aca="false">IF(AND(ISNUMBER(D27),ISNUMBER(D35)),D27-(D35),"不適用")</f>
        <v>不適用</v>
      </c>
      <c r="E58" s="67" t="str">
        <f aca="false">IF(AND(ISNUMBER(E27),ISNUMBER(E35)),E27-(E35),"不適用")</f>
        <v>不適用</v>
      </c>
      <c r="F58" s="67" t="str">
        <f aca="false">IF(AND(ISNUMBER(F27),ISNUMBER(F35)),F27-(F35),"不適用")</f>
        <v>不適用</v>
      </c>
      <c r="G58" s="67" t="str">
        <f aca="false">IF(AND(ISNUMBER(G27),ISNUMBER(G35)),G27-(G35),"不適用")</f>
        <v>不適用</v>
      </c>
      <c r="H58" s="67" t="str">
        <f aca="false">IF(AND(ISNUMBER(H27),ISNUMBER(H35)),H27-(H35),"不適用")</f>
        <v>不適用</v>
      </c>
    </row>
    <row r="59" customFormat="false" ht="15" hidden="true" customHeight="false" outlineLevel="1" collapsed="false">
      <c r="A59" s="3" t="s">
        <v>1332</v>
      </c>
      <c r="B59" s="11" t="s">
        <v>75</v>
      </c>
      <c r="C59" s="67" t="s">
        <v>1264</v>
      </c>
      <c r="D59" s="67" t="s">
        <v>1264</v>
      </c>
      <c r="E59" s="67" t="s">
        <v>1264</v>
      </c>
      <c r="F59" s="67" t="s">
        <v>1264</v>
      </c>
      <c r="G59" s="67" t="s">
        <v>1264</v>
      </c>
      <c r="H59" s="67" t="s">
        <v>1264</v>
      </c>
    </row>
    <row r="60" customFormat="false" ht="15" hidden="true" customHeight="false" outlineLevel="1" collapsed="false">
      <c r="A60" s="3" t="s">
        <v>1333</v>
      </c>
      <c r="B60" s="11" t="s">
        <v>75</v>
      </c>
      <c r="C60" s="67" t="str">
        <f aca="false">IF(ISNUMBER(C39),IF(AND(ISNUMBER(C27)),C39-(C27),"不適用"),"")</f>
        <v/>
      </c>
      <c r="D60" s="67" t="str">
        <f aca="false">IF(ISNUMBER(D39),IF(AND(ISNUMBER(D27)),D39-(D27),"不適用"),"")</f>
        <v/>
      </c>
      <c r="E60" s="67" t="str">
        <f aca="false">IF(ISNUMBER(E39),IF(AND(ISNUMBER(E27)),E39-(E27),"不適用"),"")</f>
        <v/>
      </c>
      <c r="F60" s="67" t="str">
        <f aca="false">IF(ISNUMBER(F39),IF(AND(ISNUMBER(F27)),F39-(F27),"不適用"),"")</f>
        <v/>
      </c>
      <c r="G60" s="67" t="str">
        <f aca="false">IF(ISNUMBER(G39),IF(AND(ISNUMBER(G27)),G39-(G27),"不適用"),"")</f>
        <v/>
      </c>
      <c r="H60" s="67" t="str">
        <f aca="false">IF(ISNUMBER(H39),IF(AND(ISNUMBER(H27)),H39-(H27),"不適用"),"")</f>
        <v/>
      </c>
    </row>
    <row r="61" customFormat="false" ht="15" hidden="true" customHeight="false" outlineLevel="1" collapsed="false">
      <c r="A61" s="3" t="s">
        <v>1334</v>
      </c>
      <c r="B61" s="11" t="s">
        <v>75</v>
      </c>
      <c r="C61" s="67" t="str">
        <f aca="false">IF(ISNUMBER(C39),IF(AND(ISNUMBER(C35)),C39-(C35),"不適用"),"")</f>
        <v/>
      </c>
      <c r="D61" s="67" t="str">
        <f aca="false">IF(ISNUMBER(D39),IF(AND(ISNUMBER(D35)),D39-(D35),"不適用"),"")</f>
        <v/>
      </c>
      <c r="E61" s="67" t="str">
        <f aca="false">IF(ISNUMBER(E39),IF(AND(ISNUMBER(E35)),E39-(E35),"不適用"),"")</f>
        <v/>
      </c>
      <c r="F61" s="67" t="str">
        <f aca="false">IF(ISNUMBER(F39),IF(AND(ISNUMBER(F35)),F39-(F35),"不適用"),"")</f>
        <v/>
      </c>
      <c r="G61" s="67" t="str">
        <f aca="false">IF(ISNUMBER(G39),IF(AND(ISNUMBER(G35)),G39-(G35),"不適用"),"")</f>
        <v/>
      </c>
      <c r="H61" s="67" t="str">
        <f aca="false">IF(ISNUMBER(H39),IF(AND(ISNUMBER(H35)),H39-(H35),"不適用"),"")</f>
        <v/>
      </c>
    </row>
    <row r="62" customFormat="false" ht="15" hidden="true" customHeight="false" outlineLevel="1" collapsed="false">
      <c r="A62" s="3" t="s">
        <v>1335</v>
      </c>
      <c r="B62" s="11" t="s">
        <v>75</v>
      </c>
      <c r="C62" s="67" t="str">
        <f aca="false">IF(ISNUMBER(C39),"不適用","")</f>
        <v/>
      </c>
      <c r="D62" s="67" t="str">
        <f aca="false">IF(ISNUMBER(D39),"不適用","")</f>
        <v/>
      </c>
      <c r="E62" s="67" t="str">
        <f aca="false">IF(ISNUMBER(E39),"不適用","")</f>
        <v/>
      </c>
      <c r="F62" s="67" t="str">
        <f aca="false">IF(ISNUMBER(F39),"不適用","")</f>
        <v/>
      </c>
      <c r="G62" s="67" t="str">
        <f aca="false">IF(ISNUMBER(G39),"不適用","")</f>
        <v/>
      </c>
      <c r="H62" s="67" t="str">
        <f aca="false">IF(ISNUMBER(H39),"不適用","")</f>
        <v/>
      </c>
    </row>
    <row r="63" customFormat="false" ht="15" hidden="true" customHeight="false" outlineLevel="1" collapsed="false">
      <c r="A63" s="3" t="s">
        <v>1336</v>
      </c>
      <c r="B63" s="11" t="s">
        <v>63</v>
      </c>
      <c r="C63" s="66" t="s">
        <v>1264</v>
      </c>
      <c r="D63" s="66" t="s">
        <v>1264</v>
      </c>
      <c r="E63" s="66" t="s">
        <v>1264</v>
      </c>
      <c r="F63" s="66" t="s">
        <v>1264</v>
      </c>
      <c r="G63" s="66" t="s">
        <v>1264</v>
      </c>
      <c r="H63" s="66" t="s">
        <v>1264</v>
      </c>
    </row>
    <row r="64" customFormat="false" ht="15" hidden="true" customHeight="false" outlineLevel="1" collapsed="false">
      <c r="A64" s="3" t="s">
        <v>1337</v>
      </c>
      <c r="B64" s="11" t="s">
        <v>63</v>
      </c>
      <c r="C64" s="66" t="s">
        <v>1264</v>
      </c>
      <c r="D64" s="66" t="s">
        <v>1264</v>
      </c>
      <c r="E64" s="66" t="s">
        <v>1264</v>
      </c>
      <c r="F64" s="66" t="s">
        <v>1264</v>
      </c>
      <c r="G64" s="66" t="s">
        <v>1264</v>
      </c>
      <c r="H64" s="66" t="s">
        <v>1264</v>
      </c>
    </row>
    <row r="65" customFormat="false" ht="15" hidden="true" customHeight="false" outlineLevel="1" collapsed="false">
      <c r="A65" s="3" t="s">
        <v>1338</v>
      </c>
      <c r="B65" s="11" t="s">
        <v>63</v>
      </c>
      <c r="C65" s="66" t="str">
        <f aca="false">IF(ISNUMBER(C40),IF(AND(ISNUMBER(C31)),C40-(C31),"不適用"),"")</f>
        <v/>
      </c>
      <c r="D65" s="66" t="str">
        <f aca="false">IF(ISNUMBER(D40),IF(AND(ISNUMBER(D31)),D40-(D31),"不適用"),"")</f>
        <v/>
      </c>
      <c r="E65" s="66" t="str">
        <f aca="false">IF(ISNUMBER(E40),IF(AND(ISNUMBER(E31)),E40-(E31),"不適用"),"")</f>
        <v/>
      </c>
      <c r="F65" s="66" t="str">
        <f aca="false">IF(ISNUMBER(F40),IF(AND(ISNUMBER(F31)),F40-(F31),"不適用"),"")</f>
        <v/>
      </c>
      <c r="G65" s="66" t="str">
        <f aca="false">IF(ISNUMBER(G40),IF(AND(ISNUMBER(G31)),G40-(G31),"不適用"),"")</f>
        <v/>
      </c>
      <c r="H65" s="66" t="str">
        <f aca="false">IF(ISNUMBER(H40),IF(AND(ISNUMBER(H31)),H40-(H31),"不適用"),"")</f>
        <v/>
      </c>
    </row>
    <row r="66" customFormat="false" ht="15" hidden="true" customHeight="false" outlineLevel="1" collapsed="false">
      <c r="A66" s="3" t="s">
        <v>1339</v>
      </c>
      <c r="B66" s="11" t="s">
        <v>63</v>
      </c>
      <c r="C66" s="66" t="str">
        <f aca="false">IF(ISNUMBER(C40),"不適用","")</f>
        <v/>
      </c>
      <c r="D66" s="66" t="str">
        <f aca="false">IF(ISNUMBER(D40),"不適用","")</f>
        <v/>
      </c>
      <c r="E66" s="66" t="str">
        <f aca="false">IF(ISNUMBER(E40),"不適用","")</f>
        <v/>
      </c>
      <c r="F66" s="66" t="str">
        <f aca="false">IF(ISNUMBER(F40),"不適用","")</f>
        <v/>
      </c>
      <c r="G66" s="66" t="str">
        <f aca="false">IF(ISNUMBER(G40),"不適用","")</f>
        <v/>
      </c>
      <c r="H66" s="66" t="str">
        <f aca="false">IF(ISNUMBER(H40),"不適用","")</f>
        <v/>
      </c>
    </row>
    <row r="67" customFormat="false" ht="15" hidden="true" customHeight="false" outlineLevel="1" collapsed="false">
      <c r="A67" s="3" t="s">
        <v>1340</v>
      </c>
      <c r="B67" s="11" t="s">
        <v>63</v>
      </c>
      <c r="C67" s="66" t="str">
        <f aca="false">IF(ISNUMBER(C40),"不適用","")</f>
        <v/>
      </c>
      <c r="D67" s="66" t="str">
        <f aca="false">IF(ISNUMBER(D40),"不適用","")</f>
        <v/>
      </c>
      <c r="E67" s="66" t="str">
        <f aca="false">IF(ISNUMBER(E40),"不適用","")</f>
        <v/>
      </c>
      <c r="F67" s="66" t="str">
        <f aca="false">IF(ISNUMBER(F40),"不適用","")</f>
        <v/>
      </c>
      <c r="G67" s="66" t="str">
        <f aca="false">IF(ISNUMBER(G40),"不適用","")</f>
        <v/>
      </c>
      <c r="H67" s="66" t="str">
        <f aca="false">IF(ISNUMBER(H40),"不適用","")</f>
        <v/>
      </c>
    </row>
    <row r="68" customFormat="false" ht="15" hidden="true" customHeight="false" outlineLevel="1" collapsed="false">
      <c r="A68" s="3" t="s">
        <v>1341</v>
      </c>
      <c r="B68" s="11" t="s">
        <v>75</v>
      </c>
      <c r="C68" s="67" t="s">
        <v>1264</v>
      </c>
      <c r="D68" s="67" t="s">
        <v>1264</v>
      </c>
      <c r="E68" s="67" t="s">
        <v>1264</v>
      </c>
      <c r="F68" s="67" t="s">
        <v>1264</v>
      </c>
      <c r="G68" s="67" t="s">
        <v>1264</v>
      </c>
      <c r="H68" s="67" t="s">
        <v>1264</v>
      </c>
    </row>
    <row r="69" customFormat="false" ht="15" hidden="true" customHeight="false" outlineLevel="1" collapsed="false">
      <c r="A69" s="3" t="s">
        <v>1342</v>
      </c>
      <c r="B69" s="11" t="s">
        <v>75</v>
      </c>
      <c r="C69" s="67" t="s">
        <v>1264</v>
      </c>
      <c r="D69" s="67" t="s">
        <v>1264</v>
      </c>
      <c r="E69" s="67" t="s">
        <v>1264</v>
      </c>
      <c r="F69" s="67" t="s">
        <v>1264</v>
      </c>
      <c r="G69" s="67" t="s">
        <v>1264</v>
      </c>
      <c r="H69" s="67" t="s">
        <v>1264</v>
      </c>
    </row>
    <row r="70" customFormat="false" ht="15" hidden="true" customHeight="false" outlineLevel="1" collapsed="false">
      <c r="A70" s="3" t="s">
        <v>1343</v>
      </c>
      <c r="B70" s="11" t="s">
        <v>75</v>
      </c>
      <c r="C70" s="67" t="str">
        <f aca="false">IF(ISNUMBER(C40),IF(AND(ISNUMBER(C40),ISNUMBER(C37),C37&lt;&gt;0,ISNUMBER(C31),ISNUMBER(C22),C22&lt;&gt;0),C40/C37-C31/C22,"不適用"),"")</f>
        <v/>
      </c>
      <c r="D70" s="67" t="str">
        <f aca="false">IF(ISNUMBER(D40),IF(AND(ISNUMBER(D40),ISNUMBER(D37),D37&lt;&gt;0,ISNUMBER(D31),ISNUMBER(D22),D22&lt;&gt;0),D40/D37-D31/D22,"不適用"),"")</f>
        <v/>
      </c>
      <c r="E70" s="67" t="str">
        <f aca="false">IF(ISNUMBER(E40),IF(AND(ISNUMBER(E40),ISNUMBER(E37),E37&lt;&gt;0,ISNUMBER(E31),ISNUMBER(E22),E22&lt;&gt;0),E40/E37-E31/E22,"不適用"),"")</f>
        <v/>
      </c>
      <c r="F70" s="67" t="str">
        <f aca="false">IF(ISNUMBER(F40),IF(AND(ISNUMBER(F40),ISNUMBER(F37),F37&lt;&gt;0,ISNUMBER(F31),ISNUMBER(F22),F22&lt;&gt;0),F40/F37-F31/F22,"不適用"),"")</f>
        <v/>
      </c>
      <c r="G70" s="67" t="str">
        <f aca="false">IF(ISNUMBER(G40),IF(AND(ISNUMBER(G40),ISNUMBER(G37),G37&lt;&gt;0,ISNUMBER(G31),ISNUMBER(G22),G22&lt;&gt;0),G40/G37-G31/G22,"不適用"),"")</f>
        <v/>
      </c>
      <c r="H70" s="67" t="str">
        <f aca="false">IF(ISNUMBER(H40),IF(AND(ISNUMBER(H40),ISNUMBER(H37),H37&lt;&gt;0,ISNUMBER(H31),ISNUMBER(H22),H22&lt;&gt;0),H40/H37-H31/H22,"不適用"),"")</f>
        <v/>
      </c>
    </row>
    <row r="71" customFormat="false" ht="15" hidden="true" customHeight="false" outlineLevel="1" collapsed="false">
      <c r="A71" s="3" t="s">
        <v>1344</v>
      </c>
      <c r="B71" s="11" t="s">
        <v>75</v>
      </c>
      <c r="C71" s="67" t="str">
        <f aca="false">IF(ISNUMBER(C40),"不適用","")</f>
        <v/>
      </c>
      <c r="D71" s="67" t="str">
        <f aca="false">IF(ISNUMBER(D40),"不適用","")</f>
        <v/>
      </c>
      <c r="E71" s="67" t="str">
        <f aca="false">IF(ISNUMBER(E40),"不適用","")</f>
        <v/>
      </c>
      <c r="F71" s="67" t="str">
        <f aca="false">IF(ISNUMBER(F40),"不適用","")</f>
        <v/>
      </c>
      <c r="G71" s="67" t="str">
        <f aca="false">IF(ISNUMBER(G40),"不適用","")</f>
        <v/>
      </c>
      <c r="H71" s="67" t="str">
        <f aca="false">IF(ISNUMBER(H40),"不適用","")</f>
        <v/>
      </c>
    </row>
    <row r="72" customFormat="false" ht="15" hidden="true" customHeight="false" outlineLevel="1" collapsed="false">
      <c r="A72" s="3" t="s">
        <v>1345</v>
      </c>
      <c r="B72" s="11" t="s">
        <v>75</v>
      </c>
      <c r="C72" s="67" t="str">
        <f aca="false">IF(ISNUMBER(C40),"不適用","")</f>
        <v/>
      </c>
      <c r="D72" s="67" t="str">
        <f aca="false">IF(ISNUMBER(D40),"不適用","")</f>
        <v/>
      </c>
      <c r="E72" s="67" t="str">
        <f aca="false">IF(ISNUMBER(E40),"不適用","")</f>
        <v/>
      </c>
      <c r="F72" s="67" t="str">
        <f aca="false">IF(ISNUMBER(F40),"不適用","")</f>
        <v/>
      </c>
      <c r="G72" s="67" t="str">
        <f aca="false">IF(ISNUMBER(G40),"不適用","")</f>
        <v/>
      </c>
      <c r="H72" s="67" t="str">
        <f aca="false">IF(ISNUMBER(H40),"不適用","")</f>
        <v/>
      </c>
    </row>
    <row r="73" customFormat="false" ht="15" hidden="true" customHeight="false" outlineLevel="1" collapsed="false">
      <c r="A73" s="3" t="s">
        <v>1346</v>
      </c>
      <c r="B73" s="11" t="s">
        <v>42</v>
      </c>
      <c r="C73" s="67" t="s">
        <v>1264</v>
      </c>
      <c r="D73" s="67" t="s">
        <v>1264</v>
      </c>
      <c r="E73" s="67" t="s">
        <v>1264</v>
      </c>
      <c r="F73" s="67" t="s">
        <v>1264</v>
      </c>
      <c r="G73" s="67" t="s">
        <v>1264</v>
      </c>
      <c r="H73" s="67" t="s">
        <v>1264</v>
      </c>
    </row>
    <row r="74" customFormat="false" ht="15" hidden="true" customHeight="false" outlineLevel="1" collapsed="false">
      <c r="A74" s="3" t="s">
        <v>1347</v>
      </c>
      <c r="B74" s="11" t="s">
        <v>42</v>
      </c>
      <c r="C74" s="67" t="s">
        <v>1264</v>
      </c>
      <c r="D74" s="67" t="s">
        <v>1264</v>
      </c>
      <c r="E74" s="67" t="s">
        <v>1264</v>
      </c>
      <c r="F74" s="67" t="s">
        <v>1264</v>
      </c>
      <c r="G74" s="67" t="s">
        <v>1264</v>
      </c>
      <c r="H74" s="67" t="s">
        <v>1264</v>
      </c>
    </row>
    <row r="75" customFormat="false" ht="15" hidden="true" customHeight="false" outlineLevel="1" collapsed="false">
      <c r="A75" s="3" t="s">
        <v>1348</v>
      </c>
      <c r="B75" s="11" t="s">
        <v>42</v>
      </c>
      <c r="C75" s="67" t="str">
        <f aca="false">IF(ISNUMBER(C41),IF(AND(ISNUMBER(C32),C32&lt;&gt;0),C41/(C32)-1,"不適用"),"")</f>
        <v/>
      </c>
      <c r="D75" s="67" t="str">
        <f aca="false">IF(ISNUMBER(D41),IF(AND(ISNUMBER(D32),D32&lt;&gt;0),D41/(D32)-1,"不適用"),"")</f>
        <v/>
      </c>
      <c r="E75" s="67" t="str">
        <f aca="false">IF(ISNUMBER(E41),IF(AND(ISNUMBER(E32),E32&lt;&gt;0),E41/(E32)-1,"不適用"),"")</f>
        <v/>
      </c>
      <c r="F75" s="67" t="str">
        <f aca="false">IF(ISNUMBER(F41),IF(AND(ISNUMBER(F32),F32&lt;&gt;0),F41/(F32)-1,"不適用"),"")</f>
        <v/>
      </c>
      <c r="G75" s="67" t="str">
        <f aca="false">IF(ISNUMBER(G41),IF(AND(ISNUMBER(G32),G32&lt;&gt;0),G41/(G32)-1,"不適用"),"")</f>
        <v/>
      </c>
      <c r="H75" s="67" t="str">
        <f aca="false">IF(ISNUMBER(H41),IF(AND(ISNUMBER(H32),H32&lt;&gt;0),H41/(H32)-1,"不適用"),"")</f>
        <v/>
      </c>
    </row>
    <row r="76" customFormat="false" ht="15" hidden="true" customHeight="false" outlineLevel="1" collapsed="false">
      <c r="A76" s="3" t="s">
        <v>1349</v>
      </c>
      <c r="B76" s="11" t="s">
        <v>42</v>
      </c>
      <c r="C76" s="67" t="str">
        <f aca="false">IF(ISNUMBER(C41),"不適用","")</f>
        <v/>
      </c>
      <c r="D76" s="67" t="str">
        <f aca="false">IF(ISNUMBER(D41),"不適用","")</f>
        <v/>
      </c>
      <c r="E76" s="67" t="str">
        <f aca="false">IF(ISNUMBER(E41),"不適用","")</f>
        <v/>
      </c>
      <c r="F76" s="67" t="str">
        <f aca="false">IF(ISNUMBER(F41),"不適用","")</f>
        <v/>
      </c>
      <c r="G76" s="67" t="str">
        <f aca="false">IF(ISNUMBER(G41),"不適用","")</f>
        <v/>
      </c>
      <c r="H76" s="67" t="str">
        <f aca="false">IF(ISNUMBER(H41),"不適用","")</f>
        <v/>
      </c>
    </row>
    <row r="77" customFormat="false" ht="15" hidden="true" customHeight="false" outlineLevel="1" collapsed="false">
      <c r="A77" s="3" t="s">
        <v>1350</v>
      </c>
      <c r="B77" s="11" t="s">
        <v>42</v>
      </c>
      <c r="C77" s="67" t="str">
        <f aca="false">IF(ISNUMBER(C41),"不適用","")</f>
        <v/>
      </c>
      <c r="D77" s="67" t="str">
        <f aca="false">IF(ISNUMBER(D41),"不適用","")</f>
        <v/>
      </c>
      <c r="E77" s="67" t="str">
        <f aca="false">IF(ISNUMBER(E41),"不適用","")</f>
        <v/>
      </c>
      <c r="F77" s="67" t="str">
        <f aca="false">IF(ISNUMBER(F41),"不適用","")</f>
        <v/>
      </c>
      <c r="G77" s="67" t="str">
        <f aca="false">IF(ISNUMBER(G41),"不適用","")</f>
        <v/>
      </c>
      <c r="H77" s="67" t="str">
        <f aca="false">IF(ISNUMBER(H41),"不適用","")</f>
        <v/>
      </c>
    </row>
    <row r="78" customFormat="false" ht="15" hidden="true" customHeight="false" outlineLevel="1" collapsed="false">
      <c r="A78" s="3" t="s">
        <v>1351</v>
      </c>
      <c r="B78" s="11" t="s">
        <v>155</v>
      </c>
      <c r="C78" s="68" t="s">
        <v>1264</v>
      </c>
      <c r="D78" s="68" t="s">
        <v>1264</v>
      </c>
      <c r="E78" s="68" t="s">
        <v>1264</v>
      </c>
      <c r="F78" s="68" t="s">
        <v>1264</v>
      </c>
      <c r="G78" s="68" t="s">
        <v>1264</v>
      </c>
      <c r="H78" s="68" t="s">
        <v>1264</v>
      </c>
    </row>
    <row r="79" customFormat="false" ht="15" hidden="true" customHeight="false" outlineLevel="1" collapsed="false">
      <c r="A79" s="3" t="s">
        <v>1352</v>
      </c>
      <c r="B79" s="11" t="s">
        <v>155</v>
      </c>
      <c r="C79" s="68" t="s">
        <v>1264</v>
      </c>
      <c r="D79" s="68" t="s">
        <v>1264</v>
      </c>
      <c r="E79" s="68" t="s">
        <v>1264</v>
      </c>
      <c r="F79" s="68" t="s">
        <v>1264</v>
      </c>
      <c r="G79" s="68" t="s">
        <v>1264</v>
      </c>
      <c r="H79" s="68" t="s">
        <v>1264</v>
      </c>
    </row>
    <row r="80" customFormat="false" ht="15" hidden="true" customHeight="false" outlineLevel="1" collapsed="false">
      <c r="A80" s="3" t="s">
        <v>1353</v>
      </c>
      <c r="B80" s="11" t="s">
        <v>155</v>
      </c>
      <c r="C80" s="68" t="str">
        <f aca="false">IF(ISNUMBER(C42),IF(AND(ISNUMBER(C19)),C42-(C19),"不適用"),"")</f>
        <v/>
      </c>
      <c r="D80" s="68" t="str">
        <f aca="false">IF(ISNUMBER(D42),IF(AND(ISNUMBER(D19)),D42-(D19),"不適用"),"")</f>
        <v/>
      </c>
      <c r="E80" s="68" t="str">
        <f aca="false">IF(ISNUMBER(E42),IF(AND(ISNUMBER(E19)),E42-(E19),"不適用"),"")</f>
        <v/>
      </c>
      <c r="F80" s="68" t="str">
        <f aca="false">IF(ISNUMBER(F42),IF(AND(ISNUMBER(F19)),F42-(F19),"不適用"),"")</f>
        <v/>
      </c>
      <c r="G80" s="68" t="str">
        <f aca="false">IF(ISNUMBER(G42),IF(AND(ISNUMBER(G19)),G42-(G19),"不適用"),"")</f>
        <v/>
      </c>
      <c r="H80" s="68" t="str">
        <f aca="false">IF(ISNUMBER(H42),IF(AND(ISNUMBER(H19)),H42-(H19),"不適用"),"")</f>
        <v/>
      </c>
    </row>
    <row r="81" customFormat="false" ht="15" hidden="true" customHeight="false" outlineLevel="1" collapsed="false">
      <c r="A81" s="3" t="s">
        <v>1354</v>
      </c>
      <c r="B81" s="11" t="s">
        <v>155</v>
      </c>
      <c r="C81" s="68" t="str">
        <f aca="false">IF(ISNUMBER(C42),"不適用","")</f>
        <v/>
      </c>
      <c r="D81" s="68" t="str">
        <f aca="false">IF(ISNUMBER(D42),"不適用","")</f>
        <v/>
      </c>
      <c r="E81" s="68" t="str">
        <f aca="false">IF(ISNUMBER(E42),"不適用","")</f>
        <v/>
      </c>
      <c r="F81" s="68" t="str">
        <f aca="false">IF(ISNUMBER(F42),"不適用","")</f>
        <v/>
      </c>
      <c r="G81" s="68" t="str">
        <f aca="false">IF(ISNUMBER(G42),"不適用","")</f>
        <v/>
      </c>
      <c r="H81" s="68" t="str">
        <f aca="false">IF(ISNUMBER(H42),"不適用","")</f>
        <v/>
      </c>
    </row>
    <row r="82" customFormat="false" ht="15" hidden="true" customHeight="false" outlineLevel="1" collapsed="false">
      <c r="A82" s="3" t="s">
        <v>1355</v>
      </c>
      <c r="B82" s="11" t="s">
        <v>155</v>
      </c>
      <c r="C82" s="68" t="str">
        <f aca="false">IF(ISNUMBER(C42),"不適用","")</f>
        <v/>
      </c>
      <c r="D82" s="68" t="str">
        <f aca="false">IF(ISNUMBER(D42),"不適用","")</f>
        <v/>
      </c>
      <c r="E82" s="68" t="str">
        <f aca="false">IF(ISNUMBER(E42),"不適用","")</f>
        <v/>
      </c>
      <c r="F82" s="68" t="str">
        <f aca="false">IF(ISNUMBER(F42),"不適用","")</f>
        <v/>
      </c>
      <c r="G82" s="68" t="str">
        <f aca="false">IF(ISNUMBER(G42),"不適用","")</f>
        <v/>
      </c>
      <c r="H82" s="68" t="str">
        <f aca="false">IF(ISNUMBER(H42),"不適用","")</f>
        <v/>
      </c>
    </row>
    <row r="83" customFormat="false" ht="15" hidden="true" customHeight="false" outlineLevel="1" collapsed="false">
      <c r="A83" s="3" t="s">
        <v>1356</v>
      </c>
      <c r="B83" s="11" t="s">
        <v>63</v>
      </c>
      <c r="C83" s="66" t="str">
        <f aca="false">IF(COUNT(C33,D33)=2,C33+D33,"不適用")</f>
        <v>不適用</v>
      </c>
      <c r="D83" s="66" t="str">
        <f aca="false">IF(COUNT(C33,D33)=2,C33+D33,"不適用")</f>
        <v>不適用</v>
      </c>
      <c r="E83" s="66" t="str">
        <f aca="false">IF(COUNT(E33,F33,G33,H33)=4,E33+F33+G33+H33,"不適用")</f>
        <v>不適用</v>
      </c>
      <c r="F83" s="66" t="str">
        <f aca="false">IF(COUNT(E33,F33,G33,H33)=4,E33+F33+G33+H33,"不適用")</f>
        <v>不適用</v>
      </c>
      <c r="G83" s="66" t="str">
        <f aca="false">IF(COUNT(E33,F33,G33,H33)=4,E33+F33+G33+H33,"不適用")</f>
        <v>不適用</v>
      </c>
      <c r="H83" s="66" t="str">
        <f aca="false">IF(COUNT(E33,F33,G33,H33)=4,E33+F33+G33+H33,"不適用")</f>
        <v>不適用</v>
      </c>
      <c r="J83" s="6" t="s">
        <v>1357</v>
      </c>
    </row>
    <row r="84" customFormat="false" ht="15" hidden="true" customHeight="false" outlineLevel="1" collapsed="false">
      <c r="A84" s="3" t="s">
        <v>1358</v>
      </c>
      <c r="B84" s="11" t="s">
        <v>63</v>
      </c>
      <c r="C84" s="66" t="str">
        <f aca="false">IF(AND(ISNUMBER(C83),C83&lt;&gt;0,ISNUMBER(C33),ISNUMBER(C22)),(損益!C9-C83)*(C33)/C83,"不適用")</f>
        <v>不適用</v>
      </c>
      <c r="D84" s="66" t="str">
        <f aca="false">IF(AND(ISNUMBER(D83),D83&lt;&gt;0,ISNUMBER(D33),ISNUMBER(D22)),(損益!C9-D83)*(D33)/D83,"不適用")</f>
        <v>不適用</v>
      </c>
      <c r="E84" s="66" t="str">
        <f aca="false">IF(AND(ISNUMBER(E83),E83&lt;&gt;0,ISNUMBER(E33),ISNUMBER(E22)),(損益!D9-E83)*(E33)/E83,"不適用")</f>
        <v>不適用</v>
      </c>
      <c r="F84" s="66" t="str">
        <f aca="false">IF(AND(ISNUMBER(F83),F83&lt;&gt;0,ISNUMBER(F33),ISNUMBER(F22)),(損益!D9-F83)*(F33)/F83,"不適用")</f>
        <v>不適用</v>
      </c>
      <c r="G84" s="66" t="str">
        <f aca="false">IF(AND(ISNUMBER(G83),G83&lt;&gt;0,ISNUMBER(G33),ISNUMBER(G22)),(損益!D9-G83)*(G33)/G83,"不適用")</f>
        <v>不適用</v>
      </c>
      <c r="H84" s="66" t="str">
        <f aca="false">IF(AND(ISNUMBER(H83),H83&lt;&gt;0,ISNUMBER(H33),ISNUMBER(H22)),(損益!D9-H83)*(H33)/H83,"不適用")</f>
        <v>不適用</v>
      </c>
      <c r="J84" s="11" t="s">
        <v>1359</v>
      </c>
    </row>
    <row r="85" customFormat="false" ht="15" hidden="true" customHeight="false" outlineLevel="1" collapsed="false">
      <c r="A85" s="3" t="s">
        <v>1360</v>
      </c>
      <c r="B85" s="11" t="s">
        <v>63</v>
      </c>
      <c r="C85" s="66" t="str">
        <f aca="false">IF(AND(ISNUMBER(C83),C83&lt;&gt;0,ISNUMBER(C33),ISNUMBER(C22)),(C22/損益!C9-(C33)/C83)*損益!C9,"不適用")</f>
        <v>不適用</v>
      </c>
      <c r="D85" s="66" t="str">
        <f aca="false">IF(AND(ISNUMBER(D83),D83&lt;&gt;0,ISNUMBER(D33),ISNUMBER(D22)),(D22/損益!C9-(D33)/D83)*損益!C9,"不適用")</f>
        <v>不適用</v>
      </c>
      <c r="E85" s="66" t="str">
        <f aca="false">IF(AND(ISNUMBER(E83),E83&lt;&gt;0,ISNUMBER(E33),ISNUMBER(E22)),(E22/損益!D9-(E33)/E83)*損益!D9,"不適用")</f>
        <v>不適用</v>
      </c>
      <c r="F85" s="66" t="str">
        <f aca="false">IF(AND(ISNUMBER(F83),F83&lt;&gt;0,ISNUMBER(F33),ISNUMBER(F22)),(F22/損益!D9-(F33)/F83)*損益!D9,"不適用")</f>
        <v>不適用</v>
      </c>
      <c r="G85" s="66" t="str">
        <f aca="false">IF(AND(ISNUMBER(G83),G83&lt;&gt;0,ISNUMBER(G33),ISNUMBER(G22)),(G22/損益!D9-(G33)/G83)*損益!D9,"不適用")</f>
        <v>不適用</v>
      </c>
      <c r="H85" s="66" t="str">
        <f aca="false">IF(AND(ISNUMBER(H83),H83&lt;&gt;0,ISNUMBER(H33),ISNUMBER(H22)),(H22/損益!D9-(H33)/H83)*損益!D9,"不適用")</f>
        <v>不適用</v>
      </c>
      <c r="J85" s="11" t="s">
        <v>1361</v>
      </c>
    </row>
    <row r="86" customFormat="false" ht="15" hidden="true" customHeight="false" outlineLevel="1" collapsed="false">
      <c r="A86" s="3" t="s">
        <v>1362</v>
      </c>
      <c r="C86" s="48" t="str">
        <f aca="false">IF(ISNUMBER(C43),IF(ABS(C43)&gt;輸入與假設!$C$534,IF(ISNUMBER(C84),IF(ABS(C85)&gt;ABS(C84),"營收 vs 共識 "&amp;IF(C43&lt;0,"−","+")&amp;TEXT(ABS(C43)*100,"#,##0.0")&amp;"%"&amp;"：拆法（分配 "&amp;IF(C85&lt;0,"−","+")&amp;IF(ABS(C85)&lt;0,"−","")&amp;"$"&amp;TEXT(ABS(ABS(C85)),"#,##0.000")&amp;"bn"&amp;"（Q3 2026 占 2H26 "&amp;TEXT((C22/損益!C9)*100,"#,##0.0")&amp;"%"&amp;"，共識合計 "&amp;TEXT(((C33)/C83)*100,"#,##0.0")&amp;"%"&amp;"）；水準 "&amp;IF(C84&lt;0,"−","+")&amp;IF(ABS(C84)&lt;0,"−","")&amp;"$"&amp;TEXT(ABS(ABS(C84)),"#,##0.000")&amp;"bn"&amp;"）","營收 vs 共識 "&amp;IF(C43&lt;0,"−","+")&amp;TEXT(ABS(C43)*100,"#,##0.0")&amp;"%"&amp;"：觀點（水準 "&amp;IF(C84&lt;0,"−","+")&amp;IF(ABS(C84)&lt;0,"−","")&amp;"$"&amp;TEXT(ABS(ABS(C84)),"#,##0.000")&amp;"bn"&amp;"（2H26 模型 "&amp;IF(損益!C9&lt;0,"−","")&amp;"$"&amp;TEXT(ABS(損益!C9),"#,##0.000")&amp;"bn"&amp;"，共識合計 "&amp;IF(C83&lt;0,"−","")&amp;"$"&amp;TEXT(ABS(C83),"#,##0.000")&amp;"bn"&amp;"）；分配 "&amp;IF(C85&lt;0,"−","+")&amp;IF(ABS(C85)&lt;0,"−","")&amp;"$"&amp;TEXT(ABS(ABS(C85)),"#,##0.000")&amp;"bn"&amp;"；"&amp;"營收＝對外 AI 雲端（在役 MW × 每 MW 年收入，Tokenomics × k）＋各分部依近四季年增率收斂；年度總額線性分到各季，未建模第四季季節性"&amp;"）"),"營收 vs 共識 "&amp;IF(C43&lt;0,"−","+")&amp;TEXT(ABS(C43)*100,"#,##0.0")&amp;"%"&amp;"：觀點（"&amp;"營收＝對外 AI 雲端（在役 MW × 每 MW 年收入，Tokenomics × k）＋各分部依近四季年增率收斂；年度總額線性分到各季，未建模第四季季節性"&amp;"）"),""),"")</f>
        <v/>
      </c>
      <c r="D86" s="48" t="str">
        <f aca="false">IF(ISNUMBER(D43),IF(ABS(D43)&gt;輸入與假設!$C$534,IF(ISNUMBER(D84),IF(ABS(D85)&gt;ABS(D84),"營收 vs 共識 "&amp;IF(D43&lt;0,"−","+")&amp;TEXT(ABS(D43)*100,"#,##0.0")&amp;"%"&amp;"：拆法（分配 "&amp;IF(D85&lt;0,"−","+")&amp;IF(ABS(D85)&lt;0,"−","")&amp;"$"&amp;TEXT(ABS(ABS(D85)),"#,##0.000")&amp;"bn"&amp;"（Q4 2026 占 2H26 "&amp;TEXT((D22/損益!C9)*100,"#,##0.0")&amp;"%"&amp;"，共識合計 "&amp;TEXT(((D33)/D83)*100,"#,##0.0")&amp;"%"&amp;"）；水準 "&amp;IF(D84&lt;0,"−","+")&amp;IF(ABS(D84)&lt;0,"−","")&amp;"$"&amp;TEXT(ABS(ABS(D84)),"#,##0.000")&amp;"bn"&amp;"）","營收 vs 共識 "&amp;IF(D43&lt;0,"−","+")&amp;TEXT(ABS(D43)*100,"#,##0.0")&amp;"%"&amp;"：觀點（水準 "&amp;IF(D84&lt;0,"−","+")&amp;IF(ABS(D84)&lt;0,"−","")&amp;"$"&amp;TEXT(ABS(ABS(D84)),"#,##0.000")&amp;"bn"&amp;"（2H26 模型 "&amp;IF(損益!C9&lt;0,"−","")&amp;"$"&amp;TEXT(ABS(損益!C9),"#,##0.000")&amp;"bn"&amp;"，共識合計 "&amp;IF(D83&lt;0,"−","")&amp;"$"&amp;TEXT(ABS(D83),"#,##0.000")&amp;"bn"&amp;"）；分配 "&amp;IF(D85&lt;0,"−","+")&amp;IF(ABS(D85)&lt;0,"−","")&amp;"$"&amp;TEXT(ABS(ABS(D85)),"#,##0.000")&amp;"bn"&amp;"；"&amp;"營收＝對外 AI 雲端（在役 MW × 每 MW 年收入，Tokenomics × k）＋各分部依近四季年增率收斂；年度總額線性分到各季，未建模第四季季節性"&amp;"）"),"營收 vs 共識 "&amp;IF(D43&lt;0,"−","+")&amp;TEXT(ABS(D43)*100,"#,##0.0")&amp;"%"&amp;"：觀點（"&amp;"營收＝對外 AI 雲端（在役 MW × 每 MW 年收入，Tokenomics × k）＋各分部依近四季年增率收斂；年度總額線性分到各季，未建模第四季季節性"&amp;"）"),""),"")</f>
        <v/>
      </c>
      <c r="E86" s="48" t="str">
        <f aca="false">IF(ISNUMBER(E43),IF(ABS(E43)&gt;輸入與假設!$C$534,IF(ISNUMBER(E84),IF(ABS(E85)&gt;ABS(E84),"營收 vs 共識 "&amp;IF(E43&lt;0,"−","+")&amp;TEXT(ABS(E43)*100,"#,##0.0")&amp;"%"&amp;"：拆法（分配 "&amp;IF(E85&lt;0,"−","+")&amp;IF(ABS(E85)&lt;0,"−","")&amp;"$"&amp;TEXT(ABS(ABS(E85)),"#,##0.000")&amp;"bn"&amp;"（Q1 2027 占 2027 "&amp;TEXT((E22/損益!D9)*100,"#,##0.0")&amp;"%"&amp;"，共識合計 "&amp;TEXT(((E33)/E83)*100,"#,##0.0")&amp;"%"&amp;"）；水準 "&amp;IF(E84&lt;0,"−","+")&amp;IF(ABS(E84)&lt;0,"−","")&amp;"$"&amp;TEXT(ABS(ABS(E84)),"#,##0.000")&amp;"bn"&amp;"）","營收 vs 共識 "&amp;IF(E43&lt;0,"−","+")&amp;TEXT(ABS(E43)*100,"#,##0.0")&amp;"%"&amp;"：觀點（水準 "&amp;IF(E84&lt;0,"−","+")&amp;IF(ABS(E84)&lt;0,"−","")&amp;"$"&amp;TEXT(ABS(ABS(E84)),"#,##0.000")&amp;"bn"&amp;"（2027 模型 "&amp;IF(損益!D9&lt;0,"−","")&amp;"$"&amp;TEXT(ABS(損益!D9),"#,##0.000")&amp;"bn"&amp;"，共識合計 "&amp;IF(E83&lt;0,"−","")&amp;"$"&amp;TEXT(ABS(E83),"#,##0.000")&amp;"bn"&amp;"）；分配 "&amp;IF(E85&lt;0,"−","+")&amp;IF(ABS(E85)&lt;0,"−","")&amp;"$"&amp;TEXT(ABS(ABS(E85)),"#,##0.000")&amp;"bn"&amp;"；"&amp;"營收＝對外 AI 雲端（在役 MW × 每 MW 年收入，Tokenomics × k）＋各分部依近四季年增率收斂；年度總額線性分到各季，未建模第四季季節性"&amp;"）"),"營收 vs 共識 "&amp;IF(E43&lt;0,"−","+")&amp;TEXT(ABS(E43)*100,"#,##0.0")&amp;"%"&amp;"：觀點（"&amp;"營收＝對外 AI 雲端（在役 MW × 每 MW 年收入，Tokenomics × k）＋各分部依近四季年增率收斂；年度總額線性分到各季，未建模第四季季節性"&amp;"）"),""),"")</f>
        <v/>
      </c>
      <c r="F86" s="48" t="str">
        <f aca="false">IF(ISNUMBER(F43),IF(ABS(F43)&gt;輸入與假設!$C$534,IF(ISNUMBER(F84),IF(ABS(F85)&gt;ABS(F84),"營收 vs 共識 "&amp;IF(F43&lt;0,"−","+")&amp;TEXT(ABS(F43)*100,"#,##0.0")&amp;"%"&amp;"：拆法（分配 "&amp;IF(F85&lt;0,"−","+")&amp;IF(ABS(F85)&lt;0,"−","")&amp;"$"&amp;TEXT(ABS(ABS(F85)),"#,##0.000")&amp;"bn"&amp;"（Q2 2027 占 2027 "&amp;TEXT((F22/損益!D9)*100,"#,##0.0")&amp;"%"&amp;"，共識合計 "&amp;TEXT(((F33)/F83)*100,"#,##0.0")&amp;"%"&amp;"）；水準 "&amp;IF(F84&lt;0,"−","+")&amp;IF(ABS(F84)&lt;0,"−","")&amp;"$"&amp;TEXT(ABS(ABS(F84)),"#,##0.000")&amp;"bn"&amp;"）","營收 vs 共識 "&amp;IF(F43&lt;0,"−","+")&amp;TEXT(ABS(F43)*100,"#,##0.0")&amp;"%"&amp;"：觀點（水準 "&amp;IF(F84&lt;0,"−","+")&amp;IF(ABS(F84)&lt;0,"−","")&amp;"$"&amp;TEXT(ABS(ABS(F84)),"#,##0.000")&amp;"bn"&amp;"（2027 模型 "&amp;IF(損益!D9&lt;0,"−","")&amp;"$"&amp;TEXT(ABS(損益!D9),"#,##0.000")&amp;"bn"&amp;"，共識合計 "&amp;IF(F83&lt;0,"−","")&amp;"$"&amp;TEXT(ABS(F83),"#,##0.000")&amp;"bn"&amp;"）；分配 "&amp;IF(F85&lt;0,"−","+")&amp;IF(ABS(F85)&lt;0,"−","")&amp;"$"&amp;TEXT(ABS(ABS(F85)),"#,##0.000")&amp;"bn"&amp;"；"&amp;"營收＝對外 AI 雲端（在役 MW × 每 MW 年收入，Tokenomics × k）＋各分部依近四季年增率收斂；年度總額線性分到各季，未建模第四季季節性"&amp;"）"),"營收 vs 共識 "&amp;IF(F43&lt;0,"−","+")&amp;TEXT(ABS(F43)*100,"#,##0.0")&amp;"%"&amp;"：觀點（"&amp;"營收＝對外 AI 雲端（在役 MW × 每 MW 年收入，Tokenomics × k）＋各分部依近四季年增率收斂；年度總額線性分到各季，未建模第四季季節性"&amp;"）"),""),"")</f>
        <v/>
      </c>
      <c r="G86" s="48" t="str">
        <f aca="false">IF(ISNUMBER(G43),IF(ABS(G43)&gt;輸入與假設!$C$534,IF(ISNUMBER(G84),IF(ABS(G85)&gt;ABS(G84),"營收 vs 共識 "&amp;IF(G43&lt;0,"−","+")&amp;TEXT(ABS(G43)*100,"#,##0.0")&amp;"%"&amp;"：拆法（分配 "&amp;IF(G85&lt;0,"−","+")&amp;IF(ABS(G85)&lt;0,"−","")&amp;"$"&amp;TEXT(ABS(ABS(G85)),"#,##0.000")&amp;"bn"&amp;"（Q3 2027 占 2027 "&amp;TEXT((G22/損益!D9)*100,"#,##0.0")&amp;"%"&amp;"，共識合計 "&amp;TEXT(((G33)/G83)*100,"#,##0.0")&amp;"%"&amp;"）；水準 "&amp;IF(G84&lt;0,"−","+")&amp;IF(ABS(G84)&lt;0,"−","")&amp;"$"&amp;TEXT(ABS(ABS(G84)),"#,##0.000")&amp;"bn"&amp;"）","營收 vs 共識 "&amp;IF(G43&lt;0,"−","+")&amp;TEXT(ABS(G43)*100,"#,##0.0")&amp;"%"&amp;"：觀點（水準 "&amp;IF(G84&lt;0,"−","+")&amp;IF(ABS(G84)&lt;0,"−","")&amp;"$"&amp;TEXT(ABS(ABS(G84)),"#,##0.000")&amp;"bn"&amp;"（2027 模型 "&amp;IF(損益!D9&lt;0,"−","")&amp;"$"&amp;TEXT(ABS(損益!D9),"#,##0.000")&amp;"bn"&amp;"，共識合計 "&amp;IF(G83&lt;0,"−","")&amp;"$"&amp;TEXT(ABS(G83),"#,##0.000")&amp;"bn"&amp;"）；分配 "&amp;IF(G85&lt;0,"−","+")&amp;IF(ABS(G85)&lt;0,"−","")&amp;"$"&amp;TEXT(ABS(ABS(G85)),"#,##0.000")&amp;"bn"&amp;"；"&amp;"營收＝對外 AI 雲端（在役 MW × 每 MW 年收入，Tokenomics × k）＋各分部依近四季年增率收斂；年度總額線性分到各季，未建模第四季季節性"&amp;"）"),"營收 vs 共識 "&amp;IF(G43&lt;0,"−","+")&amp;TEXT(ABS(G43)*100,"#,##0.0")&amp;"%"&amp;"：觀點（"&amp;"營收＝對外 AI 雲端（在役 MW × 每 MW 年收入，Tokenomics × k）＋各分部依近四季年增率收斂；年度總額線性分到各季，未建模第四季季節性"&amp;"）"),""),"")</f>
        <v/>
      </c>
      <c r="H86" s="48" t="str">
        <f aca="false">IF(ISNUMBER(H43),IF(ABS(H43)&gt;輸入與假設!$C$534,IF(ISNUMBER(H84),IF(ABS(H85)&gt;ABS(H84),"營收 vs 共識 "&amp;IF(H43&lt;0,"−","+")&amp;TEXT(ABS(H43)*100,"#,##0.0")&amp;"%"&amp;"：拆法（分配 "&amp;IF(H85&lt;0,"−","+")&amp;IF(ABS(H85)&lt;0,"−","")&amp;"$"&amp;TEXT(ABS(ABS(H85)),"#,##0.000")&amp;"bn"&amp;"（Q4 2027 占 2027 "&amp;TEXT((H22/損益!D9)*100,"#,##0.0")&amp;"%"&amp;"，共識合計 "&amp;TEXT(((H33)/H83)*100,"#,##0.0")&amp;"%"&amp;"）；水準 "&amp;IF(H84&lt;0,"−","+")&amp;IF(ABS(H84)&lt;0,"−","")&amp;"$"&amp;TEXT(ABS(ABS(H84)),"#,##0.000")&amp;"bn"&amp;"）","營收 vs 共識 "&amp;IF(H43&lt;0,"−","+")&amp;TEXT(ABS(H43)*100,"#,##0.0")&amp;"%"&amp;"：觀點（水準 "&amp;IF(H84&lt;0,"−","+")&amp;IF(ABS(H84)&lt;0,"−","")&amp;"$"&amp;TEXT(ABS(ABS(H84)),"#,##0.000")&amp;"bn"&amp;"（2027 模型 "&amp;IF(損益!D9&lt;0,"−","")&amp;"$"&amp;TEXT(ABS(損益!D9),"#,##0.000")&amp;"bn"&amp;"，共識合計 "&amp;IF(H83&lt;0,"−","")&amp;"$"&amp;TEXT(ABS(H83),"#,##0.000")&amp;"bn"&amp;"）；分配 "&amp;IF(H85&lt;0,"−","+")&amp;IF(ABS(H85)&lt;0,"−","")&amp;"$"&amp;TEXT(ABS(ABS(H85)),"#,##0.000")&amp;"bn"&amp;"；"&amp;"營收＝對外 AI 雲端（在役 MW × 每 MW 年收入，Tokenomics × k）＋各分部依近四季年增率收斂；年度總額線性分到各季，未建模第四季季節性"&amp;"）"),"營收 vs 共識 "&amp;IF(H43&lt;0,"−","+")&amp;TEXT(ABS(H43)*100,"#,##0.0")&amp;"%"&amp;"：觀點（"&amp;"營收＝對外 AI 雲端（在役 MW × 每 MW 年收入，Tokenomics × k）＋各分部依近四季年增率收斂；年度總額線性分到各季，未建模第四季季節性"&amp;"）"),""),"")</f>
        <v/>
      </c>
    </row>
    <row r="87" customFormat="false" ht="15" hidden="true" customHeight="false" outlineLevel="1" collapsed="false">
      <c r="A87" s="3" t="s">
        <v>1363</v>
      </c>
      <c r="C87" s="48" t="str">
        <f aca="false">IF(ISNUMBER(C43),IF(ABS(C43)&gt;輸入與假設!$C$534,IF(ISNUMBER(C84),IF(ABS(C85)&gt;ABS(C84),"拆法","觀點"),"觀點"),""),"")</f>
        <v/>
      </c>
      <c r="D87" s="48" t="str">
        <f aca="false">IF(ISNUMBER(D43),IF(ABS(D43)&gt;輸入與假設!$C$534,IF(ISNUMBER(D84),IF(ABS(D85)&gt;ABS(D84),"拆法","觀點"),"觀點"),""),"")</f>
        <v/>
      </c>
      <c r="E87" s="48" t="str">
        <f aca="false">IF(ISNUMBER(E43),IF(ABS(E43)&gt;輸入與假設!$C$534,IF(ISNUMBER(E84),IF(ABS(E85)&gt;ABS(E84),"拆法","觀點"),"觀點"),""),"")</f>
        <v/>
      </c>
      <c r="F87" s="48" t="str">
        <f aca="false">IF(ISNUMBER(F43),IF(ABS(F43)&gt;輸入與假設!$C$534,IF(ISNUMBER(F84),IF(ABS(F85)&gt;ABS(F84),"拆法","觀點"),"觀點"),""),"")</f>
        <v/>
      </c>
      <c r="G87" s="48" t="str">
        <f aca="false">IF(ISNUMBER(G43),IF(ABS(G43)&gt;輸入與假設!$C$534,IF(ISNUMBER(G84),IF(ABS(G85)&gt;ABS(G84),"拆法","觀點"),"觀點"),""),"")</f>
        <v/>
      </c>
      <c r="H87" s="48" t="str">
        <f aca="false">IF(ISNUMBER(H43),IF(ABS(H43)&gt;輸入與假設!$C$534,IF(ISNUMBER(H84),IF(ABS(H85)&gt;ABS(H84),"拆法","觀點"),"觀點"),""),"")</f>
        <v/>
      </c>
    </row>
    <row r="88" customFormat="false" ht="15" hidden="true" customHeight="false" outlineLevel="1" collapsed="false">
      <c r="A88" s="3" t="s">
        <v>1364</v>
      </c>
      <c r="C88" s="48"/>
      <c r="D88" s="48"/>
      <c r="E88" s="48"/>
      <c r="F88" s="48"/>
      <c r="G88" s="48"/>
      <c r="H88" s="48"/>
    </row>
    <row r="89" customFormat="false" ht="15" hidden="true" customHeight="false" outlineLevel="1" collapsed="false">
      <c r="A89" s="3" t="s">
        <v>1365</v>
      </c>
      <c r="C89" s="48"/>
      <c r="D89" s="48"/>
      <c r="E89" s="48"/>
      <c r="F89" s="48"/>
      <c r="G89" s="48"/>
      <c r="H89" s="48"/>
    </row>
    <row r="90" customFormat="false" ht="15" hidden="true" customHeight="false" outlineLevel="1" collapsed="false">
      <c r="A90" s="3" t="s">
        <v>1366</v>
      </c>
      <c r="C90" s="48" t="str">
        <f aca="false">IF(ISNUMBER(C45),IF(ABS(C45)&gt;輸入與假設!$C$534,"營收 實際 vs 模型 "&amp;IF(C45&lt;0,"−","+")&amp;TEXT(ABS(C45)*100,"#,##0.0")&amp;"%"&amp;"：觀點（"&amp;"營收＝對外 AI 雲端（在役 MW × 每 MW 年收入，Tokenomics × k）＋各分部依近四季年增率收斂；年度總額線性分到各季，未建模第四季季節性"&amp;"）",""),"")</f>
        <v/>
      </c>
      <c r="D90" s="48" t="str">
        <f aca="false">IF(ISNUMBER(D45),IF(ABS(D45)&gt;輸入與假設!$C$534,"營收 實際 vs 模型 "&amp;IF(D45&lt;0,"−","+")&amp;TEXT(ABS(D45)*100,"#,##0.0")&amp;"%"&amp;"：觀點（"&amp;"營收＝對外 AI 雲端（在役 MW × 每 MW 年收入，Tokenomics × k）＋各分部依近四季年增率收斂；年度總額線性分到各季，未建模第四季季節性"&amp;"）",""),"")</f>
        <v/>
      </c>
      <c r="E90" s="48" t="str">
        <f aca="false">IF(ISNUMBER(E45),IF(ABS(E45)&gt;輸入與假設!$C$534,"營收 實際 vs 模型 "&amp;IF(E45&lt;0,"−","+")&amp;TEXT(ABS(E45)*100,"#,##0.0")&amp;"%"&amp;"：觀點（"&amp;"營收＝對外 AI 雲端（在役 MW × 每 MW 年收入，Tokenomics × k）＋各分部依近四季年增率收斂；年度總額線性分到各季，未建模第四季季節性"&amp;"）",""),"")</f>
        <v/>
      </c>
      <c r="F90" s="48" t="str">
        <f aca="false">IF(ISNUMBER(F45),IF(ABS(F45)&gt;輸入與假設!$C$534,"營收 實際 vs 模型 "&amp;IF(F45&lt;0,"−","+")&amp;TEXT(ABS(F45)*100,"#,##0.0")&amp;"%"&amp;"：觀點（"&amp;"營收＝對外 AI 雲端（在役 MW × 每 MW 年收入，Tokenomics × k）＋各分部依近四季年增率收斂；年度總額線性分到各季，未建模第四季季節性"&amp;"）",""),"")</f>
        <v/>
      </c>
      <c r="G90" s="48" t="str">
        <f aca="false">IF(ISNUMBER(G45),IF(ABS(G45)&gt;輸入與假設!$C$534,"營收 實際 vs 模型 "&amp;IF(G45&lt;0,"−","+")&amp;TEXT(ABS(G45)*100,"#,##0.0")&amp;"%"&amp;"：觀點（"&amp;"營收＝對外 AI 雲端（在役 MW × 每 MW 年收入，Tokenomics × k）＋各分部依近四季年增率收斂；年度總額線性分到各季，未建模第四季季節性"&amp;"）",""),"")</f>
        <v/>
      </c>
      <c r="H90" s="48" t="str">
        <f aca="false">IF(ISNUMBER(H45),IF(ABS(H45)&gt;輸入與假設!$C$534,"營收 實際 vs 模型 "&amp;IF(H45&lt;0,"−","+")&amp;TEXT(ABS(H45)*100,"#,##0.0")&amp;"%"&amp;"：觀點（"&amp;"營收＝對外 AI 雲端（在役 MW × 每 MW 年收入，Tokenomics × k）＋各分部依近四季年增率收斂；年度總額線性分到各季，未建模第四季季節性"&amp;"）",""),"")</f>
        <v/>
      </c>
    </row>
    <row r="91" customFormat="false" ht="15" hidden="true" customHeight="false" outlineLevel="1" collapsed="false">
      <c r="A91" s="3" t="s">
        <v>1367</v>
      </c>
      <c r="C91" s="48" t="str">
        <f aca="false">IF(ISNUMBER(C45),IF(ABS(C45)&gt;輸入與假設!$C$534,"觀點",""),"")</f>
        <v/>
      </c>
      <c r="D91" s="48" t="str">
        <f aca="false">IF(ISNUMBER(D45),IF(ABS(D45)&gt;輸入與假設!$C$534,"觀點",""),"")</f>
        <v/>
      </c>
      <c r="E91" s="48" t="str">
        <f aca="false">IF(ISNUMBER(E45),IF(ABS(E45)&gt;輸入與假設!$C$534,"觀點",""),"")</f>
        <v/>
      </c>
      <c r="F91" s="48" t="str">
        <f aca="false">IF(ISNUMBER(F45),IF(ABS(F45)&gt;輸入與假設!$C$534,"觀點",""),"")</f>
        <v/>
      </c>
      <c r="G91" s="48" t="str">
        <f aca="false">IF(ISNUMBER(G45),IF(ABS(G45)&gt;輸入與假設!$C$534,"觀點",""),"")</f>
        <v/>
      </c>
      <c r="H91" s="48" t="str">
        <f aca="false">IF(ISNUMBER(H45),IF(ABS(H45)&gt;輸入與假設!$C$534,"觀點",""),"")</f>
        <v/>
      </c>
    </row>
    <row r="92" customFormat="false" ht="15" hidden="true" customHeight="false" outlineLevel="1" collapsed="false">
      <c r="A92" s="3" t="s">
        <v>1368</v>
      </c>
      <c r="B92" s="11" t="s">
        <v>63</v>
      </c>
      <c r="C92" s="66" t="str">
        <f aca="false">IF(COUNT(C34,D34)=2,C34+D34,"不適用")</f>
        <v>不適用</v>
      </c>
      <c r="D92" s="66" t="str">
        <f aca="false">IF(COUNT(C34,D34)=2,C34+D34,"不適用")</f>
        <v>不適用</v>
      </c>
      <c r="E92" s="66" t="str">
        <f aca="false">IF(COUNT(E34,F34,G34,H34)=4,E34+F34+G34+H34,"不適用")</f>
        <v>不適用</v>
      </c>
      <c r="F92" s="66" t="str">
        <f aca="false">IF(COUNT(E34,F34,G34,H34)=4,E34+F34+G34+H34,"不適用")</f>
        <v>不適用</v>
      </c>
      <c r="G92" s="66" t="str">
        <f aca="false">IF(COUNT(E34,F34,G34,H34)=4,E34+F34+G34+H34,"不適用")</f>
        <v>不適用</v>
      </c>
      <c r="H92" s="66" t="str">
        <f aca="false">IF(COUNT(E34,F34,G34,H34)=4,E34+F34+G34+H34,"不適用")</f>
        <v>不適用</v>
      </c>
      <c r="J92" s="6" t="s">
        <v>1357</v>
      </c>
    </row>
    <row r="93" customFormat="false" ht="15" hidden="true" customHeight="false" outlineLevel="1" collapsed="false">
      <c r="A93" s="3" t="s">
        <v>1369</v>
      </c>
      <c r="B93" s="11" t="s">
        <v>63</v>
      </c>
      <c r="C93" s="66" t="str">
        <f aca="false">IF(AND(ISNUMBER(C92),C92&lt;&gt;0,ISNUMBER(C34),ISNUMBER(C28)),(損益!C22-C92)*(C34)/C92,"不適用")</f>
        <v>不適用</v>
      </c>
      <c r="D93" s="66" t="str">
        <f aca="false">IF(AND(ISNUMBER(D92),D92&lt;&gt;0,ISNUMBER(D34),ISNUMBER(D28)),(損益!C22-D92)*(D34)/D92,"不適用")</f>
        <v>不適用</v>
      </c>
      <c r="E93" s="66" t="str">
        <f aca="false">IF(AND(ISNUMBER(E92),E92&lt;&gt;0,ISNUMBER(E34),ISNUMBER(E28)),(損益!D22-E92)*(E34)/E92,"不適用")</f>
        <v>不適用</v>
      </c>
      <c r="F93" s="66" t="str">
        <f aca="false">IF(AND(ISNUMBER(F92),F92&lt;&gt;0,ISNUMBER(F34),ISNUMBER(F28)),(損益!D22-F92)*(F34)/F92,"不適用")</f>
        <v>不適用</v>
      </c>
      <c r="G93" s="66" t="str">
        <f aca="false">IF(AND(ISNUMBER(G92),G92&lt;&gt;0,ISNUMBER(G34),ISNUMBER(G28)),(損益!D22-G92)*(G34)/G92,"不適用")</f>
        <v>不適用</v>
      </c>
      <c r="H93" s="66" t="str">
        <f aca="false">IF(AND(ISNUMBER(H92),H92&lt;&gt;0,ISNUMBER(H34),ISNUMBER(H28)),(損益!D22-H92)*(H34)/H92,"不適用")</f>
        <v>不適用</v>
      </c>
      <c r="J93" s="11" t="s">
        <v>1359</v>
      </c>
    </row>
    <row r="94" customFormat="false" ht="15" hidden="true" customHeight="false" outlineLevel="1" collapsed="false">
      <c r="A94" s="3" t="s">
        <v>1370</v>
      </c>
      <c r="B94" s="11" t="s">
        <v>63</v>
      </c>
      <c r="C94" s="66" t="str">
        <f aca="false">IF(AND(ISNUMBER(C92),C92&lt;&gt;0,ISNUMBER(C34),ISNUMBER(C28)),(C28/損益!C22-(C34)/C92)*損益!C22,"不適用")</f>
        <v>不適用</v>
      </c>
      <c r="D94" s="66" t="str">
        <f aca="false">IF(AND(ISNUMBER(D92),D92&lt;&gt;0,ISNUMBER(D34),ISNUMBER(D28)),(D28/損益!C22-(D34)/D92)*損益!C22,"不適用")</f>
        <v>不適用</v>
      </c>
      <c r="E94" s="66" t="str">
        <f aca="false">IF(AND(ISNUMBER(E92),E92&lt;&gt;0,ISNUMBER(E34),ISNUMBER(E28)),(E28/損益!D22-(E34)/E92)*損益!D22,"不適用")</f>
        <v>不適用</v>
      </c>
      <c r="F94" s="66" t="str">
        <f aca="false">IF(AND(ISNUMBER(F92),F92&lt;&gt;0,ISNUMBER(F34),ISNUMBER(F28)),(F28/損益!D22-(F34)/F92)*損益!D22,"不適用")</f>
        <v>不適用</v>
      </c>
      <c r="G94" s="66" t="str">
        <f aca="false">IF(AND(ISNUMBER(G92),G92&lt;&gt;0,ISNUMBER(G34),ISNUMBER(G28)),(G28/損益!D22-(G34)/G92)*損益!D22,"不適用")</f>
        <v>不適用</v>
      </c>
      <c r="H94" s="66" t="str">
        <f aca="false">IF(AND(ISNUMBER(H92),H92&lt;&gt;0,ISNUMBER(H34),ISNUMBER(H28)),(H28/損益!D22-(H34)/H92)*損益!D22,"不適用")</f>
        <v>不適用</v>
      </c>
      <c r="J94" s="11" t="s">
        <v>1361</v>
      </c>
    </row>
    <row r="95" customFormat="false" ht="15" hidden="true" customHeight="false" outlineLevel="1" collapsed="false">
      <c r="A95" s="3" t="s">
        <v>1371</v>
      </c>
      <c r="C95" s="48" t="str">
        <f aca="false">IF(ISNUMBER(C48),IF(IF(ISNUMBER(C53),ABS(C53)&gt;輸入與假設!$C$535,OR(AND(C34&lt;&gt;0,ABS(C48)&gt;輸入與假設!$C$534*ABS(C34)),AND(C34=0,C48&lt;&gt;0))),IF(ISNUMBER(C93),IF(ABS(C94)&gt;ABS(C93),"調整後 EBITDA vs 共識 "&amp;IF(C48&lt;0,"−","+")&amp;IF(ABS(C48)&lt;0,"−","")&amp;"$"&amp;TEXT(ABS(ABS(C48)),"#,##0.00")&amp;"bn"&amp;IF(ISNUMBER(C53),"／"&amp;IF(C53&lt;0,"−","+")&amp;TEXT(ABS(C53)*100,"#,##0.0")&amp;"pt","")&amp;"：拆法（分配 "&amp;IF(C94&lt;0,"−","+")&amp;IF(ABS(C94)&lt;0,"−","")&amp;"$"&amp;TEXT(ABS(ABS(C94)),"#,##0.000")&amp;"bn"&amp;"（Q3 2026 占 2H26 "&amp;TEXT((C28/損益!C22)*100,"#,##0.0")&amp;"%"&amp;"，共識合計 "&amp;TEXT(((C34)/C92)*100,"#,##0.0")&amp;"%"&amp;"）；水準 "&amp;IF(C93&lt;0,"−","+")&amp;IF(ABS(C93)&lt;0,"−","")&amp;"$"&amp;TEXT(ABS(ABS(C93)),"#,##0.000")&amp;"bn"&amp;"）","調整後 EBITDA vs 共識 "&amp;IF(C48&lt;0,"−","+")&amp;IF(ABS(C48)&lt;0,"−","")&amp;"$"&amp;TEXT(ABS(ABS(C48)),"#,##0.00")&amp;"bn"&amp;IF(ISNUMBER(C53),"／"&amp;IF(C53&lt;0,"−","+")&amp;TEXT(ABS(C53)*100,"#,##0.0")&amp;"pt","")&amp;"：觀點（水準 "&amp;IF(C93&lt;0,"−","+")&amp;IF(ABS(C93)&lt;0,"−","")&amp;"$"&amp;TEXT(ABS(ABS(C93)),"#,##0.000")&amp;"bn"&amp;"（2H26 模型 "&amp;IF(損益!C22&lt;0,"−","")&amp;"$"&amp;TEXT(ABS(損益!C22),"#,##0.000")&amp;"bn"&amp;"，共識合計 "&amp;IF(C92&lt;0,"−","")&amp;"$"&amp;TEXT(ABS(C92),"#,##0.000")&amp;"bn"&amp;"）；分配 "&amp;IF(C94&lt;0,"−","+")&amp;IF(ABS(C94)&lt;0,"−","")&amp;"$"&amp;TEXT(ABS(ABS(C94)),"#,##0.000")&amp;"bn"&amp;"；"&amp;"模型 EBITDA 率 "&amp;IF((C27)&lt;0,"−","")&amp;TEXT(ABS((C27))*100,"#,##0.0")&amp;"%"&amp;"；EBITDA＝分部營業利益＋分攤 D&amp;A 與 AI 雲端 Tokenomics 由下而上營運成本"&amp;"）"),"調整後 EBITDA vs 共識 "&amp;IF(C48&lt;0,"−","+")&amp;IF(ABS(C48)&lt;0,"−","")&amp;"$"&amp;TEXT(ABS(ABS(C48)),"#,##0.00")&amp;"bn"&amp;IF(ISNUMBER(C53),"／"&amp;IF(C53&lt;0,"−","+")&amp;TEXT(ABS(C53)*100,"#,##0.0")&amp;"pt","")&amp;"：觀點（"&amp;"模型 EBITDA 率 "&amp;IF((C27)&lt;0,"−","")&amp;TEXT(ABS((C27))*100,"#,##0.0")&amp;"%"&amp;"；EBITDA＝分部營業利益＋分攤 D&amp;A 與 AI 雲端 Tokenomics 由下而上營運成本"&amp;"）"),""),"")</f>
        <v/>
      </c>
      <c r="D95" s="48" t="str">
        <f aca="false">IF(ISNUMBER(D48),IF(IF(ISNUMBER(D53),ABS(D53)&gt;輸入與假設!$C$535,OR(AND(D34&lt;&gt;0,ABS(D48)&gt;輸入與假設!$C$534*ABS(D34)),AND(D34=0,D48&lt;&gt;0))),IF(ISNUMBER(D93),IF(ABS(D94)&gt;ABS(D93),"調整後 EBITDA vs 共識 "&amp;IF(D48&lt;0,"−","+")&amp;IF(ABS(D48)&lt;0,"−","")&amp;"$"&amp;TEXT(ABS(ABS(D48)),"#,##0.00")&amp;"bn"&amp;IF(ISNUMBER(D53),"／"&amp;IF(D53&lt;0,"−","+")&amp;TEXT(ABS(D53)*100,"#,##0.0")&amp;"pt","")&amp;"：拆法（分配 "&amp;IF(D94&lt;0,"−","+")&amp;IF(ABS(D94)&lt;0,"−","")&amp;"$"&amp;TEXT(ABS(ABS(D94)),"#,##0.000")&amp;"bn"&amp;"（Q4 2026 占 2H26 "&amp;TEXT((D28/損益!C22)*100,"#,##0.0")&amp;"%"&amp;"，共識合計 "&amp;TEXT(((D34)/D92)*100,"#,##0.0")&amp;"%"&amp;"）；水準 "&amp;IF(D93&lt;0,"−","+")&amp;IF(ABS(D93)&lt;0,"−","")&amp;"$"&amp;TEXT(ABS(ABS(D93)),"#,##0.000")&amp;"bn"&amp;"）","調整後 EBITDA vs 共識 "&amp;IF(D48&lt;0,"−","+")&amp;IF(ABS(D48)&lt;0,"−","")&amp;"$"&amp;TEXT(ABS(ABS(D48)),"#,##0.00")&amp;"bn"&amp;IF(ISNUMBER(D53),"／"&amp;IF(D53&lt;0,"−","+")&amp;TEXT(ABS(D53)*100,"#,##0.0")&amp;"pt","")&amp;"：觀點（水準 "&amp;IF(D93&lt;0,"−","+")&amp;IF(ABS(D93)&lt;0,"−","")&amp;"$"&amp;TEXT(ABS(ABS(D93)),"#,##0.000")&amp;"bn"&amp;"（2H26 模型 "&amp;IF(損益!C22&lt;0,"−","")&amp;"$"&amp;TEXT(ABS(損益!C22),"#,##0.000")&amp;"bn"&amp;"，共識合計 "&amp;IF(D92&lt;0,"−","")&amp;"$"&amp;TEXT(ABS(D92),"#,##0.000")&amp;"bn"&amp;"）；分配 "&amp;IF(D94&lt;0,"−","+")&amp;IF(ABS(D94)&lt;0,"−","")&amp;"$"&amp;TEXT(ABS(ABS(D94)),"#,##0.000")&amp;"bn"&amp;"；"&amp;"模型 EBITDA 率 "&amp;IF((D27)&lt;0,"−","")&amp;TEXT(ABS((D27))*100,"#,##0.0")&amp;"%"&amp;"；EBITDA＝分部營業利益＋分攤 D&amp;A 與 AI 雲端 Tokenomics 由下而上營運成本"&amp;"）"),"調整後 EBITDA vs 共識 "&amp;IF(D48&lt;0,"−","+")&amp;IF(ABS(D48)&lt;0,"−","")&amp;"$"&amp;TEXT(ABS(ABS(D48)),"#,##0.00")&amp;"bn"&amp;IF(ISNUMBER(D53),"／"&amp;IF(D53&lt;0,"−","+")&amp;TEXT(ABS(D53)*100,"#,##0.0")&amp;"pt","")&amp;"：觀點（"&amp;"模型 EBITDA 率 "&amp;IF((D27)&lt;0,"−","")&amp;TEXT(ABS((D27))*100,"#,##0.0")&amp;"%"&amp;"；EBITDA＝分部營業利益＋分攤 D&amp;A 與 AI 雲端 Tokenomics 由下而上營運成本"&amp;"）"),""),"")</f>
        <v/>
      </c>
      <c r="E95" s="48" t="str">
        <f aca="false">IF(ISNUMBER(E48),IF(IF(ISNUMBER(E53),ABS(E53)&gt;輸入與假設!$C$535,OR(AND(E34&lt;&gt;0,ABS(E48)&gt;輸入與假設!$C$534*ABS(E34)),AND(E34=0,E48&lt;&gt;0))),IF(ISNUMBER(E93),IF(ABS(E94)&gt;ABS(E93),"調整後 EBITDA vs 共識 "&amp;IF(E48&lt;0,"−","+")&amp;IF(ABS(E48)&lt;0,"−","")&amp;"$"&amp;TEXT(ABS(ABS(E48)),"#,##0.00")&amp;"bn"&amp;IF(ISNUMBER(E53),"／"&amp;IF(E53&lt;0,"−","+")&amp;TEXT(ABS(E53)*100,"#,##0.0")&amp;"pt","")&amp;"：拆法（分配 "&amp;IF(E94&lt;0,"−","+")&amp;IF(ABS(E94)&lt;0,"−","")&amp;"$"&amp;TEXT(ABS(ABS(E94)),"#,##0.000")&amp;"bn"&amp;"（Q1 2027 占 2027 "&amp;TEXT((E28/損益!D22)*100,"#,##0.0")&amp;"%"&amp;"，共識合計 "&amp;TEXT(((E34)/E92)*100,"#,##0.0")&amp;"%"&amp;"）；水準 "&amp;IF(E93&lt;0,"−","+")&amp;IF(ABS(E93)&lt;0,"−","")&amp;"$"&amp;TEXT(ABS(ABS(E93)),"#,##0.000")&amp;"bn"&amp;"）","調整後 EBITDA vs 共識 "&amp;IF(E48&lt;0,"−","+")&amp;IF(ABS(E48)&lt;0,"−","")&amp;"$"&amp;TEXT(ABS(ABS(E48)),"#,##0.00")&amp;"bn"&amp;IF(ISNUMBER(E53),"／"&amp;IF(E53&lt;0,"−","+")&amp;TEXT(ABS(E53)*100,"#,##0.0")&amp;"pt","")&amp;"：觀點（水準 "&amp;IF(E93&lt;0,"−","+")&amp;IF(ABS(E93)&lt;0,"−","")&amp;"$"&amp;TEXT(ABS(ABS(E93)),"#,##0.000")&amp;"bn"&amp;"（2027 模型 "&amp;IF(損益!D22&lt;0,"−","")&amp;"$"&amp;TEXT(ABS(損益!D22),"#,##0.000")&amp;"bn"&amp;"，共識合計 "&amp;IF(E92&lt;0,"−","")&amp;"$"&amp;TEXT(ABS(E92),"#,##0.000")&amp;"bn"&amp;"）；分配 "&amp;IF(E94&lt;0,"−","+")&amp;IF(ABS(E94)&lt;0,"−","")&amp;"$"&amp;TEXT(ABS(ABS(E94)),"#,##0.000")&amp;"bn"&amp;"；"&amp;"模型 EBITDA 率 "&amp;IF((E27)&lt;0,"−","")&amp;TEXT(ABS((E27))*100,"#,##0.0")&amp;"%"&amp;"；EBITDA＝分部營業利益＋分攤 D&amp;A 與 AI 雲端 Tokenomics 由下而上營運成本"&amp;"）"),"調整後 EBITDA vs 共識 "&amp;IF(E48&lt;0,"−","+")&amp;IF(ABS(E48)&lt;0,"−","")&amp;"$"&amp;TEXT(ABS(ABS(E48)),"#,##0.00")&amp;"bn"&amp;IF(ISNUMBER(E53),"／"&amp;IF(E53&lt;0,"−","+")&amp;TEXT(ABS(E53)*100,"#,##0.0")&amp;"pt","")&amp;"：觀點（"&amp;"模型 EBITDA 率 "&amp;IF((E27)&lt;0,"−","")&amp;TEXT(ABS((E27))*100,"#,##0.0")&amp;"%"&amp;"；EBITDA＝分部營業利益＋分攤 D&amp;A 與 AI 雲端 Tokenomics 由下而上營運成本"&amp;"）"),""),"")</f>
        <v/>
      </c>
      <c r="F95" s="48" t="str">
        <f aca="false">IF(ISNUMBER(F48),IF(IF(ISNUMBER(F53),ABS(F53)&gt;輸入與假設!$C$535,OR(AND(F34&lt;&gt;0,ABS(F48)&gt;輸入與假設!$C$534*ABS(F34)),AND(F34=0,F48&lt;&gt;0))),IF(ISNUMBER(F93),IF(ABS(F94)&gt;ABS(F93),"調整後 EBITDA vs 共識 "&amp;IF(F48&lt;0,"−","+")&amp;IF(ABS(F48)&lt;0,"−","")&amp;"$"&amp;TEXT(ABS(ABS(F48)),"#,##0.00")&amp;"bn"&amp;IF(ISNUMBER(F53),"／"&amp;IF(F53&lt;0,"−","+")&amp;TEXT(ABS(F53)*100,"#,##0.0")&amp;"pt","")&amp;"：拆法（分配 "&amp;IF(F94&lt;0,"−","+")&amp;IF(ABS(F94)&lt;0,"−","")&amp;"$"&amp;TEXT(ABS(ABS(F94)),"#,##0.000")&amp;"bn"&amp;"（Q2 2027 占 2027 "&amp;TEXT((F28/損益!D22)*100,"#,##0.0")&amp;"%"&amp;"，共識合計 "&amp;TEXT(((F34)/F92)*100,"#,##0.0")&amp;"%"&amp;"）；水準 "&amp;IF(F93&lt;0,"−","+")&amp;IF(ABS(F93)&lt;0,"−","")&amp;"$"&amp;TEXT(ABS(ABS(F93)),"#,##0.000")&amp;"bn"&amp;"）","調整後 EBITDA vs 共識 "&amp;IF(F48&lt;0,"−","+")&amp;IF(ABS(F48)&lt;0,"−","")&amp;"$"&amp;TEXT(ABS(ABS(F48)),"#,##0.00")&amp;"bn"&amp;IF(ISNUMBER(F53),"／"&amp;IF(F53&lt;0,"−","+")&amp;TEXT(ABS(F53)*100,"#,##0.0")&amp;"pt","")&amp;"：觀點（水準 "&amp;IF(F93&lt;0,"−","+")&amp;IF(ABS(F93)&lt;0,"−","")&amp;"$"&amp;TEXT(ABS(ABS(F93)),"#,##0.000")&amp;"bn"&amp;"（2027 模型 "&amp;IF(損益!D22&lt;0,"−","")&amp;"$"&amp;TEXT(ABS(損益!D22),"#,##0.000")&amp;"bn"&amp;"，共識合計 "&amp;IF(F92&lt;0,"−","")&amp;"$"&amp;TEXT(ABS(F92),"#,##0.000")&amp;"bn"&amp;"）；分配 "&amp;IF(F94&lt;0,"−","+")&amp;IF(ABS(F94)&lt;0,"−","")&amp;"$"&amp;TEXT(ABS(ABS(F94)),"#,##0.000")&amp;"bn"&amp;"；"&amp;"模型 EBITDA 率 "&amp;IF((F27)&lt;0,"−","")&amp;TEXT(ABS((F27))*100,"#,##0.0")&amp;"%"&amp;"；EBITDA＝分部營業利益＋分攤 D&amp;A 與 AI 雲端 Tokenomics 由下而上營運成本"&amp;"）"),"調整後 EBITDA vs 共識 "&amp;IF(F48&lt;0,"−","+")&amp;IF(ABS(F48)&lt;0,"−","")&amp;"$"&amp;TEXT(ABS(ABS(F48)),"#,##0.00")&amp;"bn"&amp;IF(ISNUMBER(F53),"／"&amp;IF(F53&lt;0,"−","+")&amp;TEXT(ABS(F53)*100,"#,##0.0")&amp;"pt","")&amp;"：觀點（"&amp;"模型 EBITDA 率 "&amp;IF((F27)&lt;0,"−","")&amp;TEXT(ABS((F27))*100,"#,##0.0")&amp;"%"&amp;"；EBITDA＝分部營業利益＋分攤 D&amp;A 與 AI 雲端 Tokenomics 由下而上營運成本"&amp;"）"),""),"")</f>
        <v/>
      </c>
      <c r="G95" s="48" t="str">
        <f aca="false">IF(ISNUMBER(G48),IF(IF(ISNUMBER(G53),ABS(G53)&gt;輸入與假設!$C$535,OR(AND(G34&lt;&gt;0,ABS(G48)&gt;輸入與假設!$C$534*ABS(G34)),AND(G34=0,G48&lt;&gt;0))),IF(ISNUMBER(G93),IF(ABS(G94)&gt;ABS(G93),"調整後 EBITDA vs 共識 "&amp;IF(G48&lt;0,"−","+")&amp;IF(ABS(G48)&lt;0,"−","")&amp;"$"&amp;TEXT(ABS(ABS(G48)),"#,##0.00")&amp;"bn"&amp;IF(ISNUMBER(G53),"／"&amp;IF(G53&lt;0,"−","+")&amp;TEXT(ABS(G53)*100,"#,##0.0")&amp;"pt","")&amp;"：拆法（分配 "&amp;IF(G94&lt;0,"−","+")&amp;IF(ABS(G94)&lt;0,"−","")&amp;"$"&amp;TEXT(ABS(ABS(G94)),"#,##0.000")&amp;"bn"&amp;"（Q3 2027 占 2027 "&amp;TEXT((G28/損益!D22)*100,"#,##0.0")&amp;"%"&amp;"，共識合計 "&amp;TEXT(((G34)/G92)*100,"#,##0.0")&amp;"%"&amp;"）；水準 "&amp;IF(G93&lt;0,"−","+")&amp;IF(ABS(G93)&lt;0,"−","")&amp;"$"&amp;TEXT(ABS(ABS(G93)),"#,##0.000")&amp;"bn"&amp;"）","調整後 EBITDA vs 共識 "&amp;IF(G48&lt;0,"−","+")&amp;IF(ABS(G48)&lt;0,"−","")&amp;"$"&amp;TEXT(ABS(ABS(G48)),"#,##0.00")&amp;"bn"&amp;IF(ISNUMBER(G53),"／"&amp;IF(G53&lt;0,"−","+")&amp;TEXT(ABS(G53)*100,"#,##0.0")&amp;"pt","")&amp;"：觀點（水準 "&amp;IF(G93&lt;0,"−","+")&amp;IF(ABS(G93)&lt;0,"−","")&amp;"$"&amp;TEXT(ABS(ABS(G93)),"#,##0.000")&amp;"bn"&amp;"（2027 模型 "&amp;IF(損益!D22&lt;0,"−","")&amp;"$"&amp;TEXT(ABS(損益!D22),"#,##0.000")&amp;"bn"&amp;"，共識合計 "&amp;IF(G92&lt;0,"−","")&amp;"$"&amp;TEXT(ABS(G92),"#,##0.000")&amp;"bn"&amp;"）；分配 "&amp;IF(G94&lt;0,"−","+")&amp;IF(ABS(G94)&lt;0,"−","")&amp;"$"&amp;TEXT(ABS(ABS(G94)),"#,##0.000")&amp;"bn"&amp;"；"&amp;"模型 EBITDA 率 "&amp;IF((G27)&lt;0,"−","")&amp;TEXT(ABS((G27))*100,"#,##0.0")&amp;"%"&amp;"；EBITDA＝分部營業利益＋分攤 D&amp;A 與 AI 雲端 Tokenomics 由下而上營運成本"&amp;"）"),"調整後 EBITDA vs 共識 "&amp;IF(G48&lt;0,"−","+")&amp;IF(ABS(G48)&lt;0,"−","")&amp;"$"&amp;TEXT(ABS(ABS(G48)),"#,##0.00")&amp;"bn"&amp;IF(ISNUMBER(G53),"／"&amp;IF(G53&lt;0,"−","+")&amp;TEXT(ABS(G53)*100,"#,##0.0")&amp;"pt","")&amp;"：觀點（"&amp;"模型 EBITDA 率 "&amp;IF((G27)&lt;0,"−","")&amp;TEXT(ABS((G27))*100,"#,##0.0")&amp;"%"&amp;"；EBITDA＝分部營業利益＋分攤 D&amp;A 與 AI 雲端 Tokenomics 由下而上營運成本"&amp;"）"),""),"")</f>
        <v/>
      </c>
      <c r="H95" s="48" t="str">
        <f aca="false">IF(ISNUMBER(H48),IF(IF(ISNUMBER(H53),ABS(H53)&gt;輸入與假設!$C$535,OR(AND(H34&lt;&gt;0,ABS(H48)&gt;輸入與假設!$C$534*ABS(H34)),AND(H34=0,H48&lt;&gt;0))),IF(ISNUMBER(H93),IF(ABS(H94)&gt;ABS(H93),"調整後 EBITDA vs 共識 "&amp;IF(H48&lt;0,"−","+")&amp;IF(ABS(H48)&lt;0,"−","")&amp;"$"&amp;TEXT(ABS(ABS(H48)),"#,##0.00")&amp;"bn"&amp;IF(ISNUMBER(H53),"／"&amp;IF(H53&lt;0,"−","+")&amp;TEXT(ABS(H53)*100,"#,##0.0")&amp;"pt","")&amp;"：拆法（分配 "&amp;IF(H94&lt;0,"−","+")&amp;IF(ABS(H94)&lt;0,"−","")&amp;"$"&amp;TEXT(ABS(ABS(H94)),"#,##0.000")&amp;"bn"&amp;"（Q4 2027 占 2027 "&amp;TEXT((H28/損益!D22)*100,"#,##0.0")&amp;"%"&amp;"，共識合計 "&amp;TEXT(((H34)/H92)*100,"#,##0.0")&amp;"%"&amp;"）；水準 "&amp;IF(H93&lt;0,"−","+")&amp;IF(ABS(H93)&lt;0,"−","")&amp;"$"&amp;TEXT(ABS(ABS(H93)),"#,##0.000")&amp;"bn"&amp;"）","調整後 EBITDA vs 共識 "&amp;IF(H48&lt;0,"−","+")&amp;IF(ABS(H48)&lt;0,"−","")&amp;"$"&amp;TEXT(ABS(ABS(H48)),"#,##0.00")&amp;"bn"&amp;IF(ISNUMBER(H53),"／"&amp;IF(H53&lt;0,"−","+")&amp;TEXT(ABS(H53)*100,"#,##0.0")&amp;"pt","")&amp;"：觀點（水準 "&amp;IF(H93&lt;0,"−","+")&amp;IF(ABS(H93)&lt;0,"−","")&amp;"$"&amp;TEXT(ABS(ABS(H93)),"#,##0.000")&amp;"bn"&amp;"（2027 模型 "&amp;IF(損益!D22&lt;0,"−","")&amp;"$"&amp;TEXT(ABS(損益!D22),"#,##0.000")&amp;"bn"&amp;"，共識合計 "&amp;IF(H92&lt;0,"−","")&amp;"$"&amp;TEXT(ABS(H92),"#,##0.000")&amp;"bn"&amp;"）；分配 "&amp;IF(H94&lt;0,"−","+")&amp;IF(ABS(H94)&lt;0,"−","")&amp;"$"&amp;TEXT(ABS(ABS(H94)),"#,##0.000")&amp;"bn"&amp;"；"&amp;"模型 EBITDA 率 "&amp;IF((H27)&lt;0,"−","")&amp;TEXT(ABS((H27))*100,"#,##0.0")&amp;"%"&amp;"；EBITDA＝分部營業利益＋分攤 D&amp;A 與 AI 雲端 Tokenomics 由下而上營運成本"&amp;"）"),"調整後 EBITDA vs 共識 "&amp;IF(H48&lt;0,"−","+")&amp;IF(ABS(H48)&lt;0,"−","")&amp;"$"&amp;TEXT(ABS(ABS(H48)),"#,##0.00")&amp;"bn"&amp;IF(ISNUMBER(H53),"／"&amp;IF(H53&lt;0,"−","+")&amp;TEXT(ABS(H53)*100,"#,##0.0")&amp;"pt","")&amp;"：觀點（"&amp;"模型 EBITDA 率 "&amp;IF((H27)&lt;0,"−","")&amp;TEXT(ABS((H27))*100,"#,##0.0")&amp;"%"&amp;"；EBITDA＝分部營業利益＋分攤 D&amp;A 與 AI 雲端 Tokenomics 由下而上營運成本"&amp;"）"),""),"")</f>
        <v/>
      </c>
    </row>
    <row r="96" customFormat="false" ht="15" hidden="true" customHeight="false" outlineLevel="1" collapsed="false">
      <c r="A96" s="3" t="s">
        <v>1372</v>
      </c>
      <c r="C96" s="48" t="str">
        <f aca="false">IF(ISNUMBER(C48),IF(IF(ISNUMBER(C53),ABS(C53)&gt;輸入與假設!$C$535,OR(AND(C34&lt;&gt;0,ABS(C48)&gt;輸入與假設!$C$534*ABS(C34)),AND(C34=0,C48&lt;&gt;0))),IF(ISNUMBER(C93),IF(ABS(C94)&gt;ABS(C93),"拆法","觀點"),"觀點"),""),"")</f>
        <v/>
      </c>
      <c r="D96" s="48" t="str">
        <f aca="false">IF(ISNUMBER(D48),IF(IF(ISNUMBER(D53),ABS(D53)&gt;輸入與假設!$C$535,OR(AND(D34&lt;&gt;0,ABS(D48)&gt;輸入與假設!$C$534*ABS(D34)),AND(D34=0,D48&lt;&gt;0))),IF(ISNUMBER(D93),IF(ABS(D94)&gt;ABS(D93),"拆法","觀點"),"觀點"),""),"")</f>
        <v/>
      </c>
      <c r="E96" s="48" t="str">
        <f aca="false">IF(ISNUMBER(E48),IF(IF(ISNUMBER(E53),ABS(E53)&gt;輸入與假設!$C$535,OR(AND(E34&lt;&gt;0,ABS(E48)&gt;輸入與假設!$C$534*ABS(E34)),AND(E34=0,E48&lt;&gt;0))),IF(ISNUMBER(E93),IF(ABS(E94)&gt;ABS(E93),"拆法","觀點"),"觀點"),""),"")</f>
        <v/>
      </c>
      <c r="F96" s="48" t="str">
        <f aca="false">IF(ISNUMBER(F48),IF(IF(ISNUMBER(F53),ABS(F53)&gt;輸入與假設!$C$535,OR(AND(F34&lt;&gt;0,ABS(F48)&gt;輸入與假設!$C$534*ABS(F34)),AND(F34=0,F48&lt;&gt;0))),IF(ISNUMBER(F93),IF(ABS(F94)&gt;ABS(F93),"拆法","觀點"),"觀點"),""),"")</f>
        <v/>
      </c>
      <c r="G96" s="48" t="str">
        <f aca="false">IF(ISNUMBER(G48),IF(IF(ISNUMBER(G53),ABS(G53)&gt;輸入與假設!$C$535,OR(AND(G34&lt;&gt;0,ABS(G48)&gt;輸入與假設!$C$534*ABS(G34)),AND(G34=0,G48&lt;&gt;0))),IF(ISNUMBER(G93),IF(ABS(G94)&gt;ABS(G93),"拆法","觀點"),"觀點"),""),"")</f>
        <v/>
      </c>
      <c r="H96" s="48" t="str">
        <f aca="false">IF(ISNUMBER(H48),IF(IF(ISNUMBER(H53),ABS(H53)&gt;輸入與假設!$C$535,OR(AND(H34&lt;&gt;0,ABS(H48)&gt;輸入與假設!$C$534*ABS(H34)),AND(H34=0,H48&lt;&gt;0))),IF(ISNUMBER(H93),IF(ABS(H94)&gt;ABS(H93),"拆法","觀點"),"觀點"),""),"")</f>
        <v/>
      </c>
    </row>
    <row r="97" customFormat="false" ht="15" hidden="true" customHeight="false" outlineLevel="1" collapsed="false">
      <c r="A97" s="3" t="s">
        <v>1373</v>
      </c>
      <c r="C97" s="48"/>
      <c r="D97" s="48"/>
      <c r="E97" s="48"/>
      <c r="F97" s="48"/>
      <c r="G97" s="48"/>
      <c r="H97" s="48"/>
    </row>
    <row r="98" customFormat="false" ht="15" hidden="true" customHeight="false" outlineLevel="1" collapsed="false">
      <c r="A98" s="3" t="s">
        <v>1374</v>
      </c>
      <c r="C98" s="48"/>
      <c r="D98" s="48"/>
      <c r="E98" s="48"/>
      <c r="F98" s="48"/>
      <c r="G98" s="48"/>
      <c r="H98" s="48"/>
    </row>
    <row r="99" customFormat="false" ht="15" hidden="true" customHeight="false" outlineLevel="1" collapsed="false">
      <c r="A99" s="3" t="s">
        <v>1375</v>
      </c>
      <c r="C99" s="48" t="str">
        <f aca="false">IF(ISNUMBER(C50),IF(IF(ISNUMBER(C55),ABS(C55)&gt;輸入與假設!$C$535,OR(AND(C28&lt;&gt;0,ABS(C50)&gt;輸入與假設!$C$534*ABS(C28)),AND(C28=0,C50&lt;&gt;0))),"調整後 EBITDA 實際 vs 模型 "&amp;IF(C50&lt;0,"−","+")&amp;IF(ABS(C50)&lt;0,"−","")&amp;"$"&amp;TEXT(ABS(ABS(C50)),"#,##0.00")&amp;"bn"&amp;IF(ISNUMBER(C55),"／"&amp;IF(C55&lt;0,"−","+")&amp;TEXT(ABS(C55)*100,"#,##0.0")&amp;"pt","")&amp;"：觀點（"&amp;"模型 EBITDA 率 "&amp;IF((C27)&lt;0,"−","")&amp;TEXT(ABS((C27))*100,"#,##0.0")&amp;"%"&amp;"；EBITDA＝分部營業利益＋分攤 D&amp;A 與 AI 雲端 Tokenomics 由下而上營運成本"&amp;"）",""),"")</f>
        <v/>
      </c>
      <c r="D99" s="48" t="str">
        <f aca="false">IF(ISNUMBER(D50),IF(IF(ISNUMBER(D55),ABS(D55)&gt;輸入與假設!$C$535,OR(AND(D28&lt;&gt;0,ABS(D50)&gt;輸入與假設!$C$534*ABS(D28)),AND(D28=0,D50&lt;&gt;0))),"調整後 EBITDA 實際 vs 模型 "&amp;IF(D50&lt;0,"−","+")&amp;IF(ABS(D50)&lt;0,"−","")&amp;"$"&amp;TEXT(ABS(ABS(D50)),"#,##0.00")&amp;"bn"&amp;IF(ISNUMBER(D55),"／"&amp;IF(D55&lt;0,"−","+")&amp;TEXT(ABS(D55)*100,"#,##0.0")&amp;"pt","")&amp;"：觀點（"&amp;"模型 EBITDA 率 "&amp;IF((D27)&lt;0,"−","")&amp;TEXT(ABS((D27))*100,"#,##0.0")&amp;"%"&amp;"；EBITDA＝分部營業利益＋分攤 D&amp;A 與 AI 雲端 Tokenomics 由下而上營運成本"&amp;"）",""),"")</f>
        <v/>
      </c>
      <c r="E99" s="48" t="str">
        <f aca="false">IF(ISNUMBER(E50),IF(IF(ISNUMBER(E55),ABS(E55)&gt;輸入與假設!$C$535,OR(AND(E28&lt;&gt;0,ABS(E50)&gt;輸入與假設!$C$534*ABS(E28)),AND(E28=0,E50&lt;&gt;0))),"調整後 EBITDA 實際 vs 模型 "&amp;IF(E50&lt;0,"−","+")&amp;IF(ABS(E50)&lt;0,"−","")&amp;"$"&amp;TEXT(ABS(ABS(E50)),"#,##0.00")&amp;"bn"&amp;IF(ISNUMBER(E55),"／"&amp;IF(E55&lt;0,"−","+")&amp;TEXT(ABS(E55)*100,"#,##0.0")&amp;"pt","")&amp;"：觀點（"&amp;"模型 EBITDA 率 "&amp;IF((E27)&lt;0,"−","")&amp;TEXT(ABS((E27))*100,"#,##0.0")&amp;"%"&amp;"；EBITDA＝分部營業利益＋分攤 D&amp;A 與 AI 雲端 Tokenomics 由下而上營運成本"&amp;"）",""),"")</f>
        <v/>
      </c>
      <c r="F99" s="48" t="str">
        <f aca="false">IF(ISNUMBER(F50),IF(IF(ISNUMBER(F55),ABS(F55)&gt;輸入與假設!$C$535,OR(AND(F28&lt;&gt;0,ABS(F50)&gt;輸入與假設!$C$534*ABS(F28)),AND(F28=0,F50&lt;&gt;0))),"調整後 EBITDA 實際 vs 模型 "&amp;IF(F50&lt;0,"−","+")&amp;IF(ABS(F50)&lt;0,"−","")&amp;"$"&amp;TEXT(ABS(ABS(F50)),"#,##0.00")&amp;"bn"&amp;IF(ISNUMBER(F55),"／"&amp;IF(F55&lt;0,"−","+")&amp;TEXT(ABS(F55)*100,"#,##0.0")&amp;"pt","")&amp;"：觀點（"&amp;"模型 EBITDA 率 "&amp;IF((F27)&lt;0,"−","")&amp;TEXT(ABS((F27))*100,"#,##0.0")&amp;"%"&amp;"；EBITDA＝分部營業利益＋分攤 D&amp;A 與 AI 雲端 Tokenomics 由下而上營運成本"&amp;"）",""),"")</f>
        <v/>
      </c>
      <c r="G99" s="48" t="str">
        <f aca="false">IF(ISNUMBER(G50),IF(IF(ISNUMBER(G55),ABS(G55)&gt;輸入與假設!$C$535,OR(AND(G28&lt;&gt;0,ABS(G50)&gt;輸入與假設!$C$534*ABS(G28)),AND(G28=0,G50&lt;&gt;0))),"調整後 EBITDA 實際 vs 模型 "&amp;IF(G50&lt;0,"−","+")&amp;IF(ABS(G50)&lt;0,"−","")&amp;"$"&amp;TEXT(ABS(ABS(G50)),"#,##0.00")&amp;"bn"&amp;IF(ISNUMBER(G55),"／"&amp;IF(G55&lt;0,"−","+")&amp;TEXT(ABS(G55)*100,"#,##0.0")&amp;"pt","")&amp;"：觀點（"&amp;"模型 EBITDA 率 "&amp;IF((G27)&lt;0,"−","")&amp;TEXT(ABS((G27))*100,"#,##0.0")&amp;"%"&amp;"；EBITDA＝分部營業利益＋分攤 D&amp;A 與 AI 雲端 Tokenomics 由下而上營運成本"&amp;"）",""),"")</f>
        <v/>
      </c>
      <c r="H99" s="48" t="str">
        <f aca="false">IF(ISNUMBER(H50),IF(IF(ISNUMBER(H55),ABS(H55)&gt;輸入與假設!$C$535,OR(AND(H28&lt;&gt;0,ABS(H50)&gt;輸入與假設!$C$534*ABS(H28)),AND(H28=0,H50&lt;&gt;0))),"調整後 EBITDA 實際 vs 模型 "&amp;IF(H50&lt;0,"−","+")&amp;IF(ABS(H50)&lt;0,"−","")&amp;"$"&amp;TEXT(ABS(ABS(H50)),"#,##0.00")&amp;"bn"&amp;IF(ISNUMBER(H55),"／"&amp;IF(H55&lt;0,"−","+")&amp;TEXT(ABS(H55)*100,"#,##0.0")&amp;"pt","")&amp;"：觀點（"&amp;"模型 EBITDA 率 "&amp;IF((H27)&lt;0,"−","")&amp;TEXT(ABS((H27))*100,"#,##0.0")&amp;"%"&amp;"；EBITDA＝分部營業利益＋分攤 D&amp;A 與 AI 雲端 Tokenomics 由下而上營運成本"&amp;"）",""),"")</f>
        <v/>
      </c>
    </row>
    <row r="100" customFormat="false" ht="15" hidden="true" customHeight="false" outlineLevel="1" collapsed="false">
      <c r="A100" s="3" t="s">
        <v>1376</v>
      </c>
      <c r="C100" s="48" t="str">
        <f aca="false">IF(ISNUMBER(C50),IF(IF(ISNUMBER(C55),ABS(C55)&gt;輸入與假設!$C$535,OR(AND(C28&lt;&gt;0,ABS(C50)&gt;輸入與假設!$C$534*ABS(C28)),AND(C28=0,C50&lt;&gt;0))),"觀點",""),"")</f>
        <v/>
      </c>
      <c r="D100" s="48" t="str">
        <f aca="false">IF(ISNUMBER(D50),IF(IF(ISNUMBER(D55),ABS(D55)&gt;輸入與假設!$C$535,OR(AND(D28&lt;&gt;0,ABS(D50)&gt;輸入與假設!$C$534*ABS(D28)),AND(D28=0,D50&lt;&gt;0))),"觀點",""),"")</f>
        <v/>
      </c>
      <c r="E100" s="48" t="str">
        <f aca="false">IF(ISNUMBER(E50),IF(IF(ISNUMBER(E55),ABS(E55)&gt;輸入與假設!$C$535,OR(AND(E28&lt;&gt;0,ABS(E50)&gt;輸入與假設!$C$534*ABS(E28)),AND(E28=0,E50&lt;&gt;0))),"觀點",""),"")</f>
        <v/>
      </c>
      <c r="F100" s="48" t="str">
        <f aca="false">IF(ISNUMBER(F50),IF(IF(ISNUMBER(F55),ABS(F55)&gt;輸入與假設!$C$535,OR(AND(F28&lt;&gt;0,ABS(F50)&gt;輸入與假設!$C$534*ABS(F28)),AND(F28=0,F50&lt;&gt;0))),"觀點",""),"")</f>
        <v/>
      </c>
      <c r="G100" s="48" t="str">
        <f aca="false">IF(ISNUMBER(G50),IF(IF(ISNUMBER(G55),ABS(G55)&gt;輸入與假設!$C$535,OR(AND(G28&lt;&gt;0,ABS(G50)&gt;輸入與假設!$C$534*ABS(G28)),AND(G28=0,G50&lt;&gt;0))),"觀點",""),"")</f>
        <v/>
      </c>
      <c r="H100" s="48" t="str">
        <f aca="false">IF(ISNUMBER(H50),IF(IF(ISNUMBER(H55),ABS(H55)&gt;輸入與假設!$C$535,OR(AND(H28&lt;&gt;0,ABS(H50)&gt;輸入與假設!$C$534*ABS(H28)),AND(H28=0,H50&lt;&gt;0))),"觀點",""),"")</f>
        <v/>
      </c>
    </row>
    <row r="101" customFormat="false" ht="15" hidden="true" customHeight="false" outlineLevel="1" collapsed="false">
      <c r="A101" s="3" t="s">
        <v>1377</v>
      </c>
      <c r="C101" s="48"/>
      <c r="D101" s="48"/>
      <c r="E101" s="48"/>
      <c r="F101" s="48"/>
      <c r="G101" s="48"/>
      <c r="H101" s="48"/>
    </row>
    <row r="102" customFormat="false" ht="15" hidden="true" customHeight="false" outlineLevel="1" collapsed="false">
      <c r="A102" s="3" t="s">
        <v>1378</v>
      </c>
      <c r="C102" s="48"/>
      <c r="D102" s="48"/>
      <c r="E102" s="48"/>
      <c r="F102" s="48"/>
      <c r="G102" s="48"/>
      <c r="H102" s="48"/>
    </row>
    <row r="103" customFormat="false" ht="15" hidden="true" customHeight="false" outlineLevel="1" collapsed="false">
      <c r="A103" s="3" t="s">
        <v>1379</v>
      </c>
      <c r="C103" s="48"/>
      <c r="D103" s="48"/>
      <c r="E103" s="48"/>
      <c r="F103" s="48"/>
      <c r="G103" s="48"/>
      <c r="H103" s="48"/>
    </row>
    <row r="104" customFormat="false" ht="15" hidden="true" customHeight="false" outlineLevel="1" collapsed="false">
      <c r="A104" s="3" t="s">
        <v>1380</v>
      </c>
      <c r="C104" s="48"/>
      <c r="D104" s="48"/>
      <c r="E104" s="48"/>
      <c r="F104" s="48"/>
      <c r="G104" s="48"/>
      <c r="H104" s="48"/>
    </row>
    <row r="105" customFormat="false" ht="15" hidden="true" customHeight="false" outlineLevel="1" collapsed="false">
      <c r="A105" s="3" t="s">
        <v>1381</v>
      </c>
      <c r="C105" s="48" t="str">
        <f aca="false">IF(ISNUMBER(C65),IF(IF(ISNUMBER(C70),ABS(C70)&gt;輸入與假設!$C$535,OR(AND(C31&lt;&gt;0,ABS(C65)&gt;輸入與假設!$C$534*ABS(C31)),AND(C31=0,C65&lt;&gt;0))),"調整後營業利益 實際 vs 模型 "&amp;IF(C65&lt;0,"−","+")&amp;IF(ABS(C65)&lt;0,"−","")&amp;"$"&amp;TEXT(ABS(ABS(C65)),"#,##0.00")&amp;"bn"&amp;IF(ISNUMBER(C70),"／"&amp;IF(C70&lt;0,"−","+")&amp;TEXT(ABS(C70)*100,"#,##0.0")&amp;"pt","")&amp;"：觀點（"&amp;"模型折舊 "&amp;IF((C29)&lt;0,"−","")&amp;TEXT(ABS((C29)),"#,##0.00")&amp;" 依期初 PP&amp;E 與資本支出推算；營業利益＝EBITDA − 折舊，年度總額線性分到各季"&amp;"）",""),"")</f>
        <v/>
      </c>
      <c r="D105" s="48" t="str">
        <f aca="false">IF(ISNUMBER(D65),IF(IF(ISNUMBER(D70),ABS(D70)&gt;輸入與假設!$C$535,OR(AND(D31&lt;&gt;0,ABS(D65)&gt;輸入與假設!$C$534*ABS(D31)),AND(D31=0,D65&lt;&gt;0))),"調整後營業利益 實際 vs 模型 "&amp;IF(D65&lt;0,"−","+")&amp;IF(ABS(D65)&lt;0,"−","")&amp;"$"&amp;TEXT(ABS(ABS(D65)),"#,##0.00")&amp;"bn"&amp;IF(ISNUMBER(D70),"／"&amp;IF(D70&lt;0,"−","+")&amp;TEXT(ABS(D70)*100,"#,##0.0")&amp;"pt","")&amp;"：觀點（"&amp;"模型折舊 "&amp;IF((D29)&lt;0,"−","")&amp;TEXT(ABS((D29)),"#,##0.00")&amp;" 依期初 PP&amp;E 與資本支出推算；營業利益＝EBITDA − 折舊，年度總額線性分到各季"&amp;"）",""),"")</f>
        <v/>
      </c>
      <c r="E105" s="48" t="str">
        <f aca="false">IF(ISNUMBER(E65),IF(IF(ISNUMBER(E70),ABS(E70)&gt;輸入與假設!$C$535,OR(AND(E31&lt;&gt;0,ABS(E65)&gt;輸入與假設!$C$534*ABS(E31)),AND(E31=0,E65&lt;&gt;0))),"調整後營業利益 實際 vs 模型 "&amp;IF(E65&lt;0,"−","+")&amp;IF(ABS(E65)&lt;0,"−","")&amp;"$"&amp;TEXT(ABS(ABS(E65)),"#,##0.00")&amp;"bn"&amp;IF(ISNUMBER(E70),"／"&amp;IF(E70&lt;0,"−","+")&amp;TEXT(ABS(E70)*100,"#,##0.0")&amp;"pt","")&amp;"：觀點（"&amp;"模型折舊 "&amp;IF((E29)&lt;0,"−","")&amp;TEXT(ABS((E29)),"#,##0.00")&amp;" 依期初 PP&amp;E 與資本支出推算；營業利益＝EBITDA − 折舊，年度總額線性分到各季"&amp;"）",""),"")</f>
        <v/>
      </c>
      <c r="F105" s="48" t="str">
        <f aca="false">IF(ISNUMBER(F65),IF(IF(ISNUMBER(F70),ABS(F70)&gt;輸入與假設!$C$535,OR(AND(F31&lt;&gt;0,ABS(F65)&gt;輸入與假設!$C$534*ABS(F31)),AND(F31=0,F65&lt;&gt;0))),"調整後營業利益 實際 vs 模型 "&amp;IF(F65&lt;0,"−","+")&amp;IF(ABS(F65)&lt;0,"−","")&amp;"$"&amp;TEXT(ABS(ABS(F65)),"#,##0.00")&amp;"bn"&amp;IF(ISNUMBER(F70),"／"&amp;IF(F70&lt;0,"−","+")&amp;TEXT(ABS(F70)*100,"#,##0.0")&amp;"pt","")&amp;"：觀點（"&amp;"模型折舊 "&amp;IF((F29)&lt;0,"−","")&amp;TEXT(ABS((F29)),"#,##0.00")&amp;" 依期初 PP&amp;E 與資本支出推算；營業利益＝EBITDA − 折舊，年度總額線性分到各季"&amp;"）",""),"")</f>
        <v/>
      </c>
      <c r="G105" s="48" t="str">
        <f aca="false">IF(ISNUMBER(G65),IF(IF(ISNUMBER(G70),ABS(G70)&gt;輸入與假設!$C$535,OR(AND(G31&lt;&gt;0,ABS(G65)&gt;輸入與假設!$C$534*ABS(G31)),AND(G31=0,G65&lt;&gt;0))),"調整後營業利益 實際 vs 模型 "&amp;IF(G65&lt;0,"−","+")&amp;IF(ABS(G65)&lt;0,"−","")&amp;"$"&amp;TEXT(ABS(ABS(G65)),"#,##0.00")&amp;"bn"&amp;IF(ISNUMBER(G70),"／"&amp;IF(G70&lt;0,"−","+")&amp;TEXT(ABS(G70)*100,"#,##0.0")&amp;"pt","")&amp;"：觀點（"&amp;"模型折舊 "&amp;IF((G29)&lt;0,"−","")&amp;TEXT(ABS((G29)),"#,##0.00")&amp;" 依期初 PP&amp;E 與資本支出推算；營業利益＝EBITDA − 折舊，年度總額線性分到各季"&amp;"）",""),"")</f>
        <v/>
      </c>
      <c r="H105" s="48" t="str">
        <f aca="false">IF(ISNUMBER(H65),IF(IF(ISNUMBER(H70),ABS(H70)&gt;輸入與假設!$C$535,OR(AND(H31&lt;&gt;0,ABS(H65)&gt;輸入與假設!$C$534*ABS(H31)),AND(H31=0,H65&lt;&gt;0))),"調整後營業利益 實際 vs 模型 "&amp;IF(H65&lt;0,"−","+")&amp;IF(ABS(H65)&lt;0,"−","")&amp;"$"&amp;TEXT(ABS(ABS(H65)),"#,##0.00")&amp;"bn"&amp;IF(ISNUMBER(H70),"／"&amp;IF(H70&lt;0,"−","+")&amp;TEXT(ABS(H70)*100,"#,##0.0")&amp;"pt","")&amp;"：觀點（"&amp;"模型折舊 "&amp;IF((H29)&lt;0,"−","")&amp;TEXT(ABS((H29)),"#,##0.00")&amp;" 依期初 PP&amp;E 與資本支出推算；營業利益＝EBITDA − 折舊，年度總額線性分到各季"&amp;"）",""),"")</f>
        <v/>
      </c>
    </row>
    <row r="106" customFormat="false" ht="15" hidden="true" customHeight="false" outlineLevel="1" collapsed="false">
      <c r="A106" s="3" t="s">
        <v>1382</v>
      </c>
      <c r="C106" s="48" t="str">
        <f aca="false">IF(ISNUMBER(C65),IF(IF(ISNUMBER(C70),ABS(C70)&gt;輸入與假設!$C$535,OR(AND(C31&lt;&gt;0,ABS(C65)&gt;輸入與假設!$C$534*ABS(C31)),AND(C31=0,C65&lt;&gt;0))),"觀點",""),"")</f>
        <v/>
      </c>
      <c r="D106" s="48" t="str">
        <f aca="false">IF(ISNUMBER(D65),IF(IF(ISNUMBER(D70),ABS(D70)&gt;輸入與假設!$C$535,OR(AND(D31&lt;&gt;0,ABS(D65)&gt;輸入與假設!$C$534*ABS(D31)),AND(D31=0,D65&lt;&gt;0))),"觀點",""),"")</f>
        <v/>
      </c>
      <c r="E106" s="48" t="str">
        <f aca="false">IF(ISNUMBER(E65),IF(IF(ISNUMBER(E70),ABS(E70)&gt;輸入與假設!$C$535,OR(AND(E31&lt;&gt;0,ABS(E65)&gt;輸入與假設!$C$534*ABS(E31)),AND(E31=0,E65&lt;&gt;0))),"觀點",""),"")</f>
        <v/>
      </c>
      <c r="F106" s="48" t="str">
        <f aca="false">IF(ISNUMBER(F65),IF(IF(ISNUMBER(F70),ABS(F70)&gt;輸入與假設!$C$535,OR(AND(F31&lt;&gt;0,ABS(F65)&gt;輸入與假設!$C$534*ABS(F31)),AND(F31=0,F65&lt;&gt;0))),"觀點",""),"")</f>
        <v/>
      </c>
      <c r="G106" s="48" t="str">
        <f aca="false">IF(ISNUMBER(G65),IF(IF(ISNUMBER(G70),ABS(G70)&gt;輸入與假設!$C$535,OR(AND(G31&lt;&gt;0,ABS(G65)&gt;輸入與假設!$C$534*ABS(G31)),AND(G31=0,G65&lt;&gt;0))),"觀點",""),"")</f>
        <v/>
      </c>
      <c r="H106" s="48" t="str">
        <f aca="false">IF(ISNUMBER(H65),IF(IF(ISNUMBER(H70),ABS(H70)&gt;輸入與假設!$C$535,OR(AND(H31&lt;&gt;0,ABS(H65)&gt;輸入與假設!$C$534*ABS(H31)),AND(H31=0,H65&lt;&gt;0))),"觀點",""),"")</f>
        <v/>
      </c>
    </row>
    <row r="107" customFormat="false" ht="15" hidden="true" customHeight="false" outlineLevel="1" collapsed="false">
      <c r="A107" s="3" t="s">
        <v>1383</v>
      </c>
      <c r="C107" s="48"/>
      <c r="D107" s="48"/>
      <c r="E107" s="48"/>
      <c r="F107" s="48"/>
      <c r="G107" s="48"/>
      <c r="H107" s="48"/>
    </row>
    <row r="108" customFormat="false" ht="15" hidden="true" customHeight="false" outlineLevel="1" collapsed="false">
      <c r="A108" s="3" t="s">
        <v>1384</v>
      </c>
      <c r="C108" s="48"/>
      <c r="D108" s="48"/>
      <c r="E108" s="48"/>
      <c r="F108" s="48"/>
      <c r="G108" s="48"/>
      <c r="H108" s="48"/>
    </row>
    <row r="109" customFormat="false" ht="15" hidden="true" customHeight="false" outlineLevel="1" collapsed="false">
      <c r="A109" s="3" t="s">
        <v>1385</v>
      </c>
      <c r="C109" s="48"/>
      <c r="D109" s="48"/>
      <c r="E109" s="48"/>
      <c r="F109" s="48"/>
      <c r="G109" s="48"/>
      <c r="H109" s="48"/>
    </row>
    <row r="110" customFormat="false" ht="15" hidden="true" customHeight="false" outlineLevel="1" collapsed="false">
      <c r="A110" s="3" t="s">
        <v>1386</v>
      </c>
      <c r="C110" s="48"/>
      <c r="D110" s="48"/>
      <c r="E110" s="48"/>
      <c r="F110" s="48"/>
      <c r="G110" s="48"/>
      <c r="H110" s="48"/>
    </row>
    <row r="111" customFormat="false" ht="15" hidden="true" customHeight="false" outlineLevel="1" collapsed="false">
      <c r="A111" s="3" t="s">
        <v>1387</v>
      </c>
      <c r="C111" s="48" t="str">
        <f aca="false">IF(ISNUMBER(C75),IF(ABS(C75)&gt;輸入與假設!$C$534,"CapEx（毛額） 實際 vs 模型 "&amp;IF(C75&lt;0,"−","+")&amp;TEXT(ABS(C75)*100,"#,##0.0")&amp;"%"&amp;"：觀點（"&amp;"首期資本支出＝2026 指引中點 200 − 上半年實際；之後由 MW 推導（Tokenomics 每 MW 成本）"&amp;"）",""),"")</f>
        <v/>
      </c>
      <c r="D111" s="48" t="str">
        <f aca="false">IF(ISNUMBER(D75),IF(ABS(D75)&gt;輸入與假設!$C$534,"CapEx（毛額） 實際 vs 模型 "&amp;IF(D75&lt;0,"−","+")&amp;TEXT(ABS(D75)*100,"#,##0.0")&amp;"%"&amp;"：觀點（"&amp;"首期資本支出＝2026 指引中點 200 − 上半年實際；之後由 MW 推導（Tokenomics 每 MW 成本）"&amp;"）",""),"")</f>
        <v/>
      </c>
      <c r="E111" s="48" t="str">
        <f aca="false">IF(ISNUMBER(E75),IF(ABS(E75)&gt;輸入與假設!$C$534,"CapEx（毛額） 實際 vs 模型 "&amp;IF(E75&lt;0,"−","+")&amp;TEXT(ABS(E75)*100,"#,##0.0")&amp;"%"&amp;"：觀點（"&amp;"首期資本支出＝2026 指引中點 200 − 上半年實際；之後由 MW 推導（Tokenomics 每 MW 成本）"&amp;"）",""),"")</f>
        <v/>
      </c>
      <c r="F111" s="48" t="str">
        <f aca="false">IF(ISNUMBER(F75),IF(ABS(F75)&gt;輸入與假設!$C$534,"CapEx（毛額） 實際 vs 模型 "&amp;IF(F75&lt;0,"−","+")&amp;TEXT(ABS(F75)*100,"#,##0.0")&amp;"%"&amp;"：觀點（"&amp;"首期資本支出＝2026 指引中點 200 − 上半年實際；之後由 MW 推導（Tokenomics 每 MW 成本）"&amp;"）",""),"")</f>
        <v/>
      </c>
      <c r="G111" s="48" t="str">
        <f aca="false">IF(ISNUMBER(G75),IF(ABS(G75)&gt;輸入與假設!$C$534,"CapEx（毛額） 實際 vs 模型 "&amp;IF(G75&lt;0,"−","+")&amp;TEXT(ABS(G75)*100,"#,##0.0")&amp;"%"&amp;"：觀點（"&amp;"首期資本支出＝2026 指引中點 200 − 上半年實際；之後由 MW 推導（Tokenomics 每 MW 成本）"&amp;"）",""),"")</f>
        <v/>
      </c>
      <c r="H111" s="48" t="str">
        <f aca="false">IF(ISNUMBER(H75),IF(ABS(H75)&gt;輸入與假設!$C$534,"CapEx（毛額） 實際 vs 模型 "&amp;IF(H75&lt;0,"−","+")&amp;TEXT(ABS(H75)*100,"#,##0.0")&amp;"%"&amp;"：觀點（"&amp;"首期資本支出＝2026 指引中點 200 − 上半年實際；之後由 MW 推導（Tokenomics 每 MW 成本）"&amp;"）",""),"")</f>
        <v/>
      </c>
    </row>
    <row r="112" customFormat="false" ht="15" hidden="true" customHeight="false" outlineLevel="1" collapsed="false">
      <c r="A112" s="3" t="s">
        <v>1388</v>
      </c>
      <c r="C112" s="48" t="str">
        <f aca="false">IF(ISNUMBER(C75),IF(ABS(C75)&gt;輸入與假設!$C$534,"觀點",""),"")</f>
        <v/>
      </c>
      <c r="D112" s="48" t="str">
        <f aca="false">IF(ISNUMBER(D75),IF(ABS(D75)&gt;輸入與假設!$C$534,"觀點",""),"")</f>
        <v/>
      </c>
      <c r="E112" s="48" t="str">
        <f aca="false">IF(ISNUMBER(E75),IF(ABS(E75)&gt;輸入與假設!$C$534,"觀點",""),"")</f>
        <v/>
      </c>
      <c r="F112" s="48" t="str">
        <f aca="false">IF(ISNUMBER(F75),IF(ABS(F75)&gt;輸入與假設!$C$534,"觀點",""),"")</f>
        <v/>
      </c>
      <c r="G112" s="48" t="str">
        <f aca="false">IF(ISNUMBER(G75),IF(ABS(G75)&gt;輸入與假設!$C$534,"觀點",""),"")</f>
        <v/>
      </c>
      <c r="H112" s="48" t="str">
        <f aca="false">IF(ISNUMBER(H75),IF(ABS(H75)&gt;輸入與假設!$C$534,"觀點",""),"")</f>
        <v/>
      </c>
    </row>
    <row r="113" customFormat="false" ht="15" hidden="true" customHeight="false" outlineLevel="1" collapsed="false">
      <c r="A113" s="3" t="s">
        <v>1389</v>
      </c>
      <c r="C113" s="48"/>
      <c r="D113" s="48"/>
      <c r="E113" s="48"/>
      <c r="F113" s="48"/>
      <c r="G113" s="48"/>
      <c r="H113" s="48"/>
    </row>
    <row r="114" customFormat="false" ht="15" hidden="true" customHeight="false" outlineLevel="1" collapsed="false">
      <c r="A114" s="3" t="s">
        <v>1390</v>
      </c>
      <c r="C114" s="48"/>
      <c r="D114" s="48"/>
      <c r="E114" s="48"/>
      <c r="F114" s="48"/>
      <c r="G114" s="48"/>
      <c r="H114" s="48"/>
    </row>
    <row r="115" customFormat="false" ht="15" hidden="true" customHeight="false" outlineLevel="1" collapsed="false">
      <c r="A115" s="3" t="s">
        <v>1391</v>
      </c>
      <c r="C115" s="48"/>
      <c r="D115" s="48"/>
      <c r="E115" s="48"/>
      <c r="F115" s="48"/>
      <c r="G115" s="48"/>
      <c r="H115" s="48"/>
    </row>
    <row r="116" customFormat="false" ht="15" hidden="true" customHeight="false" outlineLevel="1" collapsed="false">
      <c r="A116" s="3" t="s">
        <v>1392</v>
      </c>
      <c r="C116" s="48"/>
      <c r="D116" s="48"/>
      <c r="E116" s="48"/>
      <c r="F116" s="48"/>
      <c r="G116" s="48"/>
      <c r="H116" s="48"/>
    </row>
    <row r="117" customFormat="false" ht="15" hidden="true" customHeight="false" outlineLevel="1" collapsed="false">
      <c r="A117" s="3" t="s">
        <v>1393</v>
      </c>
      <c r="C117" s="48"/>
      <c r="D117" s="48"/>
      <c r="E117" s="48"/>
      <c r="F117" s="48"/>
      <c r="G117" s="48"/>
      <c r="H117" s="48"/>
    </row>
    <row r="118" customFormat="false" ht="15" hidden="true" customHeight="false" outlineLevel="1" collapsed="false">
      <c r="A118" s="3" t="s">
        <v>1394</v>
      </c>
      <c r="C118" s="48"/>
      <c r="D118" s="48"/>
      <c r="E118" s="48"/>
      <c r="F118" s="48"/>
      <c r="G118" s="48"/>
      <c r="H118" s="48"/>
    </row>
    <row r="119" customFormat="false" ht="15" hidden="true" customHeight="false" outlineLevel="1" collapsed="false">
      <c r="A119" s="3" t="s">
        <v>1395</v>
      </c>
      <c r="C119" s="48" t="str">
        <f aca="false">MID(IF(C86&lt;&gt;"","；"&amp;C86,"")&amp;IF(C88&lt;&gt;"","；"&amp;C88,"")&amp;IF(C90&lt;&gt;"","；"&amp;C90,"")&amp;IF(C95&lt;&gt;"","；"&amp;C95,"")&amp;IF(C97&lt;&gt;"","；"&amp;C97,"")&amp;IF(C99&lt;&gt;"","；"&amp;C99,"")&amp;IF(C101&lt;&gt;"","；"&amp;C101,"")&amp;IF(C103&lt;&gt;"","；"&amp;C103,"")&amp;IF(C105&lt;&gt;"","；"&amp;C105,"")&amp;IF(C107&lt;&gt;"","；"&amp;C107,"")&amp;IF(C109&lt;&gt;"","；"&amp;C109,"")&amp;IF(C111&lt;&gt;"","；"&amp;C111,"")&amp;IF(C113&lt;&gt;"","；"&amp;C113,"")&amp;IF(C115&lt;&gt;"","；"&amp;C115,"")&amp;IF(C117&lt;&gt;"","；"&amp;C117,""),2,9999)</f>
        <v/>
      </c>
      <c r="D119" s="48" t="str">
        <f aca="false">MID(IF(D86&lt;&gt;"","；"&amp;D86,"")&amp;IF(D88&lt;&gt;"","；"&amp;D88,"")&amp;IF(D90&lt;&gt;"","；"&amp;D90,"")&amp;IF(D95&lt;&gt;"","；"&amp;D95,"")&amp;IF(D97&lt;&gt;"","；"&amp;D97,"")&amp;IF(D99&lt;&gt;"","；"&amp;D99,"")&amp;IF(D101&lt;&gt;"","；"&amp;D101,"")&amp;IF(D103&lt;&gt;"","；"&amp;D103,"")&amp;IF(D105&lt;&gt;"","；"&amp;D105,"")&amp;IF(D107&lt;&gt;"","；"&amp;D107,"")&amp;IF(D109&lt;&gt;"","；"&amp;D109,"")&amp;IF(D111&lt;&gt;"","；"&amp;D111,"")&amp;IF(D113&lt;&gt;"","；"&amp;D113,"")&amp;IF(D115&lt;&gt;"","；"&amp;D115,"")&amp;IF(D117&lt;&gt;"","；"&amp;D117,""),2,9999)</f>
        <v/>
      </c>
      <c r="E119" s="48" t="str">
        <f aca="false">MID(IF(E86&lt;&gt;"","；"&amp;E86,"")&amp;IF(E88&lt;&gt;"","；"&amp;E88,"")&amp;IF(E90&lt;&gt;"","；"&amp;E90,"")&amp;IF(E95&lt;&gt;"","；"&amp;E95,"")&amp;IF(E97&lt;&gt;"","；"&amp;E97,"")&amp;IF(E99&lt;&gt;"","；"&amp;E99,"")&amp;IF(E101&lt;&gt;"","；"&amp;E101,"")&amp;IF(E103&lt;&gt;"","；"&amp;E103,"")&amp;IF(E105&lt;&gt;"","；"&amp;E105,"")&amp;IF(E107&lt;&gt;"","；"&amp;E107,"")&amp;IF(E109&lt;&gt;"","；"&amp;E109,"")&amp;IF(E111&lt;&gt;"","；"&amp;E111,"")&amp;IF(E113&lt;&gt;"","；"&amp;E113,"")&amp;IF(E115&lt;&gt;"","；"&amp;E115,"")&amp;IF(E117&lt;&gt;"","；"&amp;E117,""),2,9999)</f>
        <v/>
      </c>
      <c r="F119" s="48" t="str">
        <f aca="false">MID(IF(F86&lt;&gt;"","；"&amp;F86,"")&amp;IF(F88&lt;&gt;"","；"&amp;F88,"")&amp;IF(F90&lt;&gt;"","；"&amp;F90,"")&amp;IF(F95&lt;&gt;"","；"&amp;F95,"")&amp;IF(F97&lt;&gt;"","；"&amp;F97,"")&amp;IF(F99&lt;&gt;"","；"&amp;F99,"")&amp;IF(F101&lt;&gt;"","；"&amp;F101,"")&amp;IF(F103&lt;&gt;"","；"&amp;F103,"")&amp;IF(F105&lt;&gt;"","；"&amp;F105,"")&amp;IF(F107&lt;&gt;"","；"&amp;F107,"")&amp;IF(F109&lt;&gt;"","；"&amp;F109,"")&amp;IF(F111&lt;&gt;"","；"&amp;F111,"")&amp;IF(F113&lt;&gt;"","；"&amp;F113,"")&amp;IF(F115&lt;&gt;"","；"&amp;F115,"")&amp;IF(F117&lt;&gt;"","；"&amp;F117,""),2,9999)</f>
        <v/>
      </c>
      <c r="G119" s="48" t="str">
        <f aca="false">MID(IF(G86&lt;&gt;"","；"&amp;G86,"")&amp;IF(G88&lt;&gt;"","；"&amp;G88,"")&amp;IF(G90&lt;&gt;"","；"&amp;G90,"")&amp;IF(G95&lt;&gt;"","；"&amp;G95,"")&amp;IF(G97&lt;&gt;"","；"&amp;G97,"")&amp;IF(G99&lt;&gt;"","；"&amp;G99,"")&amp;IF(G101&lt;&gt;"","；"&amp;G101,"")&amp;IF(G103&lt;&gt;"","；"&amp;G103,"")&amp;IF(G105&lt;&gt;"","；"&amp;G105,"")&amp;IF(G107&lt;&gt;"","；"&amp;G107,"")&amp;IF(G109&lt;&gt;"","；"&amp;G109,"")&amp;IF(G111&lt;&gt;"","；"&amp;G111,"")&amp;IF(G113&lt;&gt;"","；"&amp;G113,"")&amp;IF(G115&lt;&gt;"","；"&amp;G115,"")&amp;IF(G117&lt;&gt;"","；"&amp;G117,""),2,9999)</f>
        <v/>
      </c>
      <c r="H119" s="48" t="str">
        <f aca="false">MID(IF(H86&lt;&gt;"","；"&amp;H86,"")&amp;IF(H88&lt;&gt;"","；"&amp;H88,"")&amp;IF(H90&lt;&gt;"","；"&amp;H90,"")&amp;IF(H95&lt;&gt;"","；"&amp;H95,"")&amp;IF(H97&lt;&gt;"","；"&amp;H97,"")&amp;IF(H99&lt;&gt;"","；"&amp;H99,"")&amp;IF(H101&lt;&gt;"","；"&amp;H101,"")&amp;IF(H103&lt;&gt;"","；"&amp;H103,"")&amp;IF(H105&lt;&gt;"","；"&amp;H105,"")&amp;IF(H107&lt;&gt;"","；"&amp;H107,"")&amp;IF(H109&lt;&gt;"","；"&amp;H109,"")&amp;IF(H111&lt;&gt;"","；"&amp;H111,"")&amp;IF(H113&lt;&gt;"","；"&amp;H113,"")&amp;IF(H115&lt;&gt;"","；"&amp;H115,"")&amp;IF(H117&lt;&gt;"","；"&amp;H117,""),2,9999)</f>
        <v/>
      </c>
    </row>
    <row r="120" customFormat="false" ht="15" hidden="true" customHeight="false" outlineLevel="1" collapsed="false">
      <c r="A120" s="3" t="s">
        <v>1396</v>
      </c>
      <c r="C120" s="48" t="str">
        <f aca="false">IF((C87&amp;IF(AND(C89&lt;&gt;"",C89&lt;&gt;C87),IF((C87)&lt;&gt;"","、","")&amp;C89,"")&amp;IF(AND(C91&lt;&gt;"",C91&lt;&gt;C87,C91&lt;&gt;C89),IF((C87&amp;C89)&lt;&gt;"","、","")&amp;C91,""))&lt;&gt;"","〔"&amp;(C87&amp;IF(AND(C89&lt;&gt;"",C89&lt;&gt;C87),IF((C87)&lt;&gt;"","、","")&amp;C89,"")&amp;IF(AND(C91&lt;&gt;"",C91&lt;&gt;C87,C91&lt;&gt;C89),IF((C87&amp;C89)&lt;&gt;"","、","")&amp;C91,""))&amp;"〕","")</f>
        <v/>
      </c>
      <c r="D120" s="48" t="str">
        <f aca="false">IF((D87&amp;IF(AND(D89&lt;&gt;"",D89&lt;&gt;D87),IF((D87)&lt;&gt;"","、","")&amp;D89,"")&amp;IF(AND(D91&lt;&gt;"",D91&lt;&gt;D87,D91&lt;&gt;D89),IF((D87&amp;D89)&lt;&gt;"","、","")&amp;D91,""))&lt;&gt;"","〔"&amp;(D87&amp;IF(AND(D89&lt;&gt;"",D89&lt;&gt;D87),IF((D87)&lt;&gt;"","、","")&amp;D89,"")&amp;IF(AND(D91&lt;&gt;"",D91&lt;&gt;D87,D91&lt;&gt;D89),IF((D87&amp;D89)&lt;&gt;"","、","")&amp;D91,""))&amp;"〕","")</f>
        <v/>
      </c>
      <c r="E120" s="48" t="str">
        <f aca="false">IF((E87&amp;IF(AND(E89&lt;&gt;"",E89&lt;&gt;E87),IF((E87)&lt;&gt;"","、","")&amp;E89,"")&amp;IF(AND(E91&lt;&gt;"",E91&lt;&gt;E87,E91&lt;&gt;E89),IF((E87&amp;E89)&lt;&gt;"","、","")&amp;E91,""))&lt;&gt;"","〔"&amp;(E87&amp;IF(AND(E89&lt;&gt;"",E89&lt;&gt;E87),IF((E87)&lt;&gt;"","、","")&amp;E89,"")&amp;IF(AND(E91&lt;&gt;"",E91&lt;&gt;E87,E91&lt;&gt;E89),IF((E87&amp;E89)&lt;&gt;"","、","")&amp;E91,""))&amp;"〕","")</f>
        <v/>
      </c>
      <c r="F120" s="48" t="str">
        <f aca="false">IF((F87&amp;IF(AND(F89&lt;&gt;"",F89&lt;&gt;F87),IF((F87)&lt;&gt;"","、","")&amp;F89,"")&amp;IF(AND(F91&lt;&gt;"",F91&lt;&gt;F87,F91&lt;&gt;F89),IF((F87&amp;F89)&lt;&gt;"","、","")&amp;F91,""))&lt;&gt;"","〔"&amp;(F87&amp;IF(AND(F89&lt;&gt;"",F89&lt;&gt;F87),IF((F87)&lt;&gt;"","、","")&amp;F89,"")&amp;IF(AND(F91&lt;&gt;"",F91&lt;&gt;F87,F91&lt;&gt;F89),IF((F87&amp;F89)&lt;&gt;"","、","")&amp;F91,""))&amp;"〕","")</f>
        <v/>
      </c>
      <c r="G120" s="48" t="str">
        <f aca="false">IF((G87&amp;IF(AND(G89&lt;&gt;"",G89&lt;&gt;G87),IF((G87)&lt;&gt;"","、","")&amp;G89,"")&amp;IF(AND(G91&lt;&gt;"",G91&lt;&gt;G87,G91&lt;&gt;G89),IF((G87&amp;G89)&lt;&gt;"","、","")&amp;G91,""))&lt;&gt;"","〔"&amp;(G87&amp;IF(AND(G89&lt;&gt;"",G89&lt;&gt;G87),IF((G87)&lt;&gt;"","、","")&amp;G89,"")&amp;IF(AND(G91&lt;&gt;"",G91&lt;&gt;G87,G91&lt;&gt;G89),IF((G87&amp;G89)&lt;&gt;"","、","")&amp;G91,""))&amp;"〕","")</f>
        <v/>
      </c>
      <c r="H120" s="48" t="str">
        <f aca="false">IF((H87&amp;IF(AND(H89&lt;&gt;"",H89&lt;&gt;H87),IF((H87)&lt;&gt;"","、","")&amp;H89,"")&amp;IF(AND(H91&lt;&gt;"",H91&lt;&gt;H87,H91&lt;&gt;H89),IF((H87&amp;H89)&lt;&gt;"","、","")&amp;H91,""))&lt;&gt;"","〔"&amp;(H87&amp;IF(AND(H89&lt;&gt;"",H89&lt;&gt;H87),IF((H87)&lt;&gt;"","、","")&amp;H89,"")&amp;IF(AND(H91&lt;&gt;"",H91&lt;&gt;H87,H91&lt;&gt;H89),IF((H87&amp;H89)&lt;&gt;"","、","")&amp;H91,""))&amp;"〕","")</f>
        <v/>
      </c>
    </row>
    <row r="121" customFormat="false" ht="15" hidden="true" customHeight="false" outlineLevel="1" collapsed="false">
      <c r="A121" s="3" t="s">
        <v>1397</v>
      </c>
      <c r="C121" s="48" t="str">
        <f aca="false">IF((C96&amp;IF(AND(C98&lt;&gt;"",C98&lt;&gt;C96),IF((C96)&lt;&gt;"","、","")&amp;C98,"")&amp;IF(AND(C100&lt;&gt;"",C100&lt;&gt;C96,C100&lt;&gt;C98),IF((C96&amp;C98)&lt;&gt;"","、","")&amp;C100,""))&lt;&gt;"","〔"&amp;(C96&amp;IF(AND(C98&lt;&gt;"",C98&lt;&gt;C96),IF((C96)&lt;&gt;"","、","")&amp;C98,"")&amp;IF(AND(C100&lt;&gt;"",C100&lt;&gt;C96,C100&lt;&gt;C98),IF((C96&amp;C98)&lt;&gt;"","、","")&amp;C100,""))&amp;"〕","")</f>
        <v/>
      </c>
      <c r="D121" s="48" t="str">
        <f aca="false">IF((D96&amp;IF(AND(D98&lt;&gt;"",D98&lt;&gt;D96),IF((D96)&lt;&gt;"","、","")&amp;D98,"")&amp;IF(AND(D100&lt;&gt;"",D100&lt;&gt;D96,D100&lt;&gt;D98),IF((D96&amp;D98)&lt;&gt;"","、","")&amp;D100,""))&lt;&gt;"","〔"&amp;(D96&amp;IF(AND(D98&lt;&gt;"",D98&lt;&gt;D96),IF((D96)&lt;&gt;"","、","")&amp;D98,"")&amp;IF(AND(D100&lt;&gt;"",D100&lt;&gt;D96,D100&lt;&gt;D98),IF((D96&amp;D98)&lt;&gt;"","、","")&amp;D100,""))&amp;"〕","")</f>
        <v/>
      </c>
      <c r="E121" s="48" t="str">
        <f aca="false">IF((E96&amp;IF(AND(E98&lt;&gt;"",E98&lt;&gt;E96),IF((E96)&lt;&gt;"","、","")&amp;E98,"")&amp;IF(AND(E100&lt;&gt;"",E100&lt;&gt;E96,E100&lt;&gt;E98),IF((E96&amp;E98)&lt;&gt;"","、","")&amp;E100,""))&lt;&gt;"","〔"&amp;(E96&amp;IF(AND(E98&lt;&gt;"",E98&lt;&gt;E96),IF((E96)&lt;&gt;"","、","")&amp;E98,"")&amp;IF(AND(E100&lt;&gt;"",E100&lt;&gt;E96,E100&lt;&gt;E98),IF((E96&amp;E98)&lt;&gt;"","、","")&amp;E100,""))&amp;"〕","")</f>
        <v/>
      </c>
      <c r="F121" s="48" t="str">
        <f aca="false">IF((F96&amp;IF(AND(F98&lt;&gt;"",F98&lt;&gt;F96),IF((F96)&lt;&gt;"","、","")&amp;F98,"")&amp;IF(AND(F100&lt;&gt;"",F100&lt;&gt;F96,F100&lt;&gt;F98),IF((F96&amp;F98)&lt;&gt;"","、","")&amp;F100,""))&lt;&gt;"","〔"&amp;(F96&amp;IF(AND(F98&lt;&gt;"",F98&lt;&gt;F96),IF((F96)&lt;&gt;"","、","")&amp;F98,"")&amp;IF(AND(F100&lt;&gt;"",F100&lt;&gt;F96,F100&lt;&gt;F98),IF((F96&amp;F98)&lt;&gt;"","、","")&amp;F100,""))&amp;"〕","")</f>
        <v/>
      </c>
      <c r="G121" s="48" t="str">
        <f aca="false">IF((G96&amp;IF(AND(G98&lt;&gt;"",G98&lt;&gt;G96),IF((G96)&lt;&gt;"","、","")&amp;G98,"")&amp;IF(AND(G100&lt;&gt;"",G100&lt;&gt;G96,G100&lt;&gt;G98),IF((G96&amp;G98)&lt;&gt;"","、","")&amp;G100,""))&lt;&gt;"","〔"&amp;(G96&amp;IF(AND(G98&lt;&gt;"",G98&lt;&gt;G96),IF((G96)&lt;&gt;"","、","")&amp;G98,"")&amp;IF(AND(G100&lt;&gt;"",G100&lt;&gt;G96,G100&lt;&gt;G98),IF((G96&amp;G98)&lt;&gt;"","、","")&amp;G100,""))&amp;"〕","")</f>
        <v/>
      </c>
      <c r="H121" s="48" t="str">
        <f aca="false">IF((H96&amp;IF(AND(H98&lt;&gt;"",H98&lt;&gt;H96),IF((H96)&lt;&gt;"","、","")&amp;H98,"")&amp;IF(AND(H100&lt;&gt;"",H100&lt;&gt;H96,H100&lt;&gt;H98),IF((H96&amp;H98)&lt;&gt;"","、","")&amp;H100,""))&lt;&gt;"","〔"&amp;(H96&amp;IF(AND(H98&lt;&gt;"",H98&lt;&gt;H96),IF((H96)&lt;&gt;"","、","")&amp;H98,"")&amp;IF(AND(H100&lt;&gt;"",H100&lt;&gt;H96,H100&lt;&gt;H98),IF((H96&amp;H98)&lt;&gt;"","、","")&amp;H100,""))&amp;"〕","")</f>
        <v/>
      </c>
    </row>
    <row r="122" customFormat="false" ht="15" hidden="true" customHeight="false" outlineLevel="1" collapsed="false">
      <c r="A122" s="3" t="s">
        <v>1398</v>
      </c>
      <c r="C122" s="48" t="str">
        <f aca="false">IF((C102&amp;IF(AND(C104&lt;&gt;"",C104&lt;&gt;C102),IF((C102)&lt;&gt;"","、","")&amp;C104,"")&amp;IF(AND(C106&lt;&gt;"",C106&lt;&gt;C102,C106&lt;&gt;C104),IF((C102&amp;C104)&lt;&gt;"","、","")&amp;C106,""))&lt;&gt;"","〔"&amp;(C102&amp;IF(AND(C104&lt;&gt;"",C104&lt;&gt;C102),IF((C102)&lt;&gt;"","、","")&amp;C104,"")&amp;IF(AND(C106&lt;&gt;"",C106&lt;&gt;C102,C106&lt;&gt;C104),IF((C102&amp;C104)&lt;&gt;"","、","")&amp;C106,""))&amp;"〕","")</f>
        <v/>
      </c>
      <c r="D122" s="48" t="str">
        <f aca="false">IF((D102&amp;IF(AND(D104&lt;&gt;"",D104&lt;&gt;D102),IF((D102)&lt;&gt;"","、","")&amp;D104,"")&amp;IF(AND(D106&lt;&gt;"",D106&lt;&gt;D102,D106&lt;&gt;D104),IF((D102&amp;D104)&lt;&gt;"","、","")&amp;D106,""))&lt;&gt;"","〔"&amp;(D102&amp;IF(AND(D104&lt;&gt;"",D104&lt;&gt;D102),IF((D102)&lt;&gt;"","、","")&amp;D104,"")&amp;IF(AND(D106&lt;&gt;"",D106&lt;&gt;D102,D106&lt;&gt;D104),IF((D102&amp;D104)&lt;&gt;"","、","")&amp;D106,""))&amp;"〕","")</f>
        <v/>
      </c>
      <c r="E122" s="48" t="str">
        <f aca="false">IF((E102&amp;IF(AND(E104&lt;&gt;"",E104&lt;&gt;E102),IF((E102)&lt;&gt;"","、","")&amp;E104,"")&amp;IF(AND(E106&lt;&gt;"",E106&lt;&gt;E102,E106&lt;&gt;E104),IF((E102&amp;E104)&lt;&gt;"","、","")&amp;E106,""))&lt;&gt;"","〔"&amp;(E102&amp;IF(AND(E104&lt;&gt;"",E104&lt;&gt;E102),IF((E102)&lt;&gt;"","、","")&amp;E104,"")&amp;IF(AND(E106&lt;&gt;"",E106&lt;&gt;E102,E106&lt;&gt;E104),IF((E102&amp;E104)&lt;&gt;"","、","")&amp;E106,""))&amp;"〕","")</f>
        <v/>
      </c>
      <c r="F122" s="48" t="str">
        <f aca="false">IF((F102&amp;IF(AND(F104&lt;&gt;"",F104&lt;&gt;F102),IF((F102)&lt;&gt;"","、","")&amp;F104,"")&amp;IF(AND(F106&lt;&gt;"",F106&lt;&gt;F102,F106&lt;&gt;F104),IF((F102&amp;F104)&lt;&gt;"","、","")&amp;F106,""))&lt;&gt;"","〔"&amp;(F102&amp;IF(AND(F104&lt;&gt;"",F104&lt;&gt;F102),IF((F102)&lt;&gt;"","、","")&amp;F104,"")&amp;IF(AND(F106&lt;&gt;"",F106&lt;&gt;F102,F106&lt;&gt;F104),IF((F102&amp;F104)&lt;&gt;"","、","")&amp;F106,""))&amp;"〕","")</f>
        <v/>
      </c>
      <c r="G122" s="48" t="str">
        <f aca="false">IF((G102&amp;IF(AND(G104&lt;&gt;"",G104&lt;&gt;G102),IF((G102)&lt;&gt;"","、","")&amp;G104,"")&amp;IF(AND(G106&lt;&gt;"",G106&lt;&gt;G102,G106&lt;&gt;G104),IF((G102&amp;G104)&lt;&gt;"","、","")&amp;G106,""))&lt;&gt;"","〔"&amp;(G102&amp;IF(AND(G104&lt;&gt;"",G104&lt;&gt;G102),IF((G102)&lt;&gt;"","、","")&amp;G104,"")&amp;IF(AND(G106&lt;&gt;"",G106&lt;&gt;G102,G106&lt;&gt;G104),IF((G102&amp;G104)&lt;&gt;"","、","")&amp;G106,""))&amp;"〕","")</f>
        <v/>
      </c>
      <c r="H122" s="48" t="str">
        <f aca="false">IF((H102&amp;IF(AND(H104&lt;&gt;"",H104&lt;&gt;H102),IF((H102)&lt;&gt;"","、","")&amp;H104,"")&amp;IF(AND(H106&lt;&gt;"",H106&lt;&gt;H102,H106&lt;&gt;H104),IF((H102&amp;H104)&lt;&gt;"","、","")&amp;H106,""))&lt;&gt;"","〔"&amp;(H102&amp;IF(AND(H104&lt;&gt;"",H104&lt;&gt;H102),IF((H102)&lt;&gt;"","、","")&amp;H104,"")&amp;IF(AND(H106&lt;&gt;"",H106&lt;&gt;H102,H106&lt;&gt;H104),IF((H102&amp;H104)&lt;&gt;"","、","")&amp;H106,""))&amp;"〕","")</f>
        <v/>
      </c>
    </row>
    <row r="123" customFormat="false" ht="15" hidden="true" customHeight="false" outlineLevel="1" collapsed="false">
      <c r="A123" s="3" t="s">
        <v>1399</v>
      </c>
      <c r="C123" s="48" t="str">
        <f aca="false">IF((C108&amp;IF(AND(C110&lt;&gt;"",C110&lt;&gt;C108),IF((C108)&lt;&gt;"","、","")&amp;C110,"")&amp;IF(AND(C112&lt;&gt;"",C112&lt;&gt;C108,C112&lt;&gt;C110),IF((C108&amp;C110)&lt;&gt;"","、","")&amp;C112,""))&lt;&gt;"","〔"&amp;(C108&amp;IF(AND(C110&lt;&gt;"",C110&lt;&gt;C108),IF((C108)&lt;&gt;"","、","")&amp;C110,"")&amp;IF(AND(C112&lt;&gt;"",C112&lt;&gt;C108,C112&lt;&gt;C110),IF((C108&amp;C110)&lt;&gt;"","、","")&amp;C112,""))&amp;"〕","")</f>
        <v/>
      </c>
      <c r="D123" s="48" t="str">
        <f aca="false">IF((D108&amp;IF(AND(D110&lt;&gt;"",D110&lt;&gt;D108),IF((D108)&lt;&gt;"","、","")&amp;D110,"")&amp;IF(AND(D112&lt;&gt;"",D112&lt;&gt;D108,D112&lt;&gt;D110),IF((D108&amp;D110)&lt;&gt;"","、","")&amp;D112,""))&lt;&gt;"","〔"&amp;(D108&amp;IF(AND(D110&lt;&gt;"",D110&lt;&gt;D108),IF((D108)&lt;&gt;"","、","")&amp;D110,"")&amp;IF(AND(D112&lt;&gt;"",D112&lt;&gt;D108,D112&lt;&gt;D110),IF((D108&amp;D110)&lt;&gt;"","、","")&amp;D112,""))&amp;"〕","")</f>
        <v/>
      </c>
      <c r="E123" s="48" t="str">
        <f aca="false">IF((E108&amp;IF(AND(E110&lt;&gt;"",E110&lt;&gt;E108),IF((E108)&lt;&gt;"","、","")&amp;E110,"")&amp;IF(AND(E112&lt;&gt;"",E112&lt;&gt;E108,E112&lt;&gt;E110),IF((E108&amp;E110)&lt;&gt;"","、","")&amp;E112,""))&lt;&gt;"","〔"&amp;(E108&amp;IF(AND(E110&lt;&gt;"",E110&lt;&gt;E108),IF((E108)&lt;&gt;"","、","")&amp;E110,"")&amp;IF(AND(E112&lt;&gt;"",E112&lt;&gt;E108,E112&lt;&gt;E110),IF((E108&amp;E110)&lt;&gt;"","、","")&amp;E112,""))&amp;"〕","")</f>
        <v/>
      </c>
      <c r="F123" s="48" t="str">
        <f aca="false">IF((F108&amp;IF(AND(F110&lt;&gt;"",F110&lt;&gt;F108),IF((F108)&lt;&gt;"","、","")&amp;F110,"")&amp;IF(AND(F112&lt;&gt;"",F112&lt;&gt;F108,F112&lt;&gt;F110),IF((F108&amp;F110)&lt;&gt;"","、","")&amp;F112,""))&lt;&gt;"","〔"&amp;(F108&amp;IF(AND(F110&lt;&gt;"",F110&lt;&gt;F108),IF((F108)&lt;&gt;"","、","")&amp;F110,"")&amp;IF(AND(F112&lt;&gt;"",F112&lt;&gt;F108,F112&lt;&gt;F110),IF((F108&amp;F110)&lt;&gt;"","、","")&amp;F112,""))&amp;"〕","")</f>
        <v/>
      </c>
      <c r="G123" s="48" t="str">
        <f aca="false">IF((G108&amp;IF(AND(G110&lt;&gt;"",G110&lt;&gt;G108),IF((G108)&lt;&gt;"","、","")&amp;G110,"")&amp;IF(AND(G112&lt;&gt;"",G112&lt;&gt;G108,G112&lt;&gt;G110),IF((G108&amp;G110)&lt;&gt;"","、","")&amp;G112,""))&lt;&gt;"","〔"&amp;(G108&amp;IF(AND(G110&lt;&gt;"",G110&lt;&gt;G108),IF((G108)&lt;&gt;"","、","")&amp;G110,"")&amp;IF(AND(G112&lt;&gt;"",G112&lt;&gt;G108,G112&lt;&gt;G110),IF((G108&amp;G110)&lt;&gt;"","、","")&amp;G112,""))&amp;"〕","")</f>
        <v/>
      </c>
      <c r="H123" s="48" t="str">
        <f aca="false">IF((H108&amp;IF(AND(H110&lt;&gt;"",H110&lt;&gt;H108),IF((H108)&lt;&gt;"","、","")&amp;H110,"")&amp;IF(AND(H112&lt;&gt;"",H112&lt;&gt;H108,H112&lt;&gt;H110),IF((H108&amp;H110)&lt;&gt;"","、","")&amp;H112,""))&lt;&gt;"","〔"&amp;(H108&amp;IF(AND(H110&lt;&gt;"",H110&lt;&gt;H108),IF((H108)&lt;&gt;"","、","")&amp;H110,"")&amp;IF(AND(H112&lt;&gt;"",H112&lt;&gt;H108,H112&lt;&gt;H110),IF((H108&amp;H110)&lt;&gt;"","、","")&amp;H112,""))&amp;"〕","")</f>
        <v/>
      </c>
    </row>
    <row r="124" customFormat="false" ht="15" hidden="true" customHeight="false" outlineLevel="1" collapsed="false">
      <c r="A124" s="3" t="s">
        <v>1400</v>
      </c>
      <c r="C124" s="48" t="str">
        <f aca="false">IF((C114&amp;IF(AND(C116&lt;&gt;"",C116&lt;&gt;C114),IF((C114)&lt;&gt;"","、","")&amp;C116,"")&amp;IF(AND(C118&lt;&gt;"",C118&lt;&gt;C114,C118&lt;&gt;C116),IF((C114&amp;C116)&lt;&gt;"","、","")&amp;C118,""))&lt;&gt;"","〔"&amp;(C114&amp;IF(AND(C116&lt;&gt;"",C116&lt;&gt;C114),IF((C114)&lt;&gt;"","、","")&amp;C116,"")&amp;IF(AND(C118&lt;&gt;"",C118&lt;&gt;C114,C118&lt;&gt;C116),IF((C114&amp;C116)&lt;&gt;"","、","")&amp;C118,""))&amp;"〕","")</f>
        <v/>
      </c>
      <c r="D124" s="48" t="str">
        <f aca="false">IF((D114&amp;IF(AND(D116&lt;&gt;"",D116&lt;&gt;D114),IF((D114)&lt;&gt;"","、","")&amp;D116,"")&amp;IF(AND(D118&lt;&gt;"",D118&lt;&gt;D114,D118&lt;&gt;D116),IF((D114&amp;D116)&lt;&gt;"","、","")&amp;D118,""))&lt;&gt;"","〔"&amp;(D114&amp;IF(AND(D116&lt;&gt;"",D116&lt;&gt;D114),IF((D114)&lt;&gt;"","、","")&amp;D116,"")&amp;IF(AND(D118&lt;&gt;"",D118&lt;&gt;D114,D118&lt;&gt;D116),IF((D114&amp;D116)&lt;&gt;"","、","")&amp;D118,""))&amp;"〕","")</f>
        <v/>
      </c>
      <c r="E124" s="48" t="str">
        <f aca="false">IF((E114&amp;IF(AND(E116&lt;&gt;"",E116&lt;&gt;E114),IF((E114)&lt;&gt;"","、","")&amp;E116,"")&amp;IF(AND(E118&lt;&gt;"",E118&lt;&gt;E114,E118&lt;&gt;E116),IF((E114&amp;E116)&lt;&gt;"","、","")&amp;E118,""))&lt;&gt;"","〔"&amp;(E114&amp;IF(AND(E116&lt;&gt;"",E116&lt;&gt;E114),IF((E114)&lt;&gt;"","、","")&amp;E116,"")&amp;IF(AND(E118&lt;&gt;"",E118&lt;&gt;E114,E118&lt;&gt;E116),IF((E114&amp;E116)&lt;&gt;"","、","")&amp;E118,""))&amp;"〕","")</f>
        <v/>
      </c>
      <c r="F124" s="48" t="str">
        <f aca="false">IF((F114&amp;IF(AND(F116&lt;&gt;"",F116&lt;&gt;F114),IF((F114)&lt;&gt;"","、","")&amp;F116,"")&amp;IF(AND(F118&lt;&gt;"",F118&lt;&gt;F114,F118&lt;&gt;F116),IF((F114&amp;F116)&lt;&gt;"","、","")&amp;F118,""))&lt;&gt;"","〔"&amp;(F114&amp;IF(AND(F116&lt;&gt;"",F116&lt;&gt;F114),IF((F114)&lt;&gt;"","、","")&amp;F116,"")&amp;IF(AND(F118&lt;&gt;"",F118&lt;&gt;F114,F118&lt;&gt;F116),IF((F114&amp;F116)&lt;&gt;"","、","")&amp;F118,""))&amp;"〕","")</f>
        <v/>
      </c>
      <c r="G124" s="48" t="str">
        <f aca="false">IF((G114&amp;IF(AND(G116&lt;&gt;"",G116&lt;&gt;G114),IF((G114)&lt;&gt;"","、","")&amp;G116,"")&amp;IF(AND(G118&lt;&gt;"",G118&lt;&gt;G114,G118&lt;&gt;G116),IF((G114&amp;G116)&lt;&gt;"","、","")&amp;G118,""))&lt;&gt;"","〔"&amp;(G114&amp;IF(AND(G116&lt;&gt;"",G116&lt;&gt;G114),IF((G114)&lt;&gt;"","、","")&amp;G116,"")&amp;IF(AND(G118&lt;&gt;"",G118&lt;&gt;G114,G118&lt;&gt;G116),IF((G114&amp;G116)&lt;&gt;"","、","")&amp;G118,""))&amp;"〕","")</f>
        <v/>
      </c>
      <c r="H124" s="48" t="str">
        <f aca="false">IF((H114&amp;IF(AND(H116&lt;&gt;"",H116&lt;&gt;H114),IF((H114)&lt;&gt;"","、","")&amp;H116,"")&amp;IF(AND(H118&lt;&gt;"",H118&lt;&gt;H114,H118&lt;&gt;H116),IF((H114&amp;H116)&lt;&gt;"","、","")&amp;H118,""))&lt;&gt;"","〔"&amp;(H114&amp;IF(AND(H116&lt;&gt;"",H116&lt;&gt;H114),IF((H114)&lt;&gt;"","、","")&amp;H116,"")&amp;IF(AND(H118&lt;&gt;"",H118&lt;&gt;H114,H118&lt;&gt;H116),IF((H114&amp;H116)&lt;&gt;"","、","")&amp;H118,""))&amp;"〕","")</f>
        <v/>
      </c>
    </row>
    <row r="125" customFormat="false" ht="15" hidden="true" customHeight="false" outlineLevel="1" collapsed="false">
      <c r="A125" s="3" t="s">
        <v>1401</v>
      </c>
      <c r="C125" s="48" t="str">
        <f aca="false">"營收：模型 "&amp;IF(ISNUMBER(C22),IF(C22&lt;0,"−","")&amp;"$"&amp;TEXT(ABS(C22),"#,##0.00")&amp;"bn","不適用")&amp;IF(ISNUMBER(C33),"｜共識 "&amp;IF(C33&lt;0,"−","")&amp;"$"&amp;TEXT(ABS(C33),"#,##0.00")&amp;"bn"&amp;"（"&amp;IF(ISNUMBER(C43),IF(C43&lt;0,"−","+")&amp;TEXT(ABS(C43)*100,"#,##0.0")&amp;"%","不適用")&amp;"）","")&amp;IF(ISNUMBER(C37),"｜實際 "&amp;IF(C37&lt;0,"−","")&amp;"$"&amp;TEXT(ABS(C37),"#,##0.00")&amp;"bn"&amp;"（較模型 "&amp;IF(ISNUMBER(C45),IF(C45&lt;0,"−","+")&amp;TEXT(ABS(C45)*100,"#,##0.0")&amp;"%","不適用")&amp;IF(ISNUMBER(C33),"、較共識 "&amp;IF(ISNUMBER(C46),IF(C46&lt;0,"−","+")&amp;TEXT(ABS(C46)*100,"#,##0.0")&amp;"%","不適用"),"")&amp;"）","")&amp;C120</f>
        <v>營收：模型 $127.46bn</v>
      </c>
      <c r="D125" s="48" t="str">
        <f aca="false">"營收：模型 "&amp;IF(ISNUMBER(D22),IF(D22&lt;0,"−","")&amp;"$"&amp;TEXT(ABS(D22),"#,##0.00")&amp;"bn","不適用")&amp;IF(ISNUMBER(D33),"｜共識 "&amp;IF(D33&lt;0,"−","")&amp;"$"&amp;TEXT(ABS(D33),"#,##0.00")&amp;"bn"&amp;"（"&amp;IF(ISNUMBER(D43),IF(D43&lt;0,"−","+")&amp;TEXT(ABS(D43)*100,"#,##0.0")&amp;"%","不適用")&amp;"）","")&amp;IF(ISNUMBER(D37),"｜實際 "&amp;IF(D37&lt;0,"−","")&amp;"$"&amp;TEXT(ABS(D37),"#,##0.00")&amp;"bn"&amp;"（較模型 "&amp;IF(ISNUMBER(D45),IF(D45&lt;0,"−","+")&amp;TEXT(ABS(D45)*100,"#,##0.0")&amp;"%","不適用")&amp;IF(ISNUMBER(D33),"、較共識 "&amp;IF(ISNUMBER(D46),IF(D46&lt;0,"−","+")&amp;TEXT(ABS(D46)*100,"#,##0.0")&amp;"%","不適用"),"")&amp;"）","")&amp;D120</f>
        <v>營收：模型 $135.12bn</v>
      </c>
      <c r="E125" s="48" t="str">
        <f aca="false">"營收：模型 "&amp;IF(ISNUMBER(E22),IF(E22&lt;0,"−","")&amp;"$"&amp;TEXT(ABS(E22),"#,##0.00")&amp;"bn","不適用")&amp;IF(ISNUMBER(E33),"｜共識 "&amp;IF(E33&lt;0,"−","")&amp;"$"&amp;TEXT(ABS(E33),"#,##0.00")&amp;"bn"&amp;"（"&amp;IF(ISNUMBER(E43),IF(E43&lt;0,"−","+")&amp;TEXT(ABS(E43)*100,"#,##0.0")&amp;"%","不適用")&amp;"）","")&amp;IF(ISNUMBER(E37),"｜實際 "&amp;IF(E37&lt;0,"−","")&amp;"$"&amp;TEXT(ABS(E37),"#,##0.00")&amp;"bn"&amp;"（較模型 "&amp;IF(ISNUMBER(E45),IF(E45&lt;0,"−","+")&amp;TEXT(ABS(E45)*100,"#,##0.0")&amp;"%","不適用")&amp;IF(ISNUMBER(E33),"、較共識 "&amp;IF(ISNUMBER(E46),IF(E46&lt;0,"−","+")&amp;TEXT(ABS(E46)*100,"#,##0.0")&amp;"%","不適用"),"")&amp;"）","")&amp;E120</f>
        <v>營收：模型 $129.10bn</v>
      </c>
      <c r="F125" s="48" t="str">
        <f aca="false">"營收：模型 "&amp;IF(ISNUMBER(F22),IF(F22&lt;0,"−","")&amp;"$"&amp;TEXT(ABS(F22),"#,##0.00")&amp;"bn","不適用")&amp;IF(ISNUMBER(F33),"｜共識 "&amp;IF(F33&lt;0,"−","")&amp;"$"&amp;TEXT(ABS(F33),"#,##0.00")&amp;"bn"&amp;"（"&amp;IF(ISNUMBER(F43),IF(F43&lt;0,"−","+")&amp;TEXT(ABS(F43)*100,"#,##0.0")&amp;"%","不適用")&amp;"）","")&amp;IF(ISNUMBER(F37),"｜實際 "&amp;IF(F37&lt;0,"−","")&amp;"$"&amp;TEXT(ABS(F37),"#,##0.00")&amp;"bn"&amp;"（較模型 "&amp;IF(ISNUMBER(F45),IF(F45&lt;0,"−","+")&amp;TEXT(ABS(F45)*100,"#,##0.0")&amp;"%","不適用")&amp;IF(ISNUMBER(F33),"、較共識 "&amp;IF(ISNUMBER(F46),IF(F46&lt;0,"−","+")&amp;TEXT(ABS(F46)*100,"#,##0.0")&amp;"%","不適用"),"")&amp;"）","")&amp;F120</f>
        <v>營收：模型 $142.53bn</v>
      </c>
      <c r="G125" s="48" t="str">
        <f aca="false">"營收：模型 "&amp;IF(ISNUMBER(G22),IF(G22&lt;0,"−","")&amp;"$"&amp;TEXT(ABS(G22),"#,##0.00")&amp;"bn","不適用")&amp;IF(ISNUMBER(G33),"｜共識 "&amp;IF(G33&lt;0,"−","")&amp;"$"&amp;TEXT(ABS(G33),"#,##0.00")&amp;"bn"&amp;"（"&amp;IF(ISNUMBER(G43),IF(G43&lt;0,"−","+")&amp;TEXT(ABS(G43)*100,"#,##0.0")&amp;"%","不適用")&amp;"）","")&amp;IF(ISNUMBER(G37),"｜實際 "&amp;IF(G37&lt;0,"−","")&amp;"$"&amp;TEXT(ABS(G37),"#,##0.00")&amp;"bn"&amp;"（較模型 "&amp;IF(ISNUMBER(G45),IF(G45&lt;0,"−","+")&amp;TEXT(ABS(G45)*100,"#,##0.0")&amp;"%","不適用")&amp;IF(ISNUMBER(G33),"、較共識 "&amp;IF(ISNUMBER(G46),IF(G46&lt;0,"−","+")&amp;TEXT(ABS(G46)*100,"#,##0.0")&amp;"%","不適用"),"")&amp;"）","")&amp;G120</f>
        <v>營收：模型 $155.96bn</v>
      </c>
      <c r="H125" s="48" t="str">
        <f aca="false">"營收：模型 "&amp;IF(ISNUMBER(H22),IF(H22&lt;0,"−","")&amp;"$"&amp;TEXT(ABS(H22),"#,##0.00")&amp;"bn","不適用")&amp;IF(ISNUMBER(H33),"｜共識 "&amp;IF(H33&lt;0,"−","")&amp;"$"&amp;TEXT(ABS(H33),"#,##0.00")&amp;"bn"&amp;"（"&amp;IF(ISNUMBER(H43),IF(H43&lt;0,"−","+")&amp;TEXT(ABS(H43)*100,"#,##0.0")&amp;"%","不適用")&amp;"）","")&amp;IF(ISNUMBER(H37),"｜實際 "&amp;IF(H37&lt;0,"−","")&amp;"$"&amp;TEXT(ABS(H37),"#,##0.00")&amp;"bn"&amp;"（較模型 "&amp;IF(ISNUMBER(H45),IF(H45&lt;0,"−","+")&amp;TEXT(ABS(H45)*100,"#,##0.0")&amp;"%","不適用")&amp;IF(ISNUMBER(H33),"、較共識 "&amp;IF(ISNUMBER(H46),IF(H46&lt;0,"−","+")&amp;TEXT(ABS(H46)*100,"#,##0.0")&amp;"%","不適用"),"")&amp;"）","")&amp;H120</f>
        <v>營收：模型 $169.40bn</v>
      </c>
    </row>
    <row r="126" customFormat="false" ht="15" hidden="true" customHeight="false" outlineLevel="1" collapsed="false">
      <c r="A126" s="3" t="s">
        <v>1402</v>
      </c>
      <c r="C126" s="48" t="str">
        <f aca="false">"調整後 EBITDA：模型 "&amp;IF(ISNUMBER(C28),IF(C28&lt;0,"−","")&amp;"$"&amp;TEXT(ABS(C28),"#,##0.00")&amp;"bn","不適用")&amp;IF(ISNUMBER(C34),"｜共識 "&amp;IF(C34&lt;0,"−","")&amp;"$"&amp;TEXT(ABS(C34),"#,##0.00")&amp;"bn"&amp;"（"&amp;IF(ISNUMBER(C48),IF(C48&lt;0,"−","+")&amp;IF(ABS(C48)&lt;0,"−","")&amp;"$"&amp;TEXT(ABS(ABS(C48)),"#,##0.00")&amp;"bn"&amp;IF(ISNUMBER(C53),"／"&amp;IF(C53&lt;0,"−","+")&amp;TEXT(ABS(C53)*100,"#,##0.0")&amp;"pt",""),"不適用")&amp;"）","")&amp;IF(ISNUMBER(C38),"｜實際 "&amp;IF(C38&lt;0,"−","")&amp;"$"&amp;TEXT(ABS(C38),"#,##0.00")&amp;"bn"&amp;"（較模型 "&amp;IF(ISNUMBER(C50),IF(C50&lt;0,"−","+")&amp;IF(ABS(C50)&lt;0,"−","")&amp;"$"&amp;TEXT(ABS(ABS(C50)),"#,##0.00")&amp;"bn"&amp;IF(ISNUMBER(C55),"／"&amp;IF(C55&lt;0,"−","+")&amp;TEXT(ABS(C55)*100,"#,##0.0")&amp;"pt",""),"不適用")&amp;IF(ISNUMBER(C34),"、較共識 "&amp;IF(ISNUMBER(C51),IF(C51&lt;0,"−","+")&amp;IF(ABS(C51)&lt;0,"−","")&amp;"$"&amp;TEXT(ABS(ABS(C51)),"#,##0.00")&amp;"bn"&amp;IF(ISNUMBER(C56),"／"&amp;IF(C56&lt;0,"−","+")&amp;TEXT(ABS(C56)*100,"#,##0.0")&amp;"pt",""),"不適用"),"")&amp;"）","")&amp;C121</f>
        <v>調整後 EBITDA：模型 $49.02bn</v>
      </c>
      <c r="D126" s="48" t="str">
        <f aca="false">"調整後 EBITDA：模型 "&amp;IF(ISNUMBER(D28),IF(D28&lt;0,"−","")&amp;"$"&amp;TEXT(ABS(D28),"#,##0.00")&amp;"bn","不適用")&amp;IF(ISNUMBER(D34),"｜共識 "&amp;IF(D34&lt;0,"−","")&amp;"$"&amp;TEXT(ABS(D34),"#,##0.00")&amp;"bn"&amp;"（"&amp;IF(ISNUMBER(D48),IF(D48&lt;0,"−","+")&amp;IF(ABS(D48)&lt;0,"−","")&amp;"$"&amp;TEXT(ABS(ABS(D48)),"#,##0.00")&amp;"bn"&amp;IF(ISNUMBER(D53),"／"&amp;IF(D53&lt;0,"−","+")&amp;TEXT(ABS(D53)*100,"#,##0.0")&amp;"pt",""),"不適用")&amp;"）","")&amp;IF(ISNUMBER(D38),"｜實際 "&amp;IF(D38&lt;0,"−","")&amp;"$"&amp;TEXT(ABS(D38),"#,##0.00")&amp;"bn"&amp;"（較模型 "&amp;IF(ISNUMBER(D50),IF(D50&lt;0,"−","+")&amp;IF(ABS(D50)&lt;0,"−","")&amp;"$"&amp;TEXT(ABS(ABS(D50)),"#,##0.00")&amp;"bn"&amp;IF(ISNUMBER(D55),"／"&amp;IF(D55&lt;0,"−","+")&amp;TEXT(ABS(D55)*100,"#,##0.0")&amp;"pt",""),"不適用")&amp;IF(ISNUMBER(D34),"、較共識 "&amp;IF(ISNUMBER(D51),IF(D51&lt;0,"−","+")&amp;IF(ABS(D51)&lt;0,"−","")&amp;"$"&amp;TEXT(ABS(ABS(D51)),"#,##0.00")&amp;"bn"&amp;IF(ISNUMBER(D56),"／"&amp;IF(D56&lt;0,"−","+")&amp;TEXT(ABS(D56)*100,"#,##0.0")&amp;"pt",""),"不適用"),"")&amp;"）","")&amp;D121</f>
        <v>調整後 EBITDA：模型 $51.31bn</v>
      </c>
      <c r="E126" s="48" t="str">
        <f aca="false">"調整後 EBITDA：模型 "&amp;IF(ISNUMBER(E28),IF(E28&lt;0,"−","")&amp;"$"&amp;TEXT(ABS(E28),"#,##0.00")&amp;"bn","不適用")&amp;IF(ISNUMBER(E34),"｜共識 "&amp;IF(E34&lt;0,"−","")&amp;"$"&amp;TEXT(ABS(E34),"#,##0.00")&amp;"bn"&amp;"（"&amp;IF(ISNUMBER(E48),IF(E48&lt;0,"−","+")&amp;IF(ABS(E48)&lt;0,"−","")&amp;"$"&amp;TEXT(ABS(ABS(E48)),"#,##0.00")&amp;"bn"&amp;IF(ISNUMBER(E53),"／"&amp;IF(E53&lt;0,"−","+")&amp;TEXT(ABS(E53)*100,"#,##0.0")&amp;"pt",""),"不適用")&amp;"）","")&amp;IF(ISNUMBER(E38),"｜實際 "&amp;IF(E38&lt;0,"−","")&amp;"$"&amp;TEXT(ABS(E38),"#,##0.00")&amp;"bn"&amp;"（較模型 "&amp;IF(ISNUMBER(E50),IF(E50&lt;0,"−","+")&amp;IF(ABS(E50)&lt;0,"−","")&amp;"$"&amp;TEXT(ABS(ABS(E50)),"#,##0.00")&amp;"bn"&amp;IF(ISNUMBER(E55),"／"&amp;IF(E55&lt;0,"−","+")&amp;TEXT(ABS(E55)*100,"#,##0.0")&amp;"pt",""),"不適用")&amp;IF(ISNUMBER(E34),"、較共識 "&amp;IF(ISNUMBER(E51),IF(E51&lt;0,"−","+")&amp;IF(ABS(E51)&lt;0,"−","")&amp;"$"&amp;TEXT(ABS(ABS(E51)),"#,##0.00")&amp;"bn"&amp;IF(ISNUMBER(E56),"／"&amp;IF(E56&lt;0,"−","+")&amp;TEXT(ABS(E56)*100,"#,##0.0")&amp;"pt",""),"不適用"),"")&amp;"）","")&amp;E121</f>
        <v>調整後 EBITDA：模型 $48.40bn</v>
      </c>
      <c r="F126" s="48" t="str">
        <f aca="false">"調整後 EBITDA：模型 "&amp;IF(ISNUMBER(F28),IF(F28&lt;0,"−","")&amp;"$"&amp;TEXT(ABS(F28),"#,##0.00")&amp;"bn","不適用")&amp;IF(ISNUMBER(F34),"｜共識 "&amp;IF(F34&lt;0,"−","")&amp;"$"&amp;TEXT(ABS(F34),"#,##0.00")&amp;"bn"&amp;"（"&amp;IF(ISNUMBER(F48),IF(F48&lt;0,"−","+")&amp;IF(ABS(F48)&lt;0,"−","")&amp;"$"&amp;TEXT(ABS(ABS(F48)),"#,##0.00")&amp;"bn"&amp;IF(ISNUMBER(F53),"／"&amp;IF(F53&lt;0,"−","+")&amp;TEXT(ABS(F53)*100,"#,##0.0")&amp;"pt",""),"不適用")&amp;"）","")&amp;IF(ISNUMBER(F38),"｜實際 "&amp;IF(F38&lt;0,"−","")&amp;"$"&amp;TEXT(ABS(F38),"#,##0.00")&amp;"bn"&amp;"（較模型 "&amp;IF(ISNUMBER(F50),IF(F50&lt;0,"−","+")&amp;IF(ABS(F50)&lt;0,"−","")&amp;"$"&amp;TEXT(ABS(ABS(F50)),"#,##0.00")&amp;"bn"&amp;IF(ISNUMBER(F55),"／"&amp;IF(F55&lt;0,"−","+")&amp;TEXT(ABS(F55)*100,"#,##0.0")&amp;"pt",""),"不適用")&amp;IF(ISNUMBER(F34),"、較共識 "&amp;IF(ISNUMBER(F51),IF(F51&lt;0,"−","+")&amp;IF(ABS(F51)&lt;0,"−","")&amp;"$"&amp;TEXT(ABS(ABS(F51)),"#,##0.00")&amp;"bn"&amp;IF(ISNUMBER(F56),"／"&amp;IF(F56&lt;0,"−","+")&amp;TEXT(ABS(F56)*100,"#,##0.0")&amp;"pt",""),"不適用"),"")&amp;"）","")&amp;F121</f>
        <v>調整後 EBITDA：模型 $52.74bn</v>
      </c>
      <c r="G126" s="48" t="str">
        <f aca="false">"調整後 EBITDA：模型 "&amp;IF(ISNUMBER(G28),IF(G28&lt;0,"−","")&amp;"$"&amp;TEXT(ABS(G28),"#,##0.00")&amp;"bn","不適用")&amp;IF(ISNUMBER(G34),"｜共識 "&amp;IF(G34&lt;0,"−","")&amp;"$"&amp;TEXT(ABS(G34),"#,##0.00")&amp;"bn"&amp;"（"&amp;IF(ISNUMBER(G48),IF(G48&lt;0,"−","+")&amp;IF(ABS(G48)&lt;0,"−","")&amp;"$"&amp;TEXT(ABS(ABS(G48)),"#,##0.00")&amp;"bn"&amp;IF(ISNUMBER(G53),"／"&amp;IF(G53&lt;0,"−","+")&amp;TEXT(ABS(G53)*100,"#,##0.0")&amp;"pt",""),"不適用")&amp;"）","")&amp;IF(ISNUMBER(G38),"｜實際 "&amp;IF(G38&lt;0,"−","")&amp;"$"&amp;TEXT(ABS(G38),"#,##0.00")&amp;"bn"&amp;"（較模型 "&amp;IF(ISNUMBER(G50),IF(G50&lt;0,"−","+")&amp;IF(ABS(G50)&lt;0,"−","")&amp;"$"&amp;TEXT(ABS(ABS(G50)),"#,##0.00")&amp;"bn"&amp;IF(ISNUMBER(G55),"／"&amp;IF(G55&lt;0,"−","+")&amp;TEXT(ABS(G55)*100,"#,##0.0")&amp;"pt",""),"不適用")&amp;IF(ISNUMBER(G34),"、較共識 "&amp;IF(ISNUMBER(G51),IF(G51&lt;0,"−","+")&amp;IF(ABS(G51)&lt;0,"−","")&amp;"$"&amp;TEXT(ABS(ABS(G51)),"#,##0.00")&amp;"bn"&amp;IF(ISNUMBER(G56),"／"&amp;IF(G56&lt;0,"−","+")&amp;TEXT(ABS(G56)*100,"#,##0.0")&amp;"pt",""),"不適用"),"")&amp;"）","")&amp;G121</f>
        <v>調整後 EBITDA：模型 $56.96bn</v>
      </c>
      <c r="H126" s="48" t="str">
        <f aca="false">"調整後 EBITDA：模型 "&amp;IF(ISNUMBER(H28),IF(H28&lt;0,"−","")&amp;"$"&amp;TEXT(ABS(H28),"#,##0.00")&amp;"bn","不適用")&amp;IF(ISNUMBER(H34),"｜共識 "&amp;IF(H34&lt;0,"−","")&amp;"$"&amp;TEXT(ABS(H34),"#,##0.00")&amp;"bn"&amp;"（"&amp;IF(ISNUMBER(H48),IF(H48&lt;0,"−","+")&amp;IF(ABS(H48)&lt;0,"−","")&amp;"$"&amp;TEXT(ABS(ABS(H48)),"#,##0.00")&amp;"bn"&amp;IF(ISNUMBER(H53),"／"&amp;IF(H53&lt;0,"−","+")&amp;TEXT(ABS(H53)*100,"#,##0.0")&amp;"pt",""),"不適用")&amp;"）","")&amp;IF(ISNUMBER(H38),"｜實際 "&amp;IF(H38&lt;0,"−","")&amp;"$"&amp;TEXT(ABS(H38),"#,##0.00")&amp;"bn"&amp;"（較模型 "&amp;IF(ISNUMBER(H50),IF(H50&lt;0,"−","+")&amp;IF(ABS(H50)&lt;0,"−","")&amp;"$"&amp;TEXT(ABS(ABS(H50)),"#,##0.00")&amp;"bn"&amp;IF(ISNUMBER(H55),"／"&amp;IF(H55&lt;0,"−","+")&amp;TEXT(ABS(H55)*100,"#,##0.0")&amp;"pt",""),"不適用")&amp;IF(ISNUMBER(H34),"、較共識 "&amp;IF(ISNUMBER(H51),IF(H51&lt;0,"−","+")&amp;IF(ABS(H51)&lt;0,"−","")&amp;"$"&amp;TEXT(ABS(ABS(H51)),"#,##0.00")&amp;"bn"&amp;IF(ISNUMBER(H56),"／"&amp;IF(H56&lt;0,"−","+")&amp;TEXT(ABS(H56)*100,"#,##0.0")&amp;"pt",""),"不適用"),"")&amp;"）","")&amp;H121</f>
        <v>調整後 EBITDA：模型 $61.04bn</v>
      </c>
    </row>
    <row r="127" customFormat="false" ht="15" hidden="true" customHeight="false" outlineLevel="1" collapsed="false">
      <c r="A127" s="3" t="s">
        <v>1403</v>
      </c>
      <c r="C127" s="48" t="str">
        <f aca="false">"EBITDA 率：模型 "&amp;IF(ISNUMBER(C27),IF(C27&lt;0,"−","")&amp;TEXT(ABS(C27)*100,"#,##0.0")&amp;"%","不適用")&amp;IF(ISNUMBER(C35),"｜共識 "&amp;IF(C35&lt;0,"−","")&amp;TEXT(ABS(C35)*100,"#,##0.0")&amp;"%"&amp;"（"&amp;IF(ISNUMBER(C58),IF(C58&lt;0,"−","+")&amp;TEXT(ABS(C58)*100,"#,##0.0")&amp;"pt","不適用")&amp;"）","")&amp;IF(ISNUMBER(C39),"｜實際 "&amp;IF(C39&lt;0,"−","")&amp;TEXT(ABS(C39)*100,"#,##0.0")&amp;"%"&amp;"（較模型 "&amp;IF(ISNUMBER(C60),IF(C60&lt;0,"−","+")&amp;TEXT(ABS(C60)*100,"#,##0.0")&amp;"pt","不適用")&amp;IF(ISNUMBER(C35),"、較共識 "&amp;IF(ISNUMBER(C61),IF(C61&lt;0,"−","+")&amp;TEXT(ABS(C61)*100,"#,##0.0")&amp;"pt","不適用"),"")&amp;"）","")</f>
        <v>EBITDA 率：模型 38.5%</v>
      </c>
      <c r="D127" s="48" t="str">
        <f aca="false">"EBITDA 率：模型 "&amp;IF(ISNUMBER(D27),IF(D27&lt;0,"−","")&amp;TEXT(ABS(D27)*100,"#,##0.0")&amp;"%","不適用")&amp;IF(ISNUMBER(D35),"｜共識 "&amp;IF(D35&lt;0,"−","")&amp;TEXT(ABS(D35)*100,"#,##0.0")&amp;"%"&amp;"（"&amp;IF(ISNUMBER(D58),IF(D58&lt;0,"−","+")&amp;TEXT(ABS(D58)*100,"#,##0.0")&amp;"pt","不適用")&amp;"）","")&amp;IF(ISNUMBER(D39),"｜實際 "&amp;IF(D39&lt;0,"−","")&amp;TEXT(ABS(D39)*100,"#,##0.0")&amp;"%"&amp;"（較模型 "&amp;IF(ISNUMBER(D60),IF(D60&lt;0,"−","+")&amp;TEXT(ABS(D60)*100,"#,##0.0")&amp;"pt","不適用")&amp;IF(ISNUMBER(D35),"、較共識 "&amp;IF(ISNUMBER(D61),IF(D61&lt;0,"−","+")&amp;TEXT(ABS(D61)*100,"#,##0.0")&amp;"pt","不適用"),"")&amp;"）","")</f>
        <v>EBITDA 率：模型 38.0%</v>
      </c>
      <c r="E127" s="48" t="str">
        <f aca="false">"EBITDA 率：模型 "&amp;IF(ISNUMBER(E27),IF(E27&lt;0,"−","")&amp;TEXT(ABS(E27)*100,"#,##0.0")&amp;"%","不適用")&amp;IF(ISNUMBER(E35),"｜共識 "&amp;IF(E35&lt;0,"−","")&amp;TEXT(ABS(E35)*100,"#,##0.0")&amp;"%"&amp;"（"&amp;IF(ISNUMBER(E58),IF(E58&lt;0,"−","+")&amp;TEXT(ABS(E58)*100,"#,##0.0")&amp;"pt","不適用")&amp;"）","")&amp;IF(ISNUMBER(E39),"｜實際 "&amp;IF(E39&lt;0,"−","")&amp;TEXT(ABS(E39)*100,"#,##0.0")&amp;"%"&amp;"（較模型 "&amp;IF(ISNUMBER(E60),IF(E60&lt;0,"−","+")&amp;TEXT(ABS(E60)*100,"#,##0.0")&amp;"pt","不適用")&amp;IF(ISNUMBER(E35),"、較共識 "&amp;IF(ISNUMBER(E61),IF(E61&lt;0,"−","+")&amp;TEXT(ABS(E61)*100,"#,##0.0")&amp;"pt","不適用"),"")&amp;"）","")</f>
        <v>EBITDA 率：模型 37.5%</v>
      </c>
      <c r="F127" s="48" t="str">
        <f aca="false">"EBITDA 率：模型 "&amp;IF(ISNUMBER(F27),IF(F27&lt;0,"−","")&amp;TEXT(ABS(F27)*100,"#,##0.0")&amp;"%","不適用")&amp;IF(ISNUMBER(F35),"｜共識 "&amp;IF(F35&lt;0,"−","")&amp;TEXT(ABS(F35)*100,"#,##0.0")&amp;"%"&amp;"（"&amp;IF(ISNUMBER(F58),IF(F58&lt;0,"−","+")&amp;TEXT(ABS(F58)*100,"#,##0.0")&amp;"pt","不適用")&amp;"）","")&amp;IF(ISNUMBER(F39),"｜實際 "&amp;IF(F39&lt;0,"−","")&amp;TEXT(ABS(F39)*100,"#,##0.0")&amp;"%"&amp;"（較模型 "&amp;IF(ISNUMBER(F60),IF(F60&lt;0,"−","+")&amp;TEXT(ABS(F60)*100,"#,##0.0")&amp;"pt","不適用")&amp;IF(ISNUMBER(F35),"、較共識 "&amp;IF(ISNUMBER(F61),IF(F61&lt;0,"−","+")&amp;TEXT(ABS(F61)*100,"#,##0.0")&amp;"pt","不適用"),"")&amp;"）","")</f>
        <v>EBITDA 率：模型 37.0%</v>
      </c>
      <c r="G127" s="48" t="str">
        <f aca="false">"EBITDA 率：模型 "&amp;IF(ISNUMBER(G27),IF(G27&lt;0,"−","")&amp;TEXT(ABS(G27)*100,"#,##0.0")&amp;"%","不適用")&amp;IF(ISNUMBER(G35),"｜共識 "&amp;IF(G35&lt;0,"−","")&amp;TEXT(ABS(G35)*100,"#,##0.0")&amp;"%"&amp;"（"&amp;IF(ISNUMBER(G58),IF(G58&lt;0,"−","+")&amp;TEXT(ABS(G58)*100,"#,##0.0")&amp;"pt","不適用")&amp;"）","")&amp;IF(ISNUMBER(G39),"｜實際 "&amp;IF(G39&lt;0,"−","")&amp;TEXT(ABS(G39)*100,"#,##0.0")&amp;"%"&amp;"（較模型 "&amp;IF(ISNUMBER(G60),IF(G60&lt;0,"−","+")&amp;TEXT(ABS(G60)*100,"#,##0.0")&amp;"pt","不適用")&amp;IF(ISNUMBER(G35),"、較共識 "&amp;IF(ISNUMBER(G61),IF(G61&lt;0,"−","+")&amp;TEXT(ABS(G61)*100,"#,##0.0")&amp;"pt","不適用"),"")&amp;"）","")</f>
        <v>EBITDA 率：模型 36.5%</v>
      </c>
      <c r="H127" s="48" t="str">
        <f aca="false">"EBITDA 率：模型 "&amp;IF(ISNUMBER(H27),IF(H27&lt;0,"−","")&amp;TEXT(ABS(H27)*100,"#,##0.0")&amp;"%","不適用")&amp;IF(ISNUMBER(H35),"｜共識 "&amp;IF(H35&lt;0,"−","")&amp;TEXT(ABS(H35)*100,"#,##0.0")&amp;"%"&amp;"（"&amp;IF(ISNUMBER(H58),IF(H58&lt;0,"−","+")&amp;TEXT(ABS(H58)*100,"#,##0.0")&amp;"pt","不適用")&amp;"）","")&amp;IF(ISNUMBER(H39),"｜實際 "&amp;IF(H39&lt;0,"−","")&amp;TEXT(ABS(H39)*100,"#,##0.0")&amp;"%"&amp;"（較模型 "&amp;IF(ISNUMBER(H60),IF(H60&lt;0,"−","+")&amp;TEXT(ABS(H60)*100,"#,##0.0")&amp;"pt","不適用")&amp;IF(ISNUMBER(H35),"、較共識 "&amp;IF(ISNUMBER(H61),IF(H61&lt;0,"−","+")&amp;TEXT(ABS(H61)*100,"#,##0.0")&amp;"pt","不適用"),"")&amp;"）","")</f>
        <v>EBITDA 率：模型 36.0%</v>
      </c>
    </row>
    <row r="128" customFormat="false" ht="15" hidden="true" customHeight="false" outlineLevel="1" collapsed="false">
      <c r="A128" s="3" t="s">
        <v>1404</v>
      </c>
      <c r="C128" s="48" t="str">
        <f aca="false">"調整後營業利益：模型 "&amp;IF(ISNUMBER(C31),IF(C31&lt;0,"−","")&amp;"$"&amp;TEXT(ABS(C31),"#,##0.00")&amp;"bn","不適用")&amp;IF(ISNUMBER(C40),"｜實際 "&amp;IF(C40&lt;0,"−","")&amp;"$"&amp;TEXT(ABS(C40),"#,##0.00")&amp;"bn"&amp;"（較模型 "&amp;IF(ISNUMBER(C65),IF(C65&lt;0,"−","+")&amp;IF(ABS(C65)&lt;0,"−","")&amp;"$"&amp;TEXT(ABS(ABS(C65)),"#,##0.00")&amp;"bn"&amp;IF(ISNUMBER(C70),"／"&amp;IF(C70&lt;0,"−","+")&amp;TEXT(ABS(C70)*100,"#,##0.0")&amp;"pt",""),"不適用")&amp;"）","")&amp;C122</f>
        <v>調整後營業利益：模型 $36.79bn</v>
      </c>
      <c r="D128" s="48" t="str">
        <f aca="false">"調整後營業利益：模型 "&amp;IF(ISNUMBER(D31),IF(D31&lt;0,"−","")&amp;"$"&amp;TEXT(ABS(D31),"#,##0.00")&amp;"bn","不適用")&amp;IF(ISNUMBER(D40),"｜實際 "&amp;IF(D40&lt;0,"−","")&amp;"$"&amp;TEXT(ABS(D40),"#,##0.00")&amp;"bn"&amp;"（較模型 "&amp;IF(ISNUMBER(D65),IF(D65&lt;0,"−","+")&amp;IF(ABS(D65)&lt;0,"−","")&amp;"$"&amp;TEXT(ABS(ABS(D65)),"#,##0.00")&amp;"bn"&amp;IF(ISNUMBER(D70),"／"&amp;IF(D70&lt;0,"−","+")&amp;TEXT(ABS(D70)*100,"#,##0.0")&amp;"pt",""),"不適用")&amp;"）","")&amp;D122</f>
        <v>調整後營業利益：模型 $39.08bn</v>
      </c>
      <c r="E128" s="48" t="str">
        <f aca="false">"調整後營業利益：模型 "&amp;IF(ISNUMBER(E31),IF(E31&lt;0,"−","")&amp;"$"&amp;TEXT(ABS(E31),"#,##0.00")&amp;"bn","不適用")&amp;IF(ISNUMBER(E40),"｜實際 "&amp;IF(E40&lt;0,"−","")&amp;"$"&amp;TEXT(ABS(E40),"#,##0.00")&amp;"bn"&amp;"（較模型 "&amp;IF(ISNUMBER(E65),IF(E65&lt;0,"−","+")&amp;IF(ABS(E65)&lt;0,"−","")&amp;"$"&amp;TEXT(ABS(ABS(E65)),"#,##0.00")&amp;"bn"&amp;IF(ISNUMBER(E70),"／"&amp;IF(E70&lt;0,"−","+")&amp;TEXT(ABS(E70)*100,"#,##0.0")&amp;"pt",""),"不適用")&amp;"）","")&amp;E122</f>
        <v>調整後營業利益：模型 $30.56bn</v>
      </c>
      <c r="F128" s="48" t="str">
        <f aca="false">"調整後營業利益：模型 "&amp;IF(ISNUMBER(F31),IF(F31&lt;0,"−","")&amp;"$"&amp;TEXT(ABS(F31),"#,##0.00")&amp;"bn","不適用")&amp;IF(ISNUMBER(F40),"｜實際 "&amp;IF(F40&lt;0,"−","")&amp;"$"&amp;TEXT(ABS(F40),"#,##0.00")&amp;"bn"&amp;"（較模型 "&amp;IF(ISNUMBER(F65),IF(F65&lt;0,"−","+")&amp;IF(ABS(F65)&lt;0,"−","")&amp;"$"&amp;TEXT(ABS(ABS(F65)),"#,##0.00")&amp;"bn"&amp;IF(ISNUMBER(F70),"／"&amp;IF(F70&lt;0,"−","+")&amp;TEXT(ABS(F70)*100,"#,##0.0")&amp;"pt",""),"不適用")&amp;"）","")&amp;F122</f>
        <v>調整後營業利益：模型 $34.90bn</v>
      </c>
      <c r="G128" s="48" t="str">
        <f aca="false">"調整後營業利益：模型 "&amp;IF(ISNUMBER(G31),IF(G31&lt;0,"−","")&amp;"$"&amp;TEXT(ABS(G31),"#,##0.00")&amp;"bn","不適用")&amp;IF(ISNUMBER(G40),"｜實際 "&amp;IF(G40&lt;0,"−","")&amp;"$"&amp;TEXT(ABS(G40),"#,##0.00")&amp;"bn"&amp;"（較模型 "&amp;IF(ISNUMBER(G65),IF(G65&lt;0,"−","+")&amp;IF(ABS(G65)&lt;0,"−","")&amp;"$"&amp;TEXT(ABS(ABS(G65)),"#,##0.00")&amp;"bn"&amp;IF(ISNUMBER(G70),"／"&amp;IF(G70&lt;0,"−","+")&amp;TEXT(ABS(G70)*100,"#,##0.0")&amp;"pt",""),"不適用")&amp;"）","")&amp;G122</f>
        <v>調整後營業利益：模型 $39.11bn</v>
      </c>
      <c r="H128" s="48" t="str">
        <f aca="false">"調整後營業利益：模型 "&amp;IF(ISNUMBER(H31),IF(H31&lt;0,"−","")&amp;"$"&amp;TEXT(ABS(H31),"#,##0.00")&amp;"bn","不適用")&amp;IF(ISNUMBER(H40),"｜實際 "&amp;IF(H40&lt;0,"−","")&amp;"$"&amp;TEXT(ABS(H40),"#,##0.00")&amp;"bn"&amp;"（較模型 "&amp;IF(ISNUMBER(H65),IF(H65&lt;0,"−","+")&amp;IF(ABS(H65)&lt;0,"−","")&amp;"$"&amp;TEXT(ABS(ABS(H65)),"#,##0.00")&amp;"bn"&amp;IF(ISNUMBER(H70),"／"&amp;IF(H70&lt;0,"−","+")&amp;TEXT(ABS(H70)*100,"#,##0.0")&amp;"pt",""),"不適用")&amp;"）","")&amp;H122</f>
        <v>調整後營業利益：模型 $43.20bn</v>
      </c>
    </row>
    <row r="129" customFormat="false" ht="15" hidden="true" customHeight="false" outlineLevel="1" collapsed="false">
      <c r="A129" s="3" t="s">
        <v>1405</v>
      </c>
      <c r="C129" s="48" t="str">
        <f aca="false">"CapEx（毛額）：模型 "&amp;IF(ISNUMBER(C32),IF(C32&lt;0,"−","")&amp;"$"&amp;TEXT(ABS(C32),"#,##0.00")&amp;"bn","不適用")&amp;IF(ISNUMBER(C41),"｜實際 "&amp;IF(C41&lt;0,"−","")&amp;"$"&amp;TEXT(ABS(C41),"#,##0.00")&amp;"bn"&amp;"（較模型 "&amp;IF(ISNUMBER(C75),IF(C75&lt;0,"−","+")&amp;TEXT(ABS(C75)*100,"#,##0.0")&amp;"%","不適用")&amp;"）","")&amp;C123</f>
        <v>CapEx（毛額）：模型 $59.70bn</v>
      </c>
      <c r="D129" s="48" t="str">
        <f aca="false">"CapEx（毛額）：模型 "&amp;IF(ISNUMBER(D32),IF(D32&lt;0,"−","")&amp;"$"&amp;TEXT(ABS(D32),"#,##0.00")&amp;"bn","不適用")&amp;IF(ISNUMBER(D41),"｜實際 "&amp;IF(D41&lt;0,"−","")&amp;"$"&amp;TEXT(ABS(D41),"#,##0.00")&amp;"bn"&amp;"（較模型 "&amp;IF(ISNUMBER(D75),IF(D75&lt;0,"−","+")&amp;TEXT(ABS(D75)*100,"#,##0.0")&amp;"%","不適用")&amp;"）","")&amp;D123</f>
        <v>CapEx（毛額）：模型 $59.70bn</v>
      </c>
      <c r="E129" s="48" t="str">
        <f aca="false">"CapEx（毛額）：模型 "&amp;IF(ISNUMBER(E32),IF(E32&lt;0,"−","")&amp;"$"&amp;TEXT(ABS(E32),"#,##0.00")&amp;"bn","不適用")&amp;IF(ISNUMBER(E41),"｜實際 "&amp;IF(E41&lt;0,"−","")&amp;"$"&amp;TEXT(ABS(E41),"#,##0.00")&amp;"bn"&amp;"（較模型 "&amp;IF(ISNUMBER(E75),IF(E75&lt;0,"−","+")&amp;TEXT(ABS(E75)*100,"#,##0.0")&amp;"%","不適用")&amp;"）","")&amp;E123</f>
        <v>CapEx（毛額）：模型 $54.63bn</v>
      </c>
      <c r="F129" s="48" t="str">
        <f aca="false">"CapEx（毛額）：模型 "&amp;IF(ISNUMBER(F32),IF(F32&lt;0,"−","")&amp;"$"&amp;TEXT(ABS(F32),"#,##0.00")&amp;"bn","不適用")&amp;IF(ISNUMBER(F41),"｜實際 "&amp;IF(F41&lt;0,"−","")&amp;"$"&amp;TEXT(ABS(F41),"#,##0.00")&amp;"bn"&amp;"（較模型 "&amp;IF(ISNUMBER(F75),IF(F75&lt;0,"−","+")&amp;TEXT(ABS(F75)*100,"#,##0.0")&amp;"%","不適用")&amp;"）","")&amp;F123</f>
        <v>CapEx（毛額）：模型 $54.63bn</v>
      </c>
      <c r="G129" s="48" t="str">
        <f aca="false">"CapEx（毛額）：模型 "&amp;IF(ISNUMBER(G32),IF(G32&lt;0,"−","")&amp;"$"&amp;TEXT(ABS(G32),"#,##0.00")&amp;"bn","不適用")&amp;IF(ISNUMBER(G41),"｜實際 "&amp;IF(G41&lt;0,"−","")&amp;"$"&amp;TEXT(ABS(G41),"#,##0.00")&amp;"bn"&amp;"（較模型 "&amp;IF(ISNUMBER(G75),IF(G75&lt;0,"−","+")&amp;TEXT(ABS(G75)*100,"#,##0.0")&amp;"%","不適用")&amp;"）","")&amp;G123</f>
        <v>CapEx（毛額）：模型 $54.63bn</v>
      </c>
      <c r="H129" s="48" t="str">
        <f aca="false">"CapEx（毛額）：模型 "&amp;IF(ISNUMBER(H32),IF(H32&lt;0,"−","")&amp;"$"&amp;TEXT(ABS(H32),"#,##0.00")&amp;"bn","不適用")&amp;IF(ISNUMBER(H41),"｜實際 "&amp;IF(H41&lt;0,"−","")&amp;"$"&amp;TEXT(ABS(H41),"#,##0.00")&amp;"bn"&amp;"（較模型 "&amp;IF(ISNUMBER(H75),IF(H75&lt;0,"−","+")&amp;TEXT(ABS(H75)*100,"#,##0.0")&amp;"%","不適用")&amp;"）","")&amp;H123</f>
        <v>CapEx（毛額）：模型 $54.63bn</v>
      </c>
    </row>
    <row r="130" customFormat="false" ht="15" hidden="true" customHeight="false" outlineLevel="1" collapsed="false">
      <c r="A130" s="3" t="s">
        <v>1406</v>
      </c>
      <c r="C130" s="48" t="str">
        <f aca="false">"季末已連網 MW-IT：模型 "&amp;IF(ISNUMBER(C19),IF(C19&lt;0,"−","")&amp;TEXT(ABS(C19),"#,##0")&amp;" MW","不適用")&amp;IF(ISNUMBER(C42),"｜實際 "&amp;IF(C42&lt;0,"−","")&amp;TEXT(ABS(C42),"#,##0")&amp;" MW"&amp;"（較模型 "&amp;IF(ISNUMBER(C80),IF(C80&lt;0,"−","+")&amp;IF(ABS(C80)&lt;0,"−","")&amp;TEXT(ABS(ABS(C80)),"#,##0")&amp;" MW","不適用")&amp;"）","")&amp;C124</f>
        <v>季末已連網 MW-IT：模型 2,168 MW</v>
      </c>
      <c r="D130" s="48" t="str">
        <f aca="false">"季末已連網 MW-IT：模型 "&amp;IF(ISNUMBER(D19),IF(D19&lt;0,"−","")&amp;TEXT(ABS(D19),"#,##0")&amp;" MW","不適用")&amp;IF(ISNUMBER(D42),"｜實際 "&amp;IF(D42&lt;0,"−","")&amp;TEXT(ABS(D42),"#,##0")&amp;" MW"&amp;"（較模型 "&amp;IF(ISNUMBER(D80),IF(D80&lt;0,"−","+")&amp;IF(ABS(D80)&lt;0,"−","")&amp;TEXT(ABS(ABS(D80)),"#,##0")&amp;" MW","不適用")&amp;"）","")&amp;D124</f>
        <v>季末已連網 MW-IT：模型 2,436 MW</v>
      </c>
      <c r="E130" s="48" t="str">
        <f aca="false">"季末已連網 MW-IT：模型 "&amp;IF(ISNUMBER(E19),IF(E19&lt;0,"−","")&amp;TEXT(ABS(E19),"#,##0")&amp;" MW","不適用")&amp;IF(ISNUMBER(E42),"｜實際 "&amp;IF(E42&lt;0,"−","")&amp;TEXT(ABS(E42),"#,##0")&amp;" MW"&amp;"（較模型 "&amp;IF(ISNUMBER(E80),IF(E80&lt;0,"−","+")&amp;IF(ABS(E80)&lt;0,"−","")&amp;TEXT(ABS(ABS(E80)),"#,##0")&amp;" MW","不適用")&amp;"）","")&amp;E124</f>
        <v>季末已連網 MW-IT：模型 2,703 MW</v>
      </c>
      <c r="F130" s="48" t="str">
        <f aca="false">"季末已連網 MW-IT：模型 "&amp;IF(ISNUMBER(F19),IF(F19&lt;0,"−","")&amp;TEXT(ABS(F19),"#,##0")&amp;" MW","不適用")&amp;IF(ISNUMBER(F42),"｜實際 "&amp;IF(F42&lt;0,"−","")&amp;TEXT(ABS(F42),"#,##0")&amp;" MW"&amp;"（較模型 "&amp;IF(ISNUMBER(F80),IF(F80&lt;0,"−","+")&amp;IF(ABS(F80)&lt;0,"−","")&amp;TEXT(ABS(ABS(F80)),"#,##0")&amp;" MW","不適用")&amp;"）","")&amp;F124</f>
        <v>季末已連網 MW-IT：模型 2,970 MW</v>
      </c>
      <c r="G130" s="48" t="str">
        <f aca="false">"季末已連網 MW-IT：模型 "&amp;IF(ISNUMBER(G19),IF(G19&lt;0,"−","")&amp;TEXT(ABS(G19),"#,##0")&amp;" MW","不適用")&amp;IF(ISNUMBER(G42),"｜實際 "&amp;IF(G42&lt;0,"−","")&amp;TEXT(ABS(G42),"#,##0")&amp;" MW"&amp;"（較模型 "&amp;IF(ISNUMBER(G80),IF(G80&lt;0,"−","+")&amp;IF(ABS(G80)&lt;0,"−","")&amp;TEXT(ABS(ABS(G80)),"#,##0")&amp;" MW","不適用")&amp;"）","")&amp;G124</f>
        <v>季末已連網 MW-IT：模型 3,238 MW</v>
      </c>
      <c r="H130" s="48" t="str">
        <f aca="false">"季末已連網 MW-IT：模型 "&amp;IF(ISNUMBER(H19),IF(H19&lt;0,"−","")&amp;TEXT(ABS(H19),"#,##0")&amp;" MW","不適用")&amp;IF(ISNUMBER(H42),"｜實際 "&amp;IF(H42&lt;0,"−","")&amp;TEXT(ABS(H42),"#,##0")&amp;" MW"&amp;"（較模型 "&amp;IF(ISNUMBER(H80),IF(H80&lt;0,"−","+")&amp;IF(ABS(H80)&lt;0,"−","")&amp;TEXT(ABS(ABS(H80)),"#,##0")&amp;" MW","不適用")&amp;"）","")&amp;H124</f>
        <v>季末已連網 MW-IT：模型 3,505 MW</v>
      </c>
    </row>
    <row r="131" customFormat="false" ht="15" hidden="true" customHeight="false" outlineLevel="1" collapsed="false"/>
    <row r="132" customFormat="false" ht="15" hidden="true" customHeight="false" outlineLevel="1" collapsed="false">
      <c r="A132" s="2" t="s">
        <v>1407</v>
      </c>
    </row>
    <row r="133" customFormat="false" ht="15" hidden="true" customHeight="false" outlineLevel="1" collapsed="false">
      <c r="A133" s="3" t="s">
        <v>1408</v>
      </c>
      <c r="C133" s="69" t="n">
        <f aca="false">C22+D22-損益!C9</f>
        <v>0</v>
      </c>
      <c r="D133" s="69" t="n">
        <f aca="false">E22+F22+G22+H22-損益!D9</f>
        <v>0</v>
      </c>
    </row>
    <row r="134" customFormat="false" ht="15" hidden="true" customHeight="false" outlineLevel="1" collapsed="false">
      <c r="A134" s="3" t="s">
        <v>1409</v>
      </c>
      <c r="C134" s="69" t="n">
        <f aca="false">C28+D28-損益!C22</f>
        <v>0</v>
      </c>
      <c r="D134" s="69" t="n">
        <f aca="false">E28+F28+G28+H28-損益!D22</f>
        <v>0</v>
      </c>
    </row>
    <row r="135" customFormat="false" ht="15" hidden="true" customHeight="false" outlineLevel="1" collapsed="false">
      <c r="A135" s="3" t="s">
        <v>1410</v>
      </c>
      <c r="C135" s="69" t="n">
        <f aca="false">C31+D31-損益!C12</f>
        <v>0</v>
      </c>
      <c r="D135" s="69" t="n">
        <f aca="false">E31+F31+G31+H31-損益!D12</f>
        <v>0</v>
      </c>
    </row>
    <row r="136" customFormat="false" ht="15" hidden="true" customHeight="false" outlineLevel="1" collapsed="false">
      <c r="A136" s="3" t="s">
        <v>1411</v>
      </c>
      <c r="C136" s="69" t="n">
        <f aca="false">C32+D32-輸入與假設!C$312</f>
        <v>0</v>
      </c>
      <c r="D136" s="69" t="n">
        <f aca="false">E32+F32+G32+H32-輸入與假設!D$312</f>
        <v>0</v>
      </c>
    </row>
    <row r="137" customFormat="false" ht="15" hidden="true" customHeight="false" outlineLevel="1" collapsed="false">
      <c r="A137" s="3" t="s">
        <v>1412</v>
      </c>
      <c r="C137" s="69" t="n">
        <f aca="false">C29+D29-輸入與假設!C$313</f>
        <v>0</v>
      </c>
      <c r="D137" s="69" t="n">
        <f aca="false">E29+F29+G29+H29-輸入與假設!D$313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5C61"/>
    <outlinePr summaryBelow="0" summaryRight="1"/>
    <pageSetUpPr fitToPage="false"/>
  </sheetPr>
  <dimension ref="A1:I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42"/>
    <col collapsed="false" customWidth="true" hidden="false" outlineLevel="0" max="2" min="2" style="0" width="12"/>
    <col collapsed="false" customWidth="true" hidden="false" outlineLevel="0" max="7" min="3" style="0" width="13"/>
    <col collapsed="false" customWidth="true" hidden="false" outlineLevel="0" max="9" min="9" style="0" width="96"/>
  </cols>
  <sheetData>
    <row r="1" customFormat="false" ht="21.6" hidden="false" customHeight="false" outlineLevel="0" collapsed="false">
      <c r="A1" s="5" t="s">
        <v>1413</v>
      </c>
    </row>
    <row r="2" customFormat="false" ht="15" hidden="false" customHeight="false" outlineLevel="0" collapsed="false">
      <c r="A2" s="6" t="s">
        <v>1414</v>
      </c>
    </row>
    <row r="3" customFormat="false" ht="15" hidden="false" customHeight="false" outlineLevel="0" collapsed="false">
      <c r="A3" s="11" t="s">
        <v>1415</v>
      </c>
    </row>
    <row r="5" customFormat="false" ht="15" hidden="false" customHeight="false" outlineLevel="0" collapsed="false">
      <c r="A5" s="14" t="s">
        <v>57</v>
      </c>
      <c r="B5" s="14" t="s">
        <v>58</v>
      </c>
      <c r="C5" s="28" t="s">
        <v>59</v>
      </c>
      <c r="D5" s="28" t="s">
        <v>60</v>
      </c>
      <c r="E5" s="28" t="s">
        <v>61</v>
      </c>
      <c r="F5" s="28" t="s">
        <v>151</v>
      </c>
      <c r="G5" s="28" t="s">
        <v>152</v>
      </c>
      <c r="I5" s="14" t="s">
        <v>1065</v>
      </c>
    </row>
    <row r="6" customFormat="false" ht="15" hidden="false" customHeight="false" outlineLevel="0" collapsed="false">
      <c r="A6" s="3" t="s">
        <v>862</v>
      </c>
      <c r="B6" s="6"/>
      <c r="C6" s="66" t="str">
        <f aca="false">"2026-07-01~12-31"</f>
        <v>2026-07-01~12-31</v>
      </c>
      <c r="D6" s="66" t="str">
        <f aca="false">"2027 全年"</f>
        <v>2027 全年</v>
      </c>
      <c r="E6" s="66" t="str">
        <f aca="false">"2028 全年"</f>
        <v>2028 全年</v>
      </c>
      <c r="F6" s="66" t="str">
        <f aca="false">"2029 全年"</f>
        <v>2029 全年</v>
      </c>
      <c r="G6" s="66" t="str">
        <f aca="false">"2030 全年"</f>
        <v>2030 全年</v>
      </c>
      <c r="I6" s="11" t="s">
        <v>1416</v>
      </c>
    </row>
    <row r="7" customFormat="false" ht="15" hidden="false" customHeight="false" outlineLevel="0" collapsed="false">
      <c r="A7" s="3" t="s">
        <v>205</v>
      </c>
      <c r="B7" s="6"/>
      <c r="C7" s="39" t="n">
        <f aca="false">輸入與假設!C$34</f>
        <v>0.5</v>
      </c>
      <c r="D7" s="39" t="n">
        <f aca="false">輸入與假設!D$34</f>
        <v>1</v>
      </c>
      <c r="E7" s="39" t="n">
        <f aca="false">輸入與假設!E$34</f>
        <v>1</v>
      </c>
      <c r="F7" s="39" t="n">
        <f aca="false">輸入與假設!F$34</f>
        <v>1</v>
      </c>
      <c r="G7" s="39" t="n">
        <f aca="false">輸入與假設!G$34</f>
        <v>1</v>
      </c>
      <c r="I7" s="6" t="s">
        <v>1417</v>
      </c>
    </row>
    <row r="8" customFormat="false" ht="15" hidden="false" customHeight="false" outlineLevel="0" collapsed="false">
      <c r="A8" s="52" t="s">
        <v>1418</v>
      </c>
      <c r="B8" s="8"/>
      <c r="C8" s="8"/>
      <c r="D8" s="8"/>
      <c r="E8" s="8"/>
      <c r="F8" s="8"/>
      <c r="G8" s="8"/>
      <c r="H8" s="8"/>
    </row>
    <row r="9" customFormat="false" ht="15" hidden="false" customHeight="false" outlineLevel="1" collapsed="false">
      <c r="A9" s="4" t="s">
        <v>1419</v>
      </c>
      <c r="B9" s="11" t="s">
        <v>155</v>
      </c>
      <c r="C9" s="68" t="n">
        <f aca="false">MAX(0,輸入與假設!C$36)</f>
        <v>2435.7</v>
      </c>
      <c r="D9" s="68" t="n">
        <f aca="false">MAX(輸入與假設!D$36,C9)</f>
        <v>3505.1</v>
      </c>
      <c r="E9" s="68" t="n">
        <f aca="false">MAX(輸入與假設!E$36,D9)</f>
        <v>4574.5</v>
      </c>
      <c r="F9" s="68" t="n">
        <f aca="false">MAX(輸入與假設!F$36,E9)</f>
        <v>5643.9</v>
      </c>
      <c r="G9" s="68" t="n">
        <f aca="false">MAX(輸入與假設!G$36,F9)</f>
        <v>6713.3</v>
      </c>
      <c r="I9" s="6" t="s">
        <v>1420</v>
      </c>
    </row>
    <row r="10" customFormat="false" ht="15" hidden="false" customHeight="false" outlineLevel="1" collapsed="false">
      <c r="A10" s="4" t="s">
        <v>1421</v>
      </c>
      <c r="B10" s="11" t="s">
        <v>155</v>
      </c>
      <c r="C10" s="68" t="n">
        <f aca="false">MIN(MAX(0,輸入與假設!C$37),C9)</f>
        <v>2435.7</v>
      </c>
      <c r="D10" s="68" t="n">
        <f aca="false">MIN(MAX(0,輸入與假設!D$37),D9)</f>
        <v>3505</v>
      </c>
      <c r="E10" s="68" t="n">
        <f aca="false">MIN(MAX(0,輸入與假設!E$37),E9)</f>
        <v>4574.5</v>
      </c>
      <c r="F10" s="68" t="n">
        <f aca="false">MIN(MAX(0,輸入與假設!F$37),F9)</f>
        <v>5643.9</v>
      </c>
      <c r="G10" s="68" t="n">
        <f aca="false">MIN(MAX(0,輸入與假設!G$37),G9)</f>
        <v>6713</v>
      </c>
      <c r="I10" s="6" t="s">
        <v>1422</v>
      </c>
    </row>
    <row r="11" customFormat="false" ht="15" hidden="false" customHeight="false" outlineLevel="1" collapsed="false">
      <c r="A11" s="4" t="s">
        <v>1423</v>
      </c>
      <c r="B11" s="11" t="s">
        <v>155</v>
      </c>
      <c r="C11" s="68" t="n">
        <f aca="false">IF($C$50&lt;=0,$C$10,輸入與假設!$C$29+($C$10-輸入與假設!$C$29)*MAX(0,MIN(1,($C$51-$C$50/12-0)/$C$7))+($D$10-$C$10)*MAX(0,MIN(1,($C$51-$C$50/12-$C$51)/$D$7))+($E$10-$D$10)*MAX(0,MIN(1,($C$51-$C$50/12-$D$51)/$E$7))+($F$10-$E$10)*MAX(0,MIN(1,($C$51-$C$50/12-$E$51)/$F$7))+($G$10-$F$10)*MAX(0,MIN(1,($C$51-$C$50/12-$F$51)/$G$7)))</f>
        <v>2435.7</v>
      </c>
      <c r="D11" s="68" t="n">
        <f aca="false">IF($C$50&lt;=0,$D$10,輸入與假設!$C$29+($C$10-輸入與假設!$C$29)*MAX(0,MIN(1,($D$51-$C$50/12-0)/$C$7))+($D$10-$C$10)*MAX(0,MIN(1,($D$51-$C$50/12-$C$51)/$D$7))+($E$10-$D$10)*MAX(0,MIN(1,($D$51-$C$50/12-$D$51)/$E$7))+($F$10-$E$10)*MAX(0,MIN(1,($D$51-$C$50/12-$E$51)/$F$7))+($G$10-$F$10)*MAX(0,MIN(1,($D$51-$C$50/12-$F$51)/$G$7)))</f>
        <v>3505</v>
      </c>
      <c r="E11" s="68" t="n">
        <f aca="false">IF($C$50&lt;=0,$E$10,輸入與假設!$C$29+($C$10-輸入與假設!$C$29)*MAX(0,MIN(1,($E$51-$C$50/12-0)/$C$7))+($D$10-$C$10)*MAX(0,MIN(1,($E$51-$C$50/12-$C$51)/$D$7))+($E$10-$D$10)*MAX(0,MIN(1,($E$51-$C$50/12-$D$51)/$E$7))+($F$10-$E$10)*MAX(0,MIN(1,($E$51-$C$50/12-$E$51)/$F$7))+($G$10-$F$10)*MAX(0,MIN(1,($E$51-$C$50/12-$F$51)/$G$7)))</f>
        <v>4574.5</v>
      </c>
      <c r="F11" s="68" t="n">
        <f aca="false">IF($C$50&lt;=0,$F$10,輸入與假設!$C$29+($C$10-輸入與假設!$C$29)*MAX(0,MIN(1,($F$51-$C$50/12-0)/$C$7))+($D$10-$C$10)*MAX(0,MIN(1,($F$51-$C$50/12-$C$51)/$D$7))+($E$10-$D$10)*MAX(0,MIN(1,($F$51-$C$50/12-$D$51)/$E$7))+($F$10-$E$10)*MAX(0,MIN(1,($F$51-$C$50/12-$E$51)/$F$7))+($G$10-$F$10)*MAX(0,MIN(1,($F$51-$C$50/12-$F$51)/$G$7)))</f>
        <v>5643.9</v>
      </c>
      <c r="G11" s="68" t="n">
        <f aca="false">IF($C$50&lt;=0,$G$10,輸入與假設!$C$29+($C$10-輸入與假設!$C$29)*MAX(0,MIN(1,($G$51-$C$50/12-0)/$C$7))+($D$10-$C$10)*MAX(0,MIN(1,($G$51-$C$50/12-$C$51)/$D$7))+($E$10-$D$10)*MAX(0,MIN(1,($G$51-$C$50/12-$D$51)/$E$7))+($F$10-$E$10)*MAX(0,MIN(1,($G$51-$C$50/12-$E$51)/$F$7))+($G$10-$F$10)*MAX(0,MIN(1,($G$51-$C$50/12-$F$51)/$G$7)))</f>
        <v>6713</v>
      </c>
      <c r="I11" s="6" t="s">
        <v>1424</v>
      </c>
    </row>
    <row r="12" customFormat="false" ht="15" hidden="false" customHeight="false" outlineLevel="1" collapsed="false">
      <c r="A12" s="3" t="s">
        <v>1425</v>
      </c>
      <c r="B12" s="11" t="s">
        <v>155</v>
      </c>
      <c r="C12" s="68" t="n">
        <f aca="false">輸入與假設!$C$29</f>
        <v>1901</v>
      </c>
      <c r="D12" s="68" t="n">
        <f aca="false">C11</f>
        <v>2435.7</v>
      </c>
      <c r="E12" s="68" t="n">
        <f aca="false">D11</f>
        <v>3505</v>
      </c>
      <c r="F12" s="68" t="n">
        <f aca="false">E11</f>
        <v>4574.5</v>
      </c>
      <c r="G12" s="68" t="n">
        <f aca="false">F11</f>
        <v>5643.9</v>
      </c>
      <c r="I12" s="6" t="s">
        <v>1426</v>
      </c>
    </row>
    <row r="13" customFormat="false" ht="15" hidden="false" customHeight="false" outlineLevel="1" collapsed="false">
      <c r="A13" s="3" t="s">
        <v>1427</v>
      </c>
      <c r="B13" s="11" t="s">
        <v>155</v>
      </c>
      <c r="C13" s="68" t="n">
        <f aca="false">IF(輸入與假設!$C$30=1,(C12+C11)/2,C11)</f>
        <v>2168.35</v>
      </c>
      <c r="D13" s="68" t="n">
        <f aca="false">IF(輸入與假設!$C$30=1,(D12+D11)/2,D11)</f>
        <v>2970.35</v>
      </c>
      <c r="E13" s="68" t="n">
        <f aca="false">IF(輸入與假設!$C$30=1,(E12+E11)/2,E11)</f>
        <v>4039.75</v>
      </c>
      <c r="F13" s="68" t="n">
        <f aca="false">IF(輸入與假設!$C$30=1,(F12+F11)/2,F11)</f>
        <v>5109.2</v>
      </c>
      <c r="G13" s="68" t="n">
        <f aca="false">IF(輸入與假設!$C$30=1,(G12+G11)/2,G11)</f>
        <v>6178.45</v>
      </c>
      <c r="I13" s="6" t="s">
        <v>1428</v>
      </c>
    </row>
    <row r="14" customFormat="false" ht="15" hidden="false" customHeight="false" outlineLevel="1" collapsed="false">
      <c r="A14" s="3" t="s">
        <v>213</v>
      </c>
      <c r="B14" s="11" t="s">
        <v>42</v>
      </c>
      <c r="C14" s="53" t="n">
        <f aca="false">輸入與假設!C$38</f>
        <v>1</v>
      </c>
      <c r="D14" s="53" t="n">
        <f aca="false">輸入與假設!D$38</f>
        <v>1</v>
      </c>
      <c r="E14" s="53" t="n">
        <f aca="false">輸入與假設!E$38</f>
        <v>1</v>
      </c>
      <c r="F14" s="53" t="n">
        <f aca="false">輸入與假設!F$38</f>
        <v>1</v>
      </c>
      <c r="G14" s="53" t="n">
        <f aca="false">輸入與假設!G$38</f>
        <v>1</v>
      </c>
    </row>
    <row r="15" customFormat="false" ht="15" hidden="false" customHeight="false" outlineLevel="1" collapsed="false">
      <c r="A15" s="3" t="s">
        <v>215</v>
      </c>
      <c r="B15" s="11" t="s">
        <v>216</v>
      </c>
      <c r="C15" s="70" t="n">
        <f aca="false">輸入與假設!C$39</f>
        <v>0.0126520642354714</v>
      </c>
      <c r="D15" s="70" t="n">
        <f aca="false">輸入與假設!D$39</f>
        <v>0.0132786743357124</v>
      </c>
      <c r="E15" s="70" t="n">
        <f aca="false">輸入與假設!E$39</f>
        <v>0.0136173410940223</v>
      </c>
      <c r="F15" s="70" t="n">
        <f aca="false">輸入與假設!F$39</f>
        <v>0.0138276674383147</v>
      </c>
      <c r="G15" s="70" t="n">
        <f aca="false">輸入與假設!G$39</f>
        <v>0.0139709856070194</v>
      </c>
    </row>
    <row r="16" customFormat="false" ht="15" hidden="false" customHeight="false" outlineLevel="1" collapsed="false">
      <c r="A16" s="3" t="s">
        <v>1429</v>
      </c>
      <c r="B16" s="11" t="s">
        <v>63</v>
      </c>
      <c r="C16" s="42" t="n">
        <f aca="false">C13*輸入與假設!C$39*輸入與假設!$C$32*輸入與假設!C$38*C7</f>
        <v>13.7170517424922</v>
      </c>
      <c r="D16" s="42" t="n">
        <f aca="false">D13*輸入與假設!D$39*輸入與假設!$C$32*輸入與假設!D$38*D7</f>
        <v>39.4423103130834</v>
      </c>
      <c r="E16" s="42" t="n">
        <f aca="false">E13*輸入與假設!E$39*輸入與假設!$C$32*輸入與假設!E$38*E7</f>
        <v>55.0106536845765</v>
      </c>
      <c r="F16" s="42" t="n">
        <f aca="false">F13*輸入與假設!F$39*輸入與假設!$C$32*輸入與假設!F$38*F7</f>
        <v>70.6483184758374</v>
      </c>
      <c r="G16" s="42" t="n">
        <f aca="false">G13*輸入與假設!G$39*輸入與假設!$C$32*輸入與假設!G$38*G7</f>
        <v>86.3190360236892</v>
      </c>
      <c r="I16" s="6" t="s">
        <v>1430</v>
      </c>
    </row>
    <row r="17" customFormat="false" ht="15" hidden="false" customHeight="false" outlineLevel="0" collapsed="false">
      <c r="A17" s="52" t="s">
        <v>1431</v>
      </c>
      <c r="B17" s="8"/>
      <c r="C17" s="8"/>
      <c r="D17" s="8"/>
      <c r="E17" s="8"/>
      <c r="F17" s="8"/>
      <c r="G17" s="8"/>
      <c r="H17" s="8"/>
    </row>
    <row r="18" customFormat="false" ht="15" hidden="false" customHeight="false" outlineLevel="1" collapsed="false">
      <c r="A18" s="3" t="s">
        <v>1432</v>
      </c>
      <c r="B18" s="11" t="s">
        <v>63</v>
      </c>
      <c r="C18" s="66" t="n">
        <f aca="false">(輸入與假設!$C$24+輸入與假設!$C$25)*(輸入與假設!C$35/輸入與假設!$C$27)*輸入與假設!$C$26</f>
        <v>0</v>
      </c>
      <c r="D18" s="66" t="n">
        <f aca="false">(輸入與假設!$C$24+輸入與假設!$C$25)*(輸入與假設!D$35/輸入與假設!$C$27)*輸入與假設!$C$26</f>
        <v>0</v>
      </c>
      <c r="E18" s="66" t="n">
        <f aca="false">(輸入與假設!$C$24+輸入與假設!$C$25)*(輸入與假設!E$35/輸入與假設!$C$27)*輸入與假設!$C$26</f>
        <v>0</v>
      </c>
      <c r="F18" s="66" t="n">
        <f aca="false">(輸入與假設!$C$24+輸入與假設!$C$25)*(輸入與假設!F$35/輸入與假設!$C$27)*輸入與假設!$C$26</f>
        <v>0</v>
      </c>
      <c r="G18" s="66" t="n">
        <f aca="false">(輸入與假設!$C$24+輸入與假設!$C$25)*(輸入與假設!G$35/輸入與假設!$C$27)*輸入與假設!$C$26</f>
        <v>0</v>
      </c>
      <c r="I18" s="6" t="s">
        <v>1433</v>
      </c>
    </row>
    <row r="19" customFormat="false" ht="15" hidden="false" customHeight="false" outlineLevel="0" collapsed="false">
      <c r="A19" s="52" t="s">
        <v>1434</v>
      </c>
      <c r="B19" s="8"/>
      <c r="C19" s="8"/>
      <c r="D19" s="8"/>
      <c r="E19" s="8"/>
      <c r="F19" s="8"/>
      <c r="G19" s="8"/>
      <c r="H19" s="8"/>
    </row>
    <row r="20" customFormat="false" ht="15" hidden="false" customHeight="false" outlineLevel="1" collapsed="false">
      <c r="A20" s="3" t="s">
        <v>1435</v>
      </c>
      <c r="B20" s="11" t="s">
        <v>63</v>
      </c>
      <c r="C20" s="42" t="n">
        <f aca="false">MAX(0,C18-C16)</f>
        <v>0</v>
      </c>
      <c r="D20" s="42" t="n">
        <f aca="false">MAX(0,D18-D16)</f>
        <v>0</v>
      </c>
      <c r="E20" s="42" t="n">
        <f aca="false">MAX(0,E18-E16)</f>
        <v>0</v>
      </c>
      <c r="F20" s="42" t="n">
        <f aca="false">MAX(0,F18-F16)</f>
        <v>0</v>
      </c>
      <c r="G20" s="42" t="n">
        <f aca="false">MAX(0,G18-G16)</f>
        <v>0</v>
      </c>
      <c r="I20" s="6" t="s">
        <v>1436</v>
      </c>
    </row>
    <row r="21" customFormat="false" ht="15" hidden="false" customHeight="false" outlineLevel="1" collapsed="false">
      <c r="A21" s="3" t="s">
        <v>1437</v>
      </c>
      <c r="B21" s="11" t="s">
        <v>63</v>
      </c>
      <c r="C21" s="66" t="n">
        <f aca="false">C18-C20</f>
        <v>0</v>
      </c>
      <c r="D21" s="66" t="n">
        <f aca="false">D18-D20</f>
        <v>0</v>
      </c>
      <c r="E21" s="66" t="n">
        <f aca="false">E18-E20</f>
        <v>0</v>
      </c>
      <c r="F21" s="66" t="n">
        <f aca="false">F18-F20</f>
        <v>0</v>
      </c>
      <c r="G21" s="66" t="n">
        <f aca="false">G18-G20</f>
        <v>0</v>
      </c>
      <c r="I21" s="6" t="s">
        <v>1438</v>
      </c>
    </row>
    <row r="22" customFormat="false" ht="15" hidden="false" customHeight="false" outlineLevel="1" collapsed="false">
      <c r="A22" s="3" t="s">
        <v>1439</v>
      </c>
      <c r="B22" s="11" t="s">
        <v>63</v>
      </c>
      <c r="C22" s="66" t="n">
        <f aca="false">MAX(0,C16-C18)</f>
        <v>13.7170517424922</v>
      </c>
      <c r="D22" s="66" t="n">
        <f aca="false">MAX(0,D16-D18)</f>
        <v>39.4423103130834</v>
      </c>
      <c r="E22" s="66" t="n">
        <f aca="false">MAX(0,E16-E18)</f>
        <v>55.0106536845765</v>
      </c>
      <c r="F22" s="66" t="n">
        <f aca="false">MAX(0,F16-F18)</f>
        <v>70.6483184758374</v>
      </c>
      <c r="G22" s="66" t="n">
        <f aca="false">MAX(0,G16-G18)</f>
        <v>86.3190360236892</v>
      </c>
      <c r="I22" s="6" t="s">
        <v>1440</v>
      </c>
    </row>
    <row r="23" customFormat="false" ht="15" hidden="false" customHeight="false" outlineLevel="1" collapsed="false">
      <c r="A23" s="3" t="s">
        <v>218</v>
      </c>
      <c r="B23" s="11" t="s">
        <v>42</v>
      </c>
      <c r="C23" s="53" t="n">
        <f aca="false">IF(輸入與假設!$C$31="mw",1,輸入與假設!C$40)</f>
        <v>1</v>
      </c>
      <c r="D23" s="53" t="n">
        <f aca="false">IF(輸入與假設!$C$31="mw",1,輸入與假設!D$40)</f>
        <v>1</v>
      </c>
      <c r="E23" s="53" t="n">
        <f aca="false">IF(輸入與假設!$C$31="mw",1,輸入與假設!E$40)</f>
        <v>1</v>
      </c>
      <c r="F23" s="53" t="n">
        <f aca="false">IF(輸入與假設!$C$31="mw",1,輸入與假設!F$40)</f>
        <v>1</v>
      </c>
      <c r="G23" s="53" t="n">
        <f aca="false">IF(輸入與假設!$C$31="mw",1,輸入與假設!G$40)</f>
        <v>1</v>
      </c>
      <c r="I23" s="11" t="s">
        <v>1441</v>
      </c>
    </row>
    <row r="24" customFormat="false" ht="15" hidden="false" customHeight="false" outlineLevel="1" collapsed="false">
      <c r="A24" s="3" t="s">
        <v>1442</v>
      </c>
      <c r="B24" s="11" t="s">
        <v>63</v>
      </c>
      <c r="C24" s="66" t="n">
        <f aca="false">C22*C23</f>
        <v>13.7170517424922</v>
      </c>
      <c r="D24" s="66" t="n">
        <f aca="false">D22*D23</f>
        <v>39.4423103130834</v>
      </c>
      <c r="E24" s="66" t="n">
        <f aca="false">E22*E23</f>
        <v>55.0106536845765</v>
      </c>
      <c r="F24" s="66" t="n">
        <f aca="false">F22*F23</f>
        <v>70.6483184758374</v>
      </c>
      <c r="G24" s="66" t="n">
        <f aca="false">G22*G23</f>
        <v>86.3190360236892</v>
      </c>
      <c r="I24" s="6" t="s">
        <v>1443</v>
      </c>
    </row>
    <row r="25" customFormat="false" ht="15" hidden="false" customHeight="false" outlineLevel="1" collapsed="false">
      <c r="A25" s="3" t="s">
        <v>1444</v>
      </c>
      <c r="B25" s="11" t="s">
        <v>63</v>
      </c>
      <c r="C25" s="66" t="n">
        <f aca="false">MAX(0,C16-C21-C24)</f>
        <v>0</v>
      </c>
      <c r="D25" s="66" t="n">
        <f aca="false">MAX(0,D16-D21-D24)</f>
        <v>0</v>
      </c>
      <c r="E25" s="66" t="n">
        <f aca="false">MAX(0,E16-E21-E24)</f>
        <v>0</v>
      </c>
      <c r="F25" s="66" t="n">
        <f aca="false">MAX(0,F16-F21-F24)</f>
        <v>0</v>
      </c>
      <c r="G25" s="66" t="n">
        <f aca="false">MAX(0,G16-G21-G24)</f>
        <v>0</v>
      </c>
      <c r="I25" s="6" t="s">
        <v>1445</v>
      </c>
    </row>
    <row r="26" customFormat="false" ht="15" hidden="false" customHeight="false" outlineLevel="1" collapsed="false">
      <c r="A26" s="3" t="s">
        <v>1446</v>
      </c>
      <c r="B26" s="11" t="s">
        <v>63</v>
      </c>
      <c r="C26" s="42" t="n">
        <f aca="false">C21+C24</f>
        <v>13.7170517424922</v>
      </c>
      <c r="D26" s="42" t="n">
        <f aca="false">D21+D24</f>
        <v>39.4423103130834</v>
      </c>
      <c r="E26" s="42" t="n">
        <f aca="false">E21+E24</f>
        <v>55.0106536845765</v>
      </c>
      <c r="F26" s="42" t="n">
        <f aca="false">F21+F24</f>
        <v>70.6483184758374</v>
      </c>
      <c r="G26" s="42" t="n">
        <f aca="false">G21+G24</f>
        <v>86.3190360236892</v>
      </c>
      <c r="I26" s="6" t="s">
        <v>1447</v>
      </c>
    </row>
    <row r="27" customFormat="false" ht="15" hidden="false" customHeight="false" outlineLevel="1" collapsed="false">
      <c r="A27" s="3" t="s">
        <v>1448</v>
      </c>
      <c r="B27" s="11" t="s">
        <v>63</v>
      </c>
      <c r="C27" s="66" t="n">
        <f aca="false">C26-C13*輸入與假設!C$39*輸入與假設!$C$32*輸入與假設!C$38*C7</f>
        <v>0</v>
      </c>
      <c r="D27" s="66" t="n">
        <f aca="false">D26-D13*輸入與假設!D$39*輸入與假設!$C$32*輸入與假設!D$38*D7</f>
        <v>0</v>
      </c>
      <c r="E27" s="66" t="n">
        <f aca="false">E26-E13*輸入與假設!E$39*輸入與假設!$C$32*輸入與假設!E$38*E7</f>
        <v>0</v>
      </c>
      <c r="F27" s="66" t="n">
        <f aca="false">F26-F13*輸入與假設!F$39*輸入與假設!$C$32*輸入與假設!F$38*F7</f>
        <v>0</v>
      </c>
      <c r="G27" s="66" t="n">
        <f aca="false">G26-G13*輸入與假設!G$39*輸入與假設!$C$32*輸入與假設!G$38*G7</f>
        <v>0</v>
      </c>
      <c r="I27" s="11" t="s">
        <v>1449</v>
      </c>
    </row>
    <row r="28" customFormat="false" ht="15" hidden="false" customHeight="false" outlineLevel="1" collapsed="false">
      <c r="A28" s="3" t="s">
        <v>1450</v>
      </c>
      <c r="B28" s="11" t="s">
        <v>42</v>
      </c>
      <c r="C28" s="67" t="n">
        <v>1</v>
      </c>
      <c r="D28" s="67" t="n">
        <v>1</v>
      </c>
      <c r="E28" s="67" t="n">
        <v>1</v>
      </c>
      <c r="F28" s="67" t="n">
        <v>0.5</v>
      </c>
      <c r="G28" s="67" t="n">
        <v>0</v>
      </c>
      <c r="I28" s="11" t="s">
        <v>1451</v>
      </c>
    </row>
    <row r="29" customFormat="false" ht="15" hidden="false" customHeight="false" outlineLevel="1" collapsed="false">
      <c r="A29" s="3" t="s">
        <v>1452</v>
      </c>
      <c r="B29" s="11" t="s">
        <v>63</v>
      </c>
      <c r="C29" s="66" t="n">
        <f aca="false">C26*C28</f>
        <v>13.7170517424922</v>
      </c>
      <c r="D29" s="66" t="n">
        <f aca="false">D26*D28</f>
        <v>39.4423103130834</v>
      </c>
      <c r="E29" s="66" t="n">
        <f aca="false">E26*E28</f>
        <v>55.0106536845765</v>
      </c>
      <c r="F29" s="66" t="n">
        <f aca="false">F26*F28</f>
        <v>35.3241592379187</v>
      </c>
      <c r="G29" s="66" t="n">
        <f aca="false">G26*G28</f>
        <v>0</v>
      </c>
      <c r="I29" s="6" t="s">
        <v>1453</v>
      </c>
    </row>
    <row r="30" customFormat="false" ht="15" hidden="false" customHeight="false" outlineLevel="1" collapsed="false">
      <c r="A30" s="4" t="s">
        <v>1454</v>
      </c>
      <c r="B30" s="11" t="s">
        <v>63</v>
      </c>
      <c r="C30" s="39" t="n">
        <f aca="false">輸入與假設!$C$466</f>
        <v>229.692</v>
      </c>
      <c r="D30" s="39" t="n">
        <f aca="false">0</f>
        <v>0</v>
      </c>
      <c r="E30" s="39" t="n">
        <f aca="false">0</f>
        <v>0</v>
      </c>
      <c r="F30" s="39" t="n">
        <f aca="false">0</f>
        <v>0</v>
      </c>
      <c r="G30" s="39" t="n">
        <f aca="false">0</f>
        <v>0</v>
      </c>
      <c r="I30" s="11" t="s">
        <v>1455</v>
      </c>
    </row>
    <row r="31" customFormat="false" ht="15" hidden="false" customHeight="false" outlineLevel="1" collapsed="false">
      <c r="A31" s="4" t="s">
        <v>1456</v>
      </c>
      <c r="B31" s="11" t="s">
        <v>63</v>
      </c>
      <c r="C31" s="71" t="n">
        <f aca="false">C30+C26+輸入與假設!C$43+輸入與假設!C$229</f>
        <v>492.268310257</v>
      </c>
      <c r="D31" s="42" t="n">
        <f aca="false">D30+D26+輸入與假設!D$43+輸入與假設!D$229</f>
        <v>596.991447849945</v>
      </c>
      <c r="E31" s="42" t="n">
        <f aca="false">E30+E26+輸入與假設!E$43+輸入與假設!E$229</f>
        <v>689.846491241952</v>
      </c>
      <c r="F31" s="42" t="n">
        <f aca="false">F30+F26+輸入與假設!F$43+輸入與假設!F$229</f>
        <v>775.292853760964</v>
      </c>
      <c r="G31" s="42" t="n">
        <f aca="false">G30+G26+輸入與假設!G$43+輸入與假設!G$229</f>
        <v>845.755903872686</v>
      </c>
      <c r="I31" s="11" t="s">
        <v>1457</v>
      </c>
    </row>
    <row r="32" customFormat="false" ht="15" hidden="false" customHeight="false" outlineLevel="0" collapsed="false">
      <c r="A32" s="52" t="s">
        <v>1458</v>
      </c>
      <c r="B32" s="8"/>
      <c r="C32" s="8"/>
      <c r="D32" s="8"/>
      <c r="E32" s="8"/>
      <c r="F32" s="8"/>
      <c r="G32" s="8"/>
      <c r="H32" s="8"/>
    </row>
    <row r="33" customFormat="false" ht="15" hidden="false" customHeight="false" outlineLevel="1" collapsed="false">
      <c r="A33" s="3" t="s">
        <v>220</v>
      </c>
      <c r="B33" s="11" t="s">
        <v>42</v>
      </c>
      <c r="C33" s="53" t="n">
        <f aca="false">輸入與假設!C$41</f>
        <v>0</v>
      </c>
      <c r="D33" s="53" t="n">
        <f aca="false">輸入與假設!D$41</f>
        <v>0</v>
      </c>
      <c r="E33" s="53" t="n">
        <f aca="false">輸入與假設!E$41</f>
        <v>0</v>
      </c>
      <c r="F33" s="53" t="n">
        <f aca="false">輸入與假設!F$41</f>
        <v>0</v>
      </c>
      <c r="G33" s="53" t="n">
        <f aca="false">輸入與假設!G$41</f>
        <v>0</v>
      </c>
    </row>
    <row r="34" customFormat="false" ht="15" hidden="false" customHeight="false" outlineLevel="1" collapsed="false">
      <c r="A34" s="3" t="s">
        <v>222</v>
      </c>
      <c r="B34" s="11" t="s">
        <v>42</v>
      </c>
      <c r="C34" s="53" t="n">
        <f aca="false">輸入與假設!C$42</f>
        <v>0.5</v>
      </c>
      <c r="D34" s="53" t="n">
        <f aca="false">輸入與假設!D$42</f>
        <v>0.5</v>
      </c>
      <c r="E34" s="53" t="n">
        <f aca="false">輸入與假設!E$42</f>
        <v>0.5</v>
      </c>
      <c r="F34" s="53" t="n">
        <f aca="false">輸入與假設!F$42</f>
        <v>0.5</v>
      </c>
      <c r="G34" s="53" t="n">
        <f aca="false">輸入與假設!G$42</f>
        <v>0.5</v>
      </c>
    </row>
    <row r="35" customFormat="false" ht="15" hidden="false" customHeight="false" outlineLevel="1" collapsed="false">
      <c r="A35" s="3" t="s">
        <v>1459</v>
      </c>
      <c r="B35" s="11" t="s">
        <v>63</v>
      </c>
      <c r="C35" s="66" t="n">
        <f aca="false">C21*輸入與假設!C$41*(1-輸入與假設!C$42)</f>
        <v>0</v>
      </c>
      <c r="D35" s="66" t="n">
        <f aca="false">D21*輸入與假設!D$41*(1-輸入與假設!D$42)</f>
        <v>0</v>
      </c>
      <c r="E35" s="66" t="n">
        <f aca="false">E21*輸入與假設!E$41*(1-輸入與假設!E$42)</f>
        <v>0</v>
      </c>
      <c r="F35" s="66" t="n">
        <f aca="false">F21*輸入與假設!F$41*(1-輸入與假設!F$42)</f>
        <v>0</v>
      </c>
      <c r="G35" s="66" t="n">
        <f aca="false">G21*輸入與假設!G$41*(1-輸入與假設!G$42)</f>
        <v>0</v>
      </c>
      <c r="I35" s="6" t="s">
        <v>1460</v>
      </c>
    </row>
    <row r="36" customFormat="false" ht="15" hidden="false" customHeight="false" outlineLevel="1" collapsed="false">
      <c r="A36" s="3" t="s">
        <v>1461</v>
      </c>
      <c r="B36" s="11" t="s">
        <v>63</v>
      </c>
      <c r="C36" s="66" t="n">
        <f aca="false">C21-C35</f>
        <v>0</v>
      </c>
      <c r="D36" s="66" t="n">
        <f aca="false">D21-D35</f>
        <v>0</v>
      </c>
      <c r="E36" s="66" t="n">
        <f aca="false">E21-E35</f>
        <v>0</v>
      </c>
      <c r="F36" s="66" t="n">
        <f aca="false">F21-F35</f>
        <v>0</v>
      </c>
      <c r="G36" s="66" t="n">
        <f aca="false">G21-G35</f>
        <v>0</v>
      </c>
    </row>
    <row r="37" customFormat="false" ht="15" hidden="false" customHeight="false" outlineLevel="1" collapsed="false">
      <c r="A37" s="4" t="s">
        <v>1462</v>
      </c>
      <c r="B37" s="11" t="s">
        <v>42</v>
      </c>
      <c r="C37" s="53" t="n">
        <f aca="false">輸入與假設!C$239</f>
        <v>0.810926562624555</v>
      </c>
      <c r="D37" s="53" t="n">
        <f aca="false">輸入與假設!D$239</f>
        <v>0.814439962744762</v>
      </c>
      <c r="E37" s="53" t="n">
        <f aca="false">輸入與假設!E$239</f>
        <v>0.816204260427869</v>
      </c>
      <c r="F37" s="53" t="n">
        <f aca="false">輸入與假設!F$239</f>
        <v>0.817256461549019</v>
      </c>
      <c r="G37" s="53" t="n">
        <f aca="false">輸入與假設!G$239</f>
        <v>0.817955291657349</v>
      </c>
      <c r="I37" s="6" t="s">
        <v>1463</v>
      </c>
    </row>
    <row r="38" customFormat="false" ht="15" hidden="false" customHeight="false" outlineLevel="1" collapsed="false">
      <c r="A38" s="3" t="s">
        <v>1464</v>
      </c>
      <c r="B38" s="11" t="s">
        <v>63</v>
      </c>
      <c r="C38" s="66" t="n">
        <f aca="false">C26+輸入與假設!C$43</f>
        <v>13.7170517424922</v>
      </c>
      <c r="D38" s="66" t="n">
        <f aca="false">D26+輸入與假設!D$43</f>
        <v>39.4423103130834</v>
      </c>
      <c r="E38" s="66" t="n">
        <f aca="false">E26+輸入與假設!E$43</f>
        <v>55.0106536845765</v>
      </c>
      <c r="F38" s="66" t="n">
        <f aca="false">F26+輸入與假設!F$43</f>
        <v>70.6483184758374</v>
      </c>
      <c r="G38" s="66" t="n">
        <f aca="false">G26+輸入與假設!G$43</f>
        <v>86.3190360236892</v>
      </c>
    </row>
    <row r="39" customFormat="false" ht="15" hidden="false" customHeight="false" outlineLevel="1" collapsed="false">
      <c r="A39" s="4" t="s">
        <v>1465</v>
      </c>
      <c r="B39" s="11" t="s">
        <v>42</v>
      </c>
      <c r="C39" s="72" t="n">
        <f aca="false">輸入與假設!C$239</f>
        <v>0.810926562624555</v>
      </c>
      <c r="D39" s="72" t="n">
        <f aca="false">輸入與假設!D$239</f>
        <v>0.814439962744762</v>
      </c>
      <c r="E39" s="72" t="n">
        <f aca="false">輸入與假設!E$239</f>
        <v>0.816204260427869</v>
      </c>
      <c r="F39" s="72" t="n">
        <f aca="false">輸入與假設!F$239</f>
        <v>0.817256461549019</v>
      </c>
      <c r="G39" s="72" t="n">
        <f aca="false">輸入與假設!G$239</f>
        <v>0.817955291657349</v>
      </c>
      <c r="I39" s="6" t="s">
        <v>1466</v>
      </c>
    </row>
    <row r="40" customFormat="false" ht="15" hidden="false" customHeight="false" outlineLevel="1" collapsed="false">
      <c r="A40" s="4" t="s">
        <v>1467</v>
      </c>
      <c r="B40" s="11" t="s">
        <v>63</v>
      </c>
      <c r="C40" s="42" t="n">
        <f aca="false">C36*C39</f>
        <v>0</v>
      </c>
      <c r="D40" s="42" t="n">
        <f aca="false">D36*D39</f>
        <v>0</v>
      </c>
      <c r="E40" s="42" t="n">
        <f aca="false">E36*E39</f>
        <v>0</v>
      </c>
      <c r="F40" s="42" t="n">
        <f aca="false">F36*F39</f>
        <v>0</v>
      </c>
      <c r="G40" s="42" t="n">
        <f aca="false">G36*G39</f>
        <v>0</v>
      </c>
      <c r="I40" s="11" t="s">
        <v>1468</v>
      </c>
    </row>
    <row r="41" customFormat="false" ht="15" hidden="false" customHeight="false" outlineLevel="1" collapsed="false">
      <c r="A41" s="3" t="s">
        <v>1469</v>
      </c>
      <c r="B41" s="11" t="s">
        <v>63</v>
      </c>
      <c r="C41" s="66" t="n">
        <f aca="false">C24*(1-輸入與假設!C$41*(1-輸入與假設!C$42))*C39</f>
        <v>11.1235216188824</v>
      </c>
      <c r="D41" s="66" t="n">
        <f aca="false">D24*(1-輸入與假設!D$41*(1-輸入與假設!D$42))*D39</f>
        <v>32.123393741955</v>
      </c>
      <c r="E41" s="66" t="n">
        <f aca="false">E24*(1-輸入與假設!E$41*(1-輸入與假設!E$42))*E39</f>
        <v>44.8999299062734</v>
      </c>
      <c r="F41" s="66" t="n">
        <f aca="false">F24*(1-輸入與假設!F$41*(1-輸入與假設!F$42))*F39</f>
        <v>57.7377947719511</v>
      </c>
      <c r="G41" s="66" t="n">
        <f aca="false">G24*(1-輸入與假設!G$41*(1-輸入與假設!G$42))*G39</f>
        <v>70.6051122863379</v>
      </c>
      <c r="I41" s="6" t="s">
        <v>1470</v>
      </c>
    </row>
    <row r="42" customFormat="false" ht="15" hidden="false" customHeight="false" outlineLevel="1" collapsed="false"/>
    <row r="43" customFormat="false" ht="15" hidden="false" customHeight="false" outlineLevel="1" collapsed="false">
      <c r="A43" s="2" t="s">
        <v>1471</v>
      </c>
    </row>
    <row r="44" customFormat="false" ht="15" hidden="false" customHeight="false" outlineLevel="1" collapsed="false">
      <c r="A44" s="6" t="s">
        <v>1472</v>
      </c>
    </row>
    <row r="46" customFormat="false" ht="15" hidden="false" customHeight="false" outlineLevel="0" collapsed="false">
      <c r="A46" s="52" t="s">
        <v>1473</v>
      </c>
      <c r="B46" s="8"/>
      <c r="C46" s="8"/>
      <c r="D46" s="8"/>
      <c r="E46" s="8"/>
      <c r="F46" s="8"/>
      <c r="G46" s="8"/>
      <c r="H46" s="8"/>
    </row>
    <row r="47" customFormat="false" ht="15" hidden="false" customHeight="false" outlineLevel="1" collapsed="false">
      <c r="A47" s="3" t="s">
        <v>1474</v>
      </c>
      <c r="B47" s="6" t="s">
        <v>850</v>
      </c>
      <c r="C47" s="25" t="n">
        <v>0</v>
      </c>
      <c r="I47" s="11" t="s">
        <v>1475</v>
      </c>
    </row>
    <row r="48" customFormat="false" ht="15" hidden="false" customHeight="false" outlineLevel="1" collapsed="false">
      <c r="A48" s="3" t="s">
        <v>1476</v>
      </c>
      <c r="B48" s="6" t="s">
        <v>850</v>
      </c>
      <c r="C48" s="25" t="n">
        <v>0</v>
      </c>
      <c r="I48" s="11" t="s">
        <v>1475</v>
      </c>
    </row>
    <row r="49" customFormat="false" ht="15" hidden="false" customHeight="false" outlineLevel="1" collapsed="false">
      <c r="A49" s="3" t="s">
        <v>1477</v>
      </c>
      <c r="B49" s="6" t="s">
        <v>850</v>
      </c>
      <c r="C49" s="25" t="n">
        <v>0</v>
      </c>
      <c r="I49" s="11" t="s">
        <v>1475</v>
      </c>
    </row>
    <row r="50" customFormat="false" ht="15" hidden="false" customHeight="false" outlineLevel="1" collapsed="false">
      <c r="A50" s="3" t="s">
        <v>1478</v>
      </c>
      <c r="B50" s="6" t="s">
        <v>850</v>
      </c>
      <c r="C50" s="41" t="n">
        <f aca="false">CHOOSE(輸入與假設!$C$5,運營_產能與收入!$C$47,運營_產能與收入!$C$48,運營_產能與收入!$C$49)</f>
        <v>0</v>
      </c>
      <c r="I50" s="6" t="s">
        <v>1479</v>
      </c>
    </row>
    <row r="51" customFormat="false" ht="15" hidden="false" customHeight="false" outlineLevel="1" collapsed="false">
      <c r="A51" s="3" t="s">
        <v>1480</v>
      </c>
      <c r="B51" s="6" t="s">
        <v>182</v>
      </c>
      <c r="C51" s="66" t="n">
        <f aca="false">SUM($C$7:C7)</f>
        <v>0.5</v>
      </c>
      <c r="D51" s="66" t="n">
        <f aca="false">SUM($C$7:D7)</f>
        <v>1.5</v>
      </c>
      <c r="E51" s="66" t="n">
        <f aca="false">SUM($C$7:E7)</f>
        <v>2.5</v>
      </c>
      <c r="F51" s="66" t="n">
        <f aca="false">SUM($C$7:F7)</f>
        <v>3.5</v>
      </c>
      <c r="G51" s="66" t="n">
        <f aca="false">SUM($C$7:G7)</f>
        <v>4.5</v>
      </c>
      <c r="I51" s="6" t="s">
        <v>1481</v>
      </c>
    </row>
    <row r="52" customFormat="false" ht="15" hidden="false" customHeight="false" outlineLevel="1" collapsed="false">
      <c r="A52" s="3" t="s">
        <v>1482</v>
      </c>
      <c r="B52" s="11" t="s">
        <v>63</v>
      </c>
      <c r="C52" s="66" t="n">
        <f aca="false">SUM(輸入與假設!$C$288:C$288)</f>
        <v>119.402</v>
      </c>
      <c r="D52" s="66" t="n">
        <f aca="false">SUM(輸入與假設!$C$288:D$288)</f>
        <v>337.928551448861</v>
      </c>
      <c r="E52" s="66" t="n">
        <f aca="false">SUM(輸入與假設!$C$288:E$288)</f>
        <v>564.98709371053</v>
      </c>
      <c r="F52" s="66" t="n">
        <f aca="false">SUM(輸入與假設!$C$288:F$288)</f>
        <v>799.234493856669</v>
      </c>
      <c r="G52" s="66" t="n">
        <f aca="false">SUM(輸入與假設!$C$288:G$288)</f>
        <v>1038.39953269795</v>
      </c>
      <c r="I52" s="11" t="s">
        <v>1483</v>
      </c>
    </row>
    <row r="53" customFormat="false" ht="15" hidden="false" customHeight="false" outlineLevel="1" collapsed="false">
      <c r="A53" s="3" t="s">
        <v>1484</v>
      </c>
      <c r="B53" s="11" t="s">
        <v>63</v>
      </c>
      <c r="C53" s="66" t="n">
        <f aca="false">IF($C$50&lt;=0,$C$52,0+($C$52-0)*MAX(0,MIN(1,($C$51-$C$50/12-0)/$C$7))+($D$52-$C$52)*MAX(0,MIN(1,($C$51-$C$50/12-$C$51)/$D$7))+($E$52-$D$52)*MAX(0,MIN(1,($C$51-$C$50/12-$D$51)/$E$7))+($F$52-$E$52)*MAX(0,MIN(1,($C$51-$C$50/12-$E$51)/$F$7))+($G$52-$F$52)*MAX(0,MIN(1,($C$51-$C$50/12-$F$51)/$G$7)))</f>
        <v>119.402</v>
      </c>
      <c r="D53" s="66" t="n">
        <f aca="false">IF($C$50&lt;=0,$D$52,0+($C$52-0)*MAX(0,MIN(1,($D$51-$C$50/12-0)/$C$7))+($D$52-$C$52)*MAX(0,MIN(1,($D$51-$C$50/12-$C$51)/$D$7))+($E$52-$D$52)*MAX(0,MIN(1,($D$51-$C$50/12-$D$51)/$E$7))+($F$52-$E$52)*MAX(0,MIN(1,($D$51-$C$50/12-$E$51)/$F$7))+($G$52-$F$52)*MAX(0,MIN(1,($D$51-$C$50/12-$F$51)/$G$7)))</f>
        <v>337.928551448861</v>
      </c>
      <c r="E53" s="66" t="n">
        <f aca="false">IF($C$50&lt;=0,$E$52,0+($C$52-0)*MAX(0,MIN(1,($E$51-$C$50/12-0)/$C$7))+($D$52-$C$52)*MAX(0,MIN(1,($E$51-$C$50/12-$C$51)/$D$7))+($E$52-$D$52)*MAX(0,MIN(1,($E$51-$C$50/12-$D$51)/$E$7))+($F$52-$E$52)*MAX(0,MIN(1,($E$51-$C$50/12-$E$51)/$F$7))+($G$52-$F$52)*MAX(0,MIN(1,($E$51-$C$50/12-$F$51)/$G$7)))</f>
        <v>564.98709371053</v>
      </c>
      <c r="F53" s="66" t="n">
        <f aca="false">IF($C$50&lt;=0,$F$52,0+($C$52-0)*MAX(0,MIN(1,($F$51-$C$50/12-0)/$C$7))+($D$52-$C$52)*MAX(0,MIN(1,($F$51-$C$50/12-$C$51)/$D$7))+($E$52-$D$52)*MAX(0,MIN(1,($F$51-$C$50/12-$D$51)/$E$7))+($F$52-$E$52)*MAX(0,MIN(1,($F$51-$C$50/12-$E$51)/$F$7))+($G$52-$F$52)*MAX(0,MIN(1,($F$51-$C$50/12-$F$51)/$G$7)))</f>
        <v>799.234493856669</v>
      </c>
      <c r="G53" s="66" t="n">
        <f aca="false">IF($C$50&lt;=0,$G$52,0+($C$52-0)*MAX(0,MIN(1,($G$51-$C$50/12-0)/$C$7))+($D$52-$C$52)*MAX(0,MIN(1,($G$51-$C$50/12-$C$51)/$D$7))+($E$52-$D$52)*MAX(0,MIN(1,($G$51-$C$50/12-$D$51)/$E$7))+($F$52-$E$52)*MAX(0,MIN(1,($G$51-$C$50/12-$E$51)/$F$7))+($G$52-$F$52)*MAX(0,MIN(1,($G$51-$C$50/12-$F$51)/$G$7)))</f>
        <v>1038.39953269795</v>
      </c>
      <c r="I53" s="6" t="s">
        <v>1485</v>
      </c>
    </row>
    <row r="54" customFormat="false" ht="15" hidden="false" customHeight="false" outlineLevel="1" collapsed="false">
      <c r="A54" s="3" t="s">
        <v>1486</v>
      </c>
      <c r="B54" s="11" t="s">
        <v>63</v>
      </c>
      <c r="C54" s="66" t="n">
        <f aca="false">C53</f>
        <v>119.402</v>
      </c>
      <c r="D54" s="66" t="n">
        <f aca="false">D53-C53</f>
        <v>218.526551448861</v>
      </c>
      <c r="E54" s="66" t="n">
        <f aca="false">E53-D53</f>
        <v>227.058542261668</v>
      </c>
      <c r="F54" s="66" t="n">
        <f aca="false">F53-E53</f>
        <v>234.24740014614</v>
      </c>
      <c r="G54" s="66" t="n">
        <f aca="false">G53-F53</f>
        <v>239.165038841281</v>
      </c>
      <c r="I54" s="6" t="s">
        <v>1487</v>
      </c>
    </row>
    <row r="55" customFormat="false" ht="15" hidden="false" customHeight="false" outlineLevel="1" collapsed="false">
      <c r="A55" s="3" t="s">
        <v>1488</v>
      </c>
      <c r="B55" s="11" t="s">
        <v>63</v>
      </c>
      <c r="C55" s="42" t="n">
        <f aca="false">C52-C53</f>
        <v>0</v>
      </c>
      <c r="D55" s="42" t="n">
        <f aca="false">D52-D53</f>
        <v>0</v>
      </c>
      <c r="E55" s="42" t="n">
        <f aca="false">E52-E53</f>
        <v>0</v>
      </c>
      <c r="F55" s="42" t="n">
        <f aca="false">F52-F53</f>
        <v>0</v>
      </c>
      <c r="G55" s="42" t="n">
        <f aca="false">G52-G53</f>
        <v>0</v>
      </c>
      <c r="I55" s="6" t="s">
        <v>1489</v>
      </c>
    </row>
    <row r="56" customFormat="false" ht="15" hidden="false" customHeight="false" outlineLevel="1" collapsed="false">
      <c r="A56" s="3" t="s">
        <v>1490</v>
      </c>
      <c r="B56" s="11" t="s">
        <v>42</v>
      </c>
      <c r="C56" s="23" t="n">
        <v>0</v>
      </c>
      <c r="I56" s="6" t="s">
        <v>1491</v>
      </c>
    </row>
    <row r="57" customFormat="false" ht="15" hidden="false" customHeight="false" outlineLevel="1" collapsed="false">
      <c r="A57" s="3" t="s">
        <v>1492</v>
      </c>
      <c r="B57" s="11" t="s">
        <v>42</v>
      </c>
      <c r="C57" s="23" t="n">
        <v>0</v>
      </c>
      <c r="I57" s="6" t="s">
        <v>1493</v>
      </c>
    </row>
    <row r="58" customFormat="false" ht="15" hidden="false" customHeight="false" outlineLevel="1" collapsed="false">
      <c r="A58" s="3" t="s">
        <v>1494</v>
      </c>
      <c r="B58" s="11" t="s">
        <v>63</v>
      </c>
      <c r="C58" s="66" t="n">
        <f aca="false">輸入與假設!$C$19/輸入與假設!$C$21/輸入與假設!$C$22/4*((MIN(MAX(0,輸入與假設!C$270-(輸入與假設!$C$20+運營_產能與收入!$C$50/3)),輸入與假設!$C$21)*(MIN(MAX(0,輸入與假設!C$270-(輸入與假設!$C$20+運營_產能與收入!$C$50/3)),輸入與假設!$C$21)+1)/2+輸入與假設!$C$21*MAX(0,MAX(0,輸入與假設!C$270-(輸入與假設!$C$20+運營_產能與收入!$C$50/3))-輸入與假設!$C$21))-(MIN(MAX(0,0-(輸入與假設!$C$20+運營_產能與收入!$C$50/3)),輸入與假設!$C$21)*(MIN(MAX(0,0-(輸入與假設!$C$20+運營_產能與收入!$C$50/3)),輸入與假設!$C$21)+1)/2+輸入與假設!$C$21*MAX(0,MAX(0,0-(輸入與假設!$C$20+運營_產能與收入!$C$50/3))-輸入與假設!$C$21)))</f>
        <v>0.193636363636364</v>
      </c>
      <c r="D58" s="66" t="n">
        <f aca="false">輸入與假設!$C$19/輸入與假設!$C$21/輸入與假設!$C$22/4*((MIN(MAX(0,輸入與假設!D$270-(輸入與假設!$C$20+運營_產能與收入!$C$50/3)),輸入與假設!$C$21)*(MIN(MAX(0,輸入與假設!D$270-(輸入與假設!$C$20+運營_產能與收入!$C$50/3)),輸入與假設!$C$21)+1)/2+輸入與假設!$C$21*MAX(0,MAX(0,輸入與假設!D$270-(輸入與假設!$C$20+運營_產能與收入!$C$50/3))-輸入與假設!$C$21))-(MIN(MAX(0,輸入與假設!C$270-(輸入與假設!$C$20+運營_產能與收入!$C$50/3)),輸入與假設!$C$21)*(MIN(MAX(0,輸入與假設!C$270-(輸入與假設!$C$20+運營_產能與收入!$C$50/3)),輸入與假設!$C$21)+1)/2+輸入與假設!$C$21*MAX(0,MAX(0,輸入與假設!C$270-(輸入與假設!$C$20+運營_產能與收入!$C$50/3))-輸入與假設!$C$21)))</f>
        <v>1.16181818181818</v>
      </c>
      <c r="E58" s="66" t="n">
        <f aca="false">輸入與假設!$C$19/輸入與假設!$C$21/輸入與假設!$C$22/4*((MIN(MAX(0,輸入與假設!E$270-(輸入與假設!$C$20+運營_產能與收入!$C$50/3)),輸入與假設!$C$21)*(MIN(MAX(0,輸入與假設!E$270-(輸入與假設!$C$20+運營_產能與收入!$C$50/3)),輸入與假設!$C$21)+1)/2+輸入與假設!$C$21*MAX(0,MAX(0,輸入與假設!E$270-(輸入與假設!$C$20+運營_產能與收入!$C$50/3))-輸入與假設!$C$21))-(MIN(MAX(0,輸入與假設!D$270-(輸入與假設!$C$20+運營_產能與收入!$C$50/3)),輸入與假設!$C$21)*(MIN(MAX(0,輸入與假設!D$270-(輸入與假設!$C$20+運營_產能與收入!$C$50/3)),輸入與假設!$C$21)+1)/2+輸入與假設!$C$21*MAX(0,MAX(0,輸入與假設!D$270-(輸入與假設!$C$20+運營_產能與收入!$C$50/3))-輸入與假設!$C$21)))</f>
        <v>2.19454545454545</v>
      </c>
      <c r="F58" s="66" t="n">
        <f aca="false">輸入與假設!$C$19/輸入與假設!$C$21/輸入與假設!$C$22/4*((MIN(MAX(0,輸入與假設!F$270-(輸入與假設!$C$20+運營_產能與收入!$C$50/3)),輸入與假設!$C$21)*(MIN(MAX(0,輸入與假設!F$270-(輸入與假設!$C$20+運營_產能與收入!$C$50/3)),輸入與假設!$C$21)+1)/2+輸入與假設!$C$21*MAX(0,MAX(0,輸入與假設!F$270-(輸入與假設!$C$20+運營_產能與收入!$C$50/3))-輸入與假設!$C$21))-(MIN(MAX(0,輸入與假設!E$270-(輸入與假設!$C$20+運營_產能與收入!$C$50/3)),輸入與假設!$C$21)*(MIN(MAX(0,輸入與假設!E$270-(輸入與假設!$C$20+運營_產能與收入!$C$50/3)),輸入與假設!$C$21)+1)/2+輸入與假設!$C$21*MAX(0,MAX(0,輸入與假設!E$270-(輸入與假設!$C$20+運營_產能與收入!$C$50/3))-輸入與假設!$C$21)))</f>
        <v>3.22727272727273</v>
      </c>
      <c r="G58" s="66" t="n">
        <f aca="false">輸入與假設!$C$19/輸入與假設!$C$21/輸入與假設!$C$22/4*((MIN(MAX(0,輸入與假設!G$270-(輸入與假設!$C$20+運營_產能與收入!$C$50/3)),輸入與假設!$C$21)*(MIN(MAX(0,輸入與假設!G$270-(輸入與假設!$C$20+運營_產能與收入!$C$50/3)),輸入與假設!$C$21)+1)/2+輸入與假設!$C$21*MAX(0,MAX(0,輸入與假設!G$270-(輸入與假設!$C$20+運營_產能與收入!$C$50/3))-輸入與假設!$C$21))-(MIN(MAX(0,輸入與假設!F$270-(輸入與假設!$C$20+運營_產能與收入!$C$50/3)),輸入與假設!$C$21)*(MIN(MAX(0,輸入與假設!F$270-(輸入與假設!$C$20+運營_產能與收入!$C$50/3)),輸入與假設!$C$21)+1)/2+輸入與假設!$C$21*MAX(0,MAX(0,輸入與假設!F$270-(輸入與假設!$C$20+運營_產能與收入!$C$50/3))-輸入與假設!$C$21)))</f>
        <v>4.26</v>
      </c>
      <c r="I58" s="6" t="s">
        <v>1495</v>
      </c>
    </row>
    <row r="59" customFormat="false" ht="15" hidden="false" customHeight="false" outlineLevel="1" collapsed="false">
      <c r="A59" s="3" t="s">
        <v>1496</v>
      </c>
      <c r="B59" s="11" t="s">
        <v>63</v>
      </c>
      <c r="C59" s="42" t="n">
        <f aca="false">IF(OR(運營_產能與收入!$C$50&lt;=0,運營_產能與收入!$C$56&lt;=0),輸入與假設!C$271,(1-運營_產能與收入!$C$56)*輸入與假設!C$271+運營_產能與收入!$C$56*C58)</f>
        <v>0.193636363636364</v>
      </c>
      <c r="D59" s="42" t="n">
        <f aca="false">IF(OR(運營_產能與收入!$C$50&lt;=0,運營_產能與收入!$C$56&lt;=0),輸入與假設!D$271,(1-運營_產能與收入!$C$56)*輸入與假設!D$271+運營_產能與收入!$C$56*D58)</f>
        <v>1.16181818181818</v>
      </c>
      <c r="E59" s="42" t="n">
        <f aca="false">IF(OR(運營_產能與收入!$C$50&lt;=0,運營_產能與收入!$C$56&lt;=0),輸入與假設!E$271,(1-運營_產能與收入!$C$56)*輸入與假設!E$271+運營_產能與收入!$C$56*E58)</f>
        <v>2.19454545454545</v>
      </c>
      <c r="F59" s="42" t="n">
        <f aca="false">IF(OR(運營_產能與收入!$C$50&lt;=0,運營_產能與收入!$C$56&lt;=0),輸入與假設!F$271,(1-運營_產能與收入!$C$56)*輸入與假設!F$271+運營_產能與收入!$C$56*F58)</f>
        <v>3.22727272727273</v>
      </c>
      <c r="G59" s="42" t="n">
        <f aca="false">IF(OR(運營_產能與收入!$C$50&lt;=0,運營_產能與收入!$C$56&lt;=0),輸入與假設!G$271,(1-運營_產能與收入!$C$56)*輸入與假設!G$271+運營_產能與收入!$C$56*G58)</f>
        <v>4.26</v>
      </c>
      <c r="I59" s="6" t="s">
        <v>1497</v>
      </c>
    </row>
    <row r="60" customFormat="false" ht="15" hidden="false" customHeight="false" outlineLevel="1" collapsed="false">
      <c r="A60" s="3" t="s">
        <v>1498</v>
      </c>
      <c r="B60" s="11" t="s">
        <v>63</v>
      </c>
      <c r="C60" s="66" t="n">
        <f aca="false">IF(輸入與假設!$C$30=1,(輸入與假設!$C$29+C10)/2,C10)*輸入與假設!C$39*輸入與假設!$C$32*輸入與假設!C$38*C7</f>
        <v>13.7170517424922</v>
      </c>
      <c r="D60" s="66" t="n">
        <f aca="false">IF(輸入與假設!$C$30=1,(C10+D10)/2,D10)*輸入與假設!D$39*輸入與假設!$C$32*輸入與假設!D$38*D7</f>
        <v>39.4423103130834</v>
      </c>
      <c r="E60" s="66" t="n">
        <f aca="false">IF(輸入與假設!$C$30=1,(D10+E10)/2,E10)*輸入與假設!E$39*輸入與假設!$C$32*輸入與假設!E$38*E7</f>
        <v>55.0106536845765</v>
      </c>
      <c r="F60" s="66" t="n">
        <f aca="false">IF(輸入與假設!$C$30=1,(E10+F10)/2,F10)*輸入與假設!F$39*輸入與假設!$C$32*輸入與假設!F$38*F7</f>
        <v>70.6483184758374</v>
      </c>
      <c r="G60" s="66" t="n">
        <f aca="false">IF(輸入與假設!$C$30=1,(F10+G10)/2,G10)*輸入與假設!G$39*輸入與假設!$C$32*輸入與假設!G$38*G7</f>
        <v>86.3190360236892</v>
      </c>
      <c r="I60" s="6" t="s">
        <v>1499</v>
      </c>
    </row>
    <row r="61" customFormat="false" ht="15" hidden="false" customHeight="false" outlineLevel="1" collapsed="false">
      <c r="A61" s="3" t="s">
        <v>1500</v>
      </c>
      <c r="B61" s="11" t="s">
        <v>63</v>
      </c>
      <c r="C61" s="66" t="n">
        <f aca="false">IF(運營_產能與收入!$C$50&lt;=0,0,MAX(0,C60-C16))</f>
        <v>0</v>
      </c>
      <c r="D61" s="66" t="n">
        <f aca="false">IF(運營_產能與收入!$C$50&lt;=0,0,MAX(0,D60-D16))</f>
        <v>0</v>
      </c>
      <c r="E61" s="66" t="n">
        <f aca="false">IF(運營_產能與收入!$C$50&lt;=0,0,MAX(0,E60-E16))</f>
        <v>0</v>
      </c>
      <c r="F61" s="66" t="n">
        <f aca="false">IF(運營_產能與收入!$C$50&lt;=0,0,MAX(0,F60-F16))</f>
        <v>0</v>
      </c>
      <c r="G61" s="66" t="n">
        <f aca="false">IF(運營_產能與收入!$C$50&lt;=0,0,MAX(0,G60-G16))</f>
        <v>0</v>
      </c>
      <c r="I61" s="6" t="s">
        <v>1501</v>
      </c>
    </row>
    <row r="62" customFormat="false" ht="15" hidden="false" customHeight="false" outlineLevel="1" collapsed="false">
      <c r="A62" s="3" t="s">
        <v>1502</v>
      </c>
      <c r="B62" s="11" t="s">
        <v>63</v>
      </c>
      <c r="C62" s="66" t="n">
        <f aca="false">運營_產能與收入!$C$57*C61</f>
        <v>0</v>
      </c>
      <c r="D62" s="66" t="n">
        <f aca="false">運營_產能與收入!$C$57*D61</f>
        <v>0</v>
      </c>
      <c r="E62" s="66" t="n">
        <f aca="false">運營_產能與收入!$C$57*E61</f>
        <v>0</v>
      </c>
      <c r="F62" s="66" t="n">
        <f aca="false">運營_產能與收入!$C$57*F61</f>
        <v>0</v>
      </c>
      <c r="G62" s="66" t="n">
        <f aca="false">運營_產能與收入!$C$57*G61</f>
        <v>0</v>
      </c>
      <c r="I62" s="6" t="s">
        <v>1503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5C61"/>
    <outlinePr summaryBelow="0" summaryRight="1"/>
    <pageSetUpPr fitToPage="false"/>
  </sheetPr>
  <dimension ref="A1:K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30"/>
    <col collapsed="false" customWidth="true" hidden="false" outlineLevel="0" max="2" min="2" style="0" width="18"/>
    <col collapsed="false" customWidth="true" hidden="false" outlineLevel="0" max="4" min="3" style="0" width="10"/>
    <col collapsed="false" customWidth="true" hidden="false" outlineLevel="0" max="5" min="5" style="0" width="12"/>
    <col collapsed="false" customWidth="true" hidden="false" outlineLevel="0" max="6" min="6" style="0" width="8"/>
    <col collapsed="false" customWidth="true" hidden="false" outlineLevel="0" max="8" min="7" style="0" width="12"/>
    <col collapsed="false" customWidth="true" hidden="false" outlineLevel="0" max="9" min="9" style="0" width="18"/>
    <col collapsed="false" customWidth="true" hidden="false" outlineLevel="0" max="10" min="10" style="0" width="26"/>
    <col collapsed="false" customWidth="true" hidden="false" outlineLevel="0" max="11" min="11" style="0" width="60"/>
  </cols>
  <sheetData>
    <row r="1" customFormat="false" ht="21.6" hidden="false" customHeight="false" outlineLevel="0" collapsed="false">
      <c r="A1" s="5" t="s">
        <v>1504</v>
      </c>
    </row>
    <row r="2" customFormat="false" ht="15" hidden="false" customHeight="false" outlineLevel="0" collapsed="false">
      <c r="A2" s="6" t="s">
        <v>1505</v>
      </c>
    </row>
    <row r="4" customFormat="false" ht="17.15" hidden="false" customHeight="false" outlineLevel="0" collapsed="false">
      <c r="A4" s="14" t="s">
        <v>1506</v>
      </c>
      <c r="B4" s="14" t="s">
        <v>1507</v>
      </c>
      <c r="C4" s="14" t="s">
        <v>1508</v>
      </c>
      <c r="D4" s="14" t="s">
        <v>1509</v>
      </c>
      <c r="E4" s="14" t="s">
        <v>1510</v>
      </c>
      <c r="F4" s="14" t="s">
        <v>1511</v>
      </c>
      <c r="G4" s="14" t="s">
        <v>1512</v>
      </c>
      <c r="H4" s="14" t="s">
        <v>1513</v>
      </c>
      <c r="I4" s="14" t="s">
        <v>1514</v>
      </c>
      <c r="J4" s="14" t="s">
        <v>1515</v>
      </c>
      <c r="K4" s="14" t="s">
        <v>1043</v>
      </c>
    </row>
    <row r="5" customFormat="false" ht="15" hidden="false" customHeight="false" outlineLevel="0" collapsed="false">
      <c r="A5" s="4" t="s">
        <v>1516</v>
      </c>
      <c r="B5" s="11" t="s">
        <v>1517</v>
      </c>
      <c r="C5" s="21" t="n">
        <v>183</v>
      </c>
      <c r="D5" s="21" t="n">
        <v>183</v>
      </c>
      <c r="E5" s="73" t="s">
        <v>1518</v>
      </c>
      <c r="F5" s="73" t="s">
        <v>1518</v>
      </c>
      <c r="I5" s="11" t="s">
        <v>59</v>
      </c>
      <c r="J5" s="11" t="s">
        <v>1519</v>
      </c>
      <c r="K5" s="11" t="s">
        <v>1520</v>
      </c>
    </row>
    <row r="6" customFormat="false" ht="15" hidden="false" customHeight="false" outlineLevel="0" collapsed="false">
      <c r="A6" s="2" t="s">
        <v>1521</v>
      </c>
      <c r="C6" s="74" t="n">
        <f aca="false">SUM(C5:C5)</f>
        <v>183</v>
      </c>
      <c r="D6" s="74" t="n">
        <f aca="false">SUM(D5:D5)</f>
        <v>183</v>
      </c>
      <c r="E6" s="58" t="n">
        <f aca="false">SUM(E5:E5)</f>
        <v>0</v>
      </c>
      <c r="G6" s="58" t="n">
        <f aca="false">SUM(G5:G5)</f>
        <v>0</v>
      </c>
      <c r="H6" s="75" t="n">
        <f aca="false">IF(I6&gt;0,G6/I6*1000,0)</f>
        <v>0</v>
      </c>
      <c r="I6" s="50" t="n">
        <f aca="false">SUMPRODUCT(ISNUMBER(G5:G5)*C5:C5)</f>
        <v>0</v>
      </c>
      <c r="K6" s="6" t="s">
        <v>1522</v>
      </c>
    </row>
    <row r="8" customFormat="false" ht="15" hidden="false" customHeight="false" outlineLevel="0" collapsed="false">
      <c r="A8" s="52" t="s">
        <v>1523</v>
      </c>
      <c r="B8" s="8"/>
      <c r="C8" s="8"/>
      <c r="D8" s="8"/>
      <c r="E8" s="8"/>
      <c r="F8" s="8"/>
      <c r="G8" s="8"/>
      <c r="H8" s="8"/>
      <c r="I8" s="8"/>
      <c r="J8" s="8"/>
      <c r="K8" s="8"/>
    </row>
    <row r="9" customFormat="false" ht="15" hidden="false" customHeight="false" outlineLevel="1" collapsed="false">
      <c r="A9" s="3" t="s">
        <v>1524</v>
      </c>
      <c r="E9" s="24" t="n">
        <v>24.253</v>
      </c>
      <c r="K9" s="11" t="s">
        <v>1525</v>
      </c>
    </row>
    <row r="10" customFormat="false" ht="15" hidden="false" customHeight="false" outlineLevel="1" collapsed="false">
      <c r="A10" s="3" t="s">
        <v>1526</v>
      </c>
      <c r="E10" s="24" t="n">
        <v>85.2</v>
      </c>
      <c r="K10" s="11" t="s">
        <v>1527</v>
      </c>
    </row>
    <row r="11" customFormat="false" ht="15" hidden="false" customHeight="false" outlineLevel="1" collapsed="false">
      <c r="A11" s="3" t="s">
        <v>1528</v>
      </c>
      <c r="E11" s="24" t="n">
        <v>0</v>
      </c>
      <c r="K11" s="11" t="s">
        <v>1529</v>
      </c>
    </row>
    <row r="12" customFormat="false" ht="15" hidden="false" customHeight="false" outlineLevel="1" collapsed="false">
      <c r="A12" s="2" t="s">
        <v>1530</v>
      </c>
      <c r="E12" s="58" t="n">
        <f aca="false">SUM(E9:E11)</f>
        <v>109.453</v>
      </c>
      <c r="K12" s="6" t="s">
        <v>1531</v>
      </c>
    </row>
    <row r="13" customFormat="false" ht="15" hidden="false" customHeight="false" outlineLevel="1" collapsed="false">
      <c r="A13" s="3" t="s">
        <v>1532</v>
      </c>
      <c r="E13" s="57" t="n">
        <f aca="false">-E6</f>
        <v>-0</v>
      </c>
    </row>
    <row r="14" customFormat="false" ht="15" hidden="false" customHeight="false" outlineLevel="1" collapsed="false">
      <c r="A14" s="2" t="s">
        <v>1533</v>
      </c>
      <c r="E14" s="58" t="n">
        <f aca="false">E12+E13</f>
        <v>109.453</v>
      </c>
      <c r="K14" s="6" t="s">
        <v>1534</v>
      </c>
    </row>
    <row r="15" customFormat="false" ht="15" hidden="false" customHeight="false" outlineLevel="1" collapsed="false">
      <c r="A15" s="3" t="s">
        <v>1535</v>
      </c>
      <c r="E15" s="29" t="n">
        <f aca="false">IF(E12&lt;&gt;0,E14/E12,0)</f>
        <v>1</v>
      </c>
    </row>
    <row r="17" customFormat="false" ht="15" hidden="false" customHeight="false" outlineLevel="0" collapsed="false">
      <c r="A17" s="52" t="s">
        <v>1536</v>
      </c>
      <c r="B17" s="8"/>
      <c r="C17" s="8"/>
      <c r="D17" s="8"/>
      <c r="E17" s="8"/>
      <c r="F17" s="8"/>
      <c r="G17" s="8"/>
      <c r="H17" s="8"/>
      <c r="I17" s="8"/>
      <c r="J17" s="8"/>
      <c r="K17" s="8"/>
    </row>
    <row r="18" customFormat="false" ht="15" hidden="false" customHeight="false" outlineLevel="1" collapsed="false">
      <c r="A18" s="14" t="s">
        <v>57</v>
      </c>
      <c r="B18" s="14" t="s">
        <v>58</v>
      </c>
      <c r="C18" s="15" t="s">
        <v>59</v>
      </c>
      <c r="D18" s="15" t="s">
        <v>60</v>
      </c>
      <c r="E18" s="15" t="s">
        <v>61</v>
      </c>
      <c r="F18" s="15" t="s">
        <v>151</v>
      </c>
      <c r="G18" s="15" t="s">
        <v>152</v>
      </c>
    </row>
    <row r="19" customFormat="false" ht="15" hidden="false" customHeight="false" outlineLevel="1" collapsed="false">
      <c r="A19" s="3" t="s">
        <v>1537</v>
      </c>
      <c r="B19" s="11" t="s">
        <v>63</v>
      </c>
      <c r="C19" s="66" t="n">
        <f aca="false">各期收支!C16</f>
        <v>0.230313756363636</v>
      </c>
      <c r="D19" s="66" t="n">
        <f aca="false">各期收支!D16</f>
        <v>0.532882538181818</v>
      </c>
      <c r="E19" s="66" t="n">
        <f aca="false">各期收支!E16</f>
        <v>0.652555905454545</v>
      </c>
      <c r="F19" s="66" t="n">
        <f aca="false">各期收支!F16</f>
        <v>0.761229272727273</v>
      </c>
      <c r="G19" s="66" t="n">
        <f aca="false">各期收支!G16</f>
        <v>0.81990264</v>
      </c>
    </row>
    <row r="20" customFormat="false" ht="15" hidden="false" customHeight="false" outlineLevel="1" collapsed="false">
      <c r="A20" s="3" t="s">
        <v>1538</v>
      </c>
      <c r="B20" s="11" t="s">
        <v>155</v>
      </c>
      <c r="C20" s="68" t="n">
        <f aca="false">(輸入與假設!C$278+輸入與假設!C$36)/2</f>
        <v>1948.85</v>
      </c>
      <c r="D20" s="68" t="n">
        <f aca="false">(輸入與假設!D$278+輸入與假設!D$36)/2</f>
        <v>2970.4</v>
      </c>
      <c r="E20" s="68" t="n">
        <f aca="false">(輸入與假設!E$278+輸入與假設!E$36)/2</f>
        <v>4039.8</v>
      </c>
      <c r="F20" s="68" t="n">
        <f aca="false">(輸入與假設!F$278+輸入與假設!F$36)/2</f>
        <v>5109.2</v>
      </c>
      <c r="G20" s="68" t="n">
        <f aca="false">(輸入與假設!G$278+輸入與假設!G$36)/2</f>
        <v>6178.6</v>
      </c>
    </row>
    <row r="21" customFormat="false" ht="15" hidden="false" customHeight="false" outlineLevel="1" collapsed="false">
      <c r="A21" s="3" t="s">
        <v>205</v>
      </c>
      <c r="B21" s="6" t="s">
        <v>182</v>
      </c>
      <c r="C21" s="66" t="n">
        <f aca="false">輸入與假設!C$34</f>
        <v>0.5</v>
      </c>
      <c r="D21" s="66" t="n">
        <f aca="false">輸入與假設!D$34</f>
        <v>1</v>
      </c>
      <c r="E21" s="66" t="n">
        <f aca="false">輸入與假設!E$34</f>
        <v>1</v>
      </c>
      <c r="F21" s="66" t="n">
        <f aca="false">輸入與假設!F$34</f>
        <v>1</v>
      </c>
      <c r="G21" s="66" t="n">
        <f aca="false">輸入與假設!G$34</f>
        <v>1</v>
      </c>
    </row>
    <row r="22" customFormat="false" ht="15" hidden="false" customHeight="false" outlineLevel="1" collapsed="false">
      <c r="A22" s="2" t="s">
        <v>1539</v>
      </c>
      <c r="B22" s="11" t="s">
        <v>264</v>
      </c>
      <c r="C22" s="42" t="n">
        <f aca="false">C19/C21/C20*1000</f>
        <v>0.236358628281947</v>
      </c>
      <c r="D22" s="42" t="n">
        <f aca="false">D19/D21/D20*1000</f>
        <v>0.179397568738829</v>
      </c>
      <c r="E22" s="42" t="n">
        <f aca="false">E19/E21/E20*1000</f>
        <v>0.161531735594471</v>
      </c>
      <c r="F22" s="42" t="n">
        <f aca="false">F19/F21/F20*1000</f>
        <v>0.148991872059671</v>
      </c>
      <c r="G22" s="42" t="n">
        <f aca="false">G19/G21/G20*1000</f>
        <v>0.132700391674489</v>
      </c>
      <c r="K22" s="11" t="s">
        <v>1540</v>
      </c>
    </row>
    <row r="23" customFormat="false" ht="15" hidden="false" customHeight="false" outlineLevel="1" collapsed="false">
      <c r="A23" s="3" t="s">
        <v>1541</v>
      </c>
      <c r="C23" s="23" t="n">
        <v>1</v>
      </c>
      <c r="K23" s="6" t="s">
        <v>1542</v>
      </c>
    </row>
    <row r="24" customFormat="false" ht="15" hidden="false" customHeight="false" outlineLevel="1" collapsed="false">
      <c r="A24" s="3" t="s">
        <v>1543</v>
      </c>
      <c r="B24" s="11" t="s">
        <v>63</v>
      </c>
      <c r="C24" s="66" t="n">
        <f aca="false">C20*運營_站點!$H$6/1000*$C$23*C21</f>
        <v>0</v>
      </c>
      <c r="D24" s="66" t="n">
        <f aca="false">D20*運營_站點!$H$6/1000*$C$23*D21</f>
        <v>0</v>
      </c>
      <c r="E24" s="66" t="n">
        <f aca="false">E20*運營_站點!$H$6/1000*$C$23*E21</f>
        <v>0</v>
      </c>
      <c r="F24" s="66" t="n">
        <f aca="false">F20*運營_站點!$H$6/1000*$C$23*F21</f>
        <v>0</v>
      </c>
      <c r="G24" s="66" t="n">
        <f aca="false">G20*運營_站點!$H$6/1000*$C$23*G21</f>
        <v>0</v>
      </c>
      <c r="K24" s="6" t="s">
        <v>1544</v>
      </c>
    </row>
    <row r="25" customFormat="false" ht="15" hidden="false" customHeight="false" outlineLevel="1" collapsed="false">
      <c r="A25" s="2" t="s">
        <v>1545</v>
      </c>
      <c r="B25" s="11" t="s">
        <v>63</v>
      </c>
      <c r="C25" s="42" t="n">
        <f aca="false">C24-C19</f>
        <v>-0.230313756363636</v>
      </c>
      <c r="D25" s="42" t="n">
        <f aca="false">D24-D19</f>
        <v>-0.532882538181818</v>
      </c>
      <c r="E25" s="42" t="n">
        <f aca="false">E24-E19</f>
        <v>-0.652555905454545</v>
      </c>
      <c r="F25" s="42" t="n">
        <f aca="false">F24-F19</f>
        <v>-0.761229272727273</v>
      </c>
      <c r="G25" s="42" t="n">
        <f aca="false">G24-G19</f>
        <v>-0.81990264</v>
      </c>
      <c r="K25" s="6" t="s">
        <v>1546</v>
      </c>
    </row>
    <row r="26" customFormat="false" ht="15" hidden="false" customHeight="false" outlineLevel="1" collapsed="false">
      <c r="A26" s="2" t="s">
        <v>1547</v>
      </c>
      <c r="C26" s="75" t="n">
        <f aca="false">SUM(C25:G25)</f>
        <v>-2.99688411272727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5778"/>
    <outlinePr summaryBelow="0" summaryRight="1"/>
    <pageSetUpPr fitToPage="false"/>
  </sheetPr>
  <dimension ref="A1:I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38"/>
    <col collapsed="false" customWidth="true" hidden="false" outlineLevel="0" max="2" min="2" style="0" width="12"/>
    <col collapsed="false" customWidth="true" hidden="false" outlineLevel="0" max="8" min="3" style="0" width="13"/>
    <col collapsed="false" customWidth="true" hidden="false" outlineLevel="0" max="9" min="9" style="0" width="90"/>
  </cols>
  <sheetData>
    <row r="1" customFormat="false" ht="21.6" hidden="false" customHeight="false" outlineLevel="0" collapsed="false">
      <c r="A1" s="5" t="s">
        <v>1548</v>
      </c>
    </row>
    <row r="2" customFormat="false" ht="15" hidden="false" customHeight="false" outlineLevel="0" collapsed="false">
      <c r="A2" s="6" t="s">
        <v>1549</v>
      </c>
    </row>
    <row r="4" customFormat="false" ht="17.15" hidden="false" customHeight="false" outlineLevel="0" collapsed="false">
      <c r="A4" s="14" t="s">
        <v>1550</v>
      </c>
      <c r="B4" s="14" t="s">
        <v>1551</v>
      </c>
      <c r="C4" s="14" t="s">
        <v>1552</v>
      </c>
      <c r="D4" s="14" t="s">
        <v>1553</v>
      </c>
      <c r="E4" s="15" t="s">
        <v>1554</v>
      </c>
      <c r="F4" s="14" t="s">
        <v>1555</v>
      </c>
      <c r="I4" s="14" t="s">
        <v>956</v>
      </c>
    </row>
    <row r="5" customFormat="false" ht="15" hidden="false" customHeight="false" outlineLevel="0" collapsed="false">
      <c r="A5" s="4" t="s">
        <v>1556</v>
      </c>
      <c r="B5" s="6" t="s">
        <v>1557</v>
      </c>
      <c r="C5" s="11" t="s">
        <v>1558</v>
      </c>
      <c r="D5" s="23" t="n">
        <v>0.0223</v>
      </c>
      <c r="E5" s="24" t="n">
        <v>2</v>
      </c>
      <c r="F5" s="66" t="n">
        <f aca="false">D5*E5</f>
        <v>0.0446</v>
      </c>
      <c r="I5" s="11" t="s">
        <v>1559</v>
      </c>
    </row>
    <row r="6" customFormat="false" ht="15" hidden="false" customHeight="false" outlineLevel="0" collapsed="false">
      <c r="A6" s="4" t="s">
        <v>1560</v>
      </c>
      <c r="B6" s="6" t="s">
        <v>1557</v>
      </c>
      <c r="C6" s="11" t="s">
        <v>1561</v>
      </c>
      <c r="D6" s="23" t="n">
        <v>0.0163</v>
      </c>
      <c r="E6" s="24" t="n">
        <v>9</v>
      </c>
      <c r="F6" s="66" t="n">
        <f aca="false">D6*E6</f>
        <v>0.1467</v>
      </c>
      <c r="I6" s="11" t="s">
        <v>1562</v>
      </c>
    </row>
    <row r="7" customFormat="false" ht="15" hidden="false" customHeight="false" outlineLevel="0" collapsed="false">
      <c r="A7" s="4" t="s">
        <v>1563</v>
      </c>
      <c r="B7" s="6" t="s">
        <v>1557</v>
      </c>
      <c r="C7" s="11" t="s">
        <v>1564</v>
      </c>
      <c r="D7" s="23" t="n">
        <v>0.04895</v>
      </c>
      <c r="E7" s="24" t="n">
        <v>22.5</v>
      </c>
      <c r="F7" s="66" t="n">
        <f aca="false">D7*E7</f>
        <v>1.101375</v>
      </c>
      <c r="I7" s="11" t="s">
        <v>1565</v>
      </c>
    </row>
    <row r="8" customFormat="false" ht="15" hidden="false" customHeight="false" outlineLevel="0" collapsed="false">
      <c r="A8" s="4" t="s">
        <v>1566</v>
      </c>
      <c r="B8" s="6" t="s">
        <v>1557</v>
      </c>
      <c r="C8" s="11" t="s">
        <v>1567</v>
      </c>
      <c r="D8" s="23" t="n">
        <v>0.0354</v>
      </c>
      <c r="E8" s="24" t="n">
        <v>15.074</v>
      </c>
      <c r="F8" s="66" t="n">
        <f aca="false">D8*E8</f>
        <v>0.5336196</v>
      </c>
      <c r="I8" s="11" t="s">
        <v>1568</v>
      </c>
    </row>
    <row r="9" customFormat="false" ht="15" hidden="false" customHeight="false" outlineLevel="0" collapsed="false">
      <c r="A9" s="4" t="s">
        <v>1569</v>
      </c>
      <c r="B9" s="6" t="s">
        <v>1557</v>
      </c>
      <c r="C9" s="11" t="s">
        <v>1570</v>
      </c>
      <c r="D9" s="23" t="n">
        <v>0.048</v>
      </c>
      <c r="E9" s="24" t="n">
        <v>20</v>
      </c>
      <c r="F9" s="66" t="n">
        <f aca="false">D9*E9</f>
        <v>0.96</v>
      </c>
      <c r="I9" s="11" t="s">
        <v>1571</v>
      </c>
    </row>
    <row r="10" customFormat="false" ht="15" hidden="false" customHeight="false" outlineLevel="0" collapsed="false">
      <c r="A10" s="4" t="s">
        <v>1572</v>
      </c>
      <c r="B10" s="6" t="s">
        <v>1557</v>
      </c>
      <c r="C10" s="11" t="s">
        <v>1573</v>
      </c>
      <c r="D10" s="23" t="n">
        <v>0.0531</v>
      </c>
      <c r="E10" s="24" t="n">
        <v>7.263</v>
      </c>
      <c r="F10" s="66" t="n">
        <f aca="false">D10*E10</f>
        <v>0.3856653</v>
      </c>
      <c r="I10" s="11" t="s">
        <v>1574</v>
      </c>
    </row>
    <row r="11" customFormat="false" ht="15" hidden="false" customHeight="false" outlineLevel="0" collapsed="false">
      <c r="A11" s="4" t="s">
        <v>1575</v>
      </c>
      <c r="B11" s="6" t="s">
        <v>1557</v>
      </c>
      <c r="C11" s="11" t="s">
        <v>1576</v>
      </c>
      <c r="D11" s="23" t="n">
        <v>0.0106</v>
      </c>
      <c r="E11" s="24" t="n">
        <v>3.772</v>
      </c>
      <c r="F11" s="66" t="n">
        <f aca="false">D11*E11</f>
        <v>0.0399832</v>
      </c>
      <c r="I11" s="11" t="s">
        <v>1577</v>
      </c>
    </row>
    <row r="12" customFormat="false" ht="15" hidden="false" customHeight="false" outlineLevel="0" collapsed="false">
      <c r="A12" s="4" t="s">
        <v>1578</v>
      </c>
      <c r="B12" s="6" t="s">
        <v>1557</v>
      </c>
      <c r="C12" s="11" t="s">
        <v>1579</v>
      </c>
      <c r="D12" s="23" t="n">
        <v>0.039</v>
      </c>
      <c r="E12" s="24" t="n">
        <v>10.239</v>
      </c>
      <c r="F12" s="66" t="n">
        <f aca="false">D12*E12</f>
        <v>0.399321</v>
      </c>
      <c r="I12" s="11" t="s">
        <v>1580</v>
      </c>
    </row>
    <row r="13" customFormat="false" ht="15" hidden="false" customHeight="false" outlineLevel="0" collapsed="false">
      <c r="A13" s="4" t="s">
        <v>1581</v>
      </c>
      <c r="B13" s="6" t="s">
        <v>1557</v>
      </c>
      <c r="C13" s="11" t="s">
        <v>1582</v>
      </c>
      <c r="D13" s="23" t="n">
        <v>0.0435</v>
      </c>
      <c r="E13" s="24" t="n">
        <v>5.985</v>
      </c>
      <c r="F13" s="66" t="n">
        <f aca="false">D13*E13</f>
        <v>0.2603475</v>
      </c>
      <c r="I13" s="11" t="s">
        <v>1583</v>
      </c>
    </row>
    <row r="14" customFormat="false" ht="15" hidden="false" customHeight="false" outlineLevel="0" collapsed="false">
      <c r="A14" s="4" t="s">
        <v>1584</v>
      </c>
      <c r="B14" s="6" t="s">
        <v>1557</v>
      </c>
      <c r="C14" s="11" t="s">
        <v>1585</v>
      </c>
      <c r="D14" s="23" t="n">
        <v>0.0265</v>
      </c>
      <c r="E14" s="24" t="n">
        <v>3.566</v>
      </c>
      <c r="F14" s="66" t="n">
        <f aca="false">D14*E14</f>
        <v>0.094499</v>
      </c>
      <c r="I14" s="11" t="s">
        <v>1586</v>
      </c>
    </row>
    <row r="15" customFormat="false" ht="15" hidden="false" customHeight="false" outlineLevel="0" collapsed="false">
      <c r="A15" s="3" t="s">
        <v>1587</v>
      </c>
      <c r="B15" s="6" t="s">
        <v>1557</v>
      </c>
      <c r="C15" s="11" t="s">
        <v>1588</v>
      </c>
      <c r="D15" s="23" t="n">
        <v>0.059</v>
      </c>
      <c r="E15" s="24" t="n">
        <v>1.686</v>
      </c>
      <c r="F15" s="66" t="n">
        <f aca="false">D15*E15</f>
        <v>0.099474</v>
      </c>
      <c r="I15" s="11" t="s">
        <v>1589</v>
      </c>
    </row>
    <row r="16" customFormat="false" ht="15" hidden="false" customHeight="false" outlineLevel="0" collapsed="false">
      <c r="A16" s="2" t="s">
        <v>1590</v>
      </c>
      <c r="E16" s="58" t="n">
        <f aca="false">SUM(E5:E15)</f>
        <v>101.085</v>
      </c>
      <c r="F16" s="58" t="n">
        <f aca="false">SUM(F5:F15)</f>
        <v>4.0655846</v>
      </c>
      <c r="I16" s="6" t="s">
        <v>1591</v>
      </c>
    </row>
    <row r="17" customFormat="false" ht="15" hidden="false" customHeight="false" outlineLevel="0" collapsed="false">
      <c r="A17" s="2" t="s">
        <v>1592</v>
      </c>
      <c r="D17" s="76" t="n">
        <f aca="false">F16/E16</f>
        <v>0.0402194648068457</v>
      </c>
      <c r="I17" s="6" t="s">
        <v>1593</v>
      </c>
    </row>
    <row r="19" customFormat="false" ht="15" hidden="false" customHeight="false" outlineLevel="0" collapsed="false">
      <c r="A19" s="3" t="s">
        <v>1594</v>
      </c>
      <c r="D19" s="77" t="n">
        <v>0</v>
      </c>
      <c r="E19" s="24" t="n">
        <v>0</v>
      </c>
      <c r="F19" s="10" t="n">
        <f aca="false">D19*E19</f>
        <v>0</v>
      </c>
      <c r="I19" s="11" t="s">
        <v>1595</v>
      </c>
    </row>
    <row r="21" customFormat="false" ht="15" hidden="false" customHeight="false" outlineLevel="0" collapsed="false">
      <c r="A21" s="52" t="s">
        <v>1596</v>
      </c>
      <c r="B21" s="8"/>
      <c r="C21" s="8"/>
      <c r="D21" s="8"/>
      <c r="E21" s="8"/>
      <c r="F21" s="8"/>
      <c r="G21" s="8"/>
      <c r="H21" s="8"/>
    </row>
    <row r="22" customFormat="false" ht="17.15" hidden="false" customHeight="false" outlineLevel="1" collapsed="false">
      <c r="A22" s="14" t="s">
        <v>1597</v>
      </c>
      <c r="B22" s="14" t="s">
        <v>1552</v>
      </c>
      <c r="C22" s="14" t="s">
        <v>1598</v>
      </c>
      <c r="D22" s="14" t="s">
        <v>1599</v>
      </c>
      <c r="E22" s="14" t="s">
        <v>1600</v>
      </c>
      <c r="F22" s="14" t="s">
        <v>1601</v>
      </c>
      <c r="G22" s="14" t="s">
        <v>1602</v>
      </c>
      <c r="H22" s="14" t="s">
        <v>1603</v>
      </c>
      <c r="I22" s="14" t="s">
        <v>956</v>
      </c>
    </row>
    <row r="23" customFormat="false" ht="15" hidden="false" customHeight="false" outlineLevel="1" collapsed="false">
      <c r="A23" s="4" t="s">
        <v>1604</v>
      </c>
      <c r="B23" s="11" t="s">
        <v>1605</v>
      </c>
      <c r="C23" s="77" t="n">
        <v>0.0625</v>
      </c>
      <c r="D23" s="45" t="n">
        <v>19.25</v>
      </c>
      <c r="E23" s="35" t="n">
        <v>1</v>
      </c>
      <c r="F23" s="44" t="n">
        <v>352.56</v>
      </c>
      <c r="G23" s="68" t="n">
        <v>3</v>
      </c>
      <c r="H23" s="21" t="n">
        <v>1</v>
      </c>
      <c r="I23" s="6" t="s">
        <v>1606</v>
      </c>
    </row>
    <row r="24" customFormat="false" ht="15" hidden="false" customHeight="false" outlineLevel="1" collapsed="false">
      <c r="I24" s="6" t="s">
        <v>1607</v>
      </c>
    </row>
    <row r="25" customFormat="false" ht="15" hidden="false" customHeight="false" outlineLevel="1" collapsed="false"/>
    <row r="26" customFormat="false" ht="15" hidden="false" customHeight="false" outlineLevel="1" collapsed="false">
      <c r="A26" s="14" t="s">
        <v>1608</v>
      </c>
      <c r="C26" s="14" t="s">
        <v>1609</v>
      </c>
      <c r="D26" s="14" t="s">
        <v>1610</v>
      </c>
      <c r="E26" s="14" t="s">
        <v>1611</v>
      </c>
      <c r="F26" s="14" t="s">
        <v>1612</v>
      </c>
      <c r="G26" s="14" t="s">
        <v>1613</v>
      </c>
      <c r="H26" s="14" t="s">
        <v>1614</v>
      </c>
      <c r="I26" s="14" t="s">
        <v>1043</v>
      </c>
    </row>
    <row r="27" customFormat="false" ht="15" hidden="false" customHeight="false" outlineLevel="1" collapsed="false">
      <c r="A27" s="3" t="str">
        <f aca="false">A23</f>
        <v>6.25% 強制轉換特別股（A、B 系列，2026-06）</v>
      </c>
      <c r="C27" s="30" t="n">
        <f aca="false">D23*E23</f>
        <v>19.25</v>
      </c>
      <c r="D27" s="30" t="n">
        <f aca="false">D23/F23</f>
        <v>0.0546006353528477</v>
      </c>
      <c r="E27" s="55" t="n">
        <f aca="false">F23*E23</f>
        <v>352.56</v>
      </c>
      <c r="F27" s="68" t="n">
        <f aca="false">IF(OR(H23=1,E27&lt;輸入與假設!$C$332),1,0)</f>
        <v>1</v>
      </c>
      <c r="G27" s="68" t="n">
        <f aca="false">IF(OR(H23=1,E27&lt;輸入與假設!$C$355),1,0)</f>
        <v>1</v>
      </c>
      <c r="H27" s="68" t="n">
        <f aca="false">IF(OR(H23=1,E27&lt;評價_DCF與目標價!$C$87),1,0)</f>
        <v>1</v>
      </c>
    </row>
    <row r="28" customFormat="false" ht="15" hidden="false" customHeight="false" outlineLevel="1" collapsed="false">
      <c r="A28" s="2" t="s">
        <v>1615</v>
      </c>
      <c r="C28" s="78" t="n">
        <f aca="false">SUM(C27:C27)</f>
        <v>19.25</v>
      </c>
      <c r="D28" s="78" t="n">
        <f aca="false">SUM(D27:D27)</f>
        <v>0.0546006353528477</v>
      </c>
      <c r="I28" s="6" t="s">
        <v>1616</v>
      </c>
    </row>
    <row r="30" customFormat="false" ht="15" hidden="false" customHeight="false" outlineLevel="0" collapsed="false">
      <c r="A30" s="52" t="s">
        <v>1617</v>
      </c>
      <c r="B30" s="8"/>
      <c r="C30" s="8"/>
      <c r="D30" s="8"/>
      <c r="E30" s="8"/>
      <c r="F30" s="8"/>
      <c r="G30" s="8"/>
      <c r="H30" s="8"/>
    </row>
    <row r="31" customFormat="false" ht="15" hidden="false" customHeight="false" outlineLevel="1" collapsed="false">
      <c r="A31" s="14" t="s">
        <v>57</v>
      </c>
      <c r="B31" s="14" t="s">
        <v>58</v>
      </c>
      <c r="C31" s="28" t="s">
        <v>59</v>
      </c>
      <c r="D31" s="28" t="s">
        <v>60</v>
      </c>
      <c r="E31" s="28" t="s">
        <v>61</v>
      </c>
      <c r="F31" s="28" t="s">
        <v>151</v>
      </c>
      <c r="G31" s="28" t="s">
        <v>152</v>
      </c>
      <c r="I31" s="14" t="s">
        <v>1065</v>
      </c>
    </row>
    <row r="32" customFormat="false" ht="15" hidden="false" customHeight="false" outlineLevel="1" collapsed="false">
      <c r="A32" s="3" t="s">
        <v>1618</v>
      </c>
      <c r="B32" s="11" t="s">
        <v>63</v>
      </c>
      <c r="C32" s="66" t="n">
        <f aca="false">E16</f>
        <v>101.085</v>
      </c>
      <c r="D32" s="66" t="n">
        <f aca="false">C34</f>
        <v>99.085</v>
      </c>
      <c r="E32" s="66" t="n">
        <f aca="false">D34</f>
        <v>98.085</v>
      </c>
      <c r="F32" s="66" t="n">
        <f aca="false">E34</f>
        <v>95.409</v>
      </c>
      <c r="G32" s="66" t="n">
        <f aca="false">F34</f>
        <v>93.645</v>
      </c>
      <c r="I32" s="11" t="s">
        <v>1619</v>
      </c>
    </row>
    <row r="33" customFormat="false" ht="15" hidden="false" customHeight="false" outlineLevel="1" collapsed="false">
      <c r="A33" s="3" t="s">
        <v>1620</v>
      </c>
      <c r="B33" s="11" t="s">
        <v>63</v>
      </c>
      <c r="C33" s="39" t="n">
        <f aca="false">輸入與假設!C$350</f>
        <v>2</v>
      </c>
      <c r="D33" s="39" t="n">
        <f aca="false">輸入與假設!D$350</f>
        <v>1</v>
      </c>
      <c r="E33" s="39" t="n">
        <f aca="false">輸入與假設!E$350</f>
        <v>2.676</v>
      </c>
      <c r="F33" s="39" t="n">
        <f aca="false">輸入與假設!F$350</f>
        <v>1.764</v>
      </c>
      <c r="G33" s="39" t="n">
        <f aca="false">輸入與假設!G$350</f>
        <v>7.186</v>
      </c>
      <c r="I33" s="6" t="s">
        <v>1621</v>
      </c>
    </row>
    <row r="34" customFormat="false" ht="15" hidden="false" customHeight="false" outlineLevel="1" collapsed="false">
      <c r="A34" s="3" t="s">
        <v>1622</v>
      </c>
      <c r="B34" s="11" t="s">
        <v>63</v>
      </c>
      <c r="C34" s="66" t="n">
        <f aca="false">C32-C33</f>
        <v>99.085</v>
      </c>
      <c r="D34" s="66" t="n">
        <f aca="false">D32-D33</f>
        <v>98.085</v>
      </c>
      <c r="E34" s="66" t="n">
        <f aca="false">E32-E33</f>
        <v>95.409</v>
      </c>
      <c r="F34" s="66" t="n">
        <f aca="false">F32-F33</f>
        <v>93.645</v>
      </c>
      <c r="G34" s="66" t="n">
        <f aca="false">G32-G33</f>
        <v>86.459</v>
      </c>
    </row>
    <row r="35" customFormat="false" ht="15" hidden="false" customHeight="false" outlineLevel="1" collapsed="false">
      <c r="A35" s="3" t="s">
        <v>1623</v>
      </c>
      <c r="B35" s="11" t="s">
        <v>63</v>
      </c>
      <c r="C35" s="66" t="n">
        <f aca="false">(C32+C34)/2</f>
        <v>100.085</v>
      </c>
      <c r="D35" s="66" t="n">
        <f aca="false">(D32+D34)/2</f>
        <v>98.585</v>
      </c>
      <c r="E35" s="66" t="n">
        <f aca="false">(E32+E34)/2</f>
        <v>96.747</v>
      </c>
      <c r="F35" s="66" t="n">
        <f aca="false">(F32+F34)/2</f>
        <v>94.527</v>
      </c>
      <c r="G35" s="66" t="n">
        <f aca="false">(G32+G34)/2</f>
        <v>90.052</v>
      </c>
    </row>
    <row r="36" customFormat="false" ht="15" hidden="false" customHeight="false" outlineLevel="1" collapsed="false">
      <c r="A36" s="3" t="s">
        <v>1624</v>
      </c>
      <c r="B36" s="11" t="s">
        <v>63</v>
      </c>
      <c r="C36" s="66" t="n">
        <f aca="false">C35*資產負債_既有債務!$D$17*輸入與假設!C$34</f>
        <v>2.01268256759658</v>
      </c>
      <c r="D36" s="66" t="n">
        <f aca="false">D35*資產負債_既有債務!$D$17*輸入與假設!D$34</f>
        <v>3.96503593798289</v>
      </c>
      <c r="E36" s="66" t="n">
        <f aca="false">E35*資產負債_既有債務!$D$17*輸入與假設!E$34</f>
        <v>3.8911125616679</v>
      </c>
      <c r="F36" s="66" t="n">
        <f aca="false">F35*資產負債_既有債務!$D$17*輸入與假設!F$34</f>
        <v>3.80182534979671</v>
      </c>
      <c r="G36" s="66" t="n">
        <f aca="false">G35*資產負債_既有債務!$D$17*輸入與假設!G$34</f>
        <v>3.62184324478607</v>
      </c>
      <c r="I36" s="6" t="s">
        <v>1625</v>
      </c>
    </row>
    <row r="37" customFormat="false" ht="15" hidden="false" customHeight="false" outlineLevel="1" collapsed="false">
      <c r="A37" s="3" t="s">
        <v>1626</v>
      </c>
      <c r="B37" s="11" t="s">
        <v>63</v>
      </c>
      <c r="C37" s="66" t="n">
        <f aca="false">資產負債_既有債務!$F$19*輸入與假設!C$34</f>
        <v>0</v>
      </c>
      <c r="D37" s="66" t="n">
        <f aca="false">資產負債_既有債務!$F$19*輸入與假設!D$34</f>
        <v>0</v>
      </c>
      <c r="E37" s="66" t="n">
        <f aca="false">資產負債_既有債務!$F$19*輸入與假設!E$34</f>
        <v>0</v>
      </c>
      <c r="F37" s="66" t="n">
        <f aca="false">資產負債_既有債務!$F$19*輸入與假設!F$34</f>
        <v>0</v>
      </c>
      <c r="G37" s="66" t="n">
        <f aca="false">資產負債_既有債務!$F$19*輸入與假設!G$34</f>
        <v>0</v>
      </c>
    </row>
    <row r="38" customFormat="false" ht="15" hidden="false" customHeight="false" outlineLevel="1" collapsed="false">
      <c r="A38" s="3" t="s">
        <v>1627</v>
      </c>
      <c r="B38" s="11" t="s">
        <v>63</v>
      </c>
      <c r="C38" s="66" t="n">
        <f aca="false">IF(輸入與假設!$C$321=1,SUMPRODUCT((1-資產負債_既有債務!$F$27:$F$27)*資產負債_既有債務!$C$27:$C$27*(資產負債_既有債務!$G$23:$G$23=0)),0)</f>
        <v>0</v>
      </c>
      <c r="D38" s="66" t="n">
        <f aca="false">IF(輸入與假設!$C$321=1,SUMPRODUCT((1-資產負債_既有債務!$F$27:$F$27)*資產負債_既有債務!$C$27:$C$27*(資產負債_既有債務!$G$23:$G$23=1)),0)</f>
        <v>0</v>
      </c>
      <c r="E38" s="66" t="n">
        <f aca="false">IF(輸入與假設!$C$321=1,SUMPRODUCT((1-資產負債_既有債務!$F$27:$F$27)*資產負債_既有債務!$C$27:$C$27*(資產負債_既有債務!$G$23:$G$23=2)),0)</f>
        <v>0</v>
      </c>
      <c r="F38" s="66" t="n">
        <f aca="false">IF(輸入與假設!$C$321=1,SUMPRODUCT((1-資產負債_既有債務!$F$27:$F$27)*資產負債_既有債務!$C$27:$C$27*(資產負債_既有債務!$G$23:$G$23=3)),0)</f>
        <v>0</v>
      </c>
      <c r="G38" s="66" t="n">
        <f aca="false">IF(輸入與假設!$C$321=1,SUMPRODUCT((1-資產負債_既有債務!$F$27:$F$27)*資產負債_既有債務!$C$27:$C$27*(資產負債_既有債務!$G$23:$G$23=4)),0)</f>
        <v>0</v>
      </c>
      <c r="I38" s="6" t="s">
        <v>1628</v>
      </c>
    </row>
    <row r="39" customFormat="false" ht="15" hidden="false" customHeight="false" outlineLevel="1" collapsed="false">
      <c r="A39" s="3" t="s">
        <v>1629</v>
      </c>
      <c r="B39" s="11" t="s">
        <v>63</v>
      </c>
      <c r="C39" s="66" t="n">
        <f aca="false">IF(輸入與假設!$C$321=1,SUMPRODUCT((1-資產負債_既有債務!$F$27:$F$27)*資產負債_既有債務!$C$27:$C$27*(資產負債_既有債務!$G$23:$G$23&gt;0)),SUMPRODUCT((1-資產負債_既有債務!$F$27:$F$27)*資產負債_既有債務!$C$27:$C$27))</f>
        <v>0</v>
      </c>
      <c r="D39" s="66" t="n">
        <f aca="false">IF(輸入與假設!$C$321=1,SUMPRODUCT((1-資產負債_既有債務!$F$27:$F$27)*資產負債_既有債務!$C$27:$C$27*(資產負債_既有債務!$G$23:$G$23&gt;1)),SUMPRODUCT((1-資產負債_既有債務!$F$27:$F$27)*資產負債_既有債務!$C$27:$C$27))</f>
        <v>0</v>
      </c>
      <c r="E39" s="66" t="n">
        <f aca="false">IF(輸入與假設!$C$321=1,SUMPRODUCT((1-資產負債_既有債務!$F$27:$F$27)*資產負債_既有債務!$C$27:$C$27*(資產負債_既有債務!$G$23:$G$23&gt;2)),SUMPRODUCT((1-資產負債_既有債務!$F$27:$F$27)*資產負債_既有債務!$C$27:$C$27))</f>
        <v>0</v>
      </c>
      <c r="F39" s="66" t="n">
        <f aca="false">IF(輸入與假設!$C$321=1,SUMPRODUCT((1-資產負債_既有債務!$F$27:$F$27)*資產負債_既有債務!$C$27:$C$27*(資產負債_既有債務!$G$23:$G$23&gt;3)),SUMPRODUCT((1-資產負債_既有債務!$F$27:$F$27)*資產負債_既有債務!$C$27:$C$27))</f>
        <v>0</v>
      </c>
      <c r="G39" s="66" t="n">
        <f aca="false">IF(輸入與假設!$C$321=1,SUMPRODUCT((1-資產負債_既有債務!$F$27:$F$27)*資產負債_既有債務!$C$27:$C$27*(資產負債_既有債務!$G$23:$G$23&gt;4)),SUMPRODUCT((1-資產負債_既有債務!$F$27:$F$27)*資產負債_既有債務!$C$27:$C$27))</f>
        <v>0</v>
      </c>
      <c r="I39" s="6" t="s">
        <v>1630</v>
      </c>
    </row>
    <row r="40" customFormat="false" ht="15" hidden="false" customHeight="false" outlineLevel="1" collapsed="false">
      <c r="A40" s="3" t="s">
        <v>1631</v>
      </c>
      <c r="B40" s="11" t="s">
        <v>63</v>
      </c>
      <c r="C40" s="66" t="n">
        <f aca="false">IF(輸入與假設!$C$321=1,SUMPRODUCT((1-資產負債_既有債務!$F$27:$F$27)*資產負債_既有債務!$D$23:$D$23*資產負債_既有債務!$C$23:$C$23*((資產負債_既有債務!$G$23:$G$23&gt;0)+0.5*(資產負債_既有債務!$G$23:$G$23=0))),SUMPRODUCT((1-資產負債_既有債務!$F$27:$F$27)*資產負債_既有債務!$D$23:$D$23*資產負債_既有債務!$C$23:$C$23))*輸入與假設!C$34</f>
        <v>0</v>
      </c>
      <c r="D40" s="66" t="n">
        <f aca="false">IF(輸入與假設!$C$321=1,SUMPRODUCT((1-資產負債_既有債務!$F$27:$F$27)*資產負債_既有債務!$D$23:$D$23*資產負債_既有債務!$C$23:$C$23*((資產負債_既有債務!$G$23:$G$23&gt;1)+0.5*(資產負債_既有債務!$G$23:$G$23=1))),SUMPRODUCT((1-資產負債_既有債務!$F$27:$F$27)*資產負債_既有債務!$D$23:$D$23*資產負債_既有債務!$C$23:$C$23))*輸入與假設!D$34</f>
        <v>0</v>
      </c>
      <c r="E40" s="66" t="n">
        <f aca="false">IF(輸入與假設!$C$321=1,SUMPRODUCT((1-資產負債_既有債務!$F$27:$F$27)*資產負債_既有債務!$D$23:$D$23*資產負債_既有債務!$C$23:$C$23*((資產負債_既有債務!$G$23:$G$23&gt;2)+0.5*(資產負債_既有債務!$G$23:$G$23=2))),SUMPRODUCT((1-資產負債_既有債務!$F$27:$F$27)*資產負債_既有債務!$D$23:$D$23*資產負債_既有債務!$C$23:$C$23))*輸入與假設!E$34</f>
        <v>0</v>
      </c>
      <c r="F40" s="66" t="n">
        <f aca="false">IF(輸入與假設!$C$321=1,SUMPRODUCT((1-資產負債_既有債務!$F$27:$F$27)*資產負債_既有債務!$D$23:$D$23*資產負債_既有債務!$C$23:$C$23*((資產負債_既有債務!$G$23:$G$23&gt;3)+0.5*(資產負債_既有債務!$G$23:$G$23=3))),SUMPRODUCT((1-資產負債_既有債務!$F$27:$F$27)*資產負債_既有債務!$D$23:$D$23*資產負債_既有債務!$C$23:$C$23))*輸入與假設!F$34</f>
        <v>0</v>
      </c>
      <c r="G40" s="66" t="n">
        <f aca="false">IF(輸入與假設!$C$321=1,SUMPRODUCT((1-資產負債_既有債務!$F$27:$F$27)*資產負債_既有債務!$D$23:$D$23*資產負債_既有債務!$C$23:$C$23*((資產負債_既有債務!$G$23:$G$23&gt;4)+0.5*(資產負債_既有債務!$G$23:$G$23=4))),SUMPRODUCT((1-資產負債_既有債務!$F$27:$F$27)*資產負債_既有債務!$D$23:$D$23*資產負債_既有債務!$C$23:$C$23))*輸入與假設!G$34</f>
        <v>0</v>
      </c>
      <c r="I40" s="6" t="s">
        <v>1632</v>
      </c>
    </row>
    <row r="41" customFormat="false" ht="15" hidden="false" customHeight="false" outlineLevel="1" collapsed="false">
      <c r="A41" s="3" t="s">
        <v>1633</v>
      </c>
      <c r="B41" s="11" t="s">
        <v>63</v>
      </c>
      <c r="C41" s="24" t="n">
        <f aca="false">0</f>
        <v>0</v>
      </c>
      <c r="D41" s="24" t="n">
        <f aca="false">0</f>
        <v>0</v>
      </c>
      <c r="E41" s="24" t="n">
        <f aca="false">0</f>
        <v>0</v>
      </c>
      <c r="F41" s="24" t="n">
        <f aca="false">0</f>
        <v>0</v>
      </c>
      <c r="G41" s="24" t="n">
        <f aca="false">0</f>
        <v>0</v>
      </c>
      <c r="I41" s="6" t="s">
        <v>1634</v>
      </c>
    </row>
    <row r="42" customFormat="false" ht="15" hidden="false" customHeight="false" outlineLevel="1" collapsed="false">
      <c r="A42" s="2" t="s">
        <v>1635</v>
      </c>
      <c r="B42" s="11" t="s">
        <v>63</v>
      </c>
      <c r="C42" s="42" t="n">
        <f aca="false">C36+C37+C40+C41</f>
        <v>2.01268256759658</v>
      </c>
      <c r="D42" s="42" t="n">
        <f aca="false">D36+D37+D40+D41</f>
        <v>3.96503593798289</v>
      </c>
      <c r="E42" s="42" t="n">
        <f aca="false">E36+E37+E40+E41</f>
        <v>3.8911125616679</v>
      </c>
      <c r="F42" s="42" t="n">
        <f aca="false">F36+F37+F40+F41</f>
        <v>3.80182534979671</v>
      </c>
      <c r="G42" s="42" t="n">
        <f aca="false">G36+G37+G40+G41</f>
        <v>3.62184324478607</v>
      </c>
      <c r="I42" s="6" t="s">
        <v>1636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5778"/>
    <outlinePr summaryBelow="0" summaryRight="1"/>
    <pageSetUpPr fitToPage="false"/>
  </sheetPr>
  <dimension ref="A1:I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44"/>
    <col collapsed="false" customWidth="true" hidden="false" outlineLevel="0" max="2" min="2" style="0" width="10"/>
    <col collapsed="false" customWidth="true" hidden="false" outlineLevel="0" max="7" min="3" style="0" width="12"/>
    <col collapsed="false" customWidth="true" hidden="false" outlineLevel="0" max="9" min="9" style="0" width="80"/>
  </cols>
  <sheetData>
    <row r="1" customFormat="false" ht="17.35" hidden="false" customHeight="false" outlineLevel="0" collapsed="false">
      <c r="A1" s="5" t="s">
        <v>1637</v>
      </c>
    </row>
    <row r="2" customFormat="false" ht="15" hidden="false" customHeight="false" outlineLevel="0" collapsed="false">
      <c r="A2" s="6" t="s">
        <v>1638</v>
      </c>
    </row>
    <row r="4" customFormat="false" ht="15" hidden="false" customHeight="false" outlineLevel="0" collapsed="false">
      <c r="A4" s="14" t="s">
        <v>57</v>
      </c>
      <c r="B4" s="14" t="s">
        <v>58</v>
      </c>
      <c r="C4" s="28" t="s">
        <v>59</v>
      </c>
      <c r="D4" s="28" t="s">
        <v>60</v>
      </c>
      <c r="E4" s="28" t="s">
        <v>61</v>
      </c>
      <c r="F4" s="28" t="s">
        <v>151</v>
      </c>
      <c r="G4" s="28" t="s">
        <v>152</v>
      </c>
      <c r="I4" s="14" t="s">
        <v>1065</v>
      </c>
    </row>
    <row r="5" customFormat="false" ht="15" hidden="false" customHeight="false" outlineLevel="0" collapsed="false">
      <c r="A5" s="52" t="s">
        <v>1639</v>
      </c>
      <c r="B5" s="8"/>
      <c r="C5" s="8"/>
      <c r="D5" s="8"/>
      <c r="E5" s="8"/>
      <c r="F5" s="8"/>
      <c r="G5" s="8"/>
      <c r="H5" s="8"/>
    </row>
    <row r="6" customFormat="false" ht="15" hidden="false" customHeight="false" outlineLevel="1" collapsed="false">
      <c r="A6" s="3" t="s">
        <v>1640</v>
      </c>
      <c r="B6" s="11" t="s">
        <v>63</v>
      </c>
      <c r="C6" s="66" t="n">
        <f aca="false">輸入與假設!$C$316</f>
        <v>155.411</v>
      </c>
      <c r="D6" s="66" t="n">
        <f aca="false">各期收支!C56</f>
        <v>128.121462806694</v>
      </c>
      <c r="E6" s="66" t="n">
        <f aca="false">各期收支!D56</f>
        <v>102.840348550017</v>
      </c>
      <c r="F6" s="66" t="n">
        <f aca="false">各期收支!E56</f>
        <v>105.704996839912</v>
      </c>
      <c r="G6" s="66" t="n">
        <f aca="false">各期收支!F56</f>
        <v>118.76051173717</v>
      </c>
      <c r="I6" s="11" t="s">
        <v>1641</v>
      </c>
    </row>
    <row r="7" customFormat="false" ht="15" hidden="false" customHeight="false" outlineLevel="1" collapsed="false">
      <c r="A7" s="3" t="s">
        <v>1642</v>
      </c>
      <c r="B7" s="11" t="s">
        <v>63</v>
      </c>
      <c r="C7" s="66" t="n">
        <f aca="false">各期收支!C103-輸入與假設!$C$316</f>
        <v>-18.7880371933058</v>
      </c>
      <c r="D7" s="66" t="n">
        <f aca="false">各期收支!D103-各期收支!C103</f>
        <v>-8.27811425667676</v>
      </c>
      <c r="E7" s="66" t="n">
        <f aca="false">各期收支!E103-各期收支!D103</f>
        <v>19.8676482898945</v>
      </c>
      <c r="F7" s="66" t="n">
        <f aca="false">各期收支!F103-各期收支!E103</f>
        <v>30.0585148972579</v>
      </c>
      <c r="G7" s="66" t="n">
        <f aca="false">各期收支!G103-各期收支!F103</f>
        <v>-50.1550964798685</v>
      </c>
      <c r="I7" s="6" t="s">
        <v>1643</v>
      </c>
    </row>
    <row r="8" customFormat="false" ht="15" hidden="false" customHeight="false" outlineLevel="1" collapsed="false">
      <c r="A8" s="3" t="s">
        <v>1644</v>
      </c>
      <c r="B8" s="11" t="s">
        <v>63</v>
      </c>
      <c r="C8" s="66" t="n">
        <f aca="false">各期收支!C86</f>
        <v>0</v>
      </c>
      <c r="D8" s="66" t="n">
        <f aca="false">各期收支!D86</f>
        <v>0</v>
      </c>
      <c r="E8" s="66" t="n">
        <f aca="false">各期收支!E86</f>
        <v>0</v>
      </c>
      <c r="F8" s="66" t="n">
        <f aca="false">各期收支!F86</f>
        <v>0</v>
      </c>
      <c r="G8" s="66" t="n">
        <f aca="false">各期收支!G86</f>
        <v>0</v>
      </c>
    </row>
    <row r="9" customFormat="false" ht="15" hidden="false" customHeight="false" outlineLevel="1" collapsed="false">
      <c r="A9" s="3" t="s">
        <v>1645</v>
      </c>
      <c r="B9" s="11" t="s">
        <v>63</v>
      </c>
      <c r="C9" s="66" t="n">
        <f aca="false">各期收支!C89</f>
        <v>0</v>
      </c>
      <c r="D9" s="66" t="n">
        <f aca="false">各期收支!D89</f>
        <v>0</v>
      </c>
      <c r="E9" s="66" t="n">
        <f aca="false">各期收支!E89</f>
        <v>0</v>
      </c>
      <c r="F9" s="66" t="n">
        <f aca="false">各期收支!F89</f>
        <v>0</v>
      </c>
      <c r="G9" s="66" t="n">
        <f aca="false">各期收支!G89</f>
        <v>0</v>
      </c>
    </row>
    <row r="10" customFormat="false" ht="15" hidden="false" customHeight="false" outlineLevel="1" collapsed="false">
      <c r="A10" s="3" t="s">
        <v>1646</v>
      </c>
      <c r="B10" s="11" t="s">
        <v>63</v>
      </c>
      <c r="C10" s="66" t="n">
        <f aca="false">各期收支!C93</f>
        <v>0</v>
      </c>
      <c r="D10" s="66" t="n">
        <f aca="false">各期收支!D93</f>
        <v>0</v>
      </c>
      <c r="E10" s="66" t="n">
        <f aca="false">各期收支!E93</f>
        <v>0</v>
      </c>
      <c r="F10" s="66" t="n">
        <f aca="false">各期收支!F93</f>
        <v>0</v>
      </c>
      <c r="G10" s="66" t="n">
        <f aca="false">各期收支!G93</f>
        <v>0</v>
      </c>
    </row>
    <row r="11" customFormat="false" ht="15" hidden="false" customHeight="false" outlineLevel="1" collapsed="false">
      <c r="A11" s="3" t="s">
        <v>1647</v>
      </c>
      <c r="B11" s="11" t="s">
        <v>63</v>
      </c>
      <c r="C11" s="66" t="n">
        <f aca="false">各期收支!C92</f>
        <v>0</v>
      </c>
      <c r="D11" s="66" t="n">
        <f aca="false">各期收支!D92</f>
        <v>0</v>
      </c>
      <c r="E11" s="66" t="n">
        <f aca="false">各期收支!E92</f>
        <v>0</v>
      </c>
      <c r="F11" s="66" t="n">
        <f aca="false">各期收支!F92</f>
        <v>0</v>
      </c>
      <c r="G11" s="66" t="n">
        <f aca="false">各期收支!G92</f>
        <v>0</v>
      </c>
    </row>
    <row r="12" customFormat="false" ht="15" hidden="false" customHeight="false" outlineLevel="1" collapsed="false">
      <c r="A12" s="3" t="s">
        <v>1648</v>
      </c>
      <c r="B12" s="11" t="s">
        <v>63</v>
      </c>
      <c r="C12" s="66" t="n">
        <f aca="false">-各期收支!C76</f>
        <v>-8.5015</v>
      </c>
      <c r="D12" s="66" t="n">
        <f aca="false">-各期收支!D76</f>
        <v>-17.003</v>
      </c>
      <c r="E12" s="66" t="n">
        <f aca="false">-各期收支!E76</f>
        <v>-17.003</v>
      </c>
      <c r="F12" s="66" t="n">
        <f aca="false">-各期收支!F76</f>
        <v>-17.003</v>
      </c>
      <c r="G12" s="66" t="n">
        <f aca="false">-各期收支!G76</f>
        <v>-17.003</v>
      </c>
    </row>
    <row r="13" customFormat="false" ht="15" hidden="false" customHeight="false" outlineLevel="1" collapsed="false">
      <c r="A13" s="3" t="s">
        <v>1649</v>
      </c>
      <c r="B13" s="11" t="s">
        <v>63</v>
      </c>
      <c r="C13" s="66" t="n">
        <f aca="false">-各期收支!C94</f>
        <v>-0</v>
      </c>
      <c r="D13" s="66" t="n">
        <f aca="false">-各期收支!D94</f>
        <v>-0</v>
      </c>
      <c r="E13" s="66" t="n">
        <f aca="false">-各期收支!E94</f>
        <v>-0</v>
      </c>
      <c r="F13" s="66" t="n">
        <f aca="false">-各期收支!F94</f>
        <v>-0</v>
      </c>
      <c r="G13" s="66" t="n">
        <f aca="false">-各期收支!G94</f>
        <v>-0</v>
      </c>
    </row>
    <row r="14" customFormat="false" ht="15" hidden="false" customHeight="false" outlineLevel="1" collapsed="false">
      <c r="A14" s="2" t="s">
        <v>1650</v>
      </c>
      <c r="B14" s="11" t="s">
        <v>63</v>
      </c>
      <c r="C14" s="42" t="n">
        <f aca="false">SUM(C6:C13)</f>
        <v>128.121462806694</v>
      </c>
      <c r="D14" s="42" t="n">
        <f aca="false">SUM(D6:D13)</f>
        <v>102.840348550017</v>
      </c>
      <c r="E14" s="42" t="n">
        <f aca="false">SUM(E6:E13)</f>
        <v>105.704996839912</v>
      </c>
      <c r="F14" s="42" t="n">
        <f aca="false">SUM(F6:F13)</f>
        <v>118.76051173717</v>
      </c>
      <c r="G14" s="42" t="n">
        <f aca="false">SUM(G6:G13)</f>
        <v>51.6024152573014</v>
      </c>
      <c r="I14" s="6" t="s">
        <v>1651</v>
      </c>
    </row>
    <row r="15" customFormat="false" ht="15" hidden="false" customHeight="false" outlineLevel="1" collapsed="false">
      <c r="A15" s="3" t="s">
        <v>1652</v>
      </c>
      <c r="B15" s="11" t="s">
        <v>63</v>
      </c>
      <c r="C15" s="66" t="n">
        <f aca="false">C14-各期收支!C56</f>
        <v>0</v>
      </c>
      <c r="D15" s="66" t="n">
        <f aca="false">D14-各期收支!D56</f>
        <v>0</v>
      </c>
      <c r="E15" s="66" t="n">
        <f aca="false">E14-各期收支!E56</f>
        <v>0</v>
      </c>
      <c r="F15" s="66" t="n">
        <f aca="false">F14-各期收支!F56</f>
        <v>0</v>
      </c>
      <c r="G15" s="66" t="n">
        <f aca="false">G14-各期收支!G56</f>
        <v>0</v>
      </c>
      <c r="I15" s="6" t="s">
        <v>1653</v>
      </c>
    </row>
    <row r="16" customFormat="false" ht="15" hidden="false" customHeight="false" outlineLevel="0" collapsed="false">
      <c r="A16" s="52" t="s">
        <v>1654</v>
      </c>
      <c r="B16" s="8"/>
      <c r="C16" s="8"/>
      <c r="D16" s="8"/>
      <c r="E16" s="8"/>
      <c r="F16" s="8"/>
      <c r="G16" s="8"/>
      <c r="H16" s="8"/>
    </row>
    <row r="17" customFormat="false" ht="15" hidden="false" customHeight="false" outlineLevel="1" collapsed="false">
      <c r="A17" s="3" t="s">
        <v>1655</v>
      </c>
      <c r="B17" s="11" t="s">
        <v>63</v>
      </c>
      <c r="C17" s="66" t="n">
        <f aca="false">資產負債_既有債務!$E$16+SUMPRODUCT((1-資產負債_既有債務!$F$27:$F$27)*資產負債_既有債務!$C$27:$C$27)</f>
        <v>101.085</v>
      </c>
      <c r="D17" s="66" t="n">
        <f aca="false">C19</f>
        <v>99.085</v>
      </c>
      <c r="E17" s="66" t="n">
        <f aca="false">D19</f>
        <v>98.085</v>
      </c>
      <c r="F17" s="66" t="n">
        <f aca="false">E19</f>
        <v>95.409</v>
      </c>
      <c r="G17" s="66" t="n">
        <f aca="false">F19</f>
        <v>93.645</v>
      </c>
      <c r="I17" s="11" t="s">
        <v>1656</v>
      </c>
    </row>
    <row r="18" customFormat="false" ht="15" hidden="false" customHeight="false" outlineLevel="1" collapsed="false">
      <c r="A18" s="3" t="s">
        <v>1657</v>
      </c>
      <c r="B18" s="11" t="s">
        <v>63</v>
      </c>
      <c r="C18" s="66" t="n">
        <f aca="false">-IF(輸入與假設!$C$321=1,輸入與假設!C$350,0)-資產負債_既有債務!C38</f>
        <v>-2</v>
      </c>
      <c r="D18" s="66" t="n">
        <f aca="false">-IF(輸入與假設!$C$321=1,輸入與假設!D$350,0)-資產負債_既有債務!D38</f>
        <v>-1</v>
      </c>
      <c r="E18" s="66" t="n">
        <f aca="false">-IF(輸入與假設!$C$321=1,輸入與假設!E$350,0)-資產負債_既有債務!E38</f>
        <v>-2.676</v>
      </c>
      <c r="F18" s="66" t="n">
        <f aca="false">-IF(輸入與假設!$C$321=1,輸入與假設!F$350,0)-資產負債_既有債務!F38</f>
        <v>-1.764</v>
      </c>
      <c r="G18" s="66" t="n">
        <f aca="false">-IF(輸入與假設!$C$321=1,輸入與假設!G$350,0)-資產負債_既有債務!G38</f>
        <v>-7.186</v>
      </c>
    </row>
    <row r="19" customFormat="false" ht="15" hidden="false" customHeight="false" outlineLevel="1" collapsed="false">
      <c r="A19" s="3" t="s">
        <v>1658</v>
      </c>
      <c r="B19" s="11" t="s">
        <v>63</v>
      </c>
      <c r="C19" s="66" t="n">
        <f aca="false">各期收支!C82-0</f>
        <v>99.085</v>
      </c>
      <c r="D19" s="66" t="n">
        <f aca="false">各期收支!D82-0</f>
        <v>98.085</v>
      </c>
      <c r="E19" s="66" t="n">
        <f aca="false">各期收支!E82-0</f>
        <v>95.409</v>
      </c>
      <c r="F19" s="66" t="n">
        <f aca="false">各期收支!F82-0</f>
        <v>93.645</v>
      </c>
      <c r="G19" s="66" t="n">
        <f aca="false">各期收支!G82-0</f>
        <v>86.459</v>
      </c>
      <c r="I19" s="6" t="s">
        <v>1659</v>
      </c>
    </row>
    <row r="20" customFormat="false" ht="15" hidden="false" customHeight="false" outlineLevel="1" collapsed="false">
      <c r="A20" s="3" t="s">
        <v>1660</v>
      </c>
      <c r="B20" s="11" t="s">
        <v>63</v>
      </c>
      <c r="C20" s="66" t="n">
        <f aca="false">0</f>
        <v>0</v>
      </c>
      <c r="D20" s="66" t="n">
        <f aca="false">0</f>
        <v>0</v>
      </c>
      <c r="E20" s="66" t="n">
        <f aca="false">0</f>
        <v>0</v>
      </c>
      <c r="F20" s="66" t="n">
        <f aca="false">0</f>
        <v>0</v>
      </c>
      <c r="G20" s="66" t="n">
        <f aca="false">0</f>
        <v>0</v>
      </c>
    </row>
    <row r="21" customFormat="false" ht="15" hidden="false" customHeight="false" outlineLevel="1" collapsed="false">
      <c r="A21" s="3" t="s">
        <v>1661</v>
      </c>
      <c r="B21" s="11" t="s">
        <v>63</v>
      </c>
      <c r="C21" s="66" t="n">
        <f aca="false">各期收支!C98</f>
        <v>0</v>
      </c>
      <c r="D21" s="66" t="n">
        <f aca="false">各期收支!D98</f>
        <v>0</v>
      </c>
      <c r="E21" s="66" t="n">
        <f aca="false">各期收支!E98</f>
        <v>0</v>
      </c>
      <c r="F21" s="66" t="n">
        <f aca="false">各期收支!F98</f>
        <v>0</v>
      </c>
      <c r="G21" s="66" t="n">
        <f aca="false">各期收支!G98</f>
        <v>0</v>
      </c>
    </row>
    <row r="22" customFormat="false" ht="15" hidden="false" customHeight="false" outlineLevel="1" collapsed="false">
      <c r="A22" s="3" t="s">
        <v>1662</v>
      </c>
      <c r="B22" s="11" t="s">
        <v>63</v>
      </c>
      <c r="C22" s="66" t="n">
        <f aca="false">各期收支!C101</f>
        <v>0</v>
      </c>
      <c r="D22" s="66" t="n">
        <f aca="false">各期收支!D101</f>
        <v>0</v>
      </c>
      <c r="E22" s="66" t="n">
        <f aca="false">各期收支!E101</f>
        <v>0</v>
      </c>
      <c r="F22" s="66" t="n">
        <f aca="false">各期收支!F101</f>
        <v>0</v>
      </c>
      <c r="G22" s="66" t="n">
        <f aca="false">各期收支!G101</f>
        <v>0</v>
      </c>
    </row>
    <row r="23" customFormat="false" ht="15" hidden="false" customHeight="false" outlineLevel="1" collapsed="false">
      <c r="A23" s="3" t="s">
        <v>1663</v>
      </c>
      <c r="B23" s="11" t="s">
        <v>63</v>
      </c>
      <c r="C23" s="66" t="n">
        <f aca="false">各期收支!C100</f>
        <v>0</v>
      </c>
      <c r="D23" s="66" t="n">
        <f aca="false">各期收支!D100</f>
        <v>0</v>
      </c>
      <c r="E23" s="66" t="n">
        <f aca="false">各期收支!E100</f>
        <v>0</v>
      </c>
      <c r="F23" s="66" t="n">
        <f aca="false">各期收支!F100</f>
        <v>0</v>
      </c>
      <c r="G23" s="66" t="n">
        <f aca="false">各期收支!G100</f>
        <v>0</v>
      </c>
    </row>
    <row r="24" customFormat="false" ht="15" hidden="false" customHeight="false" outlineLevel="1" collapsed="false">
      <c r="A24" s="2" t="s">
        <v>1664</v>
      </c>
      <c r="B24" s="11" t="s">
        <v>63</v>
      </c>
      <c r="C24" s="42" t="n">
        <f aca="false">SUM(C19:C23)</f>
        <v>99.085</v>
      </c>
      <c r="D24" s="42" t="n">
        <f aca="false">SUM(D19:D23)</f>
        <v>98.085</v>
      </c>
      <c r="E24" s="42" t="n">
        <f aca="false">SUM(E19:E23)</f>
        <v>95.409</v>
      </c>
      <c r="F24" s="42" t="n">
        <f aca="false">SUM(F19:F23)</f>
        <v>93.645</v>
      </c>
      <c r="G24" s="42" t="n">
        <f aca="false">SUM(G19:G23)</f>
        <v>86.459</v>
      </c>
      <c r="I24" s="6" t="s">
        <v>1665</v>
      </c>
    </row>
    <row r="25" customFormat="false" ht="15" hidden="false" customHeight="false" outlineLevel="1" collapsed="false">
      <c r="A25" s="2" t="s">
        <v>1666</v>
      </c>
      <c r="B25" s="11" t="s">
        <v>63</v>
      </c>
      <c r="C25" s="42" t="n">
        <f aca="false">C24-C14</f>
        <v>-29.0364628066942</v>
      </c>
      <c r="D25" s="42" t="n">
        <f aca="false">D24-D14</f>
        <v>-4.75534855001743</v>
      </c>
      <c r="E25" s="42" t="n">
        <f aca="false">E24-E14</f>
        <v>-10.2959968399119</v>
      </c>
      <c r="F25" s="42" t="n">
        <f aca="false">F24-F14</f>
        <v>-25.1155117371698</v>
      </c>
      <c r="G25" s="42" t="n">
        <f aca="false">G24-G14</f>
        <v>34.8565847426986</v>
      </c>
    </row>
    <row r="26" customFormat="false" ht="15" hidden="false" customHeight="false" outlineLevel="0" collapsed="false">
      <c r="A26" s="52" t="s">
        <v>1667</v>
      </c>
      <c r="B26" s="8"/>
      <c r="C26" s="8"/>
      <c r="D26" s="8"/>
      <c r="E26" s="8"/>
      <c r="F26" s="8"/>
      <c r="G26" s="8"/>
      <c r="H26" s="8"/>
    </row>
    <row r="27" customFormat="false" ht="15" hidden="false" customHeight="false" outlineLevel="1" collapsed="false">
      <c r="A27" s="3" t="s">
        <v>1668</v>
      </c>
      <c r="B27" s="11" t="s">
        <v>666</v>
      </c>
      <c r="C27" s="31" t="n">
        <f aca="false">損益!C23</f>
        <v>12.3636006353528</v>
      </c>
      <c r="D27" s="31" t="n">
        <f aca="false">損益!D23</f>
        <v>12.4872366417064</v>
      </c>
      <c r="E27" s="31" t="n">
        <f aca="false">損益!E23</f>
        <v>12.6121090081234</v>
      </c>
      <c r="F27" s="31" t="n">
        <f aca="false">損益!F23</f>
        <v>12.7382300982047</v>
      </c>
      <c r="G27" s="31" t="n">
        <f aca="false">損益!G23</f>
        <v>12.8656123991867</v>
      </c>
    </row>
    <row r="28" customFormat="false" ht="15" hidden="false" customHeight="false" outlineLevel="1" collapsed="false">
      <c r="A28" s="3" t="s">
        <v>1669</v>
      </c>
      <c r="B28" s="11" t="s">
        <v>666</v>
      </c>
      <c r="C28" s="31" t="n">
        <f aca="false">各期收支!C96</f>
        <v>0</v>
      </c>
      <c r="D28" s="31" t="n">
        <f aca="false">各期收支!D96</f>
        <v>0</v>
      </c>
      <c r="E28" s="31" t="n">
        <f aca="false">各期收支!E96</f>
        <v>0</v>
      </c>
      <c r="F28" s="31" t="n">
        <f aca="false">各期收支!F96</f>
        <v>0</v>
      </c>
      <c r="G28" s="31" t="n">
        <f aca="false">各期收支!G96</f>
        <v>0</v>
      </c>
    </row>
    <row r="29" customFormat="false" ht="15" hidden="false" customHeight="false" outlineLevel="1" collapsed="false">
      <c r="A29" s="2" t="s">
        <v>1670</v>
      </c>
      <c r="B29" s="11" t="s">
        <v>666</v>
      </c>
      <c r="C29" s="56" t="n">
        <f aca="false">損益!C24</f>
        <v>12.3393452858521</v>
      </c>
      <c r="D29" s="56" t="n">
        <f aca="false">損益!D24</f>
        <v>12.4144705932042</v>
      </c>
      <c r="E29" s="56" t="n">
        <f aca="false">損益!E24</f>
        <v>12.4908322606199</v>
      </c>
      <c r="F29" s="56" t="n">
        <f aca="false">損益!F24</f>
        <v>12.5684426516997</v>
      </c>
      <c r="G29" s="56" t="n">
        <f aca="false">損益!G24</f>
        <v>12.6473142536803</v>
      </c>
      <c r="I29" s="6" t="s">
        <v>1671</v>
      </c>
    </row>
    <row r="30" customFormat="false" ht="15" hidden="false" customHeight="false" outlineLevel="0" collapsed="false">
      <c r="A30" s="52" t="s">
        <v>1672</v>
      </c>
      <c r="B30" s="8"/>
      <c r="C30" s="8"/>
      <c r="D30" s="8"/>
      <c r="E30" s="8"/>
      <c r="F30" s="8"/>
      <c r="G30" s="8"/>
      <c r="H30" s="8"/>
    </row>
    <row r="31" customFormat="false" ht="15" hidden="false" customHeight="false" outlineLevel="1" collapsed="false">
      <c r="A31" s="3" t="s">
        <v>1189</v>
      </c>
      <c r="B31" s="11" t="s">
        <v>63</v>
      </c>
      <c r="C31" s="66" t="n">
        <f aca="false">各期收支!C81</f>
        <v>68.5852587124612</v>
      </c>
      <c r="D31" s="66" t="n">
        <f aca="false">各期收支!D81</f>
        <v>65.1675688836746</v>
      </c>
      <c r="E31" s="66" t="n">
        <f aca="false">各期收支!E81</f>
        <v>56.8619453135774</v>
      </c>
      <c r="F31" s="66" t="n">
        <f aca="false">各期收支!F81</f>
        <v>33.1266212115226</v>
      </c>
      <c r="G31" s="66" t="n">
        <f aca="false">各期收支!G81</f>
        <v>-6.18026216861112</v>
      </c>
    </row>
    <row r="32" customFormat="false" ht="15" hidden="false" customHeight="false" outlineLevel="1" collapsed="false">
      <c r="A32" s="3" t="s">
        <v>1673</v>
      </c>
      <c r="B32" s="11" t="s">
        <v>63</v>
      </c>
      <c r="C32" s="66" t="n">
        <f aca="false">各期收支!C83</f>
        <v>578.676731121905</v>
      </c>
      <c r="D32" s="66" t="n">
        <f aca="false">各期收支!D83</f>
        <v>626.409758832515</v>
      </c>
      <c r="E32" s="66" t="n">
        <f aca="false">各期收支!E83</f>
        <v>720.573449166386</v>
      </c>
      <c r="F32" s="66" t="n">
        <f aca="false">各期收支!F83</f>
        <v>821.434489530248</v>
      </c>
      <c r="G32" s="66" t="n">
        <f aca="false">各期收支!G83</f>
        <v>906.494025005305</v>
      </c>
    </row>
    <row r="33" customFormat="false" ht="15" hidden="false" customHeight="false" outlineLevel="1" collapsed="false">
      <c r="A33" s="3" t="s">
        <v>1674</v>
      </c>
      <c r="B33" s="11" t="s">
        <v>109</v>
      </c>
      <c r="C33" s="79" t="n">
        <f aca="false">C24/MAX(0.01,C31)</f>
        <v>1.44469820279321</v>
      </c>
      <c r="D33" s="79" t="n">
        <f aca="false">D24/MAX(0.01,D31)</f>
        <v>1.50511982693545</v>
      </c>
      <c r="E33" s="79" t="n">
        <f aca="false">E24/MAX(0.01,E31)</f>
        <v>1.67790601383485</v>
      </c>
      <c r="F33" s="79" t="n">
        <f aca="false">F24/MAX(0.01,F31)</f>
        <v>2.8268805140751</v>
      </c>
      <c r="G33" s="79" t="n">
        <f aca="false">G24/MAX(0.01,G31)</f>
        <v>8645.9</v>
      </c>
      <c r="I33" s="6" t="s">
        <v>1675</v>
      </c>
    </row>
    <row r="34" customFormat="false" ht="15" hidden="false" customHeight="false" outlineLevel="1" collapsed="false">
      <c r="A34" s="3" t="s">
        <v>1676</v>
      </c>
      <c r="B34" s="11" t="s">
        <v>109</v>
      </c>
      <c r="C34" s="47" t="n">
        <f aca="false">C24/MAX(0.01,損益!C22/輸入與假設!C$34)</f>
        <v>0.493761860284096</v>
      </c>
      <c r="D34" s="47" t="n">
        <f aca="false">D24/MAX(0.01,損益!D22/輸入與假設!D$34)</f>
        <v>0.44758251908395</v>
      </c>
      <c r="E34" s="47" t="n">
        <f aca="false">E24/MAX(0.01,損益!E22/輸入與假設!E$34)</f>
        <v>0.377149066387105</v>
      </c>
      <c r="F34" s="47" t="n">
        <f aca="false">F24/MAX(0.01,損益!F22/輸入與假設!F$34)</f>
        <v>0.324098166714778</v>
      </c>
      <c r="G34" s="47" t="n">
        <f aca="false">G24/MAX(0.01,損益!G22/輸入與假設!G$34)</f>
        <v>0.270490948443749</v>
      </c>
      <c r="I34" s="11" t="s">
        <v>1677</v>
      </c>
    </row>
    <row r="35" customFormat="false" ht="15" hidden="false" customHeight="false" outlineLevel="1" collapsed="false">
      <c r="A35" s="3" t="s">
        <v>1678</v>
      </c>
      <c r="B35" s="11" t="s">
        <v>63</v>
      </c>
      <c r="C35" s="66" t="n">
        <f aca="false">各期收支!C63</f>
        <v>24.7261334114602</v>
      </c>
      <c r="D35" s="66" t="n">
        <f aca="false">各期收支!D63</f>
        <v>32.620730852718</v>
      </c>
      <c r="E35" s="66" t="n">
        <f aca="false">各期收支!E63</f>
        <v>40.3069509907814</v>
      </c>
      <c r="F35" s="66" t="n">
        <f aca="false">各期收支!F63</f>
        <v>47.6698990888628</v>
      </c>
      <c r="G35" s="66" t="n">
        <f aca="false">各期收支!G63</f>
        <v>54.8776224539205</v>
      </c>
      <c r="I35" s="6" t="s">
        <v>1679</v>
      </c>
    </row>
    <row r="36" customFormat="false" ht="15" hidden="false" customHeight="false" outlineLevel="1" collapsed="false">
      <c r="A36" s="4" t="s">
        <v>1680</v>
      </c>
      <c r="B36" s="11" t="s">
        <v>63</v>
      </c>
      <c r="C36" s="66" t="n">
        <f aca="false">(損益!C22+各期收支!C16)/輸入與假設!C$34</f>
        <v>201.134288177788</v>
      </c>
      <c r="D36" s="66" t="n">
        <f aca="false">(損益!D22+各期收支!D16)/輸入與假設!D$34</f>
        <v>219.676829895078</v>
      </c>
      <c r="E36" s="66" t="n">
        <f aca="false">(損益!E22+各期收支!E16)/輸入與假設!E$34</f>
        <v>253.626800052389</v>
      </c>
      <c r="F36" s="66" t="n">
        <f aca="false">(損益!F22+各期收支!F16)/輸入與假設!F$34</f>
        <v>289.701462873037</v>
      </c>
      <c r="G36" s="66" t="n">
        <f aca="false">(損益!G22+各期收支!G16)/輸入與假設!G$34</f>
        <v>320.457215819742</v>
      </c>
    </row>
    <row r="37" customFormat="false" ht="15" hidden="false" customHeight="false" outlineLevel="1" collapsed="false">
      <c r="A37" s="2" t="s">
        <v>1681</v>
      </c>
      <c r="B37" s="11" t="s">
        <v>109</v>
      </c>
      <c r="C37" s="80" t="n">
        <f aca="false">(C24+C35)/MAX(0.01,C36)</f>
        <v>0.61556452921652</v>
      </c>
      <c r="D37" s="80" t="n">
        <f aca="false">(D24+D35)/MAX(0.01,D36)</f>
        <v>0.594990973400089</v>
      </c>
      <c r="E37" s="80" t="n">
        <f aca="false">(E24+E35)/MAX(0.01,E36)</f>
        <v>0.535100986815069</v>
      </c>
      <c r="F37" s="80" t="n">
        <f aca="false">(F24+F35)/MAX(0.01,F36)</f>
        <v>0.487794910275599</v>
      </c>
      <c r="G37" s="80" t="n">
        <f aca="false">(G24+G35)/MAX(0.01,G36)</f>
        <v>0.441046777780853</v>
      </c>
      <c r="I37" s="11" t="s">
        <v>1682</v>
      </c>
    </row>
    <row r="38" customFormat="false" ht="15" hidden="false" customHeight="false" outlineLevel="1" collapsed="false">
      <c r="A38" s="3" t="s">
        <v>1683</v>
      </c>
      <c r="B38" s="11" t="s">
        <v>109</v>
      </c>
      <c r="C38" s="79" t="n">
        <f aca="false">輸入與假設!$C$324-C37</f>
        <v>2.38443547078348</v>
      </c>
      <c r="D38" s="79" t="n">
        <f aca="false">輸入與假設!$C$324-D37</f>
        <v>2.40500902659991</v>
      </c>
      <c r="E38" s="79" t="n">
        <f aca="false">輸入與假設!$C$324-E37</f>
        <v>2.46489901318493</v>
      </c>
      <c r="F38" s="79" t="n">
        <f aca="false">輸入與假設!$C$324-F37</f>
        <v>2.5122050897244</v>
      </c>
      <c r="G38" s="79" t="n">
        <f aca="false">輸入與假設!$C$324-G37</f>
        <v>2.55895322221915</v>
      </c>
      <c r="I38" s="6" t="s">
        <v>1684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5778"/>
    <pageSetUpPr fitToPage="false"/>
  </sheetPr>
  <dimension ref="A1:I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4"/>
    <col collapsed="false" customWidth="true" hidden="false" outlineLevel="0" max="8" min="3" style="0" width="13"/>
    <col collapsed="false" customWidth="true" hidden="false" outlineLevel="0" max="9" min="9" style="0" width="86"/>
  </cols>
  <sheetData>
    <row r="1" customFormat="false" ht="21.6" hidden="false" customHeight="false" outlineLevel="0" collapsed="false">
      <c r="A1" s="5" t="s">
        <v>1685</v>
      </c>
    </row>
    <row r="2" customFormat="false" ht="15" hidden="false" customHeight="false" outlineLevel="0" collapsed="false">
      <c r="A2" s="6" t="s">
        <v>1686</v>
      </c>
    </row>
    <row r="4" customFormat="false" ht="15" hidden="false" customHeight="false" outlineLevel="0" collapsed="false">
      <c r="A4" s="2" t="s">
        <v>1687</v>
      </c>
    </row>
    <row r="5" customFormat="false" ht="17.15" hidden="false" customHeight="false" outlineLevel="0" collapsed="false">
      <c r="A5" s="14" t="s">
        <v>57</v>
      </c>
      <c r="B5" s="14" t="s">
        <v>58</v>
      </c>
      <c r="C5" s="15" t="s">
        <v>1688</v>
      </c>
      <c r="D5" s="15" t="s">
        <v>60</v>
      </c>
      <c r="E5" s="15" t="s">
        <v>61</v>
      </c>
      <c r="F5" s="15" t="s">
        <v>151</v>
      </c>
      <c r="G5" s="15" t="s">
        <v>152</v>
      </c>
      <c r="H5" s="14" t="s">
        <v>1689</v>
      </c>
    </row>
    <row r="6" customFormat="false" ht="15" hidden="false" customHeight="false" outlineLevel="0" collapsed="false">
      <c r="A6" s="3" t="s">
        <v>1690</v>
      </c>
      <c r="B6" s="11" t="s">
        <v>63</v>
      </c>
      <c r="C6" s="24" t="n">
        <v>1.836</v>
      </c>
      <c r="D6" s="24" t="n">
        <v>3.498</v>
      </c>
      <c r="E6" s="24" t="n">
        <v>2.979</v>
      </c>
      <c r="F6" s="24" t="n">
        <v>2.576</v>
      </c>
      <c r="G6" s="24" t="n">
        <v>2.046</v>
      </c>
      <c r="H6" s="24" t="n">
        <v>8.398</v>
      </c>
    </row>
    <row r="7" customFormat="false" ht="15" hidden="false" customHeight="false" outlineLevel="0" collapsed="false">
      <c r="A7" s="3" t="s">
        <v>1691</v>
      </c>
      <c r="B7" s="11" t="s">
        <v>63</v>
      </c>
      <c r="C7" s="24" t="n">
        <v>0.206</v>
      </c>
      <c r="D7" s="24" t="n">
        <v>0.387</v>
      </c>
      <c r="E7" s="24" t="n">
        <v>0.377</v>
      </c>
      <c r="F7" s="24" t="n">
        <v>0.356</v>
      </c>
      <c r="G7" s="24" t="n">
        <v>0.285</v>
      </c>
      <c r="H7" s="24" t="n">
        <v>1.309</v>
      </c>
    </row>
    <row r="8" customFormat="false" ht="15" hidden="false" customHeight="false" outlineLevel="0" collapsed="false">
      <c r="A8" s="2" t="s">
        <v>1692</v>
      </c>
      <c r="C8" s="58" t="n">
        <f aca="false">SUM(C6:C7)</f>
        <v>2.042</v>
      </c>
      <c r="D8" s="58" t="n">
        <f aca="false">SUM(D6:D7)</f>
        <v>3.885</v>
      </c>
      <c r="E8" s="58" t="n">
        <f aca="false">SUM(E6:E7)</f>
        <v>3.356</v>
      </c>
      <c r="F8" s="58" t="n">
        <f aca="false">SUM(F6:F7)</f>
        <v>2.932</v>
      </c>
      <c r="G8" s="58" t="n">
        <f aca="false">SUM(G6:G7)</f>
        <v>2.331</v>
      </c>
      <c r="H8" s="58" t="n">
        <f aca="false">SUM(H6:H7)</f>
        <v>9.707</v>
      </c>
      <c r="I8" s="6" t="s">
        <v>1693</v>
      </c>
    </row>
    <row r="10" customFormat="false" ht="15" hidden="false" customHeight="false" outlineLevel="0" collapsed="false">
      <c r="A10" s="2" t="s">
        <v>1694</v>
      </c>
    </row>
    <row r="11" customFormat="false" ht="17.15" hidden="false" customHeight="false" outlineLevel="0" collapsed="false">
      <c r="A11" s="14" t="s">
        <v>57</v>
      </c>
      <c r="B11" s="14" t="s">
        <v>58</v>
      </c>
      <c r="C11" s="15" t="s">
        <v>1688</v>
      </c>
      <c r="D11" s="15" t="s">
        <v>60</v>
      </c>
      <c r="E11" s="15" t="s">
        <v>61</v>
      </c>
      <c r="F11" s="15" t="s">
        <v>151</v>
      </c>
      <c r="G11" s="15" t="s">
        <v>152</v>
      </c>
      <c r="H11" s="14" t="s">
        <v>1689</v>
      </c>
    </row>
    <row r="12" customFormat="false" ht="15" hidden="false" customHeight="false" outlineLevel="0" collapsed="false">
      <c r="A12" s="3" t="s">
        <v>1695</v>
      </c>
      <c r="B12" s="11" t="s">
        <v>63</v>
      </c>
      <c r="C12" s="24" t="n">
        <v>2</v>
      </c>
      <c r="D12" s="24" t="n">
        <v>1</v>
      </c>
      <c r="E12" s="24" t="n">
        <v>2.676</v>
      </c>
      <c r="F12" s="24" t="n">
        <v>1.764</v>
      </c>
      <c r="G12" s="24" t="n">
        <v>7.186</v>
      </c>
      <c r="H12" s="24" t="n">
        <v>86.459</v>
      </c>
      <c r="I12" s="6" t="s">
        <v>1696</v>
      </c>
    </row>
    <row r="13" customFormat="false" ht="15" hidden="false" customHeight="false" outlineLevel="0" collapsed="false">
      <c r="A13" s="2" t="s">
        <v>1615</v>
      </c>
      <c r="C13" s="58" t="n">
        <f aca="false">SUM(C12:H12)</f>
        <v>101.085</v>
      </c>
    </row>
    <row r="15" customFormat="false" ht="15" hidden="false" customHeight="false" outlineLevel="0" collapsed="false">
      <c r="A15" s="2" t="s">
        <v>1697</v>
      </c>
    </row>
    <row r="16" customFormat="false" ht="15" hidden="false" customHeight="false" outlineLevel="0" collapsed="false">
      <c r="A16" s="14" t="s">
        <v>57</v>
      </c>
      <c r="B16" s="14" t="s">
        <v>58</v>
      </c>
      <c r="C16" s="14" t="s">
        <v>1698</v>
      </c>
      <c r="D16" s="14" t="s">
        <v>1514</v>
      </c>
      <c r="E16" s="14" t="s">
        <v>1699</v>
      </c>
      <c r="F16" s="14" t="s">
        <v>1700</v>
      </c>
    </row>
    <row r="17" customFormat="false" ht="15" hidden="false" customHeight="false" outlineLevel="0" collapsed="false">
      <c r="A17" s="3" t="s">
        <v>1701</v>
      </c>
      <c r="B17" s="11" t="s">
        <v>63</v>
      </c>
      <c r="C17" s="81" t="n">
        <v>85.2</v>
      </c>
      <c r="D17" s="6" t="s">
        <v>1702</v>
      </c>
      <c r="E17" s="6" t="s">
        <v>1703</v>
      </c>
      <c r="F17" s="6" t="s">
        <v>1704</v>
      </c>
    </row>
    <row r="18" customFormat="false" ht="15" hidden="false" customHeight="false" outlineLevel="0" collapsed="false">
      <c r="A18" s="3" t="s">
        <v>1705</v>
      </c>
      <c r="B18" s="11" t="s">
        <v>63</v>
      </c>
      <c r="C18" s="81" t="n">
        <v>0</v>
      </c>
      <c r="D18" s="6" t="s">
        <v>1706</v>
      </c>
      <c r="E18" s="6" t="s">
        <v>1703</v>
      </c>
      <c r="F18" s="6" t="s">
        <v>1704</v>
      </c>
    </row>
    <row r="19" customFormat="false" ht="15" hidden="false" customHeight="false" outlineLevel="0" collapsed="false">
      <c r="A19" s="3" t="s">
        <v>646</v>
      </c>
      <c r="B19" s="11" t="s">
        <v>63</v>
      </c>
      <c r="C19" s="81" t="n">
        <v>10.4</v>
      </c>
      <c r="D19" s="11" t="s">
        <v>1707</v>
      </c>
      <c r="E19" s="6" t="s">
        <v>1708</v>
      </c>
      <c r="F19" s="6" t="s">
        <v>1709</v>
      </c>
    </row>
    <row r="20" customFormat="false" ht="15" hidden="false" customHeight="false" outlineLevel="0" collapsed="false">
      <c r="A20" s="2" t="s">
        <v>1710</v>
      </c>
      <c r="C20" s="58" t="n">
        <f aca="false">C17+C18</f>
        <v>85.2</v>
      </c>
    </row>
    <row r="21" customFormat="false" ht="15" hidden="false" customHeight="false" outlineLevel="0" collapsed="false">
      <c r="A21" s="3" t="s">
        <v>1711</v>
      </c>
      <c r="C21" s="82" t="n">
        <f aca="false">SUM(各期收支!C15:G15)</f>
        <v>11.0372727272727</v>
      </c>
    </row>
    <row r="22" customFormat="false" ht="15" hidden="false" customHeight="false" outlineLevel="0" collapsed="false">
      <c r="A22" s="3" t="s">
        <v>1712</v>
      </c>
      <c r="C22" s="57" t="n">
        <f aca="false">MAX(0,輸入與假設!$C$19-C21)</f>
        <v>74.1627272727273</v>
      </c>
    </row>
    <row r="23" customFormat="false" ht="15" hidden="false" customHeight="false" outlineLevel="0" collapsed="false">
      <c r="A23" s="2" t="s">
        <v>1713</v>
      </c>
      <c r="C23" s="83" t="n">
        <f aca="false">(C21+C22)/C20</f>
        <v>1</v>
      </c>
      <c r="I23" s="6" t="s">
        <v>1714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A35A"/>
    <outlinePr summaryBelow="0" summaryRight="1"/>
    <pageSetUpPr fitToPage="false"/>
  </sheetPr>
  <dimension ref="A1:I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42"/>
    <col collapsed="false" customWidth="true" hidden="false" outlineLevel="0" max="2" min="2" style="0" width="12"/>
    <col collapsed="false" customWidth="true" hidden="false" outlineLevel="0" max="7" min="3" style="0" width="13"/>
    <col collapsed="false" customWidth="true" hidden="false" outlineLevel="0" max="9" min="9" style="0" width="92"/>
  </cols>
  <sheetData>
    <row r="1" customFormat="false" ht="17.35" hidden="false" customHeight="false" outlineLevel="0" collapsed="false">
      <c r="A1" s="5" t="s">
        <v>1715</v>
      </c>
    </row>
    <row r="2" customFormat="false" ht="15" hidden="false" customHeight="false" outlineLevel="0" collapsed="false">
      <c r="A2" s="6" t="s">
        <v>1716</v>
      </c>
    </row>
    <row r="4" customFormat="false" ht="15" hidden="false" customHeight="false" outlineLevel="0" collapsed="false">
      <c r="A4" s="14" t="s">
        <v>57</v>
      </c>
      <c r="B4" s="14" t="s">
        <v>58</v>
      </c>
      <c r="C4" s="28" t="s">
        <v>59</v>
      </c>
      <c r="D4" s="28" t="s">
        <v>60</v>
      </c>
      <c r="E4" s="28" t="s">
        <v>61</v>
      </c>
      <c r="F4" s="28" t="s">
        <v>151</v>
      </c>
      <c r="G4" s="28" t="s">
        <v>152</v>
      </c>
      <c r="I4" s="14" t="s">
        <v>1065</v>
      </c>
    </row>
    <row r="5" customFormat="false" ht="15" hidden="false" customHeight="false" outlineLevel="0" collapsed="false">
      <c r="A5" s="52" t="s">
        <v>1717</v>
      </c>
      <c r="B5" s="8"/>
      <c r="C5" s="8"/>
      <c r="D5" s="8"/>
      <c r="E5" s="8"/>
      <c r="F5" s="8"/>
      <c r="G5" s="8"/>
      <c r="H5" s="8"/>
    </row>
    <row r="6" customFormat="false" ht="15" hidden="false" customHeight="false" outlineLevel="1" collapsed="false">
      <c r="A6" s="3" t="s">
        <v>1718</v>
      </c>
      <c r="B6" s="11" t="s">
        <v>63</v>
      </c>
      <c r="C6" s="39" t="n">
        <f aca="false">運營_產能與收入!C26</f>
        <v>13.7170517424922</v>
      </c>
      <c r="D6" s="39" t="n">
        <f aca="false">運營_產能與收入!D26</f>
        <v>39.4423103130834</v>
      </c>
      <c r="E6" s="39" t="n">
        <f aca="false">運營_產能與收入!E26</f>
        <v>55.0106536845765</v>
      </c>
      <c r="F6" s="39" t="n">
        <f aca="false">運營_產能與收入!F26</f>
        <v>70.6483184758374</v>
      </c>
      <c r="G6" s="39" t="n">
        <f aca="false">運營_產能與收入!G26</f>
        <v>86.3190360236892</v>
      </c>
      <c r="I6" s="6" t="s">
        <v>1719</v>
      </c>
    </row>
    <row r="7" customFormat="false" ht="15" hidden="false" customHeight="false" outlineLevel="1" collapsed="false">
      <c r="A7" s="3" t="s">
        <v>1720</v>
      </c>
      <c r="B7" s="11" t="s">
        <v>63</v>
      </c>
      <c r="C7" s="39" t="n">
        <f aca="false">輸入與假設!C$43</f>
        <v>0</v>
      </c>
      <c r="D7" s="39" t="n">
        <f aca="false">輸入與假設!D$43</f>
        <v>0</v>
      </c>
      <c r="E7" s="39" t="n">
        <f aca="false">輸入與假設!E$43</f>
        <v>0</v>
      </c>
      <c r="F7" s="39" t="n">
        <f aca="false">輸入與假設!F$43</f>
        <v>0</v>
      </c>
      <c r="G7" s="39" t="n">
        <f aca="false">輸入與假設!G$43</f>
        <v>0</v>
      </c>
    </row>
    <row r="8" customFormat="false" ht="15" hidden="false" customHeight="false" outlineLevel="1" collapsed="false">
      <c r="A8" s="3" t="s">
        <v>1721</v>
      </c>
      <c r="B8" s="11" t="s">
        <v>63</v>
      </c>
      <c r="C8" s="39" t="n">
        <f aca="false">輸入與假設!C$229</f>
        <v>248.859258514508</v>
      </c>
      <c r="D8" s="39" t="n">
        <f aca="false">輸入與假設!D$229</f>
        <v>557.549137536861</v>
      </c>
      <c r="E8" s="39" t="n">
        <f aca="false">輸入與假設!E$229</f>
        <v>634.835837557376</v>
      </c>
      <c r="F8" s="39" t="n">
        <f aca="false">輸入與假設!F$229</f>
        <v>704.644535285127</v>
      </c>
      <c r="G8" s="39" t="n">
        <f aca="false">輸入與假設!G$229</f>
        <v>759.436867848997</v>
      </c>
      <c r="I8" s="6" t="s">
        <v>1722</v>
      </c>
    </row>
    <row r="9" customFormat="false" ht="15" hidden="false" customHeight="false" outlineLevel="1" collapsed="false">
      <c r="A9" s="2" t="s">
        <v>1723</v>
      </c>
      <c r="B9" s="11" t="s">
        <v>63</v>
      </c>
      <c r="C9" s="42" t="n">
        <f aca="false">C6+C7+C8</f>
        <v>262.576310257</v>
      </c>
      <c r="D9" s="42" t="n">
        <f aca="false">D6+D7+D8</f>
        <v>596.991447849945</v>
      </c>
      <c r="E9" s="42" t="n">
        <f aca="false">E6+E7+E8</f>
        <v>689.846491241952</v>
      </c>
      <c r="F9" s="42" t="n">
        <f aca="false">F6+F7+F8</f>
        <v>775.292853760964</v>
      </c>
      <c r="G9" s="42" t="n">
        <f aca="false">G6+G7+G8</f>
        <v>845.755903872686</v>
      </c>
    </row>
    <row r="10" customFormat="false" ht="15" hidden="false" customHeight="false" outlineLevel="1" collapsed="false">
      <c r="A10" s="4" t="s">
        <v>507</v>
      </c>
      <c r="B10" s="11" t="s">
        <v>42</v>
      </c>
      <c r="C10" s="53" t="n">
        <f aca="false">輸入與假設!C$239</f>
        <v>0.810926562624555</v>
      </c>
      <c r="D10" s="53" t="n">
        <f aca="false">輸入與假設!D$239</f>
        <v>0.814439962744762</v>
      </c>
      <c r="E10" s="53" t="n">
        <f aca="false">輸入與假設!E$239</f>
        <v>0.816204260427869</v>
      </c>
      <c r="F10" s="53" t="n">
        <f aca="false">輸入與假設!F$239</f>
        <v>0.817256461549019</v>
      </c>
      <c r="G10" s="53" t="n">
        <f aca="false">輸入與假設!G$239</f>
        <v>0.817955291657349</v>
      </c>
    </row>
    <row r="11" customFormat="false" ht="15" hidden="false" customHeight="false" outlineLevel="1" collapsed="false">
      <c r="A11" s="3" t="s">
        <v>1724</v>
      </c>
      <c r="B11" s="11" t="s">
        <v>63</v>
      </c>
      <c r="C11" s="39" t="n">
        <f aca="false">運營_產能與收入!C62</f>
        <v>0</v>
      </c>
      <c r="D11" s="39" t="n">
        <f aca="false">運營_產能與收入!D62</f>
        <v>0</v>
      </c>
      <c r="E11" s="39" t="n">
        <f aca="false">運營_產能與收入!E62</f>
        <v>0</v>
      </c>
      <c r="F11" s="39" t="n">
        <f aca="false">運營_產能與收入!F62</f>
        <v>0</v>
      </c>
      <c r="G11" s="39" t="n">
        <f aca="false">運營_產能與收入!G62</f>
        <v>0</v>
      </c>
      <c r="I11" s="6" t="s">
        <v>1124</v>
      </c>
    </row>
    <row r="12" customFormat="false" ht="15" hidden="false" customHeight="false" outlineLevel="1" collapsed="false">
      <c r="A12" s="3" t="s">
        <v>1725</v>
      </c>
      <c r="B12" s="11" t="s">
        <v>63</v>
      </c>
      <c r="C12" s="66" t="n">
        <f aca="false">(C6+C7)*輸入與假設!C$239+輸入與假設!C$48+輸入與假設!C$230-輸入與假設!C$231-C11-輸入與假設!C$313</f>
        <v>75.8676176395619</v>
      </c>
      <c r="D12" s="66" t="n">
        <f aca="false">(D6+D7)*輸入與假設!D$239+輸入與假設!D$48+輸入與假設!D$230-輸入與假設!D$231-D11-輸入與假設!D$313</f>
        <v>147.771659407056</v>
      </c>
      <c r="E12" s="66" t="n">
        <f aca="false">(E6+E7)*輸入與假設!E$239+輸入與假設!E$48+輸入與假設!E$230-輸入與假設!E$231-E11-輸入與假設!E$313</f>
        <v>152.315588121902</v>
      </c>
      <c r="F12" s="66" t="n">
        <f aca="false">(F6+F7)*輸入與假設!F$239+輸入與假設!F$48+輸入與假設!F$230-輸入與假設!F$231-F11-輸入與假設!F$313</f>
        <v>158.200799129042</v>
      </c>
      <c r="G12" s="66" t="n">
        <f aca="false">(G6+G7)*輸入與假設!G$239+輸入與假設!G$48+輸入與假設!G$230-輸入與假設!G$231-G11-輸入與假設!G$313</f>
        <v>158.211775433259</v>
      </c>
      <c r="I12" s="6" t="s">
        <v>1726</v>
      </c>
    </row>
    <row r="13" customFormat="false" ht="15" hidden="false" customHeight="false" outlineLevel="1" collapsed="false">
      <c r="A13" s="3" t="s">
        <v>1727</v>
      </c>
      <c r="B13" s="11" t="s">
        <v>63</v>
      </c>
      <c r="C13" s="39" t="n">
        <f aca="false">各期收支!C21</f>
        <v>2.01268256759658</v>
      </c>
      <c r="D13" s="39" t="n">
        <f aca="false">各期收支!D21</f>
        <v>3.96503593798289</v>
      </c>
      <c r="E13" s="39" t="n">
        <f aca="false">各期收支!E21</f>
        <v>3.8911125616679</v>
      </c>
      <c r="F13" s="39" t="n">
        <f aca="false">各期收支!F21</f>
        <v>3.80182534979671</v>
      </c>
      <c r="G13" s="39" t="n">
        <f aca="false">各期收支!G21</f>
        <v>3.62184324478607</v>
      </c>
    </row>
    <row r="14" customFormat="false" ht="15" hidden="false" customHeight="false" outlineLevel="1" collapsed="false">
      <c r="A14" s="3" t="s">
        <v>1728</v>
      </c>
      <c r="B14" s="11" t="s">
        <v>63</v>
      </c>
      <c r="C14" s="39" t="n">
        <f aca="false">各期收支!C10</f>
        <v>0</v>
      </c>
      <c r="D14" s="39" t="n">
        <f aca="false">各期收支!D10</f>
        <v>0</v>
      </c>
      <c r="E14" s="39" t="n">
        <f aca="false">各期收支!E10</f>
        <v>0</v>
      </c>
      <c r="F14" s="39" t="n">
        <f aca="false">各期收支!F10</f>
        <v>0</v>
      </c>
      <c r="G14" s="39" t="n">
        <f aca="false">各期收支!G10</f>
        <v>0</v>
      </c>
      <c r="I14" s="6" t="s">
        <v>1729</v>
      </c>
    </row>
    <row r="15" customFormat="false" ht="15" hidden="false" customHeight="false" outlineLevel="1" collapsed="false">
      <c r="A15" s="3" t="s">
        <v>1730</v>
      </c>
      <c r="B15" s="11" t="s">
        <v>63</v>
      </c>
      <c r="C15" s="66" t="n">
        <f aca="false">C12-C13-C14</f>
        <v>73.8549350719654</v>
      </c>
      <c r="D15" s="66" t="n">
        <f aca="false">D12-D13-D14</f>
        <v>143.806623469073</v>
      </c>
      <c r="E15" s="66" t="n">
        <f aca="false">E12-E13-E14</f>
        <v>148.424475560234</v>
      </c>
      <c r="F15" s="66" t="n">
        <f aca="false">F12-F13-F14</f>
        <v>154.398973779245</v>
      </c>
      <c r="G15" s="66" t="n">
        <f aca="false">G12-G13-G14</f>
        <v>154.589932188473</v>
      </c>
    </row>
    <row r="16" customFormat="false" ht="15" hidden="false" customHeight="false" outlineLevel="1" collapsed="false">
      <c r="A16" s="4" t="s">
        <v>1731</v>
      </c>
      <c r="B16" s="11" t="s">
        <v>63</v>
      </c>
      <c r="C16" s="66" t="n">
        <f aca="false">輸入與假設!$C$385</f>
        <v>0</v>
      </c>
      <c r="D16" s="66" t="n">
        <f aca="false">C18</f>
        <v>0</v>
      </c>
      <c r="E16" s="66" t="n">
        <f aca="false">D18</f>
        <v>0</v>
      </c>
      <c r="F16" s="66" t="n">
        <f aca="false">E18</f>
        <v>0</v>
      </c>
      <c r="G16" s="66" t="n">
        <f aca="false">F18</f>
        <v>0</v>
      </c>
      <c r="I16" s="11" t="s">
        <v>1732</v>
      </c>
    </row>
    <row r="17" customFormat="false" ht="15" hidden="false" customHeight="false" outlineLevel="1" collapsed="false">
      <c r="A17" s="3" t="s">
        <v>1733</v>
      </c>
      <c r="B17" s="11" t="s">
        <v>63</v>
      </c>
      <c r="C17" s="66" t="n">
        <f aca="false">MIN(C16,MAX(0,C15)*輸入與假設!$C$386)</f>
        <v>0</v>
      </c>
      <c r="D17" s="66" t="n">
        <f aca="false">MIN(D16,MAX(0,D15)*輸入與假設!$C$386)</f>
        <v>0</v>
      </c>
      <c r="E17" s="66" t="n">
        <f aca="false">MIN(E16,MAX(0,E15)*輸入與假設!$C$386)</f>
        <v>0</v>
      </c>
      <c r="F17" s="66" t="n">
        <f aca="false">MIN(F16,MAX(0,F15)*輸入與假設!$C$386)</f>
        <v>0</v>
      </c>
      <c r="G17" s="66" t="n">
        <f aca="false">MIN(G16,MAX(0,G15)*輸入與假設!$C$386)</f>
        <v>0</v>
      </c>
      <c r="I17" s="6" t="s">
        <v>1734</v>
      </c>
    </row>
    <row r="18" customFormat="false" ht="15" hidden="false" customHeight="false" outlineLevel="1" collapsed="false">
      <c r="A18" s="4" t="s">
        <v>1735</v>
      </c>
      <c r="B18" s="11" t="s">
        <v>63</v>
      </c>
      <c r="C18" s="66" t="n">
        <f aca="false">C16-C17+MAX(0,-C15)</f>
        <v>0</v>
      </c>
      <c r="D18" s="66" t="n">
        <f aca="false">D16-D17+MAX(0,-D15)</f>
        <v>0</v>
      </c>
      <c r="E18" s="66" t="n">
        <f aca="false">E16-E17+MAX(0,-E15)</f>
        <v>0</v>
      </c>
      <c r="F18" s="66" t="n">
        <f aca="false">F16-F17+MAX(0,-F15)</f>
        <v>0</v>
      </c>
      <c r="G18" s="66" t="n">
        <f aca="false">G16-G17+MAX(0,-G15)</f>
        <v>0</v>
      </c>
    </row>
    <row r="19" customFormat="false" ht="15" hidden="false" customHeight="false" outlineLevel="1" collapsed="false">
      <c r="A19" s="3" t="s">
        <v>1736</v>
      </c>
      <c r="B19" s="11" t="s">
        <v>63</v>
      </c>
      <c r="C19" s="66" t="n">
        <f aca="false">MAX(0,C15-C17)*輸入與假設!$C$372</f>
        <v>12.4076290920902</v>
      </c>
      <c r="D19" s="66" t="n">
        <f aca="false">MAX(0,D15-D17)*輸入與假設!$C$372</f>
        <v>24.1595127428043</v>
      </c>
      <c r="E19" s="66" t="n">
        <f aca="false">MAX(0,E15-E17)*輸入與假設!$C$372</f>
        <v>24.9353118941193</v>
      </c>
      <c r="F19" s="66" t="n">
        <f aca="false">MAX(0,F15-F17)*輸入與假設!$C$372</f>
        <v>25.9390275949132</v>
      </c>
      <c r="G19" s="66" t="n">
        <f aca="false">MAX(0,G15-G17)*輸入與假設!$C$372</f>
        <v>25.9711086076634</v>
      </c>
      <c r="I19" s="6" t="s">
        <v>1737</v>
      </c>
    </row>
    <row r="20" customFormat="false" ht="15" hidden="false" customHeight="false" outlineLevel="1" collapsed="false">
      <c r="A20" s="2" t="s">
        <v>1738</v>
      </c>
      <c r="B20" s="11" t="s">
        <v>63</v>
      </c>
      <c r="C20" s="42" t="n">
        <f aca="false">C15-C19</f>
        <v>61.4473059798752</v>
      </c>
      <c r="D20" s="42" t="n">
        <f aca="false">D15-D19</f>
        <v>119.647110726269</v>
      </c>
      <c r="E20" s="42" t="n">
        <f aca="false">E15-E19</f>
        <v>123.489163666115</v>
      </c>
      <c r="F20" s="42" t="n">
        <f aca="false">F15-F19</f>
        <v>128.459946184332</v>
      </c>
      <c r="G20" s="42" t="n">
        <f aca="false">G15-G19</f>
        <v>128.618823580809</v>
      </c>
    </row>
    <row r="21" customFormat="false" ht="15" hidden="false" customHeight="false" outlineLevel="1" collapsed="false">
      <c r="A21" s="4" t="s">
        <v>929</v>
      </c>
      <c r="B21" s="11" t="s">
        <v>63</v>
      </c>
      <c r="C21" s="39" t="n">
        <f aca="false">輸入與假設!C$313+輸入與假設!C$231</f>
        <v>24.4692126929686</v>
      </c>
      <c r="D21" s="39" t="n">
        <f aca="false">輸入與假設!D$313+輸入與假設!D$231</f>
        <v>71.3722879498396</v>
      </c>
      <c r="E21" s="39" t="n">
        <f aca="false">輸入與假設!E$313+輸入與假設!E$231</f>
        <v>100.658656025033</v>
      </c>
      <c r="F21" s="39" t="n">
        <f aca="false">輸入與假設!F$313+輸入與假設!F$231</f>
        <v>130.739434471268</v>
      </c>
      <c r="G21" s="39" t="n">
        <f aca="false">輸入與假設!G$313+輸入與假設!G$231</f>
        <v>161.425537746483</v>
      </c>
      <c r="I21" s="6" t="s">
        <v>1739</v>
      </c>
    </row>
    <row r="22" customFormat="false" ht="15" hidden="false" customHeight="false" outlineLevel="1" collapsed="false">
      <c r="A22" s="84" t="s">
        <v>1740</v>
      </c>
      <c r="B22" s="11" t="s">
        <v>63</v>
      </c>
      <c r="C22" s="42" t="n">
        <f aca="false">C12+C21</f>
        <v>100.336830332531</v>
      </c>
      <c r="D22" s="42" t="n">
        <f aca="false">D12+D21</f>
        <v>219.143947356896</v>
      </c>
      <c r="E22" s="42" t="n">
        <f aca="false">E12+E21</f>
        <v>252.974244146935</v>
      </c>
      <c r="F22" s="42" t="n">
        <f aca="false">F12+F21</f>
        <v>288.94023360031</v>
      </c>
      <c r="G22" s="42" t="n">
        <f aca="false">G12+G21</f>
        <v>319.637313179742</v>
      </c>
    </row>
    <row r="23" customFormat="false" ht="15" hidden="false" customHeight="false" outlineLevel="1" collapsed="false">
      <c r="A23" s="3" t="s">
        <v>1741</v>
      </c>
      <c r="B23" s="11" t="s">
        <v>666</v>
      </c>
      <c r="C23" s="30" t="n">
        <f aca="false">評價_DCF與目標價!$C$90</f>
        <v>12.3636006353528</v>
      </c>
      <c r="D23" s="30" t="n">
        <f aca="false">C23*(1+輸入與假設!$C$425)</f>
        <v>12.4872366417064</v>
      </c>
      <c r="E23" s="30" t="n">
        <f aca="false">D23*(1+輸入與假設!$C$425)</f>
        <v>12.6121090081234</v>
      </c>
      <c r="F23" s="30" t="n">
        <f aca="false">E23*(1+輸入與假設!$C$425)</f>
        <v>12.7382300982047</v>
      </c>
      <c r="G23" s="30" t="n">
        <f aca="false">F23*(1+輸入與假設!$C$425)</f>
        <v>12.8656123991867</v>
      </c>
      <c r="I23" s="11" t="s">
        <v>1742</v>
      </c>
    </row>
    <row r="24" customFormat="false" ht="15" hidden="false" customHeight="false" outlineLevel="1" collapsed="false">
      <c r="A24" s="3" t="s">
        <v>1743</v>
      </c>
      <c r="B24" s="11" t="s">
        <v>666</v>
      </c>
      <c r="C24" s="30" t="n">
        <f aca="false">C23+各期收支!C97</f>
        <v>12.3393452858521</v>
      </c>
      <c r="D24" s="30" t="n">
        <f aca="false">D23+各期收支!D97</f>
        <v>12.4144705932042</v>
      </c>
      <c r="E24" s="30" t="n">
        <f aca="false">E23+各期收支!E97</f>
        <v>12.4908322606199</v>
      </c>
      <c r="F24" s="30" t="n">
        <f aca="false">F23+各期收支!F97</f>
        <v>12.5684426516997</v>
      </c>
      <c r="G24" s="30" t="n">
        <f aca="false">G23+各期收支!G97</f>
        <v>12.6473142536803</v>
      </c>
      <c r="I24" s="6" t="s">
        <v>1744</v>
      </c>
    </row>
    <row r="25" customFormat="false" ht="15" hidden="false" customHeight="false" outlineLevel="1" collapsed="false">
      <c r="A25" s="3" t="s">
        <v>1745</v>
      </c>
      <c r="B25" s="11" t="s">
        <v>39</v>
      </c>
      <c r="C25" s="55" t="n">
        <f aca="false">C20/C24</f>
        <v>4.97978657346825</v>
      </c>
      <c r="D25" s="55" t="n">
        <f aca="false">D20/D24</f>
        <v>9.63771349152533</v>
      </c>
      <c r="E25" s="55" t="n">
        <f aca="false">E20/E24</f>
        <v>9.88638395661125</v>
      </c>
      <c r="F25" s="55" t="n">
        <f aca="false">F20/F24</f>
        <v>10.2208324248478</v>
      </c>
      <c r="G25" s="55" t="n">
        <f aca="false">G20/G24</f>
        <v>10.1696550746639</v>
      </c>
      <c r="I25" s="11" t="s">
        <v>1746</v>
      </c>
    </row>
    <row r="27" customFormat="false" ht="15" hidden="false" customHeight="false" outlineLevel="0" collapsed="false">
      <c r="A27" s="52" t="s">
        <v>1747</v>
      </c>
      <c r="B27" s="8"/>
      <c r="C27" s="8"/>
      <c r="D27" s="8"/>
      <c r="E27" s="8"/>
      <c r="F27" s="8"/>
      <c r="G27" s="8"/>
      <c r="H27" s="8"/>
    </row>
    <row r="28" customFormat="false" ht="15" hidden="false" customHeight="false" outlineLevel="1" collapsed="false">
      <c r="A28" s="4" t="s">
        <v>1748</v>
      </c>
      <c r="B28" s="11" t="s">
        <v>63</v>
      </c>
      <c r="C28" s="39" t="n">
        <f aca="false">輸入與假設!$C$466</f>
        <v>229.692</v>
      </c>
      <c r="D28" s="39" t="n">
        <f aca="false">0</f>
        <v>0</v>
      </c>
      <c r="E28" s="39" t="n">
        <f aca="false">0</f>
        <v>0</v>
      </c>
      <c r="F28" s="39" t="n">
        <f aca="false">0</f>
        <v>0</v>
      </c>
      <c r="G28" s="39" t="n">
        <f aca="false">0</f>
        <v>0</v>
      </c>
    </row>
    <row r="29" customFormat="false" ht="15" hidden="false" customHeight="false" outlineLevel="1" collapsed="false">
      <c r="A29" s="2" t="s">
        <v>1749</v>
      </c>
      <c r="B29" s="11" t="s">
        <v>63</v>
      </c>
      <c r="C29" s="42" t="n">
        <f aca="false">C28+C9</f>
        <v>492.268310257</v>
      </c>
      <c r="D29" s="42" t="n">
        <f aca="false">D28+D9</f>
        <v>596.991447849945</v>
      </c>
      <c r="E29" s="42" t="n">
        <f aca="false">E28+E9</f>
        <v>689.846491241952</v>
      </c>
      <c r="F29" s="42" t="n">
        <f aca="false">F28+F9</f>
        <v>775.292853760964</v>
      </c>
      <c r="G29" s="42" t="n">
        <f aca="false">G28+G9</f>
        <v>845.755903872686</v>
      </c>
      <c r="I29" s="11" t="s">
        <v>1750</v>
      </c>
    </row>
    <row r="30" customFormat="false" ht="15" hidden="false" customHeight="false" outlineLevel="1" collapsed="false">
      <c r="A30" s="3" t="s">
        <v>1751</v>
      </c>
      <c r="B30" s="11" t="s">
        <v>42</v>
      </c>
      <c r="C30" s="67" t="n">
        <f aca="false">C29/402.836-1</f>
        <v>0.222006747800594</v>
      </c>
      <c r="D30" s="67" t="n">
        <f aca="false">D29/C29-1</f>
        <v>0.212735890998694</v>
      </c>
      <c r="E30" s="67" t="n">
        <f aca="false">E29/D29-1</f>
        <v>0.155538314202697</v>
      </c>
      <c r="F30" s="67" t="n">
        <f aca="false">F29/E29-1</f>
        <v>0.123862864570319</v>
      </c>
      <c r="G30" s="67" t="n">
        <f aca="false">G29/F29-1</f>
        <v>0.0908857211438283</v>
      </c>
      <c r="I30" s="11" t="s">
        <v>1752</v>
      </c>
    </row>
    <row r="31" customFormat="false" ht="15" hidden="false" customHeight="false" outlineLevel="1" collapsed="false">
      <c r="A31" s="3" t="s">
        <v>1753</v>
      </c>
      <c r="B31" s="11" t="s">
        <v>63</v>
      </c>
      <c r="C31" s="66" t="n">
        <f aca="false">輸入與假設!$C$467+C12</f>
        <v>156.333617639562</v>
      </c>
      <c r="D31" s="66" t="n">
        <f aca="false">D12</f>
        <v>147.771659407056</v>
      </c>
      <c r="E31" s="66" t="n">
        <f aca="false">E12</f>
        <v>152.315588121902</v>
      </c>
      <c r="F31" s="66" t="n">
        <f aca="false">F12</f>
        <v>158.200799129042</v>
      </c>
      <c r="G31" s="66" t="n">
        <f aca="false">G12</f>
        <v>158.211775433259</v>
      </c>
    </row>
    <row r="32" customFormat="false" ht="15" hidden="false" customHeight="false" outlineLevel="1" collapsed="false">
      <c r="A32" s="3" t="s">
        <v>1754</v>
      </c>
      <c r="B32" s="11" t="s">
        <v>42</v>
      </c>
      <c r="C32" s="67" t="n">
        <f aca="false">C31/C29</f>
        <v>0.317578065421161</v>
      </c>
      <c r="D32" s="67" t="n">
        <f aca="false">D31/D29</f>
        <v>0.247527263479659</v>
      </c>
      <c r="E32" s="67" t="n">
        <f aca="false">E31/E29</f>
        <v>0.220796351152969</v>
      </c>
      <c r="F32" s="67" t="n">
        <f aca="false">F31/F29</f>
        <v>0.204052956713848</v>
      </c>
      <c r="G32" s="67" t="n">
        <f aca="false">G31/G29</f>
        <v>0.187065528846814</v>
      </c>
    </row>
    <row r="33" customFormat="false" ht="15" hidden="false" customHeight="false" outlineLevel="1" collapsed="false">
      <c r="A33" s="3" t="s">
        <v>1755</v>
      </c>
      <c r="B33" s="11" t="s">
        <v>63</v>
      </c>
      <c r="C33" s="66" t="n">
        <f aca="false">輸入與假設!$C$470+C21</f>
        <v>38.0552126929686</v>
      </c>
      <c r="D33" s="66" t="n">
        <f aca="false">D21</f>
        <v>71.3722879498396</v>
      </c>
      <c r="E33" s="66" t="n">
        <f aca="false">E21</f>
        <v>100.658656025033</v>
      </c>
      <c r="F33" s="66" t="n">
        <f aca="false">F21</f>
        <v>130.739434471268</v>
      </c>
      <c r="G33" s="66" t="n">
        <f aca="false">G21</f>
        <v>161.425537746483</v>
      </c>
      <c r="I33" s="11" t="s">
        <v>1756</v>
      </c>
    </row>
    <row r="34" customFormat="false" ht="15" hidden="false" customHeight="false" outlineLevel="1" collapsed="false">
      <c r="A34" s="2" t="s">
        <v>1757</v>
      </c>
      <c r="B34" s="11" t="s">
        <v>63</v>
      </c>
      <c r="C34" s="42" t="n">
        <f aca="false">C31+C33</f>
        <v>194.388830332531</v>
      </c>
      <c r="D34" s="42" t="n">
        <f aca="false">D31+D33</f>
        <v>219.143947356896</v>
      </c>
      <c r="E34" s="42" t="n">
        <f aca="false">E31+E33</f>
        <v>252.974244146935</v>
      </c>
      <c r="F34" s="42" t="n">
        <f aca="false">F31+F33</f>
        <v>288.94023360031</v>
      </c>
      <c r="G34" s="42" t="n">
        <f aca="false">G31+G33</f>
        <v>319.637313179742</v>
      </c>
    </row>
    <row r="35" customFormat="false" ht="15" hidden="false" customHeight="false" outlineLevel="1" collapsed="false">
      <c r="A35" s="3" t="s">
        <v>1758</v>
      </c>
      <c r="B35" s="11" t="s">
        <v>63</v>
      </c>
      <c r="C35" s="66" t="n">
        <f aca="false">輸入與假設!$C$464+C13</f>
        <v>3.82368256759658</v>
      </c>
      <c r="D35" s="66" t="n">
        <f aca="false">D13</f>
        <v>3.96503593798289</v>
      </c>
      <c r="E35" s="66" t="n">
        <f aca="false">E13</f>
        <v>3.8911125616679</v>
      </c>
      <c r="F35" s="66" t="n">
        <f aca="false">F13</f>
        <v>3.80182534979671</v>
      </c>
      <c r="G35" s="66" t="n">
        <f aca="false">G13</f>
        <v>3.62184324478607</v>
      </c>
      <c r="I35" s="11" t="s">
        <v>1759</v>
      </c>
    </row>
    <row r="36" customFormat="false" ht="15" hidden="false" customHeight="false" outlineLevel="1" collapsed="false">
      <c r="A36" s="2" t="s">
        <v>1760</v>
      </c>
      <c r="B36" s="11" t="s">
        <v>63</v>
      </c>
      <c r="C36" s="42" t="n">
        <f aca="false">輸入與假設!$C$468+C20</f>
        <v>236.218305979875</v>
      </c>
      <c r="D36" s="42" t="n">
        <f aca="false">D20</f>
        <v>119.647110726269</v>
      </c>
      <c r="E36" s="42" t="n">
        <f aca="false">E20</f>
        <v>123.489163666115</v>
      </c>
      <c r="F36" s="42" t="n">
        <f aca="false">F20</f>
        <v>128.459946184332</v>
      </c>
      <c r="G36" s="42" t="n">
        <f aca="false">G20</f>
        <v>128.618823580809</v>
      </c>
    </row>
    <row r="37" customFormat="false" ht="15" hidden="false" customHeight="false" outlineLevel="1" collapsed="false">
      <c r="A37" s="3" t="s">
        <v>1761</v>
      </c>
      <c r="B37" s="11" t="s">
        <v>42</v>
      </c>
      <c r="C37" s="67" t="n">
        <f aca="false">C36/C29</f>
        <v>0.479856820067398</v>
      </c>
      <c r="D37" s="67" t="n">
        <f aca="false">D36/D29</f>
        <v>0.200416791827046</v>
      </c>
      <c r="E37" s="67" t="n">
        <f aca="false">E36/E29</f>
        <v>0.179009627843135</v>
      </c>
      <c r="F37" s="67" t="n">
        <f aca="false">F36/F29</f>
        <v>0.165692158209856</v>
      </c>
      <c r="G37" s="67" t="n">
        <f aca="false">G36/G29</f>
        <v>0.152075584683321</v>
      </c>
    </row>
    <row r="38" customFormat="false" ht="15" hidden="false" customHeight="false" outlineLevel="1" collapsed="false">
      <c r="A38" s="2" t="s">
        <v>1762</v>
      </c>
      <c r="B38" s="11" t="s">
        <v>39</v>
      </c>
      <c r="C38" s="85" t="n">
        <f aca="false">輸入與假設!$C$472+C20/C24</f>
        <v>19.1997865734683</v>
      </c>
      <c r="D38" s="85" t="n">
        <f aca="false">D20/D24</f>
        <v>9.63771349152533</v>
      </c>
      <c r="E38" s="85" t="n">
        <f aca="false">E20/E24</f>
        <v>9.88638395661125</v>
      </c>
      <c r="F38" s="85" t="n">
        <f aca="false">F20/F24</f>
        <v>10.2208324248478</v>
      </c>
      <c r="G38" s="85" t="n">
        <f aca="false">G20/G24</f>
        <v>10.1696550746639</v>
      </c>
      <c r="I38" s="11" t="s">
        <v>1763</v>
      </c>
    </row>
    <row r="39" customFormat="false" ht="15" hidden="false" customHeight="false" outlineLevel="1" collapsed="false">
      <c r="A39" s="3" t="s">
        <v>1764</v>
      </c>
      <c r="B39" s="11" t="s">
        <v>39</v>
      </c>
      <c r="C39" s="55" t="n">
        <f aca="false">輸入與假設!$C$473+(C20+輸入與假設!$C$426*輸入與假設!C$34)/C24</f>
        <v>21.5603252061084</v>
      </c>
      <c r="D39" s="55" t="n">
        <f aca="false">(D20+輸入與假設!$C$426*輸入與假設!D$34)/D24</f>
        <v>11.9049869760191</v>
      </c>
      <c r="E39" s="55" t="n">
        <f aca="false">(E20+輸入與假設!$C$426*輸入與假設!E$34)/E24</f>
        <v>12.1397966526363</v>
      </c>
      <c r="F39" s="55" t="n">
        <f aca="false">(F20+輸入與假設!$C$426*輸入與假設!F$34)/F24</f>
        <v>12.4603302512705</v>
      </c>
      <c r="G39" s="55" t="n">
        <f aca="false">(G20+輸入與假設!$C$426*輸入與假設!G$34)/G24</f>
        <v>12.3951868702236</v>
      </c>
      <c r="I39" s="6" t="s">
        <v>1765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F1239"/>
    <outlinePr summaryBelow="0" summaryRight="1"/>
    <pageSetUpPr fitToPage="false"/>
  </sheetPr>
  <dimension ref="A1:I1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42"/>
    <col collapsed="false" customWidth="true" hidden="false" outlineLevel="0" max="2" min="2" style="0" width="12"/>
    <col collapsed="false" customWidth="true" hidden="false" outlineLevel="0" max="7" min="3" style="0" width="13"/>
    <col collapsed="false" customWidth="true" hidden="false" outlineLevel="0" max="9" min="9" style="0" width="92"/>
  </cols>
  <sheetData>
    <row r="1" customFormat="false" ht="21.6" hidden="false" customHeight="false" outlineLevel="0" collapsed="false">
      <c r="A1" s="5" t="s">
        <v>1766</v>
      </c>
    </row>
    <row r="2" customFormat="false" ht="15" hidden="false" customHeight="false" outlineLevel="0" collapsed="false">
      <c r="A2" s="6" t="s">
        <v>1767</v>
      </c>
    </row>
    <row r="4" customFormat="false" ht="15" hidden="false" customHeight="false" outlineLevel="0" collapsed="false">
      <c r="A4" s="14" t="s">
        <v>57</v>
      </c>
      <c r="B4" s="14" t="s">
        <v>58</v>
      </c>
      <c r="C4" s="28" t="s">
        <v>59</v>
      </c>
      <c r="D4" s="28" t="s">
        <v>60</v>
      </c>
      <c r="E4" s="28" t="s">
        <v>61</v>
      </c>
      <c r="F4" s="28" t="s">
        <v>151</v>
      </c>
      <c r="G4" s="28" t="s">
        <v>152</v>
      </c>
      <c r="I4" s="14" t="s">
        <v>1065</v>
      </c>
    </row>
    <row r="5" customFormat="false" ht="15" hidden="false" customHeight="false" outlineLevel="0" collapsed="false">
      <c r="A5" s="7" t="s">
        <v>1768</v>
      </c>
      <c r="B5" s="8"/>
      <c r="C5" s="8"/>
      <c r="D5" s="8"/>
      <c r="E5" s="8"/>
      <c r="F5" s="8"/>
      <c r="G5" s="8"/>
      <c r="H5" s="8"/>
    </row>
    <row r="6" customFormat="false" ht="15" hidden="false" customHeight="false" outlineLevel="1" collapsed="false">
      <c r="A6" s="3" t="s">
        <v>1769</v>
      </c>
      <c r="B6" s="11" t="s">
        <v>63</v>
      </c>
      <c r="C6" s="66" t="n">
        <f aca="false">輸入與假設!C$312-各期收支!C8</f>
        <v>119.402</v>
      </c>
      <c r="D6" s="66" t="n">
        <f aca="false">輸入與假設!D$312-各期收支!D8</f>
        <v>218.526551448861</v>
      </c>
      <c r="E6" s="66" t="n">
        <f aca="false">輸入與假設!E$312-各期收支!E8</f>
        <v>227.058542261668</v>
      </c>
      <c r="F6" s="66" t="n">
        <f aca="false">輸入與假設!F$312-各期收支!F8</f>
        <v>258.17737758614</v>
      </c>
      <c r="G6" s="66" t="n">
        <f aca="false">輸入與假設!G$312-各期收支!G8</f>
        <v>368.182280211948</v>
      </c>
      <c r="I6" s="11" t="s">
        <v>1770</v>
      </c>
    </row>
    <row r="7" customFormat="false" ht="15" hidden="false" customHeight="false" outlineLevel="1" collapsed="false">
      <c r="A7" s="3" t="s">
        <v>1771</v>
      </c>
      <c r="B7" s="11" t="s">
        <v>63</v>
      </c>
      <c r="C7" s="66" t="n">
        <f aca="false">402.836</f>
        <v>402.836</v>
      </c>
      <c r="D7" s="66" t="n">
        <f aca="false">229.692+損益!C9</f>
        <v>492.268310257</v>
      </c>
      <c r="E7" s="66" t="n">
        <f aca="false">損益!D9</f>
        <v>596.991447849945</v>
      </c>
      <c r="F7" s="66" t="n">
        <f aca="false">損益!E9</f>
        <v>689.846491241952</v>
      </c>
      <c r="G7" s="66" t="n">
        <f aca="false">損益!F9</f>
        <v>775.292853760964</v>
      </c>
      <c r="I7" s="11" t="s">
        <v>1772</v>
      </c>
    </row>
    <row r="8" customFormat="false" ht="15" hidden="false" customHeight="false" outlineLevel="1" collapsed="false">
      <c r="A8" s="3" t="s">
        <v>1773</v>
      </c>
      <c r="B8" s="11" t="s">
        <v>63</v>
      </c>
      <c r="C8" s="39" t="n">
        <f aca="false">各期收支!C11</f>
        <v>0</v>
      </c>
      <c r="D8" s="39" t="n">
        <f aca="false">各期收支!D11</f>
        <v>0</v>
      </c>
      <c r="E8" s="39" t="n">
        <f aca="false">各期收支!E11</f>
        <v>0</v>
      </c>
      <c r="F8" s="39" t="n">
        <f aca="false">各期收支!F11</f>
        <v>0</v>
      </c>
      <c r="G8" s="39" t="n">
        <f aca="false">各期收支!G11</f>
        <v>0</v>
      </c>
      <c r="I8" s="6" t="s">
        <v>1774</v>
      </c>
    </row>
    <row r="9" customFormat="false" ht="15" hidden="false" customHeight="false" outlineLevel="1" collapsed="false">
      <c r="A9" s="3" t="s">
        <v>1775</v>
      </c>
      <c r="B9" s="11" t="s">
        <v>63</v>
      </c>
      <c r="C9" s="66" t="n">
        <f aca="false">IF(ISBLANK(輸入與假設!$C$50),輸入與假設!$C$387*MAX(0,損益!C9-C7),-輸入與假設!$C$50)</f>
        <v>-8.49</v>
      </c>
      <c r="D9" s="66" t="n">
        <f aca="false">輸入與假設!$C$387*MAX(0,損益!D9-D7)</f>
        <v>0</v>
      </c>
      <c r="E9" s="66" t="n">
        <f aca="false">輸入與假設!$C$387*MAX(0,損益!E9-E7)</f>
        <v>0</v>
      </c>
      <c r="F9" s="66" t="n">
        <f aca="false">輸入與假設!$C$387*MAX(0,損益!F9-F7)</f>
        <v>0</v>
      </c>
      <c r="G9" s="66" t="n">
        <f aca="false">輸入與假設!$C$387*MAX(0,損益!G9-G7)</f>
        <v>0</v>
      </c>
      <c r="I9" s="11" t="s">
        <v>1776</v>
      </c>
    </row>
    <row r="10" customFormat="false" ht="15" hidden="false" customHeight="false" outlineLevel="1" collapsed="false">
      <c r="A10" s="3" t="s">
        <v>1777</v>
      </c>
      <c r="B10" s="11" t="s">
        <v>63</v>
      </c>
      <c r="C10" s="66" t="n">
        <f aca="false">輸入與假設!$C$385</f>
        <v>0</v>
      </c>
      <c r="D10" s="66" t="n">
        <f aca="false">C12</f>
        <v>0</v>
      </c>
      <c r="E10" s="66" t="n">
        <f aca="false">D12</f>
        <v>0</v>
      </c>
      <c r="F10" s="66" t="n">
        <f aca="false">E12</f>
        <v>0</v>
      </c>
      <c r="G10" s="66" t="n">
        <f aca="false">F12</f>
        <v>0</v>
      </c>
      <c r="I10" s="11" t="s">
        <v>1778</v>
      </c>
    </row>
    <row r="11" customFormat="false" ht="15" hidden="false" customHeight="false" outlineLevel="1" collapsed="false">
      <c r="A11" s="3" t="s">
        <v>1779</v>
      </c>
      <c r="B11" s="11" t="s">
        <v>63</v>
      </c>
      <c r="C11" s="66" t="n">
        <f aca="false">MIN(C10,MAX(0,損益!C12)*輸入與假設!$C$386)</f>
        <v>0</v>
      </c>
      <c r="D11" s="66" t="n">
        <f aca="false">MIN(D10,MAX(0,損益!D12)*輸入與假設!$C$386)</f>
        <v>0</v>
      </c>
      <c r="E11" s="66" t="n">
        <f aca="false">MIN(E10,MAX(0,損益!E12)*輸入與假設!$C$386)</f>
        <v>0</v>
      </c>
      <c r="F11" s="66" t="n">
        <f aca="false">MIN(F10,MAX(0,損益!F12)*輸入與假設!$C$386)</f>
        <v>0</v>
      </c>
      <c r="G11" s="66" t="n">
        <f aca="false">MIN(G10,MAX(0,損益!G12)*輸入與假設!$C$386)</f>
        <v>0</v>
      </c>
    </row>
    <row r="12" customFormat="false" ht="15" hidden="false" customHeight="false" outlineLevel="1" collapsed="false">
      <c r="A12" s="3" t="s">
        <v>1780</v>
      </c>
      <c r="B12" s="11" t="s">
        <v>63</v>
      </c>
      <c r="C12" s="66" t="n">
        <f aca="false">C10-C11+MAX(0,-損益!C12)</f>
        <v>0</v>
      </c>
      <c r="D12" s="66" t="n">
        <f aca="false">D10-D11+MAX(0,-損益!D12)</f>
        <v>0</v>
      </c>
      <c r="E12" s="66" t="n">
        <f aca="false">E10-E11+MAX(0,-損益!E12)</f>
        <v>0</v>
      </c>
      <c r="F12" s="66" t="n">
        <f aca="false">F10-F11+MAX(0,-損益!F12)</f>
        <v>0</v>
      </c>
      <c r="G12" s="66" t="n">
        <f aca="false">G10-G11+MAX(0,-損益!G12)</f>
        <v>0</v>
      </c>
    </row>
    <row r="13" customFormat="false" ht="15" hidden="false" customHeight="false" outlineLevel="1" collapsed="false">
      <c r="A13" s="3" t="s">
        <v>1781</v>
      </c>
      <c r="B13" s="11" t="s">
        <v>63</v>
      </c>
      <c r="C13" s="66" t="n">
        <f aca="false">MAX(0,損益!C12-C11)*輸入與假設!$C$372</f>
        <v>12.7457597634464</v>
      </c>
      <c r="D13" s="66" t="n">
        <f aca="false">MAX(0,損益!D12-D11)*輸入與假設!$C$372</f>
        <v>24.8256387803854</v>
      </c>
      <c r="E13" s="66" t="n">
        <f aca="false">MAX(0,損益!E12-E11)*輸入與假設!$C$372</f>
        <v>25.5890188044795</v>
      </c>
      <c r="F13" s="66" t="n">
        <f aca="false">MAX(0,損益!F12-F11)*輸入與假設!$C$372</f>
        <v>26.5777342536791</v>
      </c>
      <c r="G13" s="66" t="n">
        <f aca="false">MAX(0,損益!G12-G11)*輸入與假設!$C$372</f>
        <v>26.5795782727875</v>
      </c>
      <c r="I13" s="6" t="s">
        <v>1782</v>
      </c>
    </row>
    <row r="14" customFormat="false" ht="15" hidden="false" customHeight="false" outlineLevel="1" collapsed="false">
      <c r="A14" s="84" t="s">
        <v>1783</v>
      </c>
      <c r="B14" s="11" t="s">
        <v>63</v>
      </c>
      <c r="C14" s="42" t="n">
        <f aca="false">損益!C12-C13+損益!C21-輸入與假設!C$231-C6-C9-C8</f>
        <v>-23.3209294309159</v>
      </c>
      <c r="D14" s="42" t="n">
        <f aca="false">損益!D12-D13+損益!D21-輸入與假設!D$231-D6-D9-D8</f>
        <v>-24.208242872351</v>
      </c>
      <c r="E14" s="42" t="n">
        <f aca="false">損益!E12-E13+損益!E21-輸入與假設!E$231-E6-E9-E8</f>
        <v>0.326683080786694</v>
      </c>
      <c r="F14" s="42" t="n">
        <f aca="false">損益!F12-F13+損益!F21-輸入與假設!F$231-F6-F9-F8</f>
        <v>4.1851217604908</v>
      </c>
      <c r="G14" s="42" t="n">
        <f aca="false">損益!G12-G13+損益!G21-輸入與假設!G$231-G6-G9-G8</f>
        <v>-75.1245453049935</v>
      </c>
      <c r="I14" s="6" t="s">
        <v>1784</v>
      </c>
    </row>
    <row r="15" customFormat="false" ht="15" hidden="false" customHeight="false" outlineLevel="1" collapsed="false">
      <c r="A15" s="3" t="s">
        <v>1785</v>
      </c>
      <c r="B15" s="6" t="s">
        <v>182</v>
      </c>
      <c r="C15" s="86" t="n">
        <f aca="false">輸入與假設!$C$443</f>
        <v>0.5</v>
      </c>
      <c r="D15" s="86" t="n">
        <f aca="false">輸入與假設!$D$443</f>
        <v>1.5</v>
      </c>
      <c r="E15" s="86" t="n">
        <f aca="false">輸入與假設!$E$443</f>
        <v>2.5</v>
      </c>
      <c r="F15" s="86" t="n">
        <f aca="false">輸入與假設!$F$443</f>
        <v>3.5</v>
      </c>
      <c r="G15" s="86" t="n">
        <f aca="false">輸入與假設!$G$443</f>
        <v>4.5</v>
      </c>
      <c r="I15" s="6" t="s">
        <v>1786</v>
      </c>
    </row>
    <row r="16" customFormat="false" ht="15" hidden="false" customHeight="false" outlineLevel="1" collapsed="false">
      <c r="A16" s="3" t="s">
        <v>1787</v>
      </c>
      <c r="B16" s="6"/>
      <c r="C16" s="31" t="n">
        <f aca="false">1/(1+輸入與假設!$C$382)^C15</f>
        <v>0.946699351478847</v>
      </c>
      <c r="D16" s="31" t="n">
        <f aca="false">1/(1+輸入與假設!$C$382)^D15</f>
        <v>0.848469506870669</v>
      </c>
      <c r="E16" s="31" t="n">
        <f aca="false">1/(1+輸入與假設!$C$382)^E15</f>
        <v>0.760432024131836</v>
      </c>
      <c r="F16" s="31" t="n">
        <f aca="false">1/(1+輸入與假設!$C$382)^F15</f>
        <v>0.681529340350689</v>
      </c>
      <c r="G16" s="31" t="n">
        <f aca="false">1/(1+輸入與假設!$C$382)^G15</f>
        <v>0.610813625700642</v>
      </c>
    </row>
    <row r="17" customFormat="false" ht="15" hidden="false" customHeight="false" outlineLevel="1" collapsed="false">
      <c r="A17" s="4" t="s">
        <v>1788</v>
      </c>
      <c r="B17" s="11" t="s">
        <v>63</v>
      </c>
      <c r="C17" s="66" t="n">
        <f aca="false">C14*C16</f>
        <v>-22.077908768132</v>
      </c>
      <c r="D17" s="66" t="n">
        <f aca="false">D14*D16</f>
        <v>-20.539955892109</v>
      </c>
      <c r="E17" s="66" t="n">
        <f aca="false">E14*E16</f>
        <v>0.24842027637225</v>
      </c>
      <c r="F17" s="66" t="n">
        <f aca="false">F14*F16</f>
        <v>2.85228327271461</v>
      </c>
      <c r="G17" s="66" t="n">
        <f aca="false">G14*G16</f>
        <v>-45.8870958968552</v>
      </c>
    </row>
    <row r="18" customFormat="false" ht="15" hidden="false" customHeight="false" outlineLevel="1" collapsed="false"/>
    <row r="19" customFormat="false" ht="15" hidden="false" customHeight="false" outlineLevel="1" collapsed="false">
      <c r="A19" s="3" t="s">
        <v>1789</v>
      </c>
      <c r="C19" s="10" t="n">
        <f aca="false">SUM(C17:G17)</f>
        <v>-85.4042570080094</v>
      </c>
      <c r="I19" s="6" t="s">
        <v>1790</v>
      </c>
    </row>
    <row r="20" customFormat="false" ht="15" hidden="false" customHeight="false" outlineLevel="1" collapsed="false">
      <c r="A20" s="3" t="s">
        <v>1791</v>
      </c>
      <c r="C20" s="10" t="n">
        <f aca="false">G14+輸入與假設!G288*(1-各期收支!G7)</f>
        <v>164.040493536288</v>
      </c>
      <c r="I20" s="11" t="s">
        <v>1792</v>
      </c>
    </row>
    <row r="21" customFormat="false" ht="15" hidden="false" customHeight="false" outlineLevel="1" collapsed="false">
      <c r="A21" s="3" t="s">
        <v>1793</v>
      </c>
      <c r="C21" s="57" t="n">
        <f aca="false">IF(C30=1,0,C20*(1+輸入與假設!$C$383)/(輸入與假設!$C$382-輸入與假設!$C$383))</f>
        <v>1969.87099186804</v>
      </c>
      <c r="I21" s="6" t="s">
        <v>1794</v>
      </c>
    </row>
    <row r="22" customFormat="false" ht="15" hidden="false" customHeight="false" outlineLevel="1" collapsed="false">
      <c r="A22" s="3" t="s">
        <v>1795</v>
      </c>
      <c r="C22" s="57" t="n">
        <f aca="false">C21*G16</f>
        <v>1203.22404270544</v>
      </c>
    </row>
    <row r="23" customFormat="false" ht="15" hidden="false" customHeight="false" outlineLevel="1" collapsed="false">
      <c r="A23" s="3" t="s">
        <v>1796</v>
      </c>
      <c r="C23" s="57" t="n">
        <f aca="false">C19+C22</f>
        <v>1117.81978569743</v>
      </c>
    </row>
    <row r="24" customFormat="false" ht="15" hidden="false" customHeight="false" outlineLevel="1" collapsed="false">
      <c r="A24" s="3" t="s">
        <v>1797</v>
      </c>
      <c r="C24" s="10" t="n">
        <f aca="false">-評價_DCF與目標價!$C$91</f>
        <v>227.559</v>
      </c>
      <c r="I24" s="6" t="s">
        <v>1798</v>
      </c>
    </row>
    <row r="25" customFormat="false" ht="15" hidden="false" customHeight="false" outlineLevel="1" collapsed="false">
      <c r="A25" s="3" t="s">
        <v>1799</v>
      </c>
      <c r="C25" s="57" t="n">
        <f aca="false">C23+C24</f>
        <v>1345.37878569743</v>
      </c>
    </row>
    <row r="26" customFormat="false" ht="15" hidden="false" customHeight="false" outlineLevel="1" collapsed="false">
      <c r="A26" s="84" t="s">
        <v>1800</v>
      </c>
      <c r="C26" s="87" t="n">
        <f aca="false">IF(C30=1,0,IF(輸入與假設!$C$428=2,C32,C31))</f>
        <v>105.541740239919</v>
      </c>
      <c r="I26" s="6" t="s">
        <v>1801</v>
      </c>
    </row>
    <row r="27" customFormat="false" ht="15" hidden="false" customHeight="false" outlineLevel="1" collapsed="false">
      <c r="A27" s="3" t="s">
        <v>1802</v>
      </c>
      <c r="C27" s="29" t="n">
        <f aca="false">C22/C23</f>
        <v>1.0764025275816</v>
      </c>
      <c r="I27" s="6" t="str">
        <f aca="false">"超過 "&amp;IF(ROUND(ABS(輸入與假設!$C$452)*100,4)=INT(ROUND(ABS(輸入與假設!$C$452)*100,4)),TEXT(ROUND(ABS(輸入與假設!$C$452)*100,4),"0"),TEXT(ROUND(ABS(輸入與假設!$C$452)*100,4),"0.0"))&amp;"%"&amp;" 表示結論由終值假設決定，不由現金流決定"</f>
        <v>超過 85% 表示結論由終值假設決定，不由現金流決定</v>
      </c>
    </row>
    <row r="28" customFormat="false" ht="15" hidden="false" customHeight="false" outlineLevel="1" collapsed="false">
      <c r="A28" s="3" t="s">
        <v>1803</v>
      </c>
      <c r="C28" s="57" t="n">
        <f aca="false">(各期收支!C92-各期收支!C76)/(1+輸入與假設!$C$382)^輸入與假設!$C$444+(各期收支!D92-各期收支!D76)/(1+輸入與假設!$C$382)^輸入與假設!$D$444+(各期收支!E92-各期收支!E76)/(1+輸入與假設!$C$382)^輸入與假設!$E$444+(各期收支!F92-各期收支!F76)/(1+輸入與假設!$C$382)^輸入與假設!$F$444+(各期收支!G92-各期收支!G76)/(1+輸入與假設!$C$382)^輸入與假設!$G$444</f>
        <v>-63.5424251788132</v>
      </c>
      <c r="I28" s="6" t="s">
        <v>1804</v>
      </c>
    </row>
    <row r="29" customFormat="false" ht="15" hidden="false" customHeight="false" outlineLevel="1" collapsed="false">
      <c r="A29" s="3" t="s">
        <v>1805</v>
      </c>
      <c r="C29" s="88" t="n">
        <f aca="false">評價_DCF與目標價!$C$90+各期收支!G97</f>
        <v>12.1453024898464</v>
      </c>
    </row>
    <row r="30" customFormat="false" ht="15" hidden="false" customHeight="false" outlineLevel="1" collapsed="false">
      <c r="A30" s="4" t="s">
        <v>1806</v>
      </c>
      <c r="C30" s="50" t="n">
        <f aca="false">IF(OR(輸入與假設!$C$382&lt;=輸入與假設!$C$383,C20&lt;=0),1,0)</f>
        <v>0</v>
      </c>
      <c r="I30" s="11" t="s">
        <v>1807</v>
      </c>
    </row>
    <row r="31" customFormat="false" ht="15" hidden="false" customHeight="false" outlineLevel="1" collapsed="false">
      <c r="A31" s="84" t="s">
        <v>1808</v>
      </c>
      <c r="C31" s="49" t="n">
        <f aca="false">MAX(0,(C25+C28)/C29)</f>
        <v>105.541740239919</v>
      </c>
    </row>
    <row r="32" customFormat="false" ht="15" hidden="false" customHeight="false" outlineLevel="1" collapsed="false">
      <c r="A32" s="84" t="s">
        <v>1809</v>
      </c>
      <c r="C32" s="49" t="n">
        <f aca="false">IF((C23+C28)&lt;=0,0,IF(評價_DCF與目標價!$C$91&lt;=0,(C23+C28),(C23+C28)*NORMSDIST(C33)-評價_DCF與目標價!$C$91*EXP(-輸入與假設!$C$373*輸入與假設!$C$430)*NORMSDIST(C34))/C29)</f>
        <v>86.8053604593217</v>
      </c>
      <c r="I32" s="11" t="s">
        <v>1810</v>
      </c>
    </row>
    <row r="33" customFormat="false" ht="15" hidden="false" customHeight="false" outlineLevel="1" collapsed="false">
      <c r="A33" s="3" t="s">
        <v>1811</v>
      </c>
      <c r="C33" s="88" t="n">
        <f aca="false">IF(OR((C23+C28)&lt;=0,評價_DCF與目標價!$C$91&lt;=0),0,(LN((C23+C28)/評價_DCF與目標價!$C$91)+(輸入與假設!$C$373+輸入與假設!$C$429^2/2)*輸入與假設!$C$430)/(輸入與假設!$C$429*SQRT(輸入與假設!$C$430)))</f>
        <v>0</v>
      </c>
    </row>
    <row r="34" customFormat="false" ht="15" hidden="false" customHeight="false" outlineLevel="1" collapsed="false">
      <c r="A34" s="3" t="s">
        <v>1812</v>
      </c>
      <c r="C34" s="88" t="n">
        <f aca="false">C33-輸入與假設!$C$429*SQRT(輸入與假設!$C$430)</f>
        <v>-1.06066017177982</v>
      </c>
    </row>
    <row r="36" customFormat="false" ht="15" hidden="false" customHeight="false" outlineLevel="0" collapsed="false">
      <c r="A36" s="52" t="s">
        <v>1813</v>
      </c>
      <c r="B36" s="8"/>
      <c r="C36" s="8"/>
      <c r="D36" s="8"/>
      <c r="E36" s="8"/>
      <c r="F36" s="8"/>
      <c r="G36" s="8"/>
      <c r="H36" s="8"/>
    </row>
    <row r="37" customFormat="false" ht="15" hidden="false" customHeight="false" outlineLevel="1" collapsed="false">
      <c r="A37" s="3" t="s">
        <v>1814</v>
      </c>
      <c r="C37" s="89" t="str">
        <f aca="false">CHOOSE(輸入與假設!$C$420,"2027","2028","2029","2030")</f>
        <v>2029</v>
      </c>
      <c r="I37" s="6" t="s">
        <v>1815</v>
      </c>
    </row>
    <row r="38" customFormat="false" ht="15" hidden="false" customHeight="false" outlineLevel="1" collapsed="false">
      <c r="A38" s="3" t="s">
        <v>1816</v>
      </c>
      <c r="C38" s="10" t="n">
        <f aca="false">INDEX(損益!$D$22:$G$22,1,輸入與假設!$C$420)</f>
        <v>288.94023360031</v>
      </c>
    </row>
    <row r="39" customFormat="false" ht="15" hidden="false" customHeight="false" outlineLevel="1" collapsed="false">
      <c r="A39" s="3" t="s">
        <v>1817</v>
      </c>
      <c r="C39" s="57" t="n">
        <f aca="false">C45*輸入與假設!$C$388+C44*輸入與假設!$C$419</f>
        <v>2732.5518114298</v>
      </c>
      <c r="I39" s="6" t="s">
        <v>1818</v>
      </c>
    </row>
    <row r="40" customFormat="false" ht="15" hidden="false" customHeight="false" outlineLevel="1" collapsed="false">
      <c r="A40" s="3" t="s">
        <v>1819</v>
      </c>
      <c r="C40" s="10" t="n">
        <f aca="false">INDEX(各期收支!$D$102:$G$102,1,輸入與假設!$C$420)-INDEX(各期收支!$D$56:$G$56,1,輸入與假設!$C$420)+評價_DCF與目標價!$C$92</f>
        <v>-198.34851173717</v>
      </c>
      <c r="I40" s="6" t="s">
        <v>1820</v>
      </c>
    </row>
    <row r="41" customFormat="false" ht="15" hidden="false" customHeight="false" outlineLevel="1" collapsed="false">
      <c r="A41" s="3" t="s">
        <v>1821</v>
      </c>
      <c r="C41" s="90" t="n">
        <f aca="false">INDEX(損益!$D$24:$G$24,1,輸入與假設!$C$420)</f>
        <v>12.5684426516997</v>
      </c>
      <c r="I41" s="6" t="s">
        <v>1822</v>
      </c>
    </row>
    <row r="42" customFormat="false" ht="15" hidden="false" customHeight="false" outlineLevel="1" collapsed="false">
      <c r="A42" s="3" t="s">
        <v>1823</v>
      </c>
      <c r="C42" s="90" t="n">
        <f aca="false">1/(1+輸入與假設!$C$382)^(輸入與假設!$C$420-輸入與假設!$C$440)</f>
        <v>0.760432024131836</v>
      </c>
      <c r="I42" s="6" t="s">
        <v>1824</v>
      </c>
    </row>
    <row r="43" customFormat="false" ht="15" hidden="false" customHeight="false" outlineLevel="1" collapsed="false">
      <c r="A43" s="4" t="s">
        <v>1825</v>
      </c>
      <c r="C43" s="49" t="n">
        <f aca="false">MAX(0,(C39-C40)/C41)*C42</f>
        <v>177.329087384833</v>
      </c>
      <c r="I43" s="6" t="s">
        <v>1826</v>
      </c>
    </row>
    <row r="44" customFormat="false" ht="15" hidden="false" customHeight="false" outlineLevel="1" collapsed="false">
      <c r="A44" s="3" t="s">
        <v>1827</v>
      </c>
      <c r="C44" s="10" t="n">
        <f aca="false">INDEX(輸入與假設!$D$230:$G$230,1,輸入與假設!$C$420)</f>
        <v>236.722438828359</v>
      </c>
      <c r="I44" s="11" t="s">
        <v>1828</v>
      </c>
    </row>
    <row r="45" customFormat="false" ht="15" hidden="false" customHeight="false" outlineLevel="1" collapsed="false">
      <c r="A45" s="3" t="s">
        <v>1829</v>
      </c>
      <c r="C45" s="57" t="n">
        <f aca="false">C38-C44</f>
        <v>52.2177947719511</v>
      </c>
      <c r="I45" s="6" t="s">
        <v>1830</v>
      </c>
    </row>
    <row r="47" customFormat="false" ht="15" hidden="false" customHeight="false" outlineLevel="0" collapsed="false">
      <c r="A47" s="52" t="s">
        <v>1831</v>
      </c>
      <c r="B47" s="8"/>
      <c r="C47" s="8"/>
      <c r="D47" s="8"/>
      <c r="E47" s="8"/>
      <c r="F47" s="8"/>
      <c r="G47" s="8"/>
      <c r="H47" s="8"/>
    </row>
    <row r="48" customFormat="false" ht="15" hidden="false" customHeight="false" outlineLevel="1" collapsed="false">
      <c r="A48" s="4" t="s">
        <v>1832</v>
      </c>
      <c r="C48" s="12" t="n">
        <f aca="false">C26*(1+輸入與假設!$C$382)^輸入與假設!$C$436</f>
        <v>117.760622190882</v>
      </c>
      <c r="I48" s="6" t="s">
        <v>1833</v>
      </c>
    </row>
    <row r="49" customFormat="false" ht="15" hidden="false" customHeight="false" outlineLevel="1" collapsed="false">
      <c r="A49" s="4" t="s">
        <v>1834</v>
      </c>
      <c r="C49" s="12" t="n">
        <f aca="false">C48*IF(C30=1,0,輸入與假設!$C$421)</f>
        <v>52.9922799858968</v>
      </c>
    </row>
    <row r="50" customFormat="false" ht="15" hidden="false" customHeight="false" outlineLevel="1" collapsed="false">
      <c r="A50" s="4" t="s">
        <v>1835</v>
      </c>
      <c r="C50" s="12" t="n">
        <f aca="false">C43*IF(C30=1,1,1-輸入與假設!$C$421)</f>
        <v>97.5309980616581</v>
      </c>
    </row>
    <row r="51" customFormat="false" ht="15" hidden="false" customHeight="false" outlineLevel="1" collapsed="false">
      <c r="A51" s="2" t="s">
        <v>1831</v>
      </c>
      <c r="C51" s="91" t="n">
        <f aca="false">SUM(C49:C50)</f>
        <v>150.523278047555</v>
      </c>
      <c r="I51" s="6" t="s">
        <v>1836</v>
      </c>
    </row>
    <row r="52" customFormat="false" ht="15" hidden="false" customHeight="false" outlineLevel="1" collapsed="false">
      <c r="A52" s="3" t="s">
        <v>1837</v>
      </c>
      <c r="C52" s="12" t="n">
        <f aca="false">輸入與假設!$C$355</f>
        <v>350.5</v>
      </c>
    </row>
    <row r="53" customFormat="false" ht="15" hidden="false" customHeight="false" outlineLevel="1" collapsed="false">
      <c r="A53" s="3" t="s">
        <v>1838</v>
      </c>
      <c r="C53" s="29" t="n">
        <f aca="false">C51/C52-1</f>
        <v>-0.570546995584722</v>
      </c>
    </row>
    <row r="55" customFormat="false" ht="15" hidden="false" customHeight="false" outlineLevel="0" collapsed="false">
      <c r="A55" s="52" t="s">
        <v>1839</v>
      </c>
      <c r="B55" s="8"/>
      <c r="C55" s="8"/>
      <c r="D55" s="8"/>
      <c r="E55" s="8"/>
      <c r="F55" s="8"/>
      <c r="G55" s="8"/>
      <c r="H55" s="8"/>
    </row>
    <row r="56" customFormat="false" ht="15" hidden="false" customHeight="false" outlineLevel="1" collapsed="false">
      <c r="A56" s="3" t="s">
        <v>1840</v>
      </c>
      <c r="B56" s="11" t="s">
        <v>63</v>
      </c>
      <c r="C56" s="66" t="n">
        <f aca="false">運營_產能與收入!C26*(1/輸入與假設!$C$58-(1-輸入與假設!C$239))*(1/輸入與假設!$C$252-1)</f>
        <v>21.6836585381067</v>
      </c>
      <c r="D56" s="66" t="n">
        <f aca="false">運營_產能與收入!D26*(1/輸入與假設!$C$58-(1-輸入與假設!D$239))*(1/輸入與假設!$C$252-1)</f>
        <v>62.6730110138673</v>
      </c>
      <c r="E56" s="66" t="n">
        <f aca="false">運營_產能與收入!E26*(1/輸入與假設!$C$58-(1-輸入與假設!E$239))*(1/輸入與假設!$C$252-1)</f>
        <v>87.6372469991055</v>
      </c>
      <c r="F56" s="66" t="n">
        <f aca="false">運營_產能與收入!F26*(1/輸入與假設!$C$58-(1-輸入與假設!F$239))*(1/輸入與假設!$C$252-1)</f>
        <v>112.722997934971</v>
      </c>
      <c r="G56" s="66" t="n">
        <f aca="false">運營_產能與收入!G26*(1/輸入與假設!$C$58-(1-輸入與假設!G$239))*(1/輸入與假設!$C$252-1)</f>
        <v>137.867179727181</v>
      </c>
      <c r="I56" s="6" t="s">
        <v>1841</v>
      </c>
    </row>
    <row r="57" customFormat="false" ht="15" hidden="false" customHeight="false" outlineLevel="1" collapsed="false">
      <c r="A57" s="3" t="s">
        <v>1842</v>
      </c>
      <c r="B57" s="11" t="s">
        <v>63</v>
      </c>
      <c r="C57" s="66" t="n">
        <f aca="false">損益!C12+C56</f>
        <v>97.5512761776686</v>
      </c>
      <c r="D57" s="66" t="n">
        <f aca="false">損益!D12+D56</f>
        <v>210.444670420923</v>
      </c>
      <c r="E57" s="66" t="n">
        <f aca="false">損益!E12+E56</f>
        <v>239.952835121007</v>
      </c>
      <c r="F57" s="66" t="n">
        <f aca="false">損益!F12+F56</f>
        <v>270.923797064013</v>
      </c>
      <c r="G57" s="66" t="n">
        <f aca="false">損益!G12+G56</f>
        <v>296.07895516044</v>
      </c>
    </row>
    <row r="58" customFormat="false" ht="15" hidden="false" customHeight="false" outlineLevel="1" collapsed="false">
      <c r="A58" s="3" t="s">
        <v>1843</v>
      </c>
      <c r="B58" s="11" t="s">
        <v>63</v>
      </c>
      <c r="C58" s="66" t="n">
        <f aca="false">輸入與假設!$C$385</f>
        <v>0</v>
      </c>
      <c r="D58" s="66" t="n">
        <f aca="false">C60</f>
        <v>0</v>
      </c>
      <c r="E58" s="66" t="n">
        <f aca="false">D60</f>
        <v>0</v>
      </c>
      <c r="F58" s="66" t="n">
        <f aca="false">E60</f>
        <v>0</v>
      </c>
      <c r="G58" s="66" t="n">
        <f aca="false">F60</f>
        <v>0</v>
      </c>
    </row>
    <row r="59" customFormat="false" ht="15" hidden="false" customHeight="false" outlineLevel="1" collapsed="false">
      <c r="A59" s="3" t="s">
        <v>1844</v>
      </c>
      <c r="B59" s="11" t="s">
        <v>63</v>
      </c>
      <c r="C59" s="66" t="n">
        <f aca="false">MIN(C58,MAX(0,C57)*輸入與假設!$C$386)</f>
        <v>0</v>
      </c>
      <c r="D59" s="66" t="n">
        <f aca="false">MIN(D58,MAX(0,D57)*輸入與假設!$C$386)</f>
        <v>0</v>
      </c>
      <c r="E59" s="66" t="n">
        <f aca="false">MIN(E58,MAX(0,E57)*輸入與假設!$C$386)</f>
        <v>0</v>
      </c>
      <c r="F59" s="66" t="n">
        <f aca="false">MIN(F58,MAX(0,F57)*輸入與假設!$C$386)</f>
        <v>0</v>
      </c>
      <c r="G59" s="66" t="n">
        <f aca="false">MIN(G58,MAX(0,G57)*輸入與假設!$C$386)</f>
        <v>0</v>
      </c>
    </row>
    <row r="60" customFormat="false" ht="15" hidden="false" customHeight="false" outlineLevel="1" collapsed="false">
      <c r="A60" s="3" t="s">
        <v>1845</v>
      </c>
      <c r="B60" s="11" t="s">
        <v>63</v>
      </c>
      <c r="C60" s="66" t="n">
        <f aca="false">C58-C59+MAX(0,-C57)</f>
        <v>0</v>
      </c>
      <c r="D60" s="66" t="n">
        <f aca="false">D58-D59+MAX(0,-D57)</f>
        <v>0</v>
      </c>
      <c r="E60" s="66" t="n">
        <f aca="false">E58-E59+MAX(0,-E57)</f>
        <v>0</v>
      </c>
      <c r="F60" s="66" t="n">
        <f aca="false">F58-F59+MAX(0,-F57)</f>
        <v>0</v>
      </c>
      <c r="G60" s="66" t="n">
        <f aca="false">G58-G59+MAX(0,-G57)</f>
        <v>0</v>
      </c>
    </row>
    <row r="61" customFormat="false" ht="15" hidden="false" customHeight="false" outlineLevel="1" collapsed="false">
      <c r="A61" s="3" t="s">
        <v>1846</v>
      </c>
      <c r="B61" s="11" t="s">
        <v>63</v>
      </c>
      <c r="C61" s="66" t="n">
        <f aca="false">MAX(0,C57-C59)*輸入與假設!$C$372</f>
        <v>16.3886143978483</v>
      </c>
      <c r="D61" s="66" t="n">
        <f aca="false">MAX(0,D57-D59)*輸入與假設!$C$372</f>
        <v>35.3547046307151</v>
      </c>
      <c r="E61" s="66" t="n">
        <f aca="false">MAX(0,E57-E59)*輸入與假設!$C$372</f>
        <v>40.3120763003292</v>
      </c>
      <c r="F61" s="66" t="n">
        <f aca="false">MAX(0,F57-F59)*輸入與假設!$C$372</f>
        <v>45.5151979067541</v>
      </c>
      <c r="G61" s="66" t="n">
        <f aca="false">MAX(0,G57-G59)*輸入與假設!$C$372</f>
        <v>49.7412644669539</v>
      </c>
    </row>
    <row r="62" customFormat="false" ht="15" hidden="false" customHeight="false" outlineLevel="1" collapsed="false">
      <c r="A62" s="2" t="s">
        <v>1847</v>
      </c>
      <c r="B62" s="11" t="s">
        <v>63</v>
      </c>
      <c r="C62" s="42" t="n">
        <f aca="false">C14+C56-(C61-C13)</f>
        <v>-5.28012552721112</v>
      </c>
      <c r="D62" s="42" t="n">
        <f aca="false">D14+D56-(D61-D13)</f>
        <v>27.9357022911866</v>
      </c>
      <c r="E62" s="42" t="n">
        <f aca="false">E14+E56-(E61-E13)</f>
        <v>73.2408725840425</v>
      </c>
      <c r="F62" s="42" t="n">
        <f aca="false">F14+F56-(F61-F13)</f>
        <v>97.9706560423863</v>
      </c>
      <c r="G62" s="42" t="n">
        <f aca="false">G14+G56-(G61-G13)</f>
        <v>39.5809482280212</v>
      </c>
      <c r="I62" s="6" t="s">
        <v>1848</v>
      </c>
    </row>
    <row r="63" customFormat="false" ht="15" hidden="false" customHeight="false" outlineLevel="1" collapsed="false">
      <c r="A63" s="3" t="s">
        <v>1849</v>
      </c>
      <c r="B63" s="11" t="s">
        <v>63</v>
      </c>
      <c r="C63" s="66" t="n">
        <f aca="false">C62*C16</f>
        <v>-4.99869141233767</v>
      </c>
      <c r="D63" s="66" t="n">
        <f aca="false">D62*D16</f>
        <v>23.7025915470889</v>
      </c>
      <c r="E63" s="66" t="n">
        <f aca="false">E62*E16</f>
        <v>55.6947049882653</v>
      </c>
      <c r="F63" s="66" t="n">
        <f aca="false">F62*F16</f>
        <v>66.7698765862918</v>
      </c>
      <c r="G63" s="66" t="n">
        <f aca="false">G62*G16</f>
        <v>24.176582495827</v>
      </c>
    </row>
    <row r="64" customFormat="false" ht="15" hidden="false" customHeight="false" outlineLevel="1" collapsed="false">
      <c r="A64" s="3" t="s">
        <v>1850</v>
      </c>
      <c r="C64" s="10" t="n">
        <f aca="false">SUM(C63:G63)</f>
        <v>165.345064205135</v>
      </c>
    </row>
    <row r="65" customFormat="false" ht="15" hidden="false" customHeight="false" outlineLevel="1" collapsed="false">
      <c r="A65" s="3" t="s">
        <v>1851</v>
      </c>
      <c r="C65" s="10" t="n">
        <f aca="false">C20-G14+G62</f>
        <v>278.745987069303</v>
      </c>
      <c r="I65" s="6" t="s">
        <v>1852</v>
      </c>
    </row>
    <row r="66" customFormat="false" ht="15" hidden="false" customHeight="false" outlineLevel="1" collapsed="false">
      <c r="A66" s="3" t="s">
        <v>1853</v>
      </c>
      <c r="C66" s="9" t="n">
        <f aca="false">IF(OR(輸入與假設!$C$382&lt;=輸入與假設!$C$383,C65&lt;=0),1,0)</f>
        <v>0</v>
      </c>
    </row>
    <row r="67" customFormat="false" ht="15" hidden="false" customHeight="false" outlineLevel="1" collapsed="false">
      <c r="A67" s="3" t="s">
        <v>1854</v>
      </c>
      <c r="C67" s="10" t="n">
        <f aca="false">IF(C66=1,0,C65*(1+輸入與假設!$C$383)/(輸入與假設!$C$382-輸入與假設!$C$383))*G16</f>
        <v>2044.57976332076</v>
      </c>
    </row>
    <row r="68" customFormat="false" ht="15" hidden="false" customHeight="false" outlineLevel="1" collapsed="false">
      <c r="A68" s="3" t="s">
        <v>1855</v>
      </c>
      <c r="C68" s="10" t="n">
        <f aca="false">C64+C67</f>
        <v>2209.9248275259</v>
      </c>
    </row>
    <row r="69" customFormat="false" ht="15" hidden="false" customHeight="false" outlineLevel="1" collapsed="false">
      <c r="A69" s="3" t="s">
        <v>1856</v>
      </c>
      <c r="C69" s="90" t="n">
        <f aca="false">IF(OR((C68+C28)&lt;=0,評價_DCF與目標價!$C$91&lt;=0),0,(LN((C68+C28)/評價_DCF與目標價!$C$91)+(輸入與假設!$C$373+輸入與假設!$C$429^2/2)*輸入與假設!$C$430)/(輸入與假設!$C$429*SQRT(輸入與假設!$C$430)))</f>
        <v>0</v>
      </c>
    </row>
    <row r="70" customFormat="false" ht="15" hidden="false" customHeight="false" outlineLevel="1" collapsed="false">
      <c r="A70" s="3" t="s">
        <v>1857</v>
      </c>
      <c r="C70" s="12" t="n">
        <f aca="false">IF(C66=1,0,IF(輸入與假設!$C$428=2,IF((C68+C28)&lt;=0,0,IF(評價_DCF與目標價!$C$91&lt;=0,(C68+C28),(C68+C28)*NORMSDIST(C69)-評價_DCF與目標價!$C$91*EXP(-輸入與假設!$C$373*輸入與假設!$C$430)*NORMSDIST(C69-輸入與假設!$C$429*SQRT(輸入與假設!$C$430)))/C29),MAX(0,(C68-評價_DCF與目標價!$C$91+C28)/C29)))</f>
        <v>195.461694291412</v>
      </c>
      <c r="I70" s="6" t="s">
        <v>1858</v>
      </c>
    </row>
    <row r="71" customFormat="false" ht="15" hidden="false" customHeight="false" outlineLevel="1" collapsed="false">
      <c r="A71" s="3" t="s">
        <v>1859</v>
      </c>
      <c r="C71" s="12" t="n">
        <f aca="false">C70*(1+輸入與假設!$C$382)^輸入與假設!$C$436</f>
        <v>218.090877428365</v>
      </c>
    </row>
    <row r="72" customFormat="false" ht="15" hidden="false" customHeight="false" outlineLevel="1" collapsed="false">
      <c r="A72" s="3" t="s">
        <v>1860</v>
      </c>
      <c r="C72" s="12" t="n">
        <f aca="false">MAX(0,(C39+INDEX($D$56:$G$56,1,輸入與假設!$C$420)*輸入與假設!$C$388-C40)/C41)*C42</f>
        <v>218.249755057676</v>
      </c>
      <c r="I72" s="6" t="s">
        <v>1861</v>
      </c>
    </row>
    <row r="73" customFormat="false" ht="15" hidden="false" customHeight="false" outlineLevel="1" collapsed="false">
      <c r="A73" s="2" t="s">
        <v>1862</v>
      </c>
      <c r="C73" s="87" t="n">
        <f aca="false">C71*IF(C66=1,0,輸入與假設!$C$421)+C72*IF(C66=1,1,1-輸入與假設!$C$421)</f>
        <v>218.178260124486</v>
      </c>
      <c r="I73" s="6" t="s">
        <v>1863</v>
      </c>
    </row>
    <row r="74" customFormat="false" ht="15" hidden="false" customHeight="false" outlineLevel="1" collapsed="false">
      <c r="A74" s="2" t="s">
        <v>1864</v>
      </c>
      <c r="C74" s="87" t="n">
        <f aca="false">C73-C51</f>
        <v>67.6549820769311</v>
      </c>
      <c r="I74" s="6" t="s">
        <v>1865</v>
      </c>
    </row>
    <row r="76" customFormat="false" ht="15" hidden="false" customHeight="false" outlineLevel="0" collapsed="false">
      <c r="A76" s="52" t="s">
        <v>1866</v>
      </c>
      <c r="B76" s="8"/>
      <c r="C76" s="8"/>
      <c r="D76" s="8"/>
      <c r="E76" s="8"/>
      <c r="F76" s="8"/>
      <c r="G76" s="8"/>
      <c r="H76" s="8"/>
    </row>
    <row r="77" customFormat="false" ht="15" hidden="false" customHeight="false" outlineLevel="1" collapsed="false">
      <c r="A77" s="3" t="s">
        <v>1867</v>
      </c>
      <c r="C77" s="92" t="n">
        <f aca="false">SUMPRODUCT(資產負債_既有債務!$D$27:$D$27*資產負債_既有債務!$G$27:$G$27)</f>
        <v>0.0546006353528477</v>
      </c>
      <c r="I77" s="6" t="s">
        <v>1868</v>
      </c>
    </row>
    <row r="78" customFormat="false" ht="15" hidden="false" customHeight="false" outlineLevel="1" collapsed="false">
      <c r="A78" s="3" t="s">
        <v>1869</v>
      </c>
      <c r="C78" s="92" t="n">
        <f aca="false">輸入與假設!$C$356+C77</f>
        <v>12.3636006353528</v>
      </c>
    </row>
    <row r="79" customFormat="false" ht="15" hidden="false" customHeight="false" outlineLevel="1" collapsed="false">
      <c r="A79" s="3" t="s">
        <v>1870</v>
      </c>
      <c r="C79" s="10" t="n">
        <f aca="false">輸入與假設!$C$357+SUMPRODUCT(資產負債_既有債務!$C$27:$C$27*(1-資產負債_既有債務!$G$27:$G$27))+輸入與假設!$C$371</f>
        <v>-227.559</v>
      </c>
      <c r="I79" s="6" t="s">
        <v>1871</v>
      </c>
    </row>
    <row r="80" customFormat="false" ht="15" hidden="false" customHeight="false" outlineLevel="1" collapsed="false">
      <c r="A80" s="3" t="s">
        <v>1872</v>
      </c>
      <c r="C80" s="90" t="n">
        <f aca="false">C78+各期收支!G97</f>
        <v>12.1453024898464</v>
      </c>
    </row>
    <row r="81" customFormat="false" ht="15" hidden="false" customHeight="false" outlineLevel="1" collapsed="false">
      <c r="A81" s="3" t="s">
        <v>1873</v>
      </c>
      <c r="C81" s="90" t="n">
        <f aca="false">IF(OR((C23+C28)&lt;=0,C79&lt;=0),0,(LN((C23+C28)/C79)+(輸入與假設!$C$373+輸入與假設!$C$429^2/2)*輸入與假設!$C$430)/(輸入與假設!$C$429*SQRT(輸入與假設!$C$430)))</f>
        <v>0</v>
      </c>
    </row>
    <row r="82" customFormat="false" ht="15" hidden="false" customHeight="false" outlineLevel="1" collapsed="false">
      <c r="A82" s="3" t="s">
        <v>1874</v>
      </c>
      <c r="C82" s="12" t="n">
        <f aca="false">IF(C30=1,0,IF(輸入與假設!$C$428=2,IF((C23+C28)&lt;=0,0,IF(C79&lt;=0,(C23+C28),(C23+C28)*NORMSDIST(C81)-C79*EXP(-輸入與假設!$C$373*輸入與假設!$C$430)*NORMSDIST(C81-輸入與假設!$C$429*SQRT(輸入與假設!$C$430)))/C80),MAX(0,(C23-C79+C28)/C80)))</f>
        <v>105.541740239919</v>
      </c>
      <c r="I82" s="6" t="s">
        <v>1875</v>
      </c>
    </row>
    <row r="83" customFormat="false" ht="15" hidden="false" customHeight="false" outlineLevel="1" collapsed="false">
      <c r="A83" s="3" t="s">
        <v>1876</v>
      </c>
      <c r="C83" s="10" t="n">
        <f aca="false">INDEX(各期收支!$D$102:$G$102,1,輸入與假設!$C$420)-INDEX(各期收支!$D$56:$G$56,1,輸入與假設!$C$420)+SUMPRODUCT(資產負債_既有債務!$C$27:$C$27*(資產負債_既有債務!$F$27:$F$27-資產負債_既有債務!$G$27:$G$27))+輸入與假設!$C$371</f>
        <v>-198.34851173717</v>
      </c>
      <c r="I83" s="6" t="s">
        <v>1877</v>
      </c>
    </row>
    <row r="84" customFormat="false" ht="15" hidden="false" customHeight="false" outlineLevel="1" collapsed="false">
      <c r="A84" s="3" t="s">
        <v>1878</v>
      </c>
      <c r="C84" s="90" t="n">
        <f aca="false">C78*(1+輸入與假設!$C$425)^輸入與假設!$C$420+INDEX(各期收支!$D$97:$G$97,1,輸入與假設!$C$420)</f>
        <v>12.5684426516997</v>
      </c>
    </row>
    <row r="85" customFormat="false" ht="15" hidden="false" customHeight="false" outlineLevel="1" collapsed="false">
      <c r="A85" s="3" t="s">
        <v>1879</v>
      </c>
      <c r="C85" s="12" t="n">
        <f aca="false">MAX(0,(C39-C83)/C84)*C42</f>
        <v>177.329087384833</v>
      </c>
    </row>
    <row r="86" customFormat="false" ht="15" hidden="false" customHeight="false" outlineLevel="1" collapsed="false">
      <c r="A86" s="2" t="s">
        <v>1880</v>
      </c>
      <c r="C86" s="87" t="n">
        <f aca="false">C82*(1+輸入與假設!$C$382)^輸入與假設!$C$436*IF(C30=1,0,輸入與假設!$C$421)+C85*IF(C30=1,1,1-輸入與假設!$C$421)</f>
        <v>150.523278047555</v>
      </c>
    </row>
    <row r="87" customFormat="false" ht="15" hidden="false" customHeight="false" outlineLevel="1" collapsed="false">
      <c r="A87" s="2" t="s">
        <v>1881</v>
      </c>
      <c r="C87" s="87" t="n">
        <f aca="false">MIN(輸入與假設!$C$355,C86)</f>
        <v>150.523278047555</v>
      </c>
      <c r="I87" s="6" t="s">
        <v>1882</v>
      </c>
    </row>
    <row r="88" customFormat="false" ht="15" hidden="false" customHeight="false" outlineLevel="1" collapsed="false">
      <c r="A88" s="3" t="s">
        <v>1883</v>
      </c>
      <c r="C88" s="92" t="n">
        <f aca="false">SUMPRODUCT(資產負債_既有債務!$D$27:$D$27*資產負債_既有債務!$H$27:$H$27)</f>
        <v>0.0546006353528477</v>
      </c>
      <c r="I88" s="6" t="s">
        <v>1884</v>
      </c>
    </row>
    <row r="89" customFormat="false" ht="15" hidden="false" customHeight="false" outlineLevel="1" collapsed="false">
      <c r="A89" s="3" t="s">
        <v>1885</v>
      </c>
      <c r="C89" s="10" t="n">
        <f aca="false">SUMPRODUCT(資產負債_既有債務!$C$27:$C$27*(1-資產負債_既有債務!$H$27:$H$27))</f>
        <v>0</v>
      </c>
    </row>
    <row r="90" customFormat="false" ht="15" hidden="false" customHeight="false" outlineLevel="1" collapsed="false">
      <c r="A90" s="2" t="s">
        <v>1886</v>
      </c>
      <c r="C90" s="78" t="n">
        <f aca="false">輸入與假設!$C$356+C88</f>
        <v>12.3636006353528</v>
      </c>
      <c r="I90" s="11" t="s">
        <v>1887</v>
      </c>
    </row>
    <row r="91" customFormat="false" ht="15" hidden="false" customHeight="false" outlineLevel="1" collapsed="false">
      <c r="A91" s="2" t="s">
        <v>1888</v>
      </c>
      <c r="C91" s="58" t="n">
        <f aca="false">輸入與假設!$C$357+C89+輸入與假設!$C$371</f>
        <v>-227.559</v>
      </c>
      <c r="I91" s="11" t="s">
        <v>1889</v>
      </c>
    </row>
    <row r="92" customFormat="false" ht="15" hidden="false" customHeight="false" outlineLevel="1" collapsed="false">
      <c r="A92" s="3" t="s">
        <v>1890</v>
      </c>
      <c r="C92" s="10" t="n">
        <f aca="false">SUMPRODUCT(資產負債_既有債務!$C$27:$C$27*(資產負債_既有債務!$F$27:$F$27-資產負債_既有債務!$H$27:$H$27))+輸入與假設!$C$371</f>
        <v>-173.233</v>
      </c>
      <c r="I92" s="6" t="s">
        <v>1891</v>
      </c>
    </row>
    <row r="93" customFormat="false" ht="15" hidden="false" customHeight="false" outlineLevel="1" collapsed="false">
      <c r="A93" s="4" t="s">
        <v>1892</v>
      </c>
      <c r="C93" s="3" t="str">
        <f aca="false">IF(C30=1,"DCF 失效，已以 EV/EBITDA 100% 計。",IF(AND(輸入與假設!$C$428&lt;&gt;2,C108&lt;0),"DCF 為 $0 仍計 "&amp;TEXT(輸入與假設!$C$421,"0%")&amp;" 權重的原因：DCF 沒有失效，而是算出的股權價值為負（每股約 −$"&amp;TEXT(ABS(C108),"0.0")&amp;"），代表自由現金流折現後的企業價值不足以償還淨負債。EV/EBITDA 沒有扣除 GPU 汰換與擴張支出，保留 DCF 權重，是為了讓目標價反映「EBITDA 付不起資本成本」。若不計 DCF，目標價為 $"&amp;TEXT(C43,"0.0")&amp;"（"&amp;CHOOSE(D107+2,"賣出","中立","買進")&amp;"）；"&amp;TEXT(輸入與假設!$C$421,"0%")&amp;"／"&amp;TEXT(1-輸入與假設!$C$421,"0%")&amp;" 為判斷值。",""))</f>
        <v/>
      </c>
      <c r="I93" s="6" t="s">
        <v>1893</v>
      </c>
    </row>
    <row r="95" customFormat="false" ht="15" hidden="false" customHeight="false" outlineLevel="0" collapsed="false">
      <c r="A95" s="52" t="s">
        <v>1894</v>
      </c>
      <c r="B95" s="8"/>
      <c r="C95" s="8"/>
      <c r="D95" s="8"/>
      <c r="E95" s="8"/>
      <c r="F95" s="8"/>
      <c r="G95" s="8"/>
      <c r="H95" s="8"/>
    </row>
    <row r="96" customFormat="false" ht="15" hidden="false" customHeight="false" outlineLevel="1" collapsed="false">
      <c r="A96" s="3" t="s">
        <v>1895</v>
      </c>
      <c r="C96" s="12" t="n">
        <f aca="false">C51</f>
        <v>150.523278047555</v>
      </c>
      <c r="I96" s="6" t="str">
        <f aca="false">"評等規則不變：空間 ≥"&amp;IF(ROUND(ABS(輸入與假設!$C$446)*100,4)=INT(ROUND(ABS(輸入與假設!$C$446)*100,4)),TEXT(ROUND(ABS(輸入與假設!$C$446)*100,4),"0"),TEXT(ROUND(ABS(輸入與假設!$C$446)*100,4),"0.0"))&amp;"%"&amp;" 且終值占比 &lt;"&amp;IF(ROUND(ABS(輸入與假設!$C$447)*100,4)=INT(ROUND(ABS(輸入與假設!$C$447)*100,4)),TEXT(ROUND(ABS(輸入與假設!$C$447)*100,4),"0"),TEXT(ROUND(ABS(輸入與假設!$C$447)*100,4),"0.0"))&amp;"%"&amp;"、股權募資 ≤"&amp;IF(輸入與假設!$C$449=INT(輸入與假設!$C$449),TEXT(輸入與假設!$C$449,"0"),TEXT(輸入與假設!$C$449,"0.0"))&amp;" 倍現市值 → 買進；空間 ≤−"&amp;IF(ROUND(ABS(輸入與假設!$C$448)*100,4)=INT(ROUND(ABS(輸入與假設!$C$448)*100,4)),TEXT(ROUND(ABS(輸入與假設!$C$448)*100,4),"0"),TEXT(ROUND(ABS(輸入與假設!$C$448)*100,4),"0.0"))&amp;"%"&amp;"，或股權募資 &gt;"&amp;IF(輸入與假設!$C$449=INT(輸入與假設!$C$449),TEXT(輸入與假設!$C$449,"0"),TEXT(輸入與假設!$C$449,"0.0"))&amp;" 倍且空間 ≤−"&amp;IF(ROUND(ABS(輸入與假設!$C$450)*100,4)=INT(ROUND(ABS(輸入與假設!$C$450)*100,4)),TEXT(ROUND(ABS(輸入與假設!$C$450)*100,4),"0"),TEXT(ROUND(ABS(輸入與假設!$C$450)*100,4),"0.0"))&amp;"%"&amp;" → 賣出；其餘中立"</f>
        <v>評等規則不變：空間 ≥25% 且終值占比 &lt;90%、股權募資 ≤1.5 倍現市值 → 買進；空間 ≤−15%，或股權募資 &gt;1.5 倍且空間 ≤−8% → 賣出；其餘中立</v>
      </c>
    </row>
    <row r="97" customFormat="false" ht="15" hidden="false" customHeight="false" outlineLevel="1" collapsed="false">
      <c r="A97" s="3" t="s">
        <v>1896</v>
      </c>
      <c r="C97" s="13" t="n">
        <f aca="false">C22/MAX(ABS(C23),1)*IF(C23=0,1,SIGN(C23))</f>
        <v>1.0764025275816</v>
      </c>
    </row>
    <row r="98" customFormat="false" ht="15" hidden="false" customHeight="false" outlineLevel="1" collapsed="false">
      <c r="A98" s="3" t="s">
        <v>1897</v>
      </c>
      <c r="C98" s="16" t="n">
        <f aca="false">SUM(各期收支!C92:G92)/(輸入與假設!$C$355*輸入與假設!$C$356)</f>
        <v>0</v>
      </c>
    </row>
    <row r="99" customFormat="false" ht="15" hidden="false" customHeight="false" outlineLevel="1" collapsed="false">
      <c r="A99" s="3" t="s">
        <v>1898</v>
      </c>
      <c r="C99" s="9" t="n">
        <f aca="false">IF(AND((C51/MAX(輸入與假設!$C$355,0.01)-1)&gt;=輸入與假設!$C$446,$C$97&lt;輸入與假設!$C$447,$C$98&lt;=輸入與假設!$C$449),1,IF(OR((C51/MAX(輸入與假設!$C$355,0.01)-1)&lt;=輸入與假設!$C$448,AND($C$98&gt;輸入與假設!$C$449,(C51/MAX(輸入與假設!$C$355,0.01)-1)&lt;=輸入與假設!$C$450)),-1,0))</f>
        <v>-1</v>
      </c>
      <c r="D99" s="9" t="str">
        <f aca="false">CHOOSE(C99+2,"賣出","中立","買進")</f>
        <v>賣出</v>
      </c>
    </row>
    <row r="100" customFormat="false" ht="15" hidden="false" customHeight="false" outlineLevel="1" collapsed="false">
      <c r="A100" s="3" t="s">
        <v>1899</v>
      </c>
      <c r="C100" s="12" t="n">
        <f aca="false">輸入與假設!$C$355*(1+輸入與假設!$C$448)</f>
        <v>297.925</v>
      </c>
    </row>
    <row r="101" customFormat="false" ht="15" hidden="false" customHeight="false" outlineLevel="1" collapsed="false">
      <c r="A101" s="3" t="s">
        <v>1900</v>
      </c>
      <c r="C101" s="12" t="n">
        <f aca="false">輸入與假設!D480</f>
        <v>174.813411581545</v>
      </c>
      <c r="D101" s="9" t="n">
        <f aca="false">輸入與假設!E480</f>
        <v>-1</v>
      </c>
      <c r="E101" s="12" t="n">
        <f aca="false">C101-$C$100</f>
        <v>-123.111588418456</v>
      </c>
      <c r="I101" s="6" t="s">
        <v>1901</v>
      </c>
    </row>
    <row r="102" customFormat="false" ht="15" hidden="false" customHeight="false" outlineLevel="1" collapsed="false">
      <c r="A102" s="3" t="s">
        <v>1902</v>
      </c>
      <c r="C102" s="12" t="n">
        <f aca="false">輸入與假設!D481</f>
        <v>150.523278047555</v>
      </c>
      <c r="D102" s="9" t="n">
        <f aca="false">輸入與假設!E481</f>
        <v>-1</v>
      </c>
      <c r="E102" s="12" t="n">
        <f aca="false">C102-$C$100</f>
        <v>-147.401721952445</v>
      </c>
    </row>
    <row r="103" customFormat="false" ht="15" hidden="false" customHeight="false" outlineLevel="1" collapsed="false">
      <c r="A103" s="3" t="s">
        <v>1903</v>
      </c>
      <c r="C103" s="12" t="n">
        <f aca="false">輸入與假設!D482</f>
        <v>130.314303022505</v>
      </c>
      <c r="D103" s="9" t="n">
        <f aca="false">輸入與假設!E482</f>
        <v>-1</v>
      </c>
      <c r="E103" s="12" t="n">
        <f aca="false">C103-$C$100</f>
        <v>-167.610696977495</v>
      </c>
    </row>
    <row r="104" customFormat="false" ht="15" hidden="false" customHeight="false" outlineLevel="1" collapsed="false">
      <c r="A104" s="3" t="s">
        <v>1904</v>
      </c>
      <c r="C104" s="12" t="n">
        <f aca="false">MIN(C101,C103)</f>
        <v>130.314303022505</v>
      </c>
      <c r="D104" s="12" t="n">
        <f aca="false">MAX(C101,C103)</f>
        <v>174.813411581545</v>
      </c>
    </row>
    <row r="105" customFormat="false" ht="15" hidden="false" customHeight="false" outlineLevel="1" collapsed="false">
      <c r="A105" s="3" t="s">
        <v>1905</v>
      </c>
      <c r="C105" s="16" t="n">
        <f aca="false">MIN(輸入與假設!$C$423,輸入與假設!$C$424)</f>
        <v>5</v>
      </c>
      <c r="D105" s="16" t="n">
        <f aca="false">MAX(輸入與假設!$C$423,輸入與假設!$C$424)</f>
        <v>6</v>
      </c>
    </row>
    <row r="106" customFormat="false" ht="15" hidden="false" customHeight="false" outlineLevel="1" collapsed="false">
      <c r="A106" s="3" t="s">
        <v>1906</v>
      </c>
      <c r="C106" s="12" t="n">
        <f aca="false">MIN(C48*IF(C30=1,0,輸入與假設!$C$421)+MAX(0,(C45*C105+C44*輸入與假設!$C$419-C40)/C41)*C42*IF(C30=1,1,1-輸入與假設!$C$421),C48*IF(C30=1,0,輸入與假設!$C$421)+MAX(0,(C45*D105+C44*輸入與假設!$C$419-C40)/C41)*C42*IF(C30=1,1,1-輸入與假設!$C$421))</f>
        <v>148.785636681715</v>
      </c>
      <c r="D106" s="12" t="n">
        <f aca="false">MAX(C48*IF(C30=1,0,輸入與假設!$C$421)+MAX(0,(C45*C105+C44*輸入與假設!$C$419-C40)/C41)*C42*IF(C30=1,1,1-輸入與假設!$C$421),C48*IF(C30=1,0,輸入與假設!$C$421)+MAX(0,(C45*D105+C44*輸入與假設!$C$419-C40)/C41)*C42*IF(C30=1,1,1-輸入與假設!$C$421))</f>
        <v>150.523278047555</v>
      </c>
      <c r="I106" s="6" t="s">
        <v>1907</v>
      </c>
    </row>
    <row r="107" customFormat="false" ht="15" hidden="false" customHeight="false" outlineLevel="1" collapsed="false">
      <c r="A107" s="3" t="s">
        <v>1908</v>
      </c>
      <c r="C107" s="12" t="n">
        <f aca="false">C43</f>
        <v>177.329087384833</v>
      </c>
      <c r="D107" s="9" t="n">
        <f aca="false">IF(AND((C43/MAX(輸入與假設!$C$355,0.01)-1)&gt;=輸入與假設!$C$446,$C$97&lt;輸入與假設!$C$447,$C$98&lt;=輸入與假設!$C$449),1,IF(OR((C43/MAX(輸入與假設!$C$355,0.01)-1)&lt;=輸入與假設!$C$448,AND($C$98&gt;輸入與假設!$C$449,(C43/MAX(輸入與假設!$C$355,0.01)-1)&lt;=輸入與假設!$C$450)),-1,0))</f>
        <v>-1</v>
      </c>
      <c r="E107" s="12" t="str">
        <f aca="false">CHOOSE(D107+2,"賣出","中立","買進")</f>
        <v>賣出</v>
      </c>
    </row>
    <row r="108" customFormat="false" ht="15" hidden="false" customHeight="false" outlineLevel="1" collapsed="false">
      <c r="A108" s="3" t="s">
        <v>1909</v>
      </c>
      <c r="C108" s="12" t="n">
        <f aca="false">(C25+C28)/C29</f>
        <v>105.541740239919</v>
      </c>
    </row>
    <row r="109" customFormat="false" ht="15" hidden="false" customHeight="false" outlineLevel="1" collapsed="false">
      <c r="A109" s="3" t="s">
        <v>1910</v>
      </c>
      <c r="C109" s="93" t="n">
        <v>211.694698424192</v>
      </c>
      <c r="D109" s="12" t="n">
        <f aca="false">C109-輸入與假設!D480</f>
        <v>36.8812868426479</v>
      </c>
      <c r="I109" s="6" t="s">
        <v>1911</v>
      </c>
    </row>
    <row r="110" customFormat="false" ht="15" hidden="false" customHeight="false" outlineLevel="1" collapsed="false">
      <c r="A110" s="3" t="s">
        <v>1912</v>
      </c>
      <c r="C110" s="93" t="n">
        <v>218.178260124486</v>
      </c>
      <c r="D110" s="12" t="n">
        <f aca="false">C110-輸入與假設!D481</f>
        <v>67.6549820769311</v>
      </c>
      <c r="I110" s="6" t="s">
        <v>1911</v>
      </c>
    </row>
    <row r="111" customFormat="false" ht="15" hidden="false" customHeight="false" outlineLevel="1" collapsed="false">
      <c r="A111" s="3" t="s">
        <v>1913</v>
      </c>
      <c r="C111" s="93" t="n">
        <v>220.066829533988</v>
      </c>
      <c r="D111" s="12" t="n">
        <f aca="false">C111-輸入與假設!D482</f>
        <v>89.752526511483</v>
      </c>
      <c r="I111" s="6" t="s">
        <v>1911</v>
      </c>
    </row>
    <row r="112" customFormat="false" ht="15" hidden="false" customHeight="false" outlineLevel="1" collapsed="false">
      <c r="A112" s="3" t="s">
        <v>1914</v>
      </c>
      <c r="C112" s="94" t="n">
        <v>0.1</v>
      </c>
      <c r="D112" s="93" t="n">
        <v>108.225940898912</v>
      </c>
      <c r="I112" s="6" t="s">
        <v>1911</v>
      </c>
    </row>
    <row r="113" customFormat="false" ht="15" hidden="false" customHeight="false" outlineLevel="1" collapsed="false">
      <c r="A113" s="3" t="s">
        <v>1915</v>
      </c>
      <c r="C113" s="94" t="n">
        <v>0.5</v>
      </c>
      <c r="D113" s="93" t="n">
        <v>180.541920408501</v>
      </c>
      <c r="I113" s="6" t="s">
        <v>1911</v>
      </c>
    </row>
    <row r="114" customFormat="false" ht="15" hidden="false" customHeight="false" outlineLevel="1" collapsed="false">
      <c r="A114" s="4" t="s">
        <v>1916</v>
      </c>
      <c r="C114" s="44" t="n">
        <v>176.214607744406</v>
      </c>
      <c r="D114" s="44" t="n">
        <v>174.813411581545</v>
      </c>
      <c r="E114" s="44" t="n">
        <v>168.534960349248</v>
      </c>
      <c r="I114" s="6" t="s">
        <v>1917</v>
      </c>
    </row>
    <row r="115" customFormat="false" ht="15" hidden="false" customHeight="false" outlineLevel="1" collapsed="false">
      <c r="A115" s="4" t="s">
        <v>1918</v>
      </c>
      <c r="C115" s="44" t="n">
        <v>150.428969899221</v>
      </c>
      <c r="D115" s="44" t="n">
        <v>150.523278047555</v>
      </c>
      <c r="E115" s="44" t="n">
        <v>153.23831350095</v>
      </c>
    </row>
    <row r="116" customFormat="false" ht="15" hidden="false" customHeight="false" outlineLevel="1" collapsed="false">
      <c r="A116" s="4" t="s">
        <v>1919</v>
      </c>
      <c r="C116" s="44" t="n">
        <v>128.887948309147</v>
      </c>
      <c r="D116" s="44" t="n">
        <v>130.314303022505</v>
      </c>
      <c r="E116" s="44" t="n">
        <v>140.212547279013</v>
      </c>
    </row>
    <row r="117" customFormat="false" ht="15" hidden="false" customHeight="false" outlineLevel="1" collapsed="false">
      <c r="A117" s="3" t="s">
        <v>1920</v>
      </c>
      <c r="C117" s="3" t="str">
        <f aca="false">"目標價 $"&amp;TEXT(C51,"0.0")&amp;"（情境區間 $"&amp;TEXT(C104,"0.0")&amp;"–$"&amp;TEXT(D104,"0.0")&amp;"）"</f>
        <v>目標價 $150.5（情境區間 $130.3–$174.8）</v>
      </c>
    </row>
    <row r="118" customFormat="false" ht="15" hidden="false" customHeight="false" outlineLevel="1" collapsed="false">
      <c r="A118" s="3" t="s">
        <v>1921</v>
      </c>
      <c r="C118" s="3" t="str">
        <f aca="false">"方法區間（目前情境，"&amp;IF(C105=INT(C105),TEXT(C105,"0"),TEXT(C105,"0.0"))&amp;"–"&amp;IF(D105=INT(D105),TEXT(D105,"0"),TEXT(D105,"0.0"))&amp;"x）"</f>
        <v>方法區間（目前情境，5–6x）</v>
      </c>
    </row>
    <row r="119" customFormat="false" ht="15" hidden="false" customHeight="false" outlineLevel="1" collapsed="false">
      <c r="A119" s="3" t="s">
        <v>1922</v>
      </c>
      <c r="C119" s="3" t="str">
        <f aca="false">IF(ABS(輸入與假設!$C$388-D105)&lt;0.000000001,"目前點位位於方法區間上緣（"&amp;IF(D105=INT(D105),TEXT(D105,"0"),TEXT(D105,"0.0"))&amp;"x 為穩態倍數上緣）",IF(ABS(輸入與假設!$C$388-C105)&lt;0.000000001,"目前點位位於方法區間下緣（"&amp;IF(C105=INT(C105),TEXT(C105,"0"),TEXT(C105,"0.0"))&amp;"x）","目前點位"&amp;IF(AND(輸入與假設!$C$388&gt;C105,輸入與假設!$C$388&lt;D105),"位於方法區間內",IF(輸入與假設!$C$388&gt;D105,"高於方法區間上緣","低於方法區間下緣"))&amp;"（目前倍數 "&amp;IF(輸入與假設!$C$388=INT(輸入與假設!$C$388),TEXT(輸入與假設!$C$388,"0"),TEXT(輸入與假設!$C$388,"0.0"))&amp;"x）"))</f>
        <v>目前點位位於方法區間上緣（6x 為穩態倍數上緣）</v>
      </c>
    </row>
    <row r="120" customFormat="false" ht="15" hidden="false" customHeight="false" outlineLevel="1" collapsed="false">
      <c r="A120" s="2" t="s">
        <v>1923</v>
      </c>
      <c r="C120" s="3" t="str">
        <f aca="false">IF(D104&lt;輸入與假設!$C$355,"情境區間上緣 $"&amp;TEXT(D104,"0.0")&amp;" 低於現價 $"&amp;TEXT(輸入與假設!$C$355,"0.00")&amp;IF((D101&lt;&gt;-1)+(D102&lt;&gt;-1)+(D103&lt;&gt;-1)&gt;0,"，但"&amp;SUBSTITUTE(TRIM(IF(D101&lt;&gt;-1,"保守","")&amp;" "&amp;IF(D102&lt;&gt;-1,"基準","")&amp;" "&amp;IF(D103&lt;&gt;-1,"積極",""))," ","、")&amp;"情境未達賣出門檻 $"&amp;TEXT($C$100,"0.0"),"：賣出在三個擴張情境下都成立"),"情境區間上緣 $"&amp;TEXT(D104,"0.0")&amp;" 不低於現價 $"&amp;TEXT(輸入與假設!$C$355,"0.00")&amp;"：賣出並非在三個擴張情境下都成立")&amp;"。"&amp;IF(ABS(E101)&lt;輸入與假設!$C$451*輸入與假設!$C$355,"保守情境 $"&amp;TEXT(C101,"0.0")&amp;"，"&amp;IF(E101&lt;0,"距賣出門檻","高於賣出門檻")&amp;" $"&amp;TEXT($C$100,"0.0")&amp;" 僅 $"&amp;TEXT(ABS(E101),"0.0")&amp;"。","")&amp;IF(ABS(E102)&lt;輸入與假設!$C$451*輸入與假設!$C$355,"基準情境 $"&amp;TEXT(C102,"0.0")&amp;"，"&amp;IF(E102&lt;0,"距賣出門檻","高於賣出門檻")&amp;" $"&amp;TEXT($C$100,"0.0")&amp;" 僅 $"&amp;TEXT(ABS(E102),"0.0")&amp;"。","")&amp;IF(ABS(E103)&lt;輸入與假設!$C$451*輸入與假設!$C$355,"積極情境 $"&amp;TEXT(C103,"0.0")&amp;"，"&amp;IF(E103&lt;0,"距賣出門檻","高於賣出門檻")&amp;" $"&amp;TEXT($C$100,"0.0")&amp;" 僅 $"&amp;TEXT(ABS(E103),"0.0")&amp;"。","")</f>
        <v>情境區間上緣 $174.8 低於現價 $350.50：賣出在三個擴張情境下都成立。</v>
      </c>
    </row>
    <row r="122" customFormat="false" ht="15" hidden="false" customHeight="false" outlineLevel="0" collapsed="false">
      <c r="A122" s="52" t="s">
        <v>1924</v>
      </c>
      <c r="B122" s="8"/>
      <c r="C122" s="8"/>
      <c r="D122" s="8"/>
      <c r="E122" s="8"/>
      <c r="F122" s="8"/>
      <c r="G122" s="8"/>
      <c r="H122" s="8"/>
    </row>
    <row r="123" customFormat="false" ht="17.15" hidden="false" customHeight="false" outlineLevel="1" collapsed="false">
      <c r="A123" s="15" t="s">
        <v>1925</v>
      </c>
      <c r="B123" s="14" t="s">
        <v>1926</v>
      </c>
      <c r="C123" s="15" t="s">
        <v>60</v>
      </c>
      <c r="D123" s="15" t="s">
        <v>61</v>
      </c>
      <c r="E123" s="15" t="s">
        <v>151</v>
      </c>
      <c r="F123" s="15" t="s">
        <v>152</v>
      </c>
      <c r="I123" s="11" t="s">
        <v>1927</v>
      </c>
    </row>
    <row r="124" customFormat="false" ht="15" hidden="false" customHeight="false" outlineLevel="1" collapsed="false">
      <c r="A124" s="3" t="s">
        <v>1928</v>
      </c>
      <c r="B124" s="95" t="n">
        <v>3.4</v>
      </c>
      <c r="C124" s="12" t="n">
        <f aca="false">MAX(0,((INDEX(損益!$D$22:$G$22,1,1)-INDEX(輸入與假設!$D$230:$G$230,1,1))*$B124+INDEX(輸入與假設!$D$230:$G$230,1,1)*輸入與假設!$C$419-(INDEX(各期收支!$D$102:$G$102,1,1)-INDEX(各期收支!$D$56:$G$56,1,1)+評價_DCF與目標價!$C$92))/INDEX(損益!$D$24:$G$24,1,1))/(1+輸入與假設!$C$382)^(1-輸入與假設!$C$440)</f>
        <v>173.39497850495</v>
      </c>
      <c r="D124" s="12" t="n">
        <f aca="false">MAX(0,((INDEX(損益!$D$22:$G$22,1,2)-INDEX(輸入與假設!$D$230:$G$230,1,2))*$B124+INDEX(輸入與假設!$D$230:$G$230,1,2)*輸入與假設!$C$419-(INDEX(各期收支!$D$102:$G$102,1,2)-INDEX(各期收支!$D$56:$G$56,1,2)+評價_DCF與目標價!$C$92))/INDEX(損益!$D$24:$G$24,1,2))/(1+輸入與假設!$C$382)^(2-輸入與假設!$C$440)</f>
        <v>172.396096769799</v>
      </c>
      <c r="E124" s="12" t="n">
        <f aca="false">MAX(0,((INDEX(損益!$D$22:$G$22,1,3)-INDEX(輸入與假設!$D$230:$G$230,1,3))*$B124+INDEX(輸入與假設!$D$230:$G$230,1,3)*輸入與假設!$C$419-(INDEX(各期收支!$D$102:$G$102,1,3)-INDEX(各期收支!$D$56:$G$56,1,3)+評價_DCF與目標價!$C$92))/INDEX(損益!$D$24:$G$24,1,3))/(1+輸入與假設!$C$382)^(3-輸入與假設!$C$440)</f>
        <v>169.114782746319</v>
      </c>
      <c r="F124" s="12" t="n">
        <f aca="false">MAX(0,((INDEX(損益!$D$22:$G$22,1,4)-INDEX(輸入與假設!$D$230:$G$230,1,4))*$B124+INDEX(輸入與假設!$D$230:$G$230,1,4)*輸入與假設!$C$419-(INDEX(各期收支!$D$102:$G$102,1,4)-INDEX(各期收支!$D$56:$G$56,1,4)+評價_DCF與目標價!$C$92))/INDEX(損益!$D$24:$G$24,1,4))/(1+輸入與假設!$C$382)^(4-輸入與假設!$C$440)</f>
        <v>157.538464769846</v>
      </c>
    </row>
    <row r="125" customFormat="false" ht="15" hidden="false" customHeight="false" outlineLevel="1" collapsed="false">
      <c r="A125" s="3" t="s">
        <v>1929</v>
      </c>
      <c r="B125" s="95" t="n">
        <v>4.5</v>
      </c>
      <c r="C125" s="12" t="n">
        <f aca="false">MAX(0,((INDEX(損益!$D$22:$G$22,1,1)-INDEX(輸入與假設!$D$230:$G$230,1,1))*$B125+INDEX(輸入與假設!$D$230:$G$230,1,1)*輸入與假設!$C$419-(INDEX(各期收支!$D$102:$G$102,1,1)-INDEX(各期收支!$D$56:$G$56,1,1)+評價_DCF與目標價!$C$92))/INDEX(損益!$D$24:$G$24,1,1))/(1+輸入與假設!$C$382)^(1-輸入與假設!$C$440)</f>
        <v>175.163527436287</v>
      </c>
      <c r="D125" s="12" t="n">
        <f aca="false">MAX(0,((INDEX(損益!$D$22:$G$22,1,2)-INDEX(輸入與假設!$D$230:$G$230,1,2))*$B125+INDEX(輸入與假設!$D$230:$G$230,1,2)*輸入與假設!$C$419-(INDEX(各期收支!$D$102:$G$102,1,2)-INDEX(各期收支!$D$56:$G$56,1,2)+評價_DCF與目標價!$C$92))/INDEX(損益!$D$24:$G$24,1,2))/(1+輸入與假設!$C$382)^(2-輸入與假設!$C$440)</f>
        <v>174.926114720077</v>
      </c>
      <c r="E125" s="12" t="n">
        <f aca="false">MAX(0,((INDEX(損益!$D$22:$G$22,1,3)-INDEX(輸入與假設!$D$230:$G$230,1,3))*$B125+INDEX(輸入與假設!$D$230:$G$230,1,3)*輸入與假設!$C$419-(INDEX(各期收支!$D$102:$G$102,1,3)-INDEX(各期收支!$D$56:$G$56,1,3)+評價_DCF與目標價!$C$92))/INDEX(損益!$D$24:$G$24,1,3))/(1+輸入與假設!$C$382)^(3-輸入與假設!$C$440)</f>
        <v>172.590065477998</v>
      </c>
      <c r="F125" s="12" t="n">
        <f aca="false">MAX(0,((INDEX(損益!$D$22:$G$22,1,4)-INDEX(輸入與假設!$D$230:$G$230,1,4))*$B125+INDEX(輸入與假設!$D$230:$G$230,1,4)*輸入與假設!$C$419-(INDEX(各期收支!$D$102:$G$102,1,4)-INDEX(各期收支!$D$56:$G$56,1,4)+評價_DCF與目標價!$C$92))/INDEX(損益!$D$24:$G$24,1,4))/(1+輸入與假設!$C$382)^(4-輸入與假設!$C$440)</f>
        <v>161.723653822666</v>
      </c>
    </row>
    <row r="126" customFormat="false" ht="15" hidden="false" customHeight="false" outlineLevel="1" collapsed="false">
      <c r="A126" s="3" t="s">
        <v>1930</v>
      </c>
      <c r="B126" s="95" t="n">
        <v>5</v>
      </c>
      <c r="C126" s="12" t="n">
        <f aca="false">MAX(0,((INDEX(損益!$D$22:$G$22,1,1)-INDEX(輸入與假設!$D$230:$G$230,1,1))*$B126+INDEX(輸入與假設!$D$230:$G$230,1,1)*輸入與假設!$C$419-(INDEX(各期收支!$D$102:$G$102,1,1)-INDEX(各期收支!$D$56:$G$56,1,1)+評價_DCF與目標價!$C$92))/INDEX(損益!$D$24:$G$24,1,1))/(1+輸入與假設!$C$382)^(1-輸入與假設!$C$440)</f>
        <v>175.967413314168</v>
      </c>
      <c r="D126" s="12" t="n">
        <f aca="false">MAX(0,((INDEX(損益!$D$22:$G$22,1,2)-INDEX(輸入與假設!$D$230:$G$230,1,2))*$B126+INDEX(輸入與假設!$D$230:$G$230,1,2)*輸入與假設!$C$419-(INDEX(各期收支!$D$102:$G$102,1,2)-INDEX(各期收支!$D$56:$G$56,1,2)+評價_DCF與目標價!$C$92))/INDEX(損益!$D$24:$G$24,1,2))/(1+輸入與假設!$C$382)^(2-輸入與假設!$C$440)</f>
        <v>176.076122879294</v>
      </c>
      <c r="E126" s="12" t="n">
        <f aca="false">MAX(0,((INDEX(損益!$D$22:$G$22,1,3)-INDEX(輸入與假設!$D$230:$G$230,1,3))*$B126+INDEX(輸入與假設!$D$230:$G$230,1,3)*輸入與假設!$C$419-(INDEX(各期收支!$D$102:$G$102,1,3)-INDEX(各期收支!$D$56:$G$56,1,3)+評價_DCF與目標價!$C$92))/INDEX(損益!$D$24:$G$24,1,3))/(1+輸入與假設!$C$382)^(3-輸入與假設!$C$440)</f>
        <v>174.169739446943</v>
      </c>
      <c r="F126" s="12" t="n">
        <f aca="false">MAX(0,((INDEX(損益!$D$22:$G$22,1,4)-INDEX(輸入與假設!$D$230:$G$230,1,4))*$B126+INDEX(輸入與假設!$D$230:$G$230,1,4)*輸入與假設!$C$419-(INDEX(各期收支!$D$102:$G$102,1,4)-INDEX(各期收支!$D$56:$G$56,1,4)+評價_DCF與目標價!$C$92))/INDEX(損益!$D$24:$G$24,1,4))/(1+輸入與假設!$C$382)^(4-輸入與假設!$C$440)</f>
        <v>163.626012483039</v>
      </c>
    </row>
    <row r="127" customFormat="false" ht="15" hidden="false" customHeight="false" outlineLevel="1" collapsed="false">
      <c r="A127" s="3" t="s">
        <v>1931</v>
      </c>
      <c r="B127" s="95" t="n">
        <v>6</v>
      </c>
      <c r="C127" s="12" t="n">
        <f aca="false">MAX(0,((INDEX(損益!$D$22:$G$22,1,1)-INDEX(輸入與假設!$D$230:$G$230,1,1))*$B127+INDEX(輸入與假設!$D$230:$G$230,1,1)*輸入與假設!$C$419-(INDEX(各期收支!$D$102:$G$102,1,1)-INDEX(各期收支!$D$56:$G$56,1,1)+評價_DCF與目標價!$C$92))/INDEX(損益!$D$24:$G$24,1,1))/(1+輸入與假設!$C$382)^(1-輸入與假設!$C$440)</f>
        <v>177.575185069929</v>
      </c>
      <c r="D127" s="12" t="n">
        <f aca="false">MAX(0,((INDEX(損益!$D$22:$G$22,1,2)-INDEX(輸入與假設!$D$230:$G$230,1,2))*$B127+INDEX(輸入與假設!$D$230:$G$230,1,2)*輸入與假設!$C$419-(INDEX(各期收支!$D$102:$G$102,1,2)-INDEX(各期收支!$D$56:$G$56,1,2)+評價_DCF與目標價!$C$92))/INDEX(損益!$D$24:$G$24,1,2))/(1+輸入與假設!$C$382)^(2-輸入與假設!$C$440)</f>
        <v>178.376139197728</v>
      </c>
      <c r="E127" s="12" t="n">
        <f aca="false">MAX(0,((INDEX(損益!$D$22:$G$22,1,3)-INDEX(輸入與假設!$D$230:$G$230,1,3))*$B127+INDEX(輸入與假設!$D$230:$G$230,1,3)*輸入與假設!$C$419-(INDEX(各期收支!$D$102:$G$102,1,3)-INDEX(各期收支!$D$56:$G$56,1,3)+評價_DCF與目標價!$C$92))/INDEX(損益!$D$24:$G$24,1,3))/(1+輸入與假設!$C$382)^(3-輸入與假設!$C$440)</f>
        <v>177.329087384833</v>
      </c>
      <c r="F127" s="12" t="n">
        <f aca="false">MAX(0,((INDEX(損益!$D$22:$G$22,1,4)-INDEX(輸入與假設!$D$230:$G$230,1,4))*$B127+INDEX(輸入與假設!$D$230:$G$230,1,4)*輸入與假設!$C$419-(INDEX(各期收支!$D$102:$G$102,1,4)-INDEX(各期收支!$D$56:$G$56,1,4)+評價_DCF與目標價!$C$92))/INDEX(損益!$D$24:$G$24,1,4))/(1+輸入與假設!$C$382)^(4-輸入與假設!$C$440)</f>
        <v>167.430729803785</v>
      </c>
    </row>
    <row r="128" customFormat="false" ht="15" hidden="false" customHeight="false" outlineLevel="1" collapsed="false">
      <c r="A128" s="3" t="s">
        <v>1932</v>
      </c>
      <c r="B128" s="95" t="n">
        <v>7</v>
      </c>
      <c r="C128" s="12" t="n">
        <f aca="false">MAX(0,((INDEX(損益!$D$22:$G$22,1,1)-INDEX(輸入與假設!$D$230:$G$230,1,1))*$B128+INDEX(輸入與假設!$D$230:$G$230,1,1)*輸入與假設!$C$419-(INDEX(各期收支!$D$102:$G$102,1,1)-INDEX(各期收支!$D$56:$G$56,1,1)+評價_DCF與目標價!$C$92))/INDEX(損益!$D$24:$G$24,1,1))/(1+輸入與假設!$C$382)^(1-輸入與假設!$C$440)</f>
        <v>179.18295682569</v>
      </c>
      <c r="D128" s="12" t="n">
        <f aca="false">MAX(0,((INDEX(損益!$D$22:$G$22,1,2)-INDEX(輸入與假設!$D$230:$G$230,1,2))*$B128+INDEX(輸入與假設!$D$230:$G$230,1,2)*輸入與假設!$C$419-(INDEX(各期收支!$D$102:$G$102,1,2)-INDEX(各期收支!$D$56:$G$56,1,2)+評價_DCF與目標價!$C$92))/INDEX(損益!$D$24:$G$24,1,2))/(1+輸入與假設!$C$382)^(2-輸入與假設!$C$440)</f>
        <v>180.676155516163</v>
      </c>
      <c r="E128" s="12" t="n">
        <f aca="false">MAX(0,((INDEX(損益!$D$22:$G$22,1,3)-INDEX(輸入與假設!$D$230:$G$230,1,3))*$B128+INDEX(輸入與假設!$D$230:$G$230,1,3)*輸入與假設!$C$419-(INDEX(各期收支!$D$102:$G$102,1,3)-INDEX(各期收支!$D$56:$G$56,1,3)+評價_DCF與目標價!$C$92))/INDEX(損益!$D$24:$G$24,1,3))/(1+輸入與假設!$C$382)^(3-輸入與假設!$C$440)</f>
        <v>180.488435322723</v>
      </c>
      <c r="F128" s="12" t="n">
        <f aca="false">MAX(0,((INDEX(損益!$D$22:$G$22,1,4)-INDEX(輸入與假設!$D$230:$G$230,1,4))*$B128+INDEX(輸入與假設!$D$230:$G$230,1,4)*輸入與假設!$C$419-(INDEX(各期收支!$D$102:$G$102,1,4)-INDEX(各期收支!$D$56:$G$56,1,4)+評價_DCF與目標價!$C$92))/INDEX(損益!$D$24:$G$24,1,4))/(1+輸入與假設!$C$382)^(4-輸入與假設!$C$440)</f>
        <v>171.235447124531</v>
      </c>
    </row>
    <row r="129" customFormat="false" ht="15" hidden="false" customHeight="false" outlineLevel="1" collapsed="false"/>
    <row r="130" customFormat="false" ht="17.15" hidden="false" customHeight="false" outlineLevel="1" collapsed="false">
      <c r="A130" s="15" t="s">
        <v>1933</v>
      </c>
      <c r="B130" s="14" t="s">
        <v>1926</v>
      </c>
      <c r="C130" s="15" t="s">
        <v>60</v>
      </c>
      <c r="D130" s="15" t="s">
        <v>61</v>
      </c>
      <c r="E130" s="15" t="s">
        <v>151</v>
      </c>
      <c r="F130" s="15" t="s">
        <v>152</v>
      </c>
    </row>
    <row r="131" customFormat="false" ht="15" hidden="false" customHeight="false" outlineLevel="1" collapsed="false">
      <c r="A131" s="3" t="s">
        <v>1934</v>
      </c>
      <c r="B131" s="95" t="n">
        <v>3.4</v>
      </c>
      <c r="C131" s="12" t="n">
        <f aca="false">C48*IF(C30=1,0,輸入與假設!$C$421)+C124*IF(C30=1,1,1-輸入與假設!$C$421)</f>
        <v>148.359518163619</v>
      </c>
      <c r="D131" s="12" t="n">
        <f aca="false">C48*IF(C30=1,0,輸入與假設!$C$421)+D124*IF(C30=1,1,1-輸入與假設!$C$421)</f>
        <v>147.810133209286</v>
      </c>
      <c r="E131" s="12" t="n">
        <f aca="false">C48*IF(C30=1,0,輸入與假設!$C$421)+E124*IF(C30=1,1,1-輸入與假設!$C$421)</f>
        <v>146.005410496372</v>
      </c>
      <c r="F131" s="12" t="n">
        <f aca="false">C48*IF(C30=1,0,輸入與假設!$C$421)+F124*IF(C30=1,1,1-輸入與假設!$C$421)</f>
        <v>139.638435609312</v>
      </c>
    </row>
    <row r="132" customFormat="false" ht="15" hidden="false" customHeight="false" outlineLevel="1" collapsed="false">
      <c r="A132" s="3" t="s">
        <v>1935</v>
      </c>
      <c r="B132" s="95" t="n">
        <v>4.5</v>
      </c>
      <c r="C132" s="12" t="n">
        <f aca="false">C48*IF(C30=1,0,輸入與假設!$C$421)+C125*IF(C30=1,1,1-輸入與假設!$C$421)</f>
        <v>149.332220075855</v>
      </c>
      <c r="D132" s="12" t="n">
        <f aca="false">C48*IF(C30=1,0,輸入與假設!$C$421)+D125*IF(C30=1,1,1-輸入與假設!$C$421)</f>
        <v>149.201643081939</v>
      </c>
      <c r="E132" s="12" t="n">
        <f aca="false">C48*IF(C30=1,0,輸入與假設!$C$421)+E125*IF(C30=1,1,1-輸入與假設!$C$421)</f>
        <v>147.916815998796</v>
      </c>
      <c r="F132" s="12" t="n">
        <f aca="false">C48*IF(C30=1,0,輸入與假設!$C$421)+F125*IF(C30=1,1,1-輸入與假設!$C$421)</f>
        <v>141.940289588363</v>
      </c>
    </row>
    <row r="133" customFormat="false" ht="15" hidden="false" customHeight="false" outlineLevel="1" collapsed="false">
      <c r="A133" s="3" t="s">
        <v>1936</v>
      </c>
      <c r="B133" s="95" t="n">
        <v>5</v>
      </c>
      <c r="C133" s="12" t="n">
        <f aca="false">C48*IF(C30=1,0,輸入與假設!$C$421)+C126*IF(C30=1,1,1-輸入與假設!$C$421)</f>
        <v>149.774357308689</v>
      </c>
      <c r="D133" s="12" t="n">
        <f aca="false">C48*IF(C30=1,0,輸入與假設!$C$421)+D126*IF(C30=1,1,1-輸入與假設!$C$421)</f>
        <v>149.834147569509</v>
      </c>
      <c r="E133" s="12" t="n">
        <f aca="false">C48*IF(C30=1,0,輸入與假設!$C$421)+E126*IF(C30=1,1,1-輸入與假設!$C$421)</f>
        <v>148.785636681715</v>
      </c>
      <c r="F133" s="12" t="n">
        <f aca="false">C48*IF(C30=1,0,輸入與假設!$C$421)+F126*IF(C30=1,1,1-輸入與假設!$C$421)</f>
        <v>142.986586851568</v>
      </c>
    </row>
    <row r="134" customFormat="false" ht="15" hidden="false" customHeight="false" outlineLevel="1" collapsed="false">
      <c r="A134" s="3" t="s">
        <v>1937</v>
      </c>
      <c r="B134" s="95" t="n">
        <v>6</v>
      </c>
      <c r="C134" s="12" t="n">
        <f aca="false">C48*IF(C30=1,0,輸入與假設!$C$421)+C127*IF(C30=1,1,1-輸入與假設!$C$421)</f>
        <v>150.658631774358</v>
      </c>
      <c r="D134" s="12" t="n">
        <f aca="false">C48*IF(C30=1,0,輸入與假設!$C$421)+D127*IF(C30=1,1,1-輸入與假設!$C$421)</f>
        <v>151.099156544647</v>
      </c>
      <c r="E134" s="12" t="n">
        <f aca="false">C48*IF(C30=1,0,輸入與假設!$C$421)+E127*IF(C30=1,1,1-輸入與假設!$C$421)</f>
        <v>150.523278047555</v>
      </c>
      <c r="F134" s="12" t="n">
        <f aca="false">C48*IF(C30=1,0,輸入與假設!$C$421)+F127*IF(C30=1,1,1-輸入與假設!$C$421)</f>
        <v>145.079181377979</v>
      </c>
    </row>
    <row r="135" customFormat="false" ht="15" hidden="false" customHeight="false" outlineLevel="1" collapsed="false">
      <c r="A135" s="3" t="s">
        <v>1938</v>
      </c>
      <c r="B135" s="95" t="n">
        <v>7</v>
      </c>
      <c r="C135" s="12" t="n">
        <f aca="false">C48*IF(C30=1,0,輸入與假設!$C$421)+C128*IF(C30=1,1,1-輸入與假設!$C$421)</f>
        <v>151.542906240026</v>
      </c>
      <c r="D135" s="12" t="n">
        <f aca="false">C48*IF(C30=1,0,輸入與假設!$C$421)+D128*IF(C30=1,1,1-輸入與假設!$C$421)</f>
        <v>152.364165519786</v>
      </c>
      <c r="E135" s="12" t="n">
        <f aca="false">C48*IF(C30=1,0,輸入與假設!$C$421)+E128*IF(C30=1,1,1-輸入與假設!$C$421)</f>
        <v>152.260919413394</v>
      </c>
      <c r="F135" s="12" t="n">
        <f aca="false">C48*IF(C30=1,0,輸入與假設!$C$421)+F128*IF(C30=1,1,1-輸入與假設!$C$421)</f>
        <v>147.171775904389</v>
      </c>
    </row>
  </sheetData>
  <conditionalFormatting sqref="C124:F128">
    <cfRule type="cellIs" priority="2" operator="greaterThanOrEqual" aboveAverage="0" equalAverage="0" bottom="0" percent="0" rank="0" text="" dxfId="0">
      <formula>輸入與假設!$C$355</formula>
    </cfRule>
  </conditionalFormatting>
  <conditionalFormatting sqref="C131:F135">
    <cfRule type="cellIs" priority="3" operator="greaterThanOrEqual" aboveAverage="0" equalAverage="0" bottom="0" percent="0" rank="0" text="" dxfId="0">
      <formula>輸入與假設!$C$355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F1239"/>
    <outlinePr summaryBelow="0" summaryRight="1"/>
    <pageSetUpPr fitToPage="false"/>
  </sheetPr>
  <dimension ref="A1:I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46"/>
    <col collapsed="false" customWidth="true" hidden="false" outlineLevel="0" max="6" min="2" style="0" width="16"/>
    <col collapsed="false" customWidth="true" hidden="false" outlineLevel="0" max="7" min="7" style="0" width="70"/>
  </cols>
  <sheetData>
    <row r="1" customFormat="false" ht="21.6" hidden="false" customHeight="false" outlineLevel="0" collapsed="false">
      <c r="A1" s="5" t="s">
        <v>1939</v>
      </c>
    </row>
    <row r="2" customFormat="false" ht="15" hidden="false" customHeight="false" outlineLevel="0" collapsed="false">
      <c r="A2" s="6" t="s">
        <v>1940</v>
      </c>
    </row>
    <row r="4" customFormat="false" ht="15" hidden="false" customHeight="false" outlineLevel="0" collapsed="false">
      <c r="A4" s="52" t="s">
        <v>1941</v>
      </c>
      <c r="B4" s="8"/>
      <c r="C4" s="8"/>
      <c r="D4" s="8"/>
      <c r="E4" s="8"/>
      <c r="F4" s="8"/>
      <c r="G4" s="8"/>
    </row>
    <row r="5" customFormat="false" ht="15" hidden="false" customHeight="false" outlineLevel="1" collapsed="false">
      <c r="A5" s="3" t="s">
        <v>1837</v>
      </c>
      <c r="B5" s="96" t="n">
        <f aca="false">輸入與假設!$C$355</f>
        <v>350.5</v>
      </c>
    </row>
    <row r="6" customFormat="false" ht="15" hidden="false" customHeight="false" outlineLevel="1" collapsed="false">
      <c r="A6" s="3" t="s">
        <v>1942</v>
      </c>
      <c r="B6" s="96" t="n">
        <f aca="false">評價_DCF與目標價!C26</f>
        <v>105.541740239919</v>
      </c>
    </row>
    <row r="7" customFormat="false" ht="15" hidden="false" customHeight="false" outlineLevel="1" collapsed="false">
      <c r="A7" s="2" t="s">
        <v>1943</v>
      </c>
      <c r="B7" s="91" t="n">
        <f aca="false">B6-B5</f>
        <v>-244.958259760081</v>
      </c>
    </row>
    <row r="8" customFormat="false" ht="15" hidden="false" customHeight="false" outlineLevel="1" collapsed="false">
      <c r="A8" s="3" t="s">
        <v>1944</v>
      </c>
      <c r="B8" s="97" t="n">
        <f aca="false">輸入與假設!$C$32</f>
        <v>1</v>
      </c>
      <c r="C8" s="97" t="n">
        <f aca="false">輸入與假設!$C$258</f>
        <v>1</v>
      </c>
    </row>
    <row r="10" customFormat="false" ht="15" hidden="false" customHeight="false" outlineLevel="0" collapsed="false">
      <c r="A10" s="52" t="s">
        <v>1945</v>
      </c>
      <c r="B10" s="8"/>
      <c r="C10" s="8"/>
      <c r="D10" s="8"/>
      <c r="E10" s="8"/>
      <c r="F10" s="8"/>
      <c r="G10" s="8"/>
    </row>
    <row r="11" customFormat="false" ht="15" hidden="false" customHeight="false" outlineLevel="1" collapsed="false">
      <c r="A11" s="6" t="s">
        <v>1946</v>
      </c>
    </row>
    <row r="12" customFormat="false" ht="15" hidden="false" customHeight="false" outlineLevel="1" collapsed="false">
      <c r="A12" s="6" t="s">
        <v>1947</v>
      </c>
    </row>
    <row r="13" customFormat="false" ht="15" hidden="false" customHeight="false" outlineLevel="1" collapsed="false">
      <c r="A13" s="6" t="s">
        <v>1948</v>
      </c>
    </row>
    <row r="14" customFormat="false" ht="15" hidden="false" customHeight="false" outlineLevel="1" collapsed="false">
      <c r="A14" s="6" t="s">
        <v>1949</v>
      </c>
    </row>
    <row r="16" customFormat="false" ht="15" hidden="false" customHeight="false" outlineLevel="0" collapsed="false">
      <c r="A16" s="52" t="s">
        <v>1950</v>
      </c>
      <c r="B16" s="8"/>
      <c r="C16" s="8"/>
      <c r="D16" s="8"/>
      <c r="E16" s="8"/>
      <c r="F16" s="8"/>
      <c r="G16" s="8"/>
    </row>
    <row r="17" customFormat="false" ht="15" hidden="false" customHeight="false" outlineLevel="1" collapsed="false">
      <c r="A17" s="14" t="s">
        <v>1951</v>
      </c>
      <c r="B17" s="14" t="s">
        <v>1952</v>
      </c>
      <c r="C17" s="14" t="s">
        <v>1953</v>
      </c>
      <c r="D17" s="14" t="s">
        <v>1954</v>
      </c>
      <c r="G17" s="14" t="s">
        <v>1955</v>
      </c>
    </row>
    <row r="18" customFormat="false" ht="15" hidden="false" customHeight="false" outlineLevel="1" collapsed="false">
      <c r="A18" s="4" t="s">
        <v>1956</v>
      </c>
      <c r="B18" s="98" t="n">
        <v>13.971</v>
      </c>
      <c r="C18" s="99" t="s">
        <v>1957</v>
      </c>
      <c r="D18" s="62" t="s">
        <v>1957</v>
      </c>
      <c r="G18" s="11" t="s">
        <v>1958</v>
      </c>
    </row>
    <row r="19" customFormat="false" ht="15" hidden="false" customHeight="false" outlineLevel="1" collapsed="false">
      <c r="A19" s="3" t="s">
        <v>1959</v>
      </c>
      <c r="B19" s="98" t="n">
        <v>48.3559</v>
      </c>
      <c r="C19" s="99" t="s">
        <v>1957</v>
      </c>
      <c r="D19" s="62" t="s">
        <v>1957</v>
      </c>
      <c r="G19" s="11" t="s">
        <v>1960</v>
      </c>
    </row>
    <row r="20" customFormat="false" ht="15" hidden="false" customHeight="false" outlineLevel="1" collapsed="false">
      <c r="A20" s="3" t="s">
        <v>505</v>
      </c>
      <c r="B20" s="60" t="n">
        <v>0.765</v>
      </c>
      <c r="C20" s="62" t="s">
        <v>1957</v>
      </c>
      <c r="D20" s="62" t="s">
        <v>1957</v>
      </c>
      <c r="G20" s="11" t="s">
        <v>1961</v>
      </c>
    </row>
    <row r="21" customFormat="false" ht="15" hidden="false" customHeight="false" outlineLevel="1" collapsed="false">
      <c r="A21" s="3" t="s">
        <v>1962</v>
      </c>
      <c r="B21" s="98" t="n">
        <v>13.971</v>
      </c>
      <c r="C21" s="99" t="s">
        <v>1957</v>
      </c>
      <c r="D21" s="62" t="s">
        <v>1957</v>
      </c>
      <c r="G21" s="6" t="s">
        <v>1963</v>
      </c>
    </row>
    <row r="23" customFormat="false" ht="15" hidden="false" customHeight="false" outlineLevel="0" collapsed="false">
      <c r="A23" s="52" t="s">
        <v>1964</v>
      </c>
      <c r="B23" s="8"/>
      <c r="C23" s="8"/>
      <c r="D23" s="8"/>
      <c r="E23" s="8"/>
      <c r="F23" s="8"/>
      <c r="G23" s="8"/>
    </row>
    <row r="24" customFormat="false" ht="17.15" hidden="false" customHeight="false" outlineLevel="1" collapsed="false">
      <c r="A24" s="14" t="s">
        <v>1965</v>
      </c>
      <c r="B24" s="100" t="n">
        <v>0.35</v>
      </c>
      <c r="C24" s="100" t="n">
        <v>0.47</v>
      </c>
      <c r="D24" s="100" t="n">
        <v>0.59</v>
      </c>
      <c r="E24" s="100" t="n">
        <v>0.7</v>
      </c>
      <c r="I24" s="6" t="s">
        <v>1966</v>
      </c>
    </row>
    <row r="25" customFormat="false" ht="15" hidden="false" customHeight="false" outlineLevel="1" collapsed="false">
      <c r="A25" s="4" t="s">
        <v>1967</v>
      </c>
      <c r="B25" s="98" t="s">
        <v>1519</v>
      </c>
      <c r="C25" s="98" t="s">
        <v>1519</v>
      </c>
      <c r="D25" s="98" t="s">
        <v>1519</v>
      </c>
      <c r="E25" s="98" t="s">
        <v>1519</v>
      </c>
    </row>
    <row r="26" customFormat="false" ht="15" hidden="false" customHeight="false" outlineLevel="1" collapsed="false">
      <c r="A26" s="4" t="s">
        <v>1968</v>
      </c>
      <c r="B26" s="98" t="s">
        <v>1519</v>
      </c>
      <c r="C26" s="98" t="s">
        <v>1519</v>
      </c>
      <c r="D26" s="98" t="s">
        <v>1519</v>
      </c>
      <c r="E26" s="98" t="s">
        <v>1519</v>
      </c>
    </row>
    <row r="27" customFormat="false" ht="15" hidden="false" customHeight="false" outlineLevel="1" collapsed="false">
      <c r="A27" s="4" t="s">
        <v>1969</v>
      </c>
      <c r="B27" s="98" t="s">
        <v>1519</v>
      </c>
      <c r="C27" s="98" t="s">
        <v>1519</v>
      </c>
      <c r="D27" s="98" t="s">
        <v>1519</v>
      </c>
      <c r="E27" s="98" t="s">
        <v>1519</v>
      </c>
    </row>
    <row r="28" customFormat="false" ht="15" hidden="false" customHeight="false" outlineLevel="1" collapsed="false">
      <c r="A28" s="4" t="s">
        <v>1970</v>
      </c>
      <c r="B28" s="98" t="s">
        <v>1519</v>
      </c>
      <c r="C28" s="98" t="s">
        <v>1519</v>
      </c>
      <c r="D28" s="98" t="s">
        <v>1519</v>
      </c>
      <c r="E28" s="98" t="s">
        <v>1519</v>
      </c>
    </row>
    <row r="29" customFormat="false" ht="15" hidden="false" customHeight="false" outlineLevel="1" collapsed="false">
      <c r="A29" s="4" t="s">
        <v>1971</v>
      </c>
      <c r="B29" s="98" t="s">
        <v>1519</v>
      </c>
      <c r="C29" s="98" t="s">
        <v>1519</v>
      </c>
      <c r="D29" s="98" t="s">
        <v>1519</v>
      </c>
      <c r="E29" s="98" t="s">
        <v>1519</v>
      </c>
    </row>
    <row r="30" customFormat="false" ht="15" hidden="false" customHeight="false" outlineLevel="1" collapsed="false">
      <c r="A30" s="6" t="s">
        <v>1972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F1239"/>
    <pageSetUpPr fitToPage="false"/>
  </sheetPr>
  <dimension ref="A1:K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5" min="2" style="0" width="10"/>
    <col collapsed="false" customWidth="true" hidden="false" outlineLevel="0" max="7" min="6" style="0" width="13"/>
    <col collapsed="false" customWidth="true" hidden="false" outlineLevel="0" max="9" min="8" style="0" width="11"/>
    <col collapsed="false" customWidth="true" hidden="false" outlineLevel="0" max="10" min="10" style="0" width="18"/>
    <col collapsed="false" customWidth="true" hidden="false" outlineLevel="0" max="11" min="11" style="0" width="70"/>
    <col collapsed="false" customWidth="true" hidden="false" outlineLevel="0" max="12" min="12" style="0" width="4"/>
  </cols>
  <sheetData>
    <row r="1" customFormat="false" ht="21.6" hidden="false" customHeight="false" outlineLevel="0" collapsed="false">
      <c r="A1" s="5" t="s">
        <v>1973</v>
      </c>
    </row>
    <row r="2" customFormat="false" ht="15" hidden="false" customHeight="false" outlineLevel="0" collapsed="false">
      <c r="A2" s="11" t="s">
        <v>1974</v>
      </c>
    </row>
    <row r="4" customFormat="false" ht="17.15" hidden="false" customHeight="false" outlineLevel="0" collapsed="false">
      <c r="A4" s="14" t="s">
        <v>1975</v>
      </c>
      <c r="B4" s="14" t="s">
        <v>1976</v>
      </c>
      <c r="C4" s="14" t="s">
        <v>1977</v>
      </c>
      <c r="D4" s="15" t="s">
        <v>1978</v>
      </c>
      <c r="E4" s="15" t="s">
        <v>1979</v>
      </c>
      <c r="F4" s="101" t="s">
        <v>1980</v>
      </c>
      <c r="G4" s="14" t="s">
        <v>1981</v>
      </c>
      <c r="H4" s="15" t="s">
        <v>1982</v>
      </c>
      <c r="I4" s="15" t="s">
        <v>1983</v>
      </c>
      <c r="J4" s="14" t="s">
        <v>1984</v>
      </c>
      <c r="K4" s="14" t="s">
        <v>956</v>
      </c>
    </row>
    <row r="5" customFormat="false" ht="15" hidden="false" customHeight="false" outlineLevel="0" collapsed="false">
      <c r="A5" s="4" t="s">
        <v>1985</v>
      </c>
      <c r="B5" s="24" t="n">
        <v>49.11</v>
      </c>
      <c r="C5" s="24" t="n">
        <v>46.03</v>
      </c>
      <c r="D5" s="59" t="n">
        <f aca="false">B5+C5</f>
        <v>95.14</v>
      </c>
      <c r="E5" s="24" t="n">
        <v>7.59</v>
      </c>
      <c r="F5" s="102" t="n">
        <f aca="false">D5/E5</f>
        <v>12.5349143610013</v>
      </c>
      <c r="G5" s="103" t="n">
        <f aca="false">(D5+16.54)/E5</f>
        <v>14.7140974967062</v>
      </c>
      <c r="H5" s="24" t="n">
        <f aca="false">-0.231+3.991</f>
        <v>3.76</v>
      </c>
      <c r="I5" s="103" t="n">
        <f aca="false">IF(H5&gt;0,D5/H5,"n/m")</f>
        <v>25.3031914893617</v>
      </c>
      <c r="J5" s="11" t="s">
        <v>1986</v>
      </c>
      <c r="K5" s="6" t="s">
        <v>1987</v>
      </c>
    </row>
    <row r="6" customFormat="false" ht="15" hidden="false" customHeight="false" outlineLevel="0" collapsed="false">
      <c r="A6" s="4" t="s">
        <v>1988</v>
      </c>
      <c r="B6" s="24" t="n">
        <v>68.49</v>
      </c>
      <c r="C6" s="24" t="n">
        <v>2.15</v>
      </c>
      <c r="D6" s="59" t="n">
        <f aca="false">B6+C6</f>
        <v>70.64</v>
      </c>
      <c r="E6" s="24" t="n">
        <v>1.36</v>
      </c>
      <c r="F6" s="102" t="n">
        <f aca="false">D6/E6</f>
        <v>51.9411764705882</v>
      </c>
      <c r="G6" s="103" t="n">
        <f aca="false">(D6+1.6253)/E6</f>
        <v>53.13625</v>
      </c>
      <c r="H6" s="24" t="n">
        <f aca="false">-0.612+0.418</f>
        <v>-0.194</v>
      </c>
      <c r="I6" s="103" t="str">
        <f aca="false">IF(H6&gt;0,D6/H6,"n/m")</f>
        <v>n/m</v>
      </c>
      <c r="J6" s="6" t="s">
        <v>1989</v>
      </c>
      <c r="K6" s="6" t="s">
        <v>1990</v>
      </c>
    </row>
    <row r="7" customFormat="false" ht="15" hidden="false" customHeight="false" outlineLevel="0" collapsed="false">
      <c r="A7" s="4" t="s">
        <v>1991</v>
      </c>
      <c r="B7" s="24" t="n">
        <v>18.61</v>
      </c>
      <c r="C7" s="24" t="n">
        <v>1.7</v>
      </c>
      <c r="D7" s="59" t="n">
        <f aca="false">B7+C7</f>
        <v>20.31</v>
      </c>
      <c r="E7" s="24" t="n">
        <v>0.707</v>
      </c>
      <c r="F7" s="102" t="n">
        <f aca="false">D7/E7</f>
        <v>28.7270155586987</v>
      </c>
      <c r="G7" s="103" t="n">
        <f aca="false">(D7+0.003)/E7</f>
        <v>28.7312588401697</v>
      </c>
      <c r="H7" s="24" t="n">
        <f aca="false">-1.047+0.418</f>
        <v>-0.629</v>
      </c>
      <c r="I7" s="103" t="str">
        <f aca="false">IF(H7&gt;0,D7/H7,"n/m")</f>
        <v>n/m</v>
      </c>
      <c r="J7" s="11" t="s">
        <v>1992</v>
      </c>
      <c r="K7" s="6" t="s">
        <v>1993</v>
      </c>
    </row>
    <row r="8" customFormat="false" ht="15" hidden="false" customHeight="false" outlineLevel="0" collapsed="false">
      <c r="A8" s="4" t="s">
        <v>1994</v>
      </c>
      <c r="B8" s="24" t="n">
        <v>8.22</v>
      </c>
      <c r="C8" s="24" t="n">
        <v>3.37</v>
      </c>
      <c r="D8" s="59" t="n">
        <f aca="false">B8+C8</f>
        <v>11.59</v>
      </c>
      <c r="E8" s="24" t="n">
        <v>0.6113</v>
      </c>
      <c r="F8" s="102" t="n">
        <f aca="false">D8/E8</f>
        <v>18.9595943072141</v>
      </c>
      <c r="G8" s="103" t="n">
        <f aca="false">(D8+0.066)/E8</f>
        <v>19.0675609357108</v>
      </c>
      <c r="H8" s="24" t="n">
        <f aca="false">-0.236+0.067</f>
        <v>-0.169</v>
      </c>
      <c r="I8" s="103" t="str">
        <f aca="false">IF(H8&gt;0,D8/H8,"n/m")</f>
        <v>n/m</v>
      </c>
      <c r="J8" s="11" t="s">
        <v>1995</v>
      </c>
      <c r="K8" s="6" t="s">
        <v>1996</v>
      </c>
    </row>
    <row r="9" customFormat="false" ht="15" hidden="false" customHeight="false" outlineLevel="0" collapsed="false">
      <c r="A9" s="4" t="s">
        <v>1997</v>
      </c>
      <c r="B9" s="24" t="n">
        <v>5.9</v>
      </c>
      <c r="C9" s="24" t="n">
        <v>2.53</v>
      </c>
      <c r="D9" s="59" t="n">
        <f aca="false">B9+C9</f>
        <v>8.43</v>
      </c>
      <c r="E9" s="24" t="n">
        <v>0.4403</v>
      </c>
      <c r="F9" s="102" t="n">
        <f aca="false">D9/E9</f>
        <v>19.1460367930956</v>
      </c>
      <c r="G9" s="103" t="n">
        <f aca="false">(D9+0.109)/E9</f>
        <v>19.3935952759482</v>
      </c>
      <c r="H9" s="24" t="n">
        <f aca="false">-0.561+0.063</f>
        <v>-0.498</v>
      </c>
      <c r="I9" s="103" t="str">
        <f aca="false">IF(H9&gt;0,D9/H9,"n/m")</f>
        <v>n/m</v>
      </c>
      <c r="J9" s="11" t="s">
        <v>1998</v>
      </c>
      <c r="K9" s="6" t="s">
        <v>1999</v>
      </c>
    </row>
    <row r="10" customFormat="false" ht="15" hidden="false" customHeight="false" outlineLevel="0" collapsed="false">
      <c r="A10" s="2" t="s">
        <v>2000</v>
      </c>
      <c r="F10" s="83" t="n">
        <f aca="false">MEDIAN(F5:F9)</f>
        <v>19.1460367930956</v>
      </c>
      <c r="G10" s="104" t="n">
        <f aca="false">MEDIAN(G5:G9)</f>
        <v>19.3935952759482</v>
      </c>
    </row>
    <row r="11" customFormat="false" ht="15" hidden="false" customHeight="false" outlineLevel="0" collapsed="false">
      <c r="A11" s="84" t="s">
        <v>2001</v>
      </c>
      <c r="B11" s="81" t="n">
        <v>4286.615</v>
      </c>
      <c r="C11" s="82" t="n">
        <f aca="false">輸入與假設!$C$357+SUMPRODUCT(資產負債_既有債務!$C$27:$C$27*(1-資產負債_既有債務!$H$23:$H$23))+輸入與假設!$C$371</f>
        <v>-227.559</v>
      </c>
      <c r="D11" s="57" t="n">
        <f aca="false">B11+C11</f>
        <v>4059.056</v>
      </c>
      <c r="E11" s="81" t="n">
        <v>445.866</v>
      </c>
      <c r="F11" s="83" t="n">
        <f aca="false">D11/E11</f>
        <v>9.10375763121655</v>
      </c>
      <c r="G11" s="104" t="n">
        <f aca="false">(D11+18.037)/E11</f>
        <v>9.14421148955067</v>
      </c>
      <c r="H11" s="81" t="n">
        <f aca="false">147.628+25.237</f>
        <v>172.865</v>
      </c>
      <c r="I11" s="104" t="n">
        <f aca="false">IF(H11&gt;0,D11/H11,"n/m")</f>
        <v>23.4810748271773</v>
      </c>
      <c r="J11" s="11" t="s">
        <v>2002</v>
      </c>
      <c r="K11" s="11" t="s">
        <v>2003</v>
      </c>
    </row>
    <row r="12" customFormat="false" ht="15" hidden="false" customHeight="false" outlineLevel="0" collapsed="false">
      <c r="A12" s="4" t="s">
        <v>2004</v>
      </c>
      <c r="B12" s="57" t="n">
        <f aca="false">輸入與假設!$C$355*評價_DCF與目標價!$C$90</f>
        <v>4333.44202269117</v>
      </c>
      <c r="C12" s="57" t="n">
        <f aca="false">評價_DCF與目標價!$C$91</f>
        <v>-227.559</v>
      </c>
      <c r="D12" s="57" t="n">
        <f aca="false">B12+C12</f>
        <v>4105.88302269117</v>
      </c>
      <c r="E12" s="82" t="n">
        <f aca="false">損益!D9</f>
        <v>596.991447849945</v>
      </c>
      <c r="F12" s="104" t="n">
        <f aca="false">D12/E12</f>
        <v>6.87762452456974</v>
      </c>
      <c r="G12" s="104" t="n">
        <f aca="false">(D12+18.037)/E12</f>
        <v>6.90783768769789</v>
      </c>
      <c r="H12" s="82" t="n">
        <f aca="false">損益!D22</f>
        <v>219.143947356896</v>
      </c>
      <c r="I12" s="104" t="n">
        <f aca="false">D12/H12</f>
        <v>18.7360092405581</v>
      </c>
      <c r="K12" s="6" t="s">
        <v>2005</v>
      </c>
    </row>
    <row r="14" customFormat="false" ht="15" hidden="false" customHeight="false" outlineLevel="0" collapsed="false">
      <c r="A14" s="6" t="s">
        <v>2006</v>
      </c>
    </row>
    <row r="15" customFormat="false" ht="15" hidden="false" customHeight="false" outlineLevel="0" collapsed="false">
      <c r="A15" s="11" t="s">
        <v>2007</v>
      </c>
    </row>
    <row r="16" customFormat="false" ht="15" hidden="false" customHeight="false" outlineLevel="0" collapsed="false">
      <c r="A16" s="6" t="s">
        <v>2008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I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"/>
    <col collapsed="false" customWidth="true" hidden="false" outlineLevel="0" max="7" min="3" style="0" width="13"/>
    <col collapsed="false" customWidth="true" hidden="false" outlineLevel="0" max="8" min="8" style="0" width="4"/>
    <col collapsed="false" customWidth="true" hidden="false" outlineLevel="0" max="9" min="9" style="0" width="70"/>
  </cols>
  <sheetData>
    <row r="1" customFormat="false" ht="21.6" hidden="false" customHeight="false" outlineLevel="0" collapsed="false">
      <c r="A1" s="1" t="s">
        <v>2009</v>
      </c>
    </row>
    <row r="2" customFormat="false" ht="15" hidden="false" customHeight="false" outlineLevel="0" collapsed="false">
      <c r="A2" s="6" t="s">
        <v>2010</v>
      </c>
    </row>
    <row r="4" customFormat="false" ht="15" hidden="false" customHeight="false" outlineLevel="0" collapsed="false">
      <c r="A4" s="14" t="s">
        <v>57</v>
      </c>
      <c r="B4" s="14" t="s">
        <v>58</v>
      </c>
      <c r="C4" s="28" t="s">
        <v>59</v>
      </c>
      <c r="D4" s="28" t="s">
        <v>60</v>
      </c>
      <c r="E4" s="28" t="s">
        <v>61</v>
      </c>
      <c r="F4" s="28" t="s">
        <v>151</v>
      </c>
      <c r="G4" s="28" t="s">
        <v>152</v>
      </c>
      <c r="I4" s="14" t="s">
        <v>1065</v>
      </c>
    </row>
    <row r="5" customFormat="false" ht="15" hidden="false" customHeight="false" outlineLevel="0" collapsed="false">
      <c r="A5" s="3" t="s">
        <v>2011</v>
      </c>
      <c r="B5" s="11" t="s">
        <v>63</v>
      </c>
      <c r="C5" s="39" t="n">
        <f aca="false">運營_產能與收入!C26/輸入與假設!C$34</f>
        <v>27.4341034849845</v>
      </c>
      <c r="D5" s="39" t="n">
        <f aca="false">運營_產能與收入!D26/輸入與假設!D$34</f>
        <v>39.4423103130834</v>
      </c>
      <c r="E5" s="39" t="n">
        <f aca="false">運營_產能與收入!E26/輸入與假設!E$34</f>
        <v>55.0106536845765</v>
      </c>
      <c r="F5" s="39" t="n">
        <f aca="false">運營_產能與收入!F26/輸入與假設!F$34</f>
        <v>70.6483184758374</v>
      </c>
      <c r="G5" s="39" t="n">
        <f aca="false">運營_產能與收入!G26/輸入與假設!G$34</f>
        <v>86.3190360236892</v>
      </c>
    </row>
    <row r="6" customFormat="false" ht="15" hidden="false" customHeight="false" outlineLevel="0" collapsed="false">
      <c r="A6" s="4" t="s">
        <v>2012</v>
      </c>
      <c r="B6" s="11" t="s">
        <v>42</v>
      </c>
      <c r="C6" s="53" t="n">
        <f aca="false">輸入與假設!C$239</f>
        <v>0.810926562624555</v>
      </c>
      <c r="D6" s="53" t="n">
        <f aca="false">輸入與假設!D$239</f>
        <v>0.814439962744762</v>
      </c>
      <c r="E6" s="53" t="n">
        <f aca="false">輸入與假設!E$239</f>
        <v>0.816204260427869</v>
      </c>
      <c r="F6" s="53" t="n">
        <f aca="false">輸入與假設!F$239</f>
        <v>0.817256461549019</v>
      </c>
      <c r="G6" s="53" t="n">
        <f aca="false">輸入與假設!G$239</f>
        <v>0.817955291657349</v>
      </c>
      <c r="I6" s="11" t="s">
        <v>2013</v>
      </c>
    </row>
    <row r="7" customFormat="false" ht="15" hidden="false" customHeight="false" outlineLevel="0" collapsed="false">
      <c r="A7" s="4" t="s">
        <v>2014</v>
      </c>
      <c r="B7" s="11" t="s">
        <v>63</v>
      </c>
      <c r="C7" s="66" t="n">
        <f aca="false">C5*C6</f>
        <v>22.2470432377648</v>
      </c>
      <c r="D7" s="66" t="n">
        <f aca="false">D5*D6</f>
        <v>32.123393741955</v>
      </c>
      <c r="E7" s="66" t="n">
        <f aca="false">E5*E6</f>
        <v>44.8999299062734</v>
      </c>
      <c r="F7" s="66" t="n">
        <f aca="false">F5*F6</f>
        <v>57.7377947719511</v>
      </c>
      <c r="G7" s="66" t="n">
        <f aca="false">G5*G6</f>
        <v>70.6051122863379</v>
      </c>
    </row>
    <row r="8" customFormat="false" ht="15" hidden="false" customHeight="false" outlineLevel="0" collapsed="false">
      <c r="A8" s="4" t="s">
        <v>2015</v>
      </c>
      <c r="B8" s="11" t="s">
        <v>63</v>
      </c>
      <c r="C8" s="66" t="n">
        <f aca="false">C5-C7</f>
        <v>5.18706024721969</v>
      </c>
      <c r="D8" s="66" t="n">
        <f aca="false">D5-D7</f>
        <v>7.31891657112841</v>
      </c>
      <c r="E8" s="66" t="n">
        <f aca="false">E5-E7</f>
        <v>10.1107237783031</v>
      </c>
      <c r="F8" s="66" t="n">
        <f aca="false">F5-F7</f>
        <v>12.9105237038863</v>
      </c>
      <c r="G8" s="66" t="n">
        <f aca="false">G5-G7</f>
        <v>15.7139237373513</v>
      </c>
    </row>
    <row r="9" customFormat="false" ht="15" hidden="false" customHeight="false" outlineLevel="0" collapsed="false">
      <c r="A9" s="4" t="s">
        <v>2016</v>
      </c>
      <c r="B9" s="11" t="s">
        <v>63</v>
      </c>
      <c r="C9" s="39" t="n">
        <f aca="false">輸入與假設!C$308/輸入與假設!C$34</f>
        <v>41.0127232651343</v>
      </c>
      <c r="D9" s="39" t="n">
        <f aca="false">輸入與假設!D$308/輸入與假設!D$34</f>
        <v>60.1731621753242</v>
      </c>
      <c r="E9" s="39" t="n">
        <f aca="false">輸入與假設!E$308/輸入與假設!E$34</f>
        <v>84.4049730369909</v>
      </c>
      <c r="F9" s="39" t="n">
        <f aca="false">輸入與假設!F$308/輸入與假設!F$34</f>
        <v>108.657703739102</v>
      </c>
      <c r="G9" s="39" t="n">
        <f aca="false">輸入與假設!G$308/輸入與假設!G$34</f>
        <v>132.910434441213</v>
      </c>
      <c r="I9" s="11" t="s">
        <v>2017</v>
      </c>
    </row>
    <row r="10" customFormat="false" ht="15" hidden="false" customHeight="false" outlineLevel="0" collapsed="false">
      <c r="A10" s="3" t="s">
        <v>2018</v>
      </c>
      <c r="B10" s="11" t="s">
        <v>155</v>
      </c>
      <c r="C10" s="68" t="n">
        <f aca="false">C5/MAX(0.000000000001,輸入與假設!C111*輸入與假設!$C$58/1000)</f>
        <v>2168.35</v>
      </c>
      <c r="D10" s="68" t="n">
        <f aca="false">D5/MAX(0.000000000001,輸入與假設!D111*輸入與假設!$C$58/1000)</f>
        <v>2970.35</v>
      </c>
      <c r="E10" s="68" t="n">
        <f aca="false">E5/MAX(0.000000000001,輸入與假設!E111*輸入與假設!$C$58/1000)</f>
        <v>4039.75</v>
      </c>
      <c r="F10" s="68" t="n">
        <f aca="false">F5/MAX(0.000000000001,輸入與假設!F111*輸入與假設!$C$58/1000)</f>
        <v>5109.2</v>
      </c>
      <c r="G10" s="68" t="n">
        <f aca="false">G5/MAX(0.000000000001,輸入與假設!G111*輸入與假設!$C$58/1000)</f>
        <v>6178.45</v>
      </c>
    </row>
    <row r="11" customFormat="false" ht="15" hidden="false" customHeight="false" outlineLevel="0" collapsed="false">
      <c r="A11" s="3" t="s">
        <v>2019</v>
      </c>
      <c r="B11" s="11" t="s">
        <v>155</v>
      </c>
      <c r="C11" s="26" t="n">
        <f aca="false">(輸入與假設!$C$281+輸入與假設!C$282)/2</f>
        <v>0</v>
      </c>
      <c r="D11" s="26" t="n">
        <f aca="false">(輸入與假設!C$282+輸入與假設!D$282)/2</f>
        <v>0</v>
      </c>
      <c r="E11" s="26" t="n">
        <f aca="false">(輸入與假設!D$282+輸入與假設!E$282)/2</f>
        <v>0</v>
      </c>
      <c r="F11" s="26" t="n">
        <f aca="false">(輸入與假設!E$282+輸入與假設!F$282)/2</f>
        <v>0</v>
      </c>
      <c r="G11" s="26" t="n">
        <f aca="false">(輸入與假設!F$282+輸入與假設!G$282)/2</f>
        <v>0</v>
      </c>
      <c r="I11" s="11" t="s">
        <v>2020</v>
      </c>
    </row>
    <row r="12" customFormat="false" ht="15" hidden="false" customHeight="false" outlineLevel="0" collapsed="false">
      <c r="A12" s="3" t="s">
        <v>2021</v>
      </c>
      <c r="B12" s="11" t="s">
        <v>42</v>
      </c>
      <c r="C12" s="67" t="n">
        <f aca="false">MAX(0,C10-C11)/MAX(0.000000001,C10/輸入與假設!$C$252-C11)</f>
        <v>0.3</v>
      </c>
      <c r="D12" s="67" t="n">
        <f aca="false">MAX(0,D10-D11)/MAX(0.000000001,D10/輸入與假設!$C$252-D11)</f>
        <v>0.3</v>
      </c>
      <c r="E12" s="67" t="n">
        <f aca="false">MAX(0,E10-E11)/MAX(0.000000001,E10/輸入與假設!$C$252-E11)</f>
        <v>0.3</v>
      </c>
      <c r="F12" s="67" t="n">
        <f aca="false">MAX(0,F10-F11)/MAX(0.000000001,F10/輸入與假設!$C$252-F11)</f>
        <v>0.3</v>
      </c>
      <c r="G12" s="67" t="n">
        <f aca="false">MAX(0,G10-G11)/MAX(0.000000001,G10/輸入與假設!$C$252-G11)</f>
        <v>0.3</v>
      </c>
      <c r="I12" s="6" t="s">
        <v>2022</v>
      </c>
    </row>
    <row r="13" customFormat="false" ht="15" hidden="false" customHeight="false" outlineLevel="0" collapsed="false">
      <c r="A13" s="3" t="s">
        <v>2023</v>
      </c>
      <c r="B13" s="11" t="s">
        <v>216</v>
      </c>
      <c r="C13" s="30" t="n">
        <f aca="false">(輸入與假設!C67*TK_CapexFacility_H100+輸入與假設!C73*TK_CapexFacility_H100+輸入與假設!C79*TK_CapexFacility_GB200+輸入與假設!C85*TK_CapexFacility_GB200+輸入與假設!C91*TK_CapexFacility_GB300+輸入與假設!C97*TK_CapexFacility_GB300+輸入與假設!C103*TK_CapexFacility_VR200+輸入與假設!C109*TK_CapexFacility_VR200)/MAX(0.000000001,輸入與假設!C110)/1000*0.1/(1-(1+0.1)^(-輸入與假設!$C$299))</f>
        <v>0.00148893043681599</v>
      </c>
      <c r="D13" s="30" t="n">
        <f aca="false">(輸入與假設!D67*TK_CapexFacility_H100+輸入與假設!D73*TK_CapexFacility_H100+輸入與假設!D79*TK_CapexFacility_GB200+輸入與假設!D85*TK_CapexFacility_GB200+輸入與假設!D91*TK_CapexFacility_GB300+輸入與假設!D97*TK_CapexFacility_GB300+輸入與假設!D103*TK_CapexFacility_VR200+輸入與假設!D109*TK_CapexFacility_VR200)/MAX(0.000000001,輸入與假設!D110)/1000*0.1/(1-(1+0.1)^(-輸入與假設!$C$299))</f>
        <v>0.00148893043681599</v>
      </c>
      <c r="E13" s="30" t="n">
        <f aca="false">(輸入與假設!E67*TK_CapexFacility_H100+輸入與假設!E73*TK_CapexFacility_H100+輸入與假設!E79*TK_CapexFacility_GB200+輸入與假設!E85*TK_CapexFacility_GB200+輸入與假設!E91*TK_CapexFacility_GB300+輸入與假設!E97*TK_CapexFacility_GB300+輸入與假設!E103*TK_CapexFacility_VR200+輸入與假設!E109*TK_CapexFacility_VR200)/MAX(0.000000001,輸入與假設!E110)/1000*0.1/(1-(1+0.1)^(-輸入與假設!$C$299))</f>
        <v>0.00148893043681599</v>
      </c>
      <c r="F13" s="30" t="n">
        <f aca="false">(輸入與假設!F67*TK_CapexFacility_H100+輸入與假設!F73*TK_CapexFacility_H100+輸入與假設!F79*TK_CapexFacility_GB200+輸入與假設!F85*TK_CapexFacility_GB200+輸入與假設!F91*TK_CapexFacility_GB300+輸入與假設!F97*TK_CapexFacility_GB300+輸入與假設!F103*TK_CapexFacility_VR200+輸入與假設!F109*TK_CapexFacility_VR200)/MAX(0.000000001,輸入與假設!F110)/1000*0.1/(1-(1+0.1)^(-輸入與假設!$C$299))</f>
        <v>0.00148893043681599</v>
      </c>
      <c r="G13" s="30" t="n">
        <f aca="false">(輸入與假設!G67*TK_CapexFacility_H100+輸入與假設!G73*TK_CapexFacility_H100+輸入與假設!G79*TK_CapexFacility_GB200+輸入與假設!G85*TK_CapexFacility_GB200+輸入與假設!G91*TK_CapexFacility_GB300+輸入與假設!G97*TK_CapexFacility_GB300+輸入與假設!G103*TK_CapexFacility_VR200+輸入與假設!G109*TK_CapexFacility_VR200)/MAX(0.000000001,輸入與假設!G110)/1000*0.1/(1-(1+0.1)^(-輸入與假設!$C$299))</f>
        <v>0.00148893043681599</v>
      </c>
      <c r="I13" s="6" t="s">
        <v>2024</v>
      </c>
    </row>
    <row r="14" customFormat="false" ht="15" hidden="false" customHeight="false" outlineLevel="0" collapsed="false">
      <c r="A14" s="3" t="s">
        <v>2025</v>
      </c>
      <c r="B14" s="11" t="s">
        <v>63</v>
      </c>
      <c r="C14" s="66" t="n">
        <f aca="false">(1-輸入與假設!$C$253)*MAX(0,C10-C11)*C13</f>
        <v>0.484278346900492</v>
      </c>
      <c r="D14" s="66" t="n">
        <f aca="false">(1-輸入與假設!$C$253)*MAX(0,D10-D11)*D13</f>
        <v>0.663396678449455</v>
      </c>
      <c r="E14" s="66" t="n">
        <f aca="false">(1-輸入與假設!$C$253)*MAX(0,E10-E11)*E13</f>
        <v>0.902236009819107</v>
      </c>
      <c r="F14" s="66" t="n">
        <f aca="false">(1-輸入與假設!$C$253)*MAX(0,F10-F11)*F13</f>
        <v>1.14108650816704</v>
      </c>
      <c r="G14" s="66" t="n">
        <f aca="false">(1-輸入與假設!$C$253)*MAX(0,G10-G11)*G13</f>
        <v>1.37989233860186</v>
      </c>
      <c r="I14" s="6" t="s">
        <v>2026</v>
      </c>
    </row>
    <row r="15" customFormat="false" ht="15" hidden="false" customHeight="false" outlineLevel="0" collapsed="false">
      <c r="A15" s="3" t="s">
        <v>2027</v>
      </c>
      <c r="B15" s="11" t="s">
        <v>63</v>
      </c>
      <c r="C15" s="66" t="n">
        <f aca="false">C11*0/1000</f>
        <v>0</v>
      </c>
      <c r="D15" s="66" t="n">
        <f aca="false">D11*0/1000</f>
        <v>0</v>
      </c>
      <c r="E15" s="66" t="n">
        <f aca="false">E11*0/1000</f>
        <v>0</v>
      </c>
      <c r="F15" s="66" t="n">
        <f aca="false">F11*0/1000</f>
        <v>0</v>
      </c>
      <c r="G15" s="66" t="n">
        <f aca="false">G11*0/1000</f>
        <v>0</v>
      </c>
      <c r="I15" s="6" t="s">
        <v>2028</v>
      </c>
    </row>
    <row r="16" customFormat="false" ht="15" hidden="false" customHeight="false" outlineLevel="0" collapsed="false">
      <c r="A16" s="3" t="s">
        <v>2029</v>
      </c>
      <c r="B16" s="11" t="s">
        <v>63</v>
      </c>
      <c r="C16" s="66" t="n">
        <f aca="false">C7-C14-C15</f>
        <v>21.7627648908643</v>
      </c>
      <c r="D16" s="66" t="n">
        <f aca="false">D7-D14-D15</f>
        <v>31.4599970635056</v>
      </c>
      <c r="E16" s="66" t="n">
        <f aca="false">E7-E14-E15</f>
        <v>43.9976938964543</v>
      </c>
      <c r="F16" s="66" t="n">
        <f aca="false">F7-F14-F15</f>
        <v>56.596708263784</v>
      </c>
      <c r="G16" s="66" t="n">
        <f aca="false">G7-G14-G15</f>
        <v>69.2252199477361</v>
      </c>
    </row>
    <row r="17" customFormat="false" ht="15" hidden="false" customHeight="false" outlineLevel="0" collapsed="false">
      <c r="A17" s="3" t="s">
        <v>2030</v>
      </c>
      <c r="B17" s="11" t="s">
        <v>63</v>
      </c>
      <c r="C17" s="66" t="n">
        <f aca="false">C9*C12</f>
        <v>12.3038169795403</v>
      </c>
      <c r="D17" s="66" t="n">
        <f aca="false">D9*D12</f>
        <v>18.0519486525973</v>
      </c>
      <c r="E17" s="66" t="n">
        <f aca="false">E9*E12</f>
        <v>25.3214919110973</v>
      </c>
      <c r="F17" s="66" t="n">
        <f aca="false">F9*F12</f>
        <v>32.5973111217306</v>
      </c>
      <c r="G17" s="66" t="n">
        <f aca="false">G9*G12</f>
        <v>39.8731303323639</v>
      </c>
    </row>
    <row r="18" customFormat="false" ht="15" hidden="false" customHeight="false" outlineLevel="0" collapsed="false">
      <c r="A18" s="3" t="s">
        <v>2031</v>
      </c>
      <c r="B18" s="11" t="s">
        <v>63</v>
      </c>
      <c r="C18" s="66" t="n">
        <f aca="false">(C16-C17)*(1-輸入與假設!$C$372)</f>
        <v>7.86984466222158</v>
      </c>
      <c r="D18" s="66" t="n">
        <f aca="false">(D16-D17)*(1-輸入與假設!$C$372)</f>
        <v>11.1554962778757</v>
      </c>
      <c r="E18" s="66" t="n">
        <f aca="false">(E16-E17)*(1-輸入與假設!$C$372)</f>
        <v>15.5386000518171</v>
      </c>
      <c r="F18" s="66" t="n">
        <f aca="false">(F16-F17)*(1-輸入與假設!$C$372)</f>
        <v>19.9674984221885</v>
      </c>
      <c r="G18" s="66" t="n">
        <f aca="false">(G16-G17)*(1-輸入與假設!$C$372)</f>
        <v>24.4209385599896</v>
      </c>
      <c r="I18" s="6" t="s">
        <v>2032</v>
      </c>
    </row>
    <row r="19" customFormat="false" ht="15" hidden="false" customHeight="false" outlineLevel="0" collapsed="false">
      <c r="A19" s="4" t="s">
        <v>2033</v>
      </c>
      <c r="B19" s="11" t="s">
        <v>63</v>
      </c>
      <c r="C19" s="66" t="n">
        <f aca="false">(輸入與假設!$C$297+輸入與假設!$C$298)*輸入與假設!$C$302</f>
        <v>188.6150005825</v>
      </c>
      <c r="D19" s="66" t="n">
        <f aca="false">C21</f>
        <v>268.447261647209</v>
      </c>
      <c r="E19" s="66" t="n">
        <f aca="false">D21</f>
        <v>380.395555149219</v>
      </c>
      <c r="F19" s="66" t="n">
        <f aca="false">E21</f>
        <v>468.363075874894</v>
      </c>
      <c r="G19" s="66" t="n">
        <f aca="false">F21</f>
        <v>556.007843338459</v>
      </c>
      <c r="I19" s="11" t="s">
        <v>2034</v>
      </c>
    </row>
    <row r="20" customFormat="false" ht="15" hidden="false" customHeight="false" outlineLevel="0" collapsed="false">
      <c r="A20" s="4" t="s">
        <v>2035</v>
      </c>
      <c r="B20" s="11" t="s">
        <v>63</v>
      </c>
      <c r="C20" s="39" t="n">
        <f aca="false">輸入與假設!C$289+輸入與假設!C$293</f>
        <v>100.338622697276</v>
      </c>
      <c r="D20" s="39" t="n">
        <f aca="false">輸入與假設!D$289+輸入與假設!D$293</f>
        <v>172.121455677333</v>
      </c>
      <c r="E20" s="39" t="n">
        <f aca="false">輸入與假設!E$289+輸入與假設!E$293</f>
        <v>172.372493762667</v>
      </c>
      <c r="F20" s="39" t="n">
        <f aca="false">輸入與假設!F$289+輸入與假設!F$293</f>
        <v>196.302471202667</v>
      </c>
      <c r="G20" s="39" t="n">
        <f aca="false">輸入與假設!G$289+輸入與假設!G$293</f>
        <v>301.389735133333</v>
      </c>
    </row>
    <row r="21" customFormat="false" ht="15" hidden="false" customHeight="false" outlineLevel="0" collapsed="false">
      <c r="A21" s="4" t="s">
        <v>2036</v>
      </c>
      <c r="B21" s="11" t="s">
        <v>63</v>
      </c>
      <c r="C21" s="66" t="n">
        <f aca="false">C19+C20-輸入與假設!C$308</f>
        <v>268.447261647209</v>
      </c>
      <c r="D21" s="66" t="n">
        <f aca="false">D19+D20-輸入與假設!D$308</f>
        <v>380.395555149219</v>
      </c>
      <c r="E21" s="66" t="n">
        <f aca="false">E19+E20-輸入與假設!E$308</f>
        <v>468.363075874894</v>
      </c>
      <c r="F21" s="66" t="n">
        <f aca="false">F19+F20-輸入與假設!F$308</f>
        <v>556.007843338459</v>
      </c>
      <c r="G21" s="66" t="n">
        <f aca="false">G19+G20-輸入與假設!G$308</f>
        <v>724.487144030579</v>
      </c>
      <c r="I21" s="6" t="s">
        <v>2037</v>
      </c>
    </row>
    <row r="22" customFormat="false" ht="15" hidden="false" customHeight="false" outlineLevel="0" collapsed="false">
      <c r="A22" s="3" t="s">
        <v>2038</v>
      </c>
      <c r="B22" s="11" t="s">
        <v>63</v>
      </c>
      <c r="C22" s="66" t="n">
        <f aca="false">(C19+C21)/2*C12</f>
        <v>68.5593393344564</v>
      </c>
      <c r="D22" s="66" t="n">
        <f aca="false">(D19+D21)/2*D12</f>
        <v>97.3264225194642</v>
      </c>
      <c r="E22" s="66" t="n">
        <f aca="false">(E19+E21)/2*E12</f>
        <v>127.313794653617</v>
      </c>
      <c r="F22" s="66" t="n">
        <f aca="false">(F19+F21)/2*F12</f>
        <v>153.655637882003</v>
      </c>
      <c r="G22" s="66" t="n">
        <f aca="false">(G19+G21)/2*G12</f>
        <v>192.074248105356</v>
      </c>
    </row>
    <row r="23" customFormat="false" ht="15" hidden="false" customHeight="false" outlineLevel="0" collapsed="false">
      <c r="A23" s="2" t="s">
        <v>2039</v>
      </c>
      <c r="B23" s="11" t="s">
        <v>42</v>
      </c>
      <c r="C23" s="67" t="n">
        <f aca="false">C18/MAX(0.000000001,C22)</f>
        <v>0.114788805414675</v>
      </c>
      <c r="D23" s="67" t="n">
        <f aca="false">D18/MAX(0.000000001,D22)</f>
        <v>0.114619401279696</v>
      </c>
      <c r="E23" s="67" t="n">
        <f aca="false">E18/MAX(0.000000001,E22)</f>
        <v>0.122049618378692</v>
      </c>
      <c r="F23" s="67" t="n">
        <f aca="false">F18/MAX(0.000000001,F22)</f>
        <v>0.129949663399414</v>
      </c>
      <c r="G23" s="67" t="n">
        <f aca="false">G18/MAX(0.000000001,G22)</f>
        <v>0.127143220920456</v>
      </c>
      <c r="I23" s="6" t="s">
        <v>2040</v>
      </c>
    </row>
    <row r="24" customFormat="false" ht="15" hidden="false" customHeight="false" outlineLevel="0" collapsed="false">
      <c r="A24" s="4" t="s">
        <v>763</v>
      </c>
      <c r="B24" s="11" t="s">
        <v>42</v>
      </c>
      <c r="C24" s="53" t="n">
        <f aca="false">輸入與假設!$C$382</f>
        <v>0.115772981601272</v>
      </c>
      <c r="D24" s="53" t="n">
        <f aca="false">輸入與假設!$C$382</f>
        <v>0.115772981601272</v>
      </c>
      <c r="E24" s="53" t="n">
        <f aca="false">輸入與假設!$C$382</f>
        <v>0.115772981601272</v>
      </c>
      <c r="F24" s="53" t="n">
        <f aca="false">輸入與假設!$C$382</f>
        <v>0.115772981601272</v>
      </c>
      <c r="G24" s="53" t="n">
        <f aca="false">輸入與假設!$C$382</f>
        <v>0.115772981601272</v>
      </c>
    </row>
    <row r="25" customFormat="false" ht="15" hidden="false" customHeight="false" outlineLevel="0" collapsed="false">
      <c r="A25" s="2" t="s">
        <v>2041</v>
      </c>
      <c r="B25" s="11" t="s">
        <v>42</v>
      </c>
      <c r="C25" s="67" t="n">
        <f aca="false">C23-C24</f>
        <v>-0.000984176186596936</v>
      </c>
      <c r="D25" s="67" t="n">
        <f aca="false">D23-D24</f>
        <v>-0.00115358032157577</v>
      </c>
      <c r="E25" s="67" t="n">
        <f aca="false">E23-E24</f>
        <v>0.00627663677742003</v>
      </c>
      <c r="F25" s="67" t="n">
        <f aca="false">F23-F24</f>
        <v>0.0141766817981418</v>
      </c>
      <c r="G25" s="67" t="n">
        <f aca="false">G23-G24</f>
        <v>0.0113702393191838</v>
      </c>
      <c r="I25" s="6" t="s">
        <v>2042</v>
      </c>
    </row>
    <row r="26" customFormat="false" ht="15" hidden="false" customHeight="false" outlineLevel="0" collapsed="false">
      <c r="A26" s="3" t="s">
        <v>2043</v>
      </c>
      <c r="B26" s="11" t="s">
        <v>63</v>
      </c>
      <c r="C26" s="66" t="n">
        <f aca="false">C5*(1/輸入與假設!$C$252-1)</f>
        <v>64.0129081316305</v>
      </c>
      <c r="D26" s="66" t="n">
        <f aca="false">D5*(1/輸入與假設!$C$252-1)</f>
        <v>92.0320573971946</v>
      </c>
      <c r="E26" s="66" t="n">
        <f aca="false">E5*(1/輸入與假設!$C$252-1)</f>
        <v>128.358191930679</v>
      </c>
      <c r="F26" s="66" t="n">
        <f aca="false">F5*(1/輸入與假設!$C$252-1)</f>
        <v>164.846076443621</v>
      </c>
      <c r="G26" s="66" t="n">
        <f aca="false">G5*(1/輸入與假設!$C$252-1)</f>
        <v>201.411084055275</v>
      </c>
      <c r="I26" s="6" t="s">
        <v>2044</v>
      </c>
    </row>
    <row r="27" customFormat="false" ht="15" hidden="false" customHeight="false" outlineLevel="0" collapsed="false">
      <c r="A27" s="3" t="s">
        <v>2045</v>
      </c>
      <c r="B27" s="11" t="s">
        <v>42</v>
      </c>
      <c r="C27" s="67" t="n">
        <f aca="false">(C7+C26*C6-(1-輸入與假設!$C$253)*MAX(0.000000001,C10/輸入與假設!$C$252-C11)*C13-C15-C9)*(1-輸入與假設!$C$372)/MAX(0.000000001,(C19+C21)/2)</f>
        <v>0.114788805414675</v>
      </c>
      <c r="D27" s="67" t="n">
        <f aca="false">(D7+D26*D6-(1-輸入與假設!$C$253)*MAX(0.000000001,D10/輸入與假設!$C$252-D11)*D13-D15-D9)*(1-輸入與假設!$C$372)/MAX(0.000000001,(D19+D21)/2)</f>
        <v>0.114619401279696</v>
      </c>
      <c r="E27" s="67" t="n">
        <f aca="false">(E7+E26*E6-(1-輸入與假設!$C$253)*MAX(0.000000001,E10/輸入與假設!$C$252-E11)*E13-E15-E9)*(1-輸入與假設!$C$372)/MAX(0.000000001,(E19+E21)/2)</f>
        <v>0.122049618378692</v>
      </c>
      <c r="F27" s="67" t="n">
        <f aca="false">(F7+F26*F6-(1-輸入與假設!$C$253)*MAX(0.000000001,F10/輸入與假設!$C$252-F11)*F13-F15-F9)*(1-輸入與假設!$C$372)/MAX(0.000000001,(F19+F21)/2)</f>
        <v>0.129949663399414</v>
      </c>
      <c r="G27" s="67" t="n">
        <f aca="false">(G7+G26*G6-(1-輸入與假設!$C$253)*MAX(0.000000001,G10/輸入與假設!$C$252-G11)*G13-G15-G9)*(1-輸入與假設!$C$372)/MAX(0.000000001,(G19+G21)/2)</f>
        <v>0.127143220920456</v>
      </c>
      <c r="I27" s="6" t="s">
        <v>2046</v>
      </c>
    </row>
    <row r="29" customFormat="false" ht="15" hidden="false" customHeight="false" outlineLevel="0" collapsed="false">
      <c r="A29" s="2" t="s">
        <v>2047</v>
      </c>
      <c r="C29" s="105" t="n">
        <f aca="false">輸入與假設!$C$58*(輸入與假設!$C$382*F22/(1-輸入與假設!$C$372)+F8+F14+F15+F17)/MAX(0.000000001,F5)</f>
        <v>1.11123349652719</v>
      </c>
      <c r="I29" s="6" t="s">
        <v>2048</v>
      </c>
    </row>
    <row r="30" customFormat="false" ht="15" hidden="false" customHeight="false" outlineLevel="0" collapsed="false">
      <c r="A30" s="3" t="s">
        <v>2049</v>
      </c>
      <c r="C30" s="106" t="n">
        <f aca="false">輸入與假設!$C$58</f>
        <v>1.154</v>
      </c>
    </row>
    <row r="32" customFormat="false" ht="15" hidden="false" customHeight="false" outlineLevel="0" collapsed="false">
      <c r="A32" s="84" t="s">
        <v>2050</v>
      </c>
    </row>
    <row r="33" customFormat="false" ht="15" hidden="false" customHeight="false" outlineLevel="0" collapsed="false">
      <c r="A33" s="4" t="s">
        <v>2051</v>
      </c>
      <c r="C33" s="23" t="n">
        <v>0.1</v>
      </c>
      <c r="I33" s="11" t="s">
        <v>2052</v>
      </c>
    </row>
    <row r="34" customFormat="false" ht="15" hidden="false" customHeight="false" outlineLevel="0" collapsed="false">
      <c r="A34" s="3" t="s">
        <v>2053</v>
      </c>
      <c r="C34" s="68" t="n">
        <f aca="false">F10</f>
        <v>5109.2</v>
      </c>
    </row>
    <row r="35" customFormat="false" ht="15" hidden="false" customHeight="false" outlineLevel="0" collapsed="false">
      <c r="A35" s="3" t="s">
        <v>2054</v>
      </c>
      <c r="C35" s="68" t="n">
        <f aca="false">MAX(0,C34-F11)</f>
        <v>5109.2</v>
      </c>
    </row>
    <row r="36" customFormat="false" ht="15" hidden="false" customHeight="false" outlineLevel="0" collapsed="false">
      <c r="A36" s="4" t="s">
        <v>2055</v>
      </c>
      <c r="C36" s="66" t="n">
        <f aca="false">C34*(輸入與假設!F67*TK_HoldEcon_H100+輸入與假設!F73*TK_HoldEcon_H100+輸入與假設!F79*TK_HoldEcon_GB200+輸入與假設!F85*TK_HoldEcon_GB200+輸入與假設!F91*TK_HoldEcon_GB300+輸入與假設!F97*TK_HoldEcon_GB300+輸入與假設!F103*TK_HoldEcon_VR200+輸入與假設!F109*TK_HoldEcon_VR200)/MAX(0.000000001,輸入與假設!F110)/1000</f>
        <v>61.2203799617308</v>
      </c>
    </row>
    <row r="37" customFormat="false" ht="15" hidden="false" customHeight="false" outlineLevel="0" collapsed="false">
      <c r="A37" s="4" t="s">
        <v>2056</v>
      </c>
      <c r="C37" s="66" t="n">
        <f aca="false">C34*(輸入與假設!F67*TK_OpexGW_H100+輸入與假設!F73*TK_OpexGW_H100+輸入與假設!F79*TK_OpexGW_GB200+輸入與假設!F85*TK_OpexGW_GB200+輸入與假設!F91*TK_OpexGW_GB300+輸入與假設!F97*TK_OpexGW_GB300+輸入與假設!F103*TK_OpexGW_VR200+輸入與假設!F109*TK_OpexGW_VR200)/MAX(0.000000001,輸入與假設!F110)/1000</f>
        <v>12.9105237038863</v>
      </c>
    </row>
    <row r="38" customFormat="false" ht="15" hidden="false" customHeight="false" outlineLevel="0" collapsed="false">
      <c r="A38" s="3" t="s">
        <v>2057</v>
      </c>
      <c r="C38" s="66" t="n">
        <f aca="false">F12*(輸入與假設!C$293+輸入與假設!D$293+輸入與假設!E$293+輸入與假設!F$293/2)</f>
        <v>3.589496616</v>
      </c>
    </row>
    <row r="39" customFormat="false" ht="15" hidden="false" customHeight="false" outlineLevel="0" collapsed="false">
      <c r="A39" s="3" t="s">
        <v>2058</v>
      </c>
      <c r="C39" s="66" t="n">
        <f aca="false">C35*((輸入與假設!F67*TK_CapexIT_H100+輸入與假設!F73*TK_CapexIT_H100+輸入與假設!F79*TK_CapexIT_GB200+輸入與假設!F85*TK_CapexIT_GB200+輸入與假設!F91*TK_CapexIT_GB300+輸入與假設!F97*TK_CapexIT_GB300+輸入與假設!F103*TK_CapexIT_VR200+輸入與假設!F109*TK_CapexIT_VR200)/MAX(0.000000001,輸入與假設!F110)/1000+輸入與假設!$C$253*(輸入與假設!F67*TK_CapexFacility_H100+輸入與假設!F73*TK_CapexFacility_H100+輸入與假設!F79*TK_CapexFacility_GB200+輸入與假設!F85*TK_CapexFacility_GB200+輸入與假設!F91*TK_CapexFacility_GB300+輸入與假設!F97*TK_CapexFacility_GB300+輸入與假設!F103*TK_CapexFacility_VR200+輸入與假設!F109*TK_CapexFacility_VR200)/MAX(0.000000001,輸入與假設!F110)/1000)*0.5</f>
        <v>116.003026675519</v>
      </c>
    </row>
    <row r="40" customFormat="false" ht="15" hidden="false" customHeight="false" outlineLevel="0" collapsed="false">
      <c r="A40" s="3" t="s">
        <v>2059</v>
      </c>
      <c r="C40" s="66" t="n">
        <f aca="false">C35*((輸入與假設!F67*TK_CapexIT_H100+輸入與假設!F73*TK_CapexIT_H100+輸入與假設!F79*TK_CapexIT_GB200+輸入與假設!F85*TK_CapexIT_GB200+輸入與假設!F91*TK_CapexIT_GB300+輸入與假設!F97*TK_CapexIT_GB300+輸入與假設!F103*TK_CapexIT_VR200+輸入與假設!F109*TK_CapexIT_VR200)/MAX(0.000000001,輸入與假設!F110)/1000/輸入與假設!$C$251+輸入與假設!$C$253*(輸入與假設!F67*TK_CapexFacility_H100+輸入與假設!F73*TK_CapexFacility_H100+輸入與假設!F79*TK_CapexFacility_GB200+輸入與假設!F85*TK_CapexFacility_GB200+輸入與假設!F91*TK_CapexFacility_GB300+輸入與假設!F97*TK_CapexFacility_GB300+輸入與假設!F103*TK_CapexFacility_VR200+輸入與假設!F109*TK_CapexFacility_VR200)/MAX(0.000000001,輸入與假設!F110)/1000/輸入與假設!$C$299)</f>
        <v>32.2522447135062</v>
      </c>
    </row>
    <row r="41" customFormat="false" ht="15" hidden="false" customHeight="false" outlineLevel="0" collapsed="false">
      <c r="A41" s="3" t="s">
        <v>2060</v>
      </c>
      <c r="C41" s="66" t="n">
        <f aca="false">C34*((輸入與假設!F67*TK_CapexIT_H100+輸入與假設!F73*TK_CapexIT_H100+輸入與假設!F79*TK_CapexIT_GB200+輸入與假設!F85*TK_CapexIT_GB200+輸入與假設!F91*TK_CapexIT_GB300+輸入與假設!F97*TK_CapexIT_GB300+輸入與假設!F103*TK_CapexIT_VR200+輸入與假設!F109*TK_CapexIT_VR200)/MAX(0.000000001,輸入與假設!F110)/1000+(輸入與假設!F67*TK_CapexFacility_H100+輸入與假設!F73*TK_CapexFacility_H100+輸入與假設!F79*TK_CapexFacility_GB200+輸入與假設!F85*TK_CapexFacility_GB200+輸入與假設!F91*TK_CapexFacility_GB300+輸入與假設!F97*TK_CapexFacility_GB300+輸入與假設!F103*TK_CapexFacility_VR200+輸入與假設!F109*TK_CapexFacility_VR200)/MAX(0.000000001,輸入與假設!F110)/1000)*0.5</f>
        <v>120.858043975519</v>
      </c>
    </row>
    <row r="42" customFormat="false" ht="15" hidden="false" customHeight="false" outlineLevel="0" collapsed="false">
      <c r="A42" s="3" t="s">
        <v>2061</v>
      </c>
      <c r="C42" s="66" t="n">
        <f aca="false">C34*((輸入與假設!F67*TK_CapexIT_H100+輸入與假設!F73*TK_CapexIT_H100+輸入與假設!F79*TK_CapexIT_GB200+輸入與假設!F85*TK_CapexIT_GB200+輸入與假設!F91*TK_CapexIT_GB300+輸入與假設!F97*TK_CapexIT_GB300+輸入與假設!F103*TK_CapexIT_VR200+輸入與假設!F109*TK_CapexIT_VR200)/MAX(0.000000001,輸入與假設!F110)/1000/輸入與假設!$C$251+(輸入與假設!F67*TK_CapexFacility_H100+輸入與假設!F73*TK_CapexFacility_H100+輸入與假設!F79*TK_CapexFacility_GB200+輸入與假設!F85*TK_CapexFacility_GB200+輸入與假設!F91*TK_CapexFacility_GB300+輸入與假設!F97*TK_CapexFacility_GB300+輸入與假設!F103*TK_CapexFacility_VR200+輸入與假設!F109*TK_CapexFacility_VR200)/MAX(0.000000001,輸入與假設!F110)/1000/輸入與假設!$C$299)</f>
        <v>32.7384489585062</v>
      </c>
    </row>
    <row r="43" customFormat="false" ht="15" hidden="false" customHeight="false" outlineLevel="0" collapsed="false">
      <c r="A43" s="3" t="s">
        <v>2062</v>
      </c>
      <c r="C43" s="67" t="n">
        <f aca="false">F23</f>
        <v>0.129949663399414</v>
      </c>
    </row>
    <row r="44" customFormat="false" ht="15" hidden="false" customHeight="false" outlineLevel="0" collapsed="false">
      <c r="A44" s="3" t="s">
        <v>2063</v>
      </c>
      <c r="C44" s="67" t="n">
        <f aca="false">(F16-F17)/MAX(0.000000001,F22)</f>
        <v>0.156189499278141</v>
      </c>
    </row>
    <row r="45" customFormat="false" ht="15" hidden="false" customHeight="false" outlineLevel="0" collapsed="false">
      <c r="A45" s="3" t="s">
        <v>2064</v>
      </c>
      <c r="C45" s="67" t="n">
        <f aca="false">(C36-F8-(F14+F15)-F17)/MAX(0.000000001,F22)</f>
        <v>0.0948319165427357</v>
      </c>
    </row>
    <row r="46" customFormat="false" ht="15" hidden="false" customHeight="false" outlineLevel="0" collapsed="false">
      <c r="A46" s="3" t="s">
        <v>2065</v>
      </c>
      <c r="C46" s="67" t="n">
        <f aca="false">(C36-C37-(F14+F15)-F17)/MAX(0.000000001,F22)</f>
        <v>0.0948319165427356</v>
      </c>
    </row>
    <row r="47" customFormat="false" ht="15" hidden="false" customHeight="false" outlineLevel="0" collapsed="false">
      <c r="A47" s="3" t="s">
        <v>2066</v>
      </c>
      <c r="C47" s="67" t="n">
        <f aca="false">(C36-C37-(F14+F15)-(F17-C38/輸入與假設!$C$251))/MAX(0.000000001,F22-C38)</f>
        <v>0.101086813694087</v>
      </c>
    </row>
    <row r="48" customFormat="false" ht="15" hidden="false" customHeight="false" outlineLevel="0" collapsed="false">
      <c r="A48" s="3" t="s">
        <v>2067</v>
      </c>
      <c r="C48" s="67" t="n">
        <f aca="false">(C36-C37-(F14+F15)-C40)/MAX(0.000000001,C39)</f>
        <v>0.128587377964675</v>
      </c>
    </row>
    <row r="49" customFormat="false" ht="15" hidden="false" customHeight="false" outlineLevel="0" collapsed="false">
      <c r="A49" s="2" t="s">
        <v>2068</v>
      </c>
      <c r="C49" s="67" t="n">
        <f aca="false">(C36-C37-C42)/MAX(0.000000001,C41)</f>
        <v>0.128840470912242</v>
      </c>
      <c r="I49" s="11" t="s">
        <v>2069</v>
      </c>
    </row>
    <row r="50" customFormat="false" ht="15" hidden="false" customHeight="false" outlineLevel="0" collapsed="false">
      <c r="A50" s="3" t="s">
        <v>2070</v>
      </c>
      <c r="C50" s="67" t="n">
        <f aca="false">C44-C43</f>
        <v>0.0262398358787277</v>
      </c>
    </row>
    <row r="51" customFormat="false" ht="15" hidden="false" customHeight="false" outlineLevel="0" collapsed="false">
      <c r="A51" s="3" t="s">
        <v>2071</v>
      </c>
      <c r="C51" s="67" t="n">
        <f aca="false">C45-C44</f>
        <v>-0.0613575827354057</v>
      </c>
    </row>
    <row r="52" customFormat="false" ht="15" hidden="false" customHeight="false" outlineLevel="0" collapsed="false">
      <c r="A52" s="3" t="s">
        <v>2072</v>
      </c>
      <c r="C52" s="67" t="n">
        <f aca="false">C46-C45</f>
        <v>0</v>
      </c>
    </row>
    <row r="53" customFormat="false" ht="15" hidden="false" customHeight="false" outlineLevel="0" collapsed="false">
      <c r="A53" s="3" t="s">
        <v>2073</v>
      </c>
      <c r="C53" s="67" t="n">
        <f aca="false">C47-C46</f>
        <v>0.0062548971513509</v>
      </c>
    </row>
    <row r="54" customFormat="false" ht="15" hidden="false" customHeight="false" outlineLevel="0" collapsed="false">
      <c r="A54" s="3" t="s">
        <v>2074</v>
      </c>
      <c r="C54" s="67" t="n">
        <f aca="false">C48-C47</f>
        <v>0.027500564270589</v>
      </c>
    </row>
    <row r="55" customFormat="false" ht="15" hidden="false" customHeight="false" outlineLevel="0" collapsed="false">
      <c r="A55" s="3" t="s">
        <v>2075</v>
      </c>
      <c r="C55" s="67" t="n">
        <f aca="false">C49-C48</f>
        <v>0.000253092947566647</v>
      </c>
    </row>
    <row r="56" customFormat="false" ht="15" hidden="false" customHeight="false" outlineLevel="0" collapsed="false">
      <c r="A56" s="3" t="s">
        <v>2076</v>
      </c>
      <c r="C56" s="67" t="n">
        <f aca="false">C33-C49</f>
        <v>-0.0288404709122421</v>
      </c>
    </row>
    <row r="57" customFormat="false" ht="15" hidden="false" customHeight="false" outlineLevel="0" collapsed="false">
      <c r="A57" s="2" t="s">
        <v>2077</v>
      </c>
      <c r="C57" s="67" t="n">
        <f aca="false">C33-C43</f>
        <v>-0.0299496633994135</v>
      </c>
      <c r="I57" s="6" t="s">
        <v>2078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I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100"/>
  </cols>
  <sheetData>
    <row r="1" customFormat="false" ht="17.35" hidden="false" customHeight="false" outlineLevel="0" collapsed="false">
      <c r="A1" s="5" t="s">
        <v>2079</v>
      </c>
    </row>
    <row r="3" customFormat="false" ht="15" hidden="false" customHeight="false" outlineLevel="0" collapsed="false">
      <c r="A3" s="14" t="s">
        <v>2080</v>
      </c>
      <c r="B3" s="14" t="s">
        <v>2081</v>
      </c>
      <c r="C3" s="14" t="s">
        <v>2082</v>
      </c>
      <c r="D3" s="14" t="s">
        <v>2083</v>
      </c>
      <c r="E3" s="14" t="s">
        <v>1043</v>
      </c>
    </row>
    <row r="4" customFormat="false" ht="15" hidden="false" customHeight="false" outlineLevel="0" collapsed="false">
      <c r="A4" s="4" t="s">
        <v>191</v>
      </c>
      <c r="B4" s="13" t="n">
        <f aca="false">SUM(輸入與假設!C35:G35)</f>
        <v>0.725</v>
      </c>
      <c r="C4" s="107" t="n">
        <f aca="false">輸入與假設!$C$27</f>
        <v>0.725</v>
      </c>
      <c r="D4" s="2" t="str">
        <f aca="false">IF(ABS(B4-C4)&lt;0.0001,"通過","不一致")</f>
        <v>通過</v>
      </c>
      <c r="E4" s="6" t="s">
        <v>2084</v>
      </c>
    </row>
    <row r="5" customFormat="false" ht="15" hidden="false" customHeight="false" outlineLevel="0" collapsed="false">
      <c r="A5" s="3" t="s">
        <v>2085</v>
      </c>
      <c r="B5" s="10" t="n">
        <f aca="false">各期收支!C116</f>
        <v>0</v>
      </c>
      <c r="C5" s="6" t="n">
        <f aca="false">0</f>
        <v>0</v>
      </c>
      <c r="D5" s="2" t="str">
        <f aca="false">IF(ABS(B5)&lt;0.01,"通過","不一致")</f>
        <v>通過</v>
      </c>
      <c r="E5" s="6" t="s">
        <v>2086</v>
      </c>
    </row>
    <row r="6" customFormat="false" ht="15" hidden="false" customHeight="false" outlineLevel="0" collapsed="false">
      <c r="A6" s="4" t="s">
        <v>2087</v>
      </c>
      <c r="B6" s="9" t="n">
        <f aca="false">運營_產能與收入!G9-運營_產能與收入!G10</f>
        <v>0.299999999999272</v>
      </c>
      <c r="C6" s="11" t="s">
        <v>2088</v>
      </c>
      <c r="D6" s="2" t="str">
        <f aca="false">IF(B6&gt;=0,"通過","不一致")</f>
        <v>通過</v>
      </c>
      <c r="E6" s="6" t="s">
        <v>2089</v>
      </c>
    </row>
    <row r="7" customFormat="false" ht="15" hidden="false" customHeight="false" outlineLevel="0" collapsed="false">
      <c r="A7" s="4" t="s">
        <v>2090</v>
      </c>
      <c r="B7" s="10" t="n">
        <f aca="false">各期收支!C120</f>
        <v>200</v>
      </c>
      <c r="C7" s="11" t="s">
        <v>2091</v>
      </c>
      <c r="D7" s="2" t="str">
        <f aca="false">IF(AND(B7&gt;=195,B7&lt;=205),"通過","觀察")</f>
        <v>通過</v>
      </c>
      <c r="E7" s="11" t="s">
        <v>2092</v>
      </c>
    </row>
    <row r="8" customFormat="false" ht="15" hidden="false" customHeight="false" outlineLevel="0" collapsed="false">
      <c r="A8" s="4" t="s">
        <v>2093</v>
      </c>
      <c r="B8" s="10" t="n">
        <f aca="false">各期收支!C119</f>
        <v>492.268310257</v>
      </c>
      <c r="C8" s="6" t="s">
        <v>2094</v>
      </c>
      <c r="D8" s="2" t="str">
        <f aca="false">"不適用"</f>
        <v>不適用</v>
      </c>
      <c r="E8" s="11" t="s">
        <v>2095</v>
      </c>
    </row>
    <row r="9" customFormat="false" ht="15" hidden="false" customHeight="false" outlineLevel="0" collapsed="false">
      <c r="A9" s="3" t="s">
        <v>2096</v>
      </c>
      <c r="B9" s="13" t="n">
        <f aca="false">MAX(輸入與假設!C114:G114)</f>
        <v>0.639551132671416</v>
      </c>
      <c r="C9" s="11" t="s">
        <v>2097</v>
      </c>
      <c r="D9" s="2" t="str">
        <f aca="false">IF(B9&lt;=0.5,"通過","示警")</f>
        <v>示警</v>
      </c>
      <c r="E9" s="6" t="s">
        <v>262</v>
      </c>
    </row>
    <row r="10" customFormat="false" ht="15" hidden="false" customHeight="false" outlineLevel="0" collapsed="false">
      <c r="A10" s="3" t="s">
        <v>2098</v>
      </c>
      <c r="B10" s="9" t="n">
        <f aca="false">輸入與假設!G110-輸入與假設!G36</f>
        <v>0</v>
      </c>
      <c r="C10" s="6" t="n">
        <f aca="false">0</f>
        <v>0</v>
      </c>
      <c r="D10" s="2" t="str">
        <f aca="false">IF(ABS(B10)&lt;0.5,"通過","不一致")</f>
        <v>通過</v>
      </c>
      <c r="E10" s="6" t="s">
        <v>2099</v>
      </c>
    </row>
    <row r="11" customFormat="false" ht="15" hidden="false" customHeight="false" outlineLevel="0" collapsed="false">
      <c r="A11" s="4" t="s">
        <v>2100</v>
      </c>
      <c r="B11" s="10" t="n">
        <f aca="false">輸入與假設!C195</f>
        <v>38.0691692555077</v>
      </c>
      <c r="C11" s="6" t="s">
        <v>2101</v>
      </c>
      <c r="D11" s="2" t="str">
        <f aca="false">IF(AND(B11&gt;0,輸入與假設!$C$186&gt;=0,輸入與假設!$C$186&lt;=輸入與假設!$C$177),"通過","示警")</f>
        <v>通過</v>
      </c>
      <c r="E11" s="6" t="s">
        <v>2102</v>
      </c>
    </row>
    <row r="12" customFormat="false" ht="15" hidden="false" customHeight="false" outlineLevel="0" collapsed="false">
      <c r="A12" s="4" t="s">
        <v>2103</v>
      </c>
      <c r="B12" s="9" t="n">
        <f aca="false">((195+205)/2-輸入與假設!C286-輸入與假設!C293)/(輸入與假設!C260*輸入與假設!$C$258/1000)</f>
        <v>3357.32099896856</v>
      </c>
      <c r="C12" s="11" t="s">
        <v>2104</v>
      </c>
      <c r="D12" s="2" t="str">
        <f aca="false">IF(ABS(B12/((輸入與假設!C279*(1-輸入與假設!$C$248)+輸入與假設!C280*輸入與假設!$C$248)/輸入與假設!$C$252-(輸入與假設!C283*(1-輸入與假設!$C$248)+輸入與假設!C284*輸入與假設!$C$248))-1)&lt;=0.2,"通過","觀察")</f>
        <v>通過</v>
      </c>
      <c r="E12" s="6" t="str">
        <f aca="false">"MW 路徑（AI 總 MW 當量）"&amp;TEXT((輸入與假設!C279*(1-輸入與假設!$C$248)+輸入與假設!C280*輸入與假設!$C$248)/輸入與假設!$C$252-(輸入與假設!C283*(1-輸入與假設!$C$248)+輸入與假設!C284*輸入與假設!$C$248),"#,##0")&amp;"；落差＝指引含 MW 路徑以外的支出或路徑偏低（首期以指引為準）"</f>
        <v>MW 路徑（AI 總 MW 當量）3,357；落差＝指引含 MW 路徑以外的支出或路徑偏低（首期以指引為準）</v>
      </c>
    </row>
    <row r="13" customFormat="false" ht="15" hidden="false" customHeight="false" outlineLevel="0" collapsed="false">
      <c r="A13" s="4" t="s">
        <v>2105</v>
      </c>
      <c r="B13" s="13" t="n">
        <f aca="false">AI增量報酬!C49</f>
        <v>0.128840470912242</v>
      </c>
      <c r="C13" s="11" t="s">
        <v>2106</v>
      </c>
      <c r="D13" s="2" t="str">
        <f aca="false">IF(ABS(B13-AI增量報酬!C33)&lt;=0.05,"通過","觀察")</f>
        <v>通過</v>
      </c>
      <c r="E13" s="6" t="str">
        <f aca="false">"模型稅後 "&amp;TEXT(AI增量報酬!F23*100,"0.0")&amp;"%；差距與逐項拆解見「AI增量報酬」C15 區（各項加總＝總差距）"</f>
        <v>模型稅後 13.0%；差距與逐項拆解見「AI增量報酬」C15 區（各項加總＝總差距）</v>
      </c>
    </row>
    <row r="14" customFormat="false" ht="15" hidden="false" customHeight="false" outlineLevel="0" collapsed="false">
      <c r="A14" s="4" t="s">
        <v>2107</v>
      </c>
      <c r="B14" s="10" t="n">
        <f aca="false">輸入與假設!$C$304</f>
        <v>-12.5142631212222</v>
      </c>
      <c r="C14" s="11" t="s">
        <v>2108</v>
      </c>
      <c r="D14" s="2" t="str">
        <f aca="false">IF(ABS(B14)&lt;=0.1*輸入與假設!$C$254,"通過","觀察")</f>
        <v>觀察</v>
      </c>
      <c r="E14" s="6" t="str">
        <f aca="false">"分部 D&amp;A 年化 "&amp;TEXT(輸入與假設!$C$254,"0.0")&amp;"；AI 期初 "&amp;TEXT(輸入與假設!$C$300,"0.0")&amp;"＋非 AI "&amp;TEXT(輸入與假設!$C$301/輸入與假設!$C$303,"0.0")&amp;"（年限 "&amp;TEXT(輸入與假設!$C$303,"0")&amp;" 年）；殘差不回填（C17）"</f>
        <v>分部 D&amp;A 年化 28.4；AI 期初 34.0＋非 AI 7.0（年限 10 年）；殘差不回填（C17）</v>
      </c>
    </row>
    <row r="15" customFormat="false" ht="15" hidden="false" customHeight="false" outlineLevel="0" collapsed="false">
      <c r="A15" s="4" t="s">
        <v>2109</v>
      </c>
      <c r="B15" s="50" t="n">
        <f aca="false">SUM(各期收支!C6:G6)/((運營_產能與收入!G9-輸入與假設!$C$29)/1000)/1000*1000</f>
        <v>264.311192466932</v>
      </c>
      <c r="C15" s="11" t="s">
        <v>2110</v>
      </c>
      <c r="D15" s="2" t="str">
        <f aca="false">IF(AND(B15&gt;=28,B15&lt;=51),"通過","觀察")</f>
        <v>觀察</v>
      </c>
      <c r="E15" s="11" t="s">
        <v>2111</v>
      </c>
    </row>
    <row r="16" customFormat="false" ht="15" hidden="false" customHeight="false" outlineLevel="0" collapsed="false">
      <c r="A16" s="3" t="s">
        <v>2112</v>
      </c>
      <c r="B16" s="16" t="n">
        <f aca="false">資產負債_租賃承諾!C23</f>
        <v>1</v>
      </c>
      <c r="C16" s="11" t="s">
        <v>2113</v>
      </c>
      <c r="D16" s="2" t="str">
        <f aca="false">IF(B16&gt;=0.8,"通過","不一致")</f>
        <v>通過</v>
      </c>
      <c r="E16" s="6" t="s">
        <v>2114</v>
      </c>
    </row>
    <row r="17" customFormat="false" ht="15" hidden="false" customHeight="false" outlineLevel="0" collapsed="false">
      <c r="A17" s="4" t="s">
        <v>2115</v>
      </c>
      <c r="B17" s="10" t="n">
        <f aca="false">各期收支!C121</f>
        <v>3.82368256759658</v>
      </c>
      <c r="C17" s="11" t="s">
        <v>2116</v>
      </c>
      <c r="D17" s="2" t="str">
        <f aca="false">IF(B17&gt;=1.8,"通過","觀察")</f>
        <v>通過</v>
      </c>
      <c r="E17" s="6" t="str">
        <f aca="false">"1H 實際 1.811＋2H 模型 "&amp;TEXT(各期收支!C17,"0.0")&amp;"；公司未提供季度利息指引（不適用）"</f>
        <v>1H 實際 1.811＋2H 模型 2.0；公司未提供季度利息指引（不適用）</v>
      </c>
    </row>
    <row r="18" customFormat="false" ht="15" hidden="false" customHeight="false" outlineLevel="0" collapsed="false">
      <c r="A18" s="4" t="s">
        <v>2117</v>
      </c>
      <c r="B18" s="29" t="n">
        <f aca="false">SUM(運營_產能與收入!E24:G24)/SUM(運營_產能與收入!E26:G26)</f>
        <v>1</v>
      </c>
      <c r="C18" s="11" t="s">
        <v>2118</v>
      </c>
      <c r="D18" s="2" t="str">
        <f aca="false">IF(B18&lt;0.5,"通過","觀察")</f>
        <v>觀察</v>
      </c>
      <c r="E18" s="11" t="s">
        <v>2119</v>
      </c>
    </row>
    <row r="19" customFormat="false" ht="15" hidden="false" customHeight="false" outlineLevel="0" collapsed="false">
      <c r="A19" s="3" t="s">
        <v>2120</v>
      </c>
      <c r="B19" s="57" t="n">
        <f aca="false">損益!D6-運營_產能與收入!D26</f>
        <v>0</v>
      </c>
      <c r="C19" s="6" t="n">
        <f aca="false">0</f>
        <v>0</v>
      </c>
      <c r="D19" s="2" t="str">
        <f aca="false">IF(ABS(B19)&lt;0.001,"通過","不一致")</f>
        <v>通過</v>
      </c>
      <c r="E19" s="11" t="s">
        <v>2121</v>
      </c>
    </row>
    <row r="20" customFormat="false" ht="15" hidden="false" customHeight="false" outlineLevel="0" collapsed="false">
      <c r="A20" s="3" t="s">
        <v>1802</v>
      </c>
      <c r="B20" s="13" t="n">
        <f aca="false">評價_DCF與目標價!C27</f>
        <v>1.0764025275816</v>
      </c>
      <c r="C20" s="6" t="str">
        <f aca="false">"&lt;"&amp;IF(ROUND(ABS(輸入與假設!$C$452)*100,4)=INT(ROUND(ABS(輸入與假設!$C$452)*100,4)),TEXT(ROUND(ABS(輸入與假設!$C$452)*100,4),"0"),TEXT(ROUND(ABS(輸入與假設!$C$452)*100,4),"0.0"))&amp;"%"</f>
        <v>&lt;85%</v>
      </c>
      <c r="D20" s="2" t="str">
        <f aca="false">IF(B20&lt;輸入與假設!$C$452,"通過","觀察")</f>
        <v>觀察</v>
      </c>
      <c r="E20" s="6" t="s">
        <v>2122</v>
      </c>
    </row>
    <row r="21" customFormat="false" ht="15" hidden="false" customHeight="false" outlineLevel="0" collapsed="false">
      <c r="A21" s="4" t="s">
        <v>2123</v>
      </c>
      <c r="B21" s="108" t="n">
        <f aca="false">(損益!D22+損益!D11-輸入與假設!D230-輸入與假設!D48)/(損益!D6+損益!D7)-輸入與假設!D239</f>
        <v>0</v>
      </c>
      <c r="C21" s="6" t="n">
        <f aca="false">0</f>
        <v>0</v>
      </c>
      <c r="D21" s="2" t="str">
        <f aca="false">IF(ABS(B21)&lt;0.0001,"通過","不一致")</f>
        <v>通過</v>
      </c>
      <c r="E21" s="6" t="s">
        <v>2124</v>
      </c>
    </row>
    <row r="22" customFormat="false" ht="15" hidden="false" customHeight="false" outlineLevel="0" collapsed="false">
      <c r="A22" s="3" t="s">
        <v>2125</v>
      </c>
      <c r="B22" s="57" t="n">
        <f aca="false">(運營_產能與收入!D40+運營_產能與收入!D41+輸入與假設!D240+輸入與假設!D48+輸入與假設!D230-運營_產能與收入!D62-各期收支!D16)+(運營_產能與收入!D35+運營_產能與收入!D24*輸入與假設!D41*(1-輸入與假設!D42))*運營_產能與收入!D39+各期收支!D16-損益!D22</f>
        <v>0</v>
      </c>
      <c r="C22" s="6" t="n">
        <f aca="false">0</f>
        <v>0</v>
      </c>
      <c r="D22" s="2" t="str">
        <f aca="false">IF(ABS(B22)&lt;0.001,"通過","不一致")</f>
        <v>通過</v>
      </c>
      <c r="E22" s="6" t="s">
        <v>2126</v>
      </c>
    </row>
    <row r="23" customFormat="false" ht="15" hidden="false" customHeight="false" outlineLevel="0" collapsed="false">
      <c r="A23" s="4" t="s">
        <v>2127</v>
      </c>
      <c r="B23" s="50" t="n">
        <f aca="false">評價_DCF與目標價!C30</f>
        <v>0</v>
      </c>
      <c r="C23" s="11" t="s">
        <v>2128</v>
      </c>
      <c r="D23" s="2" t="str">
        <f aca="false">IF(B23=0,"通過","觀察")</f>
        <v>通過</v>
      </c>
      <c r="E23" s="6" t="s">
        <v>2129</v>
      </c>
    </row>
    <row r="24" customFormat="false" ht="15" hidden="false" customHeight="false" outlineLevel="0" collapsed="false">
      <c r="A24" s="3" t="s">
        <v>2130</v>
      </c>
      <c r="B24" s="57" t="n">
        <f aca="false">MIN(各期收支!C56:G56)</f>
        <v>51.6024152573014</v>
      </c>
      <c r="C24" s="11" t="s">
        <v>2131</v>
      </c>
      <c r="D24" s="2" t="str">
        <f aca="false">IF(B24&gt;=49.999,"通過","不一致")</f>
        <v>通過</v>
      </c>
      <c r="E24" s="6" t="s">
        <v>2132</v>
      </c>
    </row>
    <row r="25" customFormat="false" ht="15" hidden="false" customHeight="false" outlineLevel="0" collapsed="false">
      <c r="A25" s="3" t="s">
        <v>2133</v>
      </c>
      <c r="B25" s="104" t="n">
        <f aca="false">SUM(各期收支!C92:G92)/(輸入與假設!$C$355*輸入與假設!$C$356)</f>
        <v>0</v>
      </c>
      <c r="C25" s="6" t="str">
        <f aca="false">"≤"&amp;IF(輸入與假設!$C$449=INT(輸入與假設!$C$449),TEXT(輸入與假設!$C$449,"0"),TEXT(輸入與假設!$C$449,"0.0"))&amp;"x"</f>
        <v>≤1.5x</v>
      </c>
      <c r="D25" s="2" t="str">
        <f aca="false">IF(B25&lt;=輸入與假設!$C$449,"通過","觀察")</f>
        <v>通過</v>
      </c>
      <c r="E25" s="6" t="str">
        <f aca="false">"超過 "&amp;IF(輸入與假設!$C$449=INT(輸入與假設!$C$449),TEXT(輸入與假設!$C$449,"0"),TEXT(輸入與假設!$C$449,"0.0"))&amp;" 倍：市場吸收能力存疑，結論不得為買進"</f>
        <v>超過 1.5 倍：市場吸收能力存疑，結論不得為買進</v>
      </c>
    </row>
    <row r="26" customFormat="false" ht="15" hidden="false" customHeight="false" outlineLevel="0" collapsed="false">
      <c r="A26" s="3" t="s">
        <v>2134</v>
      </c>
      <c r="B26" s="57" t="n">
        <f aca="false">資產負債_既有債務!E16+SUMPRODUCT(資產負債_既有債務!$C$27:$C$27*(1-資產負債_既有債務!$H$23:$H$23))</f>
        <v>101.085</v>
      </c>
      <c r="C26" s="11" t="s">
        <v>2135</v>
      </c>
      <c r="D26" s="2" t="str">
        <f aca="false">IF(ABS(B26-101.085)&lt;0.01,"通過","不一致")</f>
        <v>通過</v>
      </c>
      <c r="E26" s="6" t="s">
        <v>2136</v>
      </c>
    </row>
    <row r="27" customFormat="false" ht="15" hidden="false" customHeight="false" outlineLevel="0" collapsed="false">
      <c r="A27" s="4" t="s">
        <v>2137</v>
      </c>
      <c r="B27" s="57" t="n">
        <f aca="false">輸入與假設!C285+輸入與假設!C286</f>
        <v>199.999791118047</v>
      </c>
      <c r="C27" s="11" t="s">
        <v>2091</v>
      </c>
      <c r="D27" s="2" t="str">
        <f aca="false">IF(AND(B27&gt;=195,B27&lt;=205),"通過","觀察")</f>
        <v>通過</v>
      </c>
      <c r="E27" s="6" t="s">
        <v>2138</v>
      </c>
    </row>
    <row r="28" customFormat="false" ht="15" hidden="false" customHeight="false" outlineLevel="0" collapsed="false">
      <c r="A28" s="4" t="s">
        <v>2139</v>
      </c>
      <c r="B28" s="57" t="n">
        <f aca="false">SUM(輸入與假設!C274:G274)</f>
        <v>19.999998</v>
      </c>
      <c r="C28" s="6" t="n">
        <f aca="false">20</f>
        <v>20</v>
      </c>
      <c r="D28" s="2" t="str">
        <f aca="false">IF(ABS(B28-20)&lt;0.01,"通過","不一致")</f>
        <v>通過</v>
      </c>
      <c r="E28" s="6" t="s">
        <v>568</v>
      </c>
    </row>
    <row r="29" customFormat="false" ht="15" hidden="false" customHeight="false" outlineLevel="0" collapsed="false">
      <c r="A29" s="3" t="s">
        <v>2140</v>
      </c>
      <c r="B29" s="57" t="n">
        <f aca="false">運營_站點!G22</f>
        <v>0.132700391674489</v>
      </c>
      <c r="C29" s="6" t="s">
        <v>2141</v>
      </c>
      <c r="D29" s="2" t="str">
        <f aca="false">IF(B29&gt;=運營_站點!$H$6*運營_站點!$C$23*0.8,"通過","觀察")</f>
        <v>通過</v>
      </c>
      <c r="E29" s="6" t="s">
        <v>2142</v>
      </c>
    </row>
    <row r="30" customFormat="false" ht="15" hidden="false" customHeight="false" outlineLevel="0" collapsed="false">
      <c r="A30" s="3" t="s">
        <v>2143</v>
      </c>
      <c r="B30" s="57" t="n">
        <f aca="false">運營_站點!$C$26</f>
        <v>-2.99688411272727</v>
      </c>
      <c r="C30" s="11" t="s">
        <v>2144</v>
      </c>
      <c r="D30" s="2" t="str">
        <f aca="false">IF(B30&lt;10,"通過","觀察")</f>
        <v>通過</v>
      </c>
      <c r="E30" s="6" t="s">
        <v>2145</v>
      </c>
    </row>
    <row r="31" customFormat="false" ht="15" hidden="false" customHeight="false" outlineLevel="0" collapsed="false">
      <c r="A31" s="3" t="s">
        <v>2146</v>
      </c>
      <c r="B31" s="10" t="n">
        <f aca="false">519.5*0.59-SUM(運營_產能與收入!C29:G29)</f>
        <v>163.010825021929</v>
      </c>
      <c r="C31" s="6" t="s">
        <v>2147</v>
      </c>
      <c r="D31" s="2" t="str">
        <f aca="false">"對照"</f>
        <v>對照</v>
      </c>
      <c r="E31" s="11" t="s">
        <v>2148</v>
      </c>
    </row>
    <row r="32" customFormat="false" ht="15" hidden="false" customHeight="false" outlineLevel="0" collapsed="false">
      <c r="A32" s="3" t="s">
        <v>2149</v>
      </c>
      <c r="B32" s="10" t="n">
        <f aca="false">輸入與假設!$C$233</f>
        <v>0</v>
      </c>
      <c r="C32" s="6" t="n">
        <f aca="false">0</f>
        <v>0</v>
      </c>
      <c r="D32" s="2" t="str">
        <f aca="false">IF(ABS(B32)&lt;0.000001,"通過","不一致")</f>
        <v>通過</v>
      </c>
      <c r="E32" s="6" t="s">
        <v>2150</v>
      </c>
    </row>
    <row r="33" customFormat="false" ht="15" hidden="false" customHeight="false" outlineLevel="0" collapsed="false">
      <c r="A33" s="3" t="s">
        <v>2151</v>
      </c>
      <c r="B33" s="10" t="n">
        <f aca="false">SUM(運營_產能與收入!C27:G27)</f>
        <v>0</v>
      </c>
      <c r="C33" s="6" t="n">
        <f aca="false">0</f>
        <v>0</v>
      </c>
      <c r="D33" s="2" t="str">
        <f aca="false">IF(ABS(B33)&lt;0.000001,"通過","不一致")</f>
        <v>通過</v>
      </c>
      <c r="E33" s="11" t="s">
        <v>2152</v>
      </c>
    </row>
    <row r="35" customFormat="false" ht="15" hidden="false" customHeight="false" outlineLevel="0" collapsed="false">
      <c r="A35" s="2" t="s">
        <v>2153</v>
      </c>
    </row>
    <row r="36" customFormat="false" ht="15" hidden="false" customHeight="false" outlineLevel="0" collapsed="false">
      <c r="A36" s="14" t="s">
        <v>57</v>
      </c>
      <c r="B36" s="14" t="s">
        <v>58</v>
      </c>
      <c r="C36" s="15" t="s">
        <v>59</v>
      </c>
      <c r="D36" s="15" t="s">
        <v>60</v>
      </c>
      <c r="E36" s="15" t="s">
        <v>61</v>
      </c>
      <c r="F36" s="15" t="s">
        <v>151</v>
      </c>
      <c r="G36" s="15" t="s">
        <v>152</v>
      </c>
    </row>
    <row r="37" customFormat="false" ht="15" hidden="false" customHeight="false" outlineLevel="0" collapsed="false">
      <c r="A37" s="3" t="s">
        <v>2154</v>
      </c>
      <c r="C37" s="24" t="n">
        <v>15.15</v>
      </c>
      <c r="D37" s="24" t="n">
        <v>15.15</v>
      </c>
      <c r="E37" s="24" t="n">
        <v>15.15</v>
      </c>
      <c r="F37" s="24" t="n">
        <v>15.15</v>
      </c>
      <c r="G37" s="24" t="n">
        <v>15.15</v>
      </c>
      <c r="I37" s="11" t="s">
        <v>2155</v>
      </c>
    </row>
    <row r="38" customFormat="false" ht="15" hidden="false" customHeight="false" outlineLevel="0" collapsed="false">
      <c r="A38" s="2" t="s">
        <v>2156</v>
      </c>
      <c r="C38" s="59" t="n">
        <f aca="false">C37</f>
        <v>15.15</v>
      </c>
      <c r="D38" s="59" t="n">
        <f aca="false">D37</f>
        <v>15.15</v>
      </c>
      <c r="E38" s="59" t="n">
        <f aca="false">E37</f>
        <v>15.15</v>
      </c>
      <c r="F38" s="59" t="n">
        <f aca="false">F37</f>
        <v>15.15</v>
      </c>
      <c r="G38" s="59" t="n">
        <f aca="false">G37</f>
        <v>15.15</v>
      </c>
    </row>
    <row r="39" customFormat="false" ht="15" hidden="false" customHeight="false" outlineLevel="0" collapsed="false">
      <c r="A39" s="3" t="s">
        <v>2157</v>
      </c>
      <c r="C39" s="39" t="n">
        <f aca="false">運營_產能與收入!C26/輸入與假設!C34</f>
        <v>27.4341034849845</v>
      </c>
      <c r="D39" s="39" t="n">
        <f aca="false">運營_產能與收入!D26/輸入與假設!D34</f>
        <v>39.4423103130834</v>
      </c>
      <c r="E39" s="39" t="n">
        <f aca="false">運營_產能與收入!E26/輸入與假設!E34</f>
        <v>55.0106536845765</v>
      </c>
      <c r="F39" s="39" t="n">
        <f aca="false">運營_產能與收入!F26/輸入與假設!F34</f>
        <v>70.6483184758374</v>
      </c>
      <c r="G39" s="39" t="n">
        <f aca="false">運營_產能與收入!G26/輸入與假設!G34</f>
        <v>86.3190360236892</v>
      </c>
    </row>
    <row r="40" customFormat="false" ht="15" hidden="false" customHeight="false" outlineLevel="0" collapsed="false">
      <c r="A40" s="2" t="s">
        <v>2158</v>
      </c>
      <c r="C40" s="60" t="n">
        <f aca="false">C38/MAX(0.000000001,C39)</f>
        <v>0.552232370497985</v>
      </c>
      <c r="D40" s="60" t="n">
        <f aca="false">D38/MAX(0.000000001,D39)</f>
        <v>0.384105288958558</v>
      </c>
      <c r="E40" s="60" t="n">
        <f aca="false">E38/MAX(0.000000001,E39)</f>
        <v>0.275401199318009</v>
      </c>
      <c r="F40" s="60" t="n">
        <f aca="false">F38/MAX(0.000000001,F39)</f>
        <v>0.214442471198823</v>
      </c>
      <c r="G40" s="60" t="n">
        <f aca="false">G38/MAX(0.000000001,G39)</f>
        <v>0.17551169125478</v>
      </c>
      <c r="I40" s="11" t="s">
        <v>2159</v>
      </c>
    </row>
    <row r="41" customFormat="false" ht="15" hidden="false" customHeight="false" outlineLevel="0" collapsed="false">
      <c r="A41" s="3" t="s">
        <v>2160</v>
      </c>
      <c r="C41" s="24" t="n">
        <v>7.407</v>
      </c>
      <c r="D41" s="24" t="n">
        <v>14.81</v>
      </c>
      <c r="E41" s="24" t="n">
        <v>14.81</v>
      </c>
      <c r="F41" s="24" t="n">
        <v>14.81</v>
      </c>
      <c r="G41" s="24" t="n">
        <v>14.81</v>
      </c>
      <c r="I41" s="11" t="s">
        <v>2161</v>
      </c>
    </row>
    <row r="42" customFormat="false" ht="15" hidden="false" customHeight="false" outlineLevel="0" collapsed="false">
      <c r="A42" s="3" t="s">
        <v>2162</v>
      </c>
      <c r="C42" s="24" t="n">
        <v>0</v>
      </c>
      <c r="D42" s="24" t="n">
        <v>13.91</v>
      </c>
      <c r="E42" s="24" t="n">
        <v>27.82</v>
      </c>
      <c r="F42" s="24" t="n">
        <v>27.82</v>
      </c>
      <c r="G42" s="24" t="n">
        <v>27.82</v>
      </c>
      <c r="I42" s="11" t="s">
        <v>2163</v>
      </c>
    </row>
    <row r="44" customFormat="false" ht="15" hidden="false" customHeight="false" outlineLevel="0" collapsed="false">
      <c r="A44" s="2" t="s">
        <v>2164</v>
      </c>
    </row>
    <row r="45" customFormat="false" ht="15" hidden="false" customHeight="false" outlineLevel="0" collapsed="false">
      <c r="A45" s="3" t="s">
        <v>2165</v>
      </c>
      <c r="B45" s="10" t="n">
        <f aca="false">SUM(運營_產能與收入!C18:G18)</f>
        <v>0</v>
      </c>
    </row>
    <row r="46" customFormat="false" ht="15" hidden="false" customHeight="false" outlineLevel="0" collapsed="false">
      <c r="A46" s="3" t="s">
        <v>2166</v>
      </c>
      <c r="B46" s="10" t="n">
        <f aca="false">SUM(運營_產能與收入!C20:G20)</f>
        <v>0</v>
      </c>
    </row>
    <row r="47" customFormat="false" ht="15" hidden="false" customHeight="false" outlineLevel="0" collapsed="false">
      <c r="A47" s="3" t="s">
        <v>2167</v>
      </c>
      <c r="B47" s="10" t="n">
        <f aca="false">SUM(運營_產能與收入!C24:G24)</f>
        <v>265.137370239679</v>
      </c>
    </row>
    <row r="48" customFormat="false" ht="15" hidden="false" customHeight="false" outlineLevel="0" collapsed="false">
      <c r="A48" s="3" t="s">
        <v>2168</v>
      </c>
      <c r="B48" s="10" t="n">
        <f aca="false">SUM(輸入與假設!C312:G312)</f>
        <v>1191.34675150862</v>
      </c>
    </row>
    <row r="49" customFormat="false" ht="15" hidden="false" customHeight="false" outlineLevel="0" collapsed="false">
      <c r="A49" s="3" t="s">
        <v>2169</v>
      </c>
      <c r="B49" s="10" t="n">
        <f aca="false">SUM(各期收支!C16:G16)</f>
        <v>2.99688411272727</v>
      </c>
    </row>
    <row r="50" customFormat="false" ht="15" hidden="false" customHeight="false" outlineLevel="0" collapsed="false">
      <c r="A50" s="3" t="s">
        <v>2170</v>
      </c>
      <c r="B50" s="10" t="n">
        <f aca="false">SUM(各期收支!C21:G21)</f>
        <v>17.2924996618301</v>
      </c>
    </row>
    <row r="51" customFormat="false" ht="15" hidden="false" customHeight="false" outlineLevel="0" collapsed="false">
      <c r="A51" s="3" t="s">
        <v>2171</v>
      </c>
      <c r="B51" s="10" t="n">
        <f aca="false">SUM(輸入與假設!C350:G350)*輸入與假設!$C$321+SUM(資產負債_既有債務!C38:G38)</f>
        <v>14.626</v>
      </c>
    </row>
    <row r="52" customFormat="false" ht="15" hidden="false" customHeight="false" outlineLevel="0" collapsed="false">
      <c r="A52" s="3" t="s">
        <v>2172</v>
      </c>
      <c r="B52" s="10" t="n">
        <f aca="false">SUM(各期收支!C54:G54)-(輸入與假設!$C$456-輸入與假設!$C$457-輸入與假設!$C$459-輸入與假設!$C$474)</f>
        <v>-89.1825847426986</v>
      </c>
    </row>
    <row r="53" customFormat="false" ht="15" hidden="false" customHeight="false" outlineLevel="0" collapsed="false">
      <c r="A53" s="4" t="s">
        <v>2173</v>
      </c>
      <c r="B53" s="10" t="n">
        <f aca="false">SUM(各期收支!C54:G54)</f>
        <v>-145.592584742699</v>
      </c>
    </row>
    <row r="54" customFormat="false" ht="15" hidden="false" customHeight="false" outlineLevel="0" collapsed="false">
      <c r="A54" s="3" t="s">
        <v>1650</v>
      </c>
      <c r="B54" s="10" t="n">
        <f aca="false">各期收支!G56</f>
        <v>51.6024152573014</v>
      </c>
    </row>
    <row r="55" customFormat="false" ht="15" hidden="false" customHeight="false" outlineLevel="0" collapsed="false">
      <c r="A55" s="4" t="s">
        <v>2174</v>
      </c>
      <c r="B55" s="12" t="n">
        <f aca="false">評價_DCF與目標價!C26</f>
        <v>105.541740239919</v>
      </c>
    </row>
    <row r="56" customFormat="false" ht="15" hidden="false" customHeight="false" outlineLevel="0" collapsed="false">
      <c r="A56" s="3" t="s">
        <v>1831</v>
      </c>
      <c r="B56" s="12" t="n">
        <f aca="false">評價_DCF與目標價!C51</f>
        <v>150.523278047555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E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90"/>
    <col collapsed="false" customWidth="true" hidden="false" outlineLevel="0" max="4" min="4" style="0" width="14"/>
    <col collapsed="false" customWidth="true" hidden="false" outlineLevel="0" max="5" min="5" style="0" width="48"/>
  </cols>
  <sheetData>
    <row r="1" customFormat="false" ht="17.35" hidden="false" customHeight="false" outlineLevel="0" collapsed="false">
      <c r="A1" s="5" t="s">
        <v>2175</v>
      </c>
    </row>
    <row r="2" customFormat="false" ht="15" hidden="false" customHeight="false" outlineLevel="0" collapsed="false">
      <c r="A2" s="11" t="s">
        <v>2176</v>
      </c>
    </row>
    <row r="4" customFormat="false" ht="15" hidden="false" customHeight="false" outlineLevel="0" collapsed="false">
      <c r="A4" s="14" t="s">
        <v>2177</v>
      </c>
      <c r="B4" s="14" t="s">
        <v>2178</v>
      </c>
      <c r="C4" s="14" t="s">
        <v>2179</v>
      </c>
      <c r="D4" s="14" t="s">
        <v>2180</v>
      </c>
      <c r="E4" s="14" t="s">
        <v>2181</v>
      </c>
    </row>
    <row r="5" customFormat="false" ht="44" hidden="false" customHeight="false" outlineLevel="0" collapsed="false">
      <c r="A5" s="109" t="s">
        <v>2182</v>
      </c>
      <c r="B5" s="109" t="s">
        <v>2183</v>
      </c>
      <c r="C5" s="110" t="s">
        <v>2184</v>
      </c>
      <c r="D5" s="111" t="s">
        <v>2185</v>
      </c>
      <c r="E5" s="110" t="s">
        <v>2186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B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20"/>
  </cols>
  <sheetData>
    <row r="1" customFormat="false" ht="17.35" hidden="false" customHeight="false" outlineLevel="0" collapsed="false">
      <c r="A1" s="5" t="s">
        <v>2187</v>
      </c>
    </row>
    <row r="3" customFormat="false" ht="15" hidden="false" customHeight="false" outlineLevel="0" collapsed="false">
      <c r="A3" s="14" t="s">
        <v>2188</v>
      </c>
      <c r="B3" s="14" t="s">
        <v>2189</v>
      </c>
    </row>
    <row r="4" customFormat="false" ht="45.75" hidden="false" customHeight="true" outlineLevel="0" collapsed="false">
      <c r="A4" s="84" t="s">
        <v>963</v>
      </c>
      <c r="B4" s="112" t="s">
        <v>2190</v>
      </c>
    </row>
    <row r="5" customFormat="false" ht="45.75" hidden="false" customHeight="true" outlineLevel="0" collapsed="false">
      <c r="A5" s="84" t="s">
        <v>963</v>
      </c>
      <c r="B5" s="110" t="s">
        <v>2191</v>
      </c>
    </row>
    <row r="6" customFormat="false" ht="45.75" hidden="false" customHeight="true" outlineLevel="0" collapsed="false">
      <c r="A6" s="84" t="s">
        <v>963</v>
      </c>
      <c r="B6" s="110" t="s">
        <v>2192</v>
      </c>
    </row>
    <row r="7" customFormat="false" ht="45.75" hidden="false" customHeight="true" outlineLevel="0" collapsed="false">
      <c r="A7" s="84" t="s">
        <v>963</v>
      </c>
      <c r="B7" s="112" t="s">
        <v>2193</v>
      </c>
    </row>
    <row r="8" customFormat="false" ht="45.75" hidden="false" customHeight="true" outlineLevel="0" collapsed="false">
      <c r="A8" s="84" t="s">
        <v>958</v>
      </c>
      <c r="B8" s="112" t="s">
        <v>2194</v>
      </c>
    </row>
    <row r="9" customFormat="false" ht="45.75" hidden="false" customHeight="true" outlineLevel="0" collapsed="false">
      <c r="A9" s="84" t="s">
        <v>958</v>
      </c>
      <c r="B9" s="110" t="s">
        <v>2195</v>
      </c>
    </row>
    <row r="10" customFormat="false" ht="45.75" hidden="false" customHeight="true" outlineLevel="0" collapsed="false">
      <c r="A10" s="84" t="s">
        <v>963</v>
      </c>
      <c r="B10" s="110" t="s">
        <v>2196</v>
      </c>
    </row>
    <row r="11" customFormat="false" ht="45.75" hidden="false" customHeight="true" outlineLevel="0" collapsed="false">
      <c r="A11" s="2" t="s">
        <v>2197</v>
      </c>
      <c r="B11" s="110" t="s">
        <v>2198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4"/>
    <col collapsed="false" customWidth="true" hidden="false" outlineLevel="0" max="3" min="3" style="0" width="44"/>
    <col collapsed="false" customWidth="true" hidden="false" outlineLevel="0" max="4" min="4" style="0" width="12"/>
    <col collapsed="false" customWidth="true" hidden="false" outlineLevel="0" max="5" min="5" style="0" width="30"/>
    <col collapsed="false" customWidth="true" hidden="false" outlineLevel="0" max="8" min="6" style="0" width="13"/>
    <col collapsed="false" customWidth="true" hidden="false" outlineLevel="0" max="9" min="9" style="0" width="24"/>
    <col collapsed="false" customWidth="true" hidden="false" outlineLevel="0" max="10" min="10" style="0" width="22"/>
  </cols>
  <sheetData>
    <row r="1" customFormat="false" ht="21.6" hidden="false" customHeight="false" outlineLevel="0" collapsed="false">
      <c r="A1" s="1" t="s">
        <v>2199</v>
      </c>
    </row>
    <row r="2" customFormat="false" ht="15" hidden="false" customHeight="false" outlineLevel="0" collapsed="false">
      <c r="A2" s="6" t="s">
        <v>2200</v>
      </c>
    </row>
    <row r="3" customFormat="false" ht="15" hidden="false" customHeight="false" outlineLevel="0" collapsed="false">
      <c r="A3" s="6" t="s">
        <v>2201</v>
      </c>
    </row>
    <row r="4" customFormat="false" ht="17.15" hidden="false" customHeight="false" outlineLevel="0" collapsed="false">
      <c r="A4" s="14" t="s">
        <v>2202</v>
      </c>
      <c r="B4" s="14" t="s">
        <v>2203</v>
      </c>
      <c r="C4" s="14" t="s">
        <v>2204</v>
      </c>
      <c r="D4" s="14" t="s">
        <v>58</v>
      </c>
      <c r="E4" s="14" t="s">
        <v>2205</v>
      </c>
      <c r="F4" s="14" t="s">
        <v>2206</v>
      </c>
      <c r="G4" s="14" t="s">
        <v>246</v>
      </c>
      <c r="H4" s="14" t="s">
        <v>2207</v>
      </c>
      <c r="I4" s="15" t="s">
        <v>2208</v>
      </c>
      <c r="J4" s="14" t="s">
        <v>2209</v>
      </c>
    </row>
    <row r="5" customFormat="false" ht="15" hidden="false" customHeight="false" outlineLevel="0" collapsed="false">
      <c r="A5" s="4" t="s">
        <v>2210</v>
      </c>
      <c r="B5" s="4" t="s">
        <v>2211</v>
      </c>
      <c r="C5" s="3" t="s">
        <v>2212</v>
      </c>
      <c r="D5" s="11" t="s">
        <v>2213</v>
      </c>
      <c r="E5" s="4" t="s">
        <v>2214</v>
      </c>
      <c r="F5" s="113" t="n">
        <v>7.0000433103819</v>
      </c>
      <c r="G5" s="113" t="n">
        <v>10.0957952959174</v>
      </c>
      <c r="H5" s="113" t="n">
        <v>17.4059720636914</v>
      </c>
      <c r="I5" s="11" t="s">
        <v>2215</v>
      </c>
      <c r="J5" s="11" t="s">
        <v>2216</v>
      </c>
    </row>
    <row r="6" customFormat="false" ht="15" hidden="false" customHeight="false" outlineLevel="0" collapsed="false">
      <c r="A6" s="4" t="s">
        <v>2217</v>
      </c>
      <c r="B6" s="4" t="s">
        <v>2211</v>
      </c>
      <c r="C6" s="3" t="s">
        <v>2212</v>
      </c>
      <c r="D6" s="11" t="s">
        <v>2213</v>
      </c>
      <c r="E6" s="4" t="s">
        <v>2218</v>
      </c>
      <c r="F6" s="113" t="n">
        <v>6.81316695089878</v>
      </c>
      <c r="G6" s="113" t="n">
        <v>9.17098191725462</v>
      </c>
      <c r="H6" s="113" t="n">
        <v>14.9200285257983</v>
      </c>
      <c r="I6" s="11" t="s">
        <v>2219</v>
      </c>
      <c r="J6" s="11" t="s">
        <v>2216</v>
      </c>
    </row>
    <row r="7" customFormat="false" ht="15" hidden="false" customHeight="false" outlineLevel="0" collapsed="false">
      <c r="A7" s="4" t="s">
        <v>2220</v>
      </c>
      <c r="B7" s="4" t="s">
        <v>2211</v>
      </c>
      <c r="C7" s="3" t="s">
        <v>2212</v>
      </c>
      <c r="D7" s="11" t="s">
        <v>2213</v>
      </c>
      <c r="E7" s="4" t="s">
        <v>2221</v>
      </c>
      <c r="F7" s="113" t="n">
        <v>8.70747076237914</v>
      </c>
      <c r="G7" s="113" t="n">
        <v>12.7247463559608</v>
      </c>
      <c r="H7" s="113" t="n">
        <v>23.87186935202</v>
      </c>
      <c r="I7" s="11" t="s">
        <v>2222</v>
      </c>
      <c r="J7" s="11" t="s">
        <v>2216</v>
      </c>
    </row>
    <row r="8" customFormat="false" ht="15" hidden="false" customHeight="false" outlineLevel="0" collapsed="false">
      <c r="A8" s="4" t="s">
        <v>2223</v>
      </c>
      <c r="B8" s="4" t="s">
        <v>2211</v>
      </c>
      <c r="C8" s="3" t="s">
        <v>2212</v>
      </c>
      <c r="D8" s="11" t="s">
        <v>2213</v>
      </c>
      <c r="E8" s="4" t="s">
        <v>2224</v>
      </c>
      <c r="F8" s="113" t="n">
        <v>9.83668060375303</v>
      </c>
      <c r="G8" s="113" t="n">
        <v>12.7620157762701</v>
      </c>
      <c r="H8" s="113" t="n">
        <v>20.6780894215396</v>
      </c>
      <c r="I8" s="11" t="s">
        <v>2225</v>
      </c>
      <c r="J8" s="11" t="s">
        <v>2216</v>
      </c>
    </row>
    <row r="9" customFormat="false" ht="15" hidden="false" customHeight="false" outlineLevel="0" collapsed="false">
      <c r="A9" s="4" t="s">
        <v>2226</v>
      </c>
      <c r="B9" s="4" t="s">
        <v>2211</v>
      </c>
      <c r="C9" s="3" t="s">
        <v>2212</v>
      </c>
      <c r="D9" s="11" t="s">
        <v>2213</v>
      </c>
      <c r="E9" s="4" t="s">
        <v>2227</v>
      </c>
      <c r="F9" s="113" t="n">
        <v>10.4522416094636</v>
      </c>
      <c r="G9" s="113" t="n">
        <v>16.0694566753819</v>
      </c>
      <c r="H9" s="113" t="n">
        <v>29.454615058956</v>
      </c>
      <c r="I9" s="11" t="s">
        <v>2228</v>
      </c>
      <c r="J9" s="11" t="s">
        <v>2216</v>
      </c>
    </row>
    <row r="10" customFormat="false" ht="15" hidden="false" customHeight="false" outlineLevel="0" collapsed="false">
      <c r="A10" s="4" t="s">
        <v>2229</v>
      </c>
      <c r="B10" s="4" t="s">
        <v>2230</v>
      </c>
      <c r="C10" s="3" t="s">
        <v>2231</v>
      </c>
      <c r="D10" s="11" t="s">
        <v>2213</v>
      </c>
      <c r="E10" s="4" t="s">
        <v>2214</v>
      </c>
      <c r="F10" s="113" t="n">
        <v>5.39897242953333</v>
      </c>
      <c r="G10" s="113" t="n">
        <v>7.49682782333333</v>
      </c>
      <c r="H10" s="113" t="n">
        <v>12.9492728665333</v>
      </c>
      <c r="I10" s="11" t="s">
        <v>2232</v>
      </c>
      <c r="J10" s="11" t="s">
        <v>2216</v>
      </c>
    </row>
    <row r="11" customFormat="false" ht="15" hidden="false" customHeight="false" outlineLevel="0" collapsed="false">
      <c r="A11" s="4" t="s">
        <v>2233</v>
      </c>
      <c r="B11" s="4" t="s">
        <v>2230</v>
      </c>
      <c r="C11" s="3" t="s">
        <v>2231</v>
      </c>
      <c r="D11" s="11" t="s">
        <v>2213</v>
      </c>
      <c r="E11" s="4" t="s">
        <v>2218</v>
      </c>
      <c r="F11" s="113" t="n">
        <v>5.25086571253333</v>
      </c>
      <c r="G11" s="113" t="n">
        <v>6.79199475666667</v>
      </c>
      <c r="H11" s="113" t="n">
        <v>11.0210522445333</v>
      </c>
      <c r="I11" s="11" t="s">
        <v>2234</v>
      </c>
      <c r="J11" s="11" t="s">
        <v>2216</v>
      </c>
    </row>
    <row r="12" customFormat="false" ht="15" hidden="false" customHeight="false" outlineLevel="0" collapsed="false">
      <c r="A12" s="4" t="s">
        <v>2235</v>
      </c>
      <c r="B12" s="4" t="s">
        <v>2230</v>
      </c>
      <c r="C12" s="3" t="s">
        <v>2231</v>
      </c>
      <c r="D12" s="11" t="s">
        <v>2213</v>
      </c>
      <c r="E12" s="4" t="s">
        <v>2221</v>
      </c>
      <c r="F12" s="113" t="n">
        <v>6.75217448853333</v>
      </c>
      <c r="G12" s="113" t="n">
        <v>9.50044464</v>
      </c>
      <c r="H12" s="113" t="n">
        <v>17.9645422405333</v>
      </c>
      <c r="I12" s="11" t="s">
        <v>2236</v>
      </c>
      <c r="J12" s="11" t="s">
        <v>2216</v>
      </c>
    </row>
    <row r="13" customFormat="false" ht="15" hidden="false" customHeight="false" outlineLevel="0" collapsed="false">
      <c r="A13" s="4" t="s">
        <v>2237</v>
      </c>
      <c r="B13" s="4" t="s">
        <v>2230</v>
      </c>
      <c r="C13" s="3" t="s">
        <v>2231</v>
      </c>
      <c r="D13" s="11" t="s">
        <v>2213</v>
      </c>
      <c r="E13" s="4" t="s">
        <v>2224</v>
      </c>
      <c r="F13" s="113" t="n">
        <v>7.64711680693333</v>
      </c>
      <c r="G13" s="113" t="n">
        <v>9.52884898666667</v>
      </c>
      <c r="H13" s="113" t="n">
        <v>15.4872887429333</v>
      </c>
      <c r="I13" s="11" t="s">
        <v>2238</v>
      </c>
      <c r="J13" s="11" t="s">
        <v>2216</v>
      </c>
    </row>
    <row r="14" customFormat="false" ht="15" hidden="false" customHeight="false" outlineLevel="0" collapsed="false">
      <c r="A14" s="4" t="s">
        <v>2239</v>
      </c>
      <c r="B14" s="4" t="s">
        <v>2230</v>
      </c>
      <c r="C14" s="3" t="s">
        <v>2231</v>
      </c>
      <c r="D14" s="11" t="s">
        <v>2213</v>
      </c>
      <c r="E14" s="4" t="s">
        <v>2227</v>
      </c>
      <c r="F14" s="113" t="n">
        <v>8.13497262733334</v>
      </c>
      <c r="G14" s="113" t="n">
        <v>12.0495669666667</v>
      </c>
      <c r="H14" s="113" t="n">
        <v>22.2947956173333</v>
      </c>
      <c r="I14" s="11" t="s">
        <v>2240</v>
      </c>
      <c r="J14" s="11" t="s">
        <v>2216</v>
      </c>
    </row>
    <row r="15" customFormat="false" ht="15" hidden="false" customHeight="false" outlineLevel="0" collapsed="false">
      <c r="A15" s="4" t="s">
        <v>2241</v>
      </c>
      <c r="B15" s="4" t="s">
        <v>2242</v>
      </c>
      <c r="C15" s="3" t="s">
        <v>2243</v>
      </c>
      <c r="D15" s="11" t="s">
        <v>2244</v>
      </c>
      <c r="E15" s="4" t="s">
        <v>2214</v>
      </c>
      <c r="F15" s="113" t="n">
        <v>1.11286669150028</v>
      </c>
      <c r="G15" s="113" t="n">
        <v>1.60502925637165</v>
      </c>
      <c r="H15" s="113" t="n">
        <v>2.76720095633376</v>
      </c>
      <c r="I15" s="11" t="s">
        <v>2245</v>
      </c>
      <c r="J15" s="11" t="s">
        <v>2216</v>
      </c>
    </row>
    <row r="16" customFormat="false" ht="15" hidden="false" customHeight="false" outlineLevel="0" collapsed="false">
      <c r="A16" s="4" t="s">
        <v>2246</v>
      </c>
      <c r="B16" s="4" t="s">
        <v>2242</v>
      </c>
      <c r="C16" s="3" t="s">
        <v>2243</v>
      </c>
      <c r="D16" s="11" t="s">
        <v>2244</v>
      </c>
      <c r="E16" s="4" t="s">
        <v>2218</v>
      </c>
      <c r="F16" s="113" t="n">
        <v>1.55003663914234</v>
      </c>
      <c r="G16" s="113" t="n">
        <v>2.08645378736555</v>
      </c>
      <c r="H16" s="113" t="n">
        <v>3.39439662035368</v>
      </c>
      <c r="I16" s="11" t="s">
        <v>2247</v>
      </c>
      <c r="J16" s="11" t="s">
        <v>2216</v>
      </c>
    </row>
    <row r="17" customFormat="false" ht="15" hidden="false" customHeight="false" outlineLevel="0" collapsed="false">
      <c r="A17" s="4" t="s">
        <v>2248</v>
      </c>
      <c r="B17" s="4" t="s">
        <v>2242</v>
      </c>
      <c r="C17" s="3" t="s">
        <v>2243</v>
      </c>
      <c r="D17" s="11" t="s">
        <v>2244</v>
      </c>
      <c r="E17" s="4" t="s">
        <v>2221</v>
      </c>
      <c r="F17" s="113" t="n">
        <v>2.04104144426194</v>
      </c>
      <c r="G17" s="113" t="n">
        <v>2.98269559427618</v>
      </c>
      <c r="H17" s="113" t="n">
        <v>5.59559440727497</v>
      </c>
      <c r="I17" s="11" t="s">
        <v>2249</v>
      </c>
      <c r="J17" s="11" t="s">
        <v>2216</v>
      </c>
    </row>
    <row r="18" customFormat="false" ht="15" hidden="false" customHeight="false" outlineLevel="0" collapsed="false">
      <c r="A18" s="4" t="s">
        <v>2250</v>
      </c>
      <c r="B18" s="4" t="s">
        <v>2242</v>
      </c>
      <c r="C18" s="3" t="s">
        <v>2243</v>
      </c>
      <c r="D18" s="11" t="s">
        <v>2244</v>
      </c>
      <c r="E18" s="4" t="s">
        <v>2224</v>
      </c>
      <c r="F18" s="113" t="n">
        <v>3.84895231682799</v>
      </c>
      <c r="G18" s="113" t="n">
        <v>4.99359409623699</v>
      </c>
      <c r="H18" s="113" t="n">
        <v>8.09104040200768</v>
      </c>
      <c r="I18" s="11" t="s">
        <v>2251</v>
      </c>
      <c r="J18" s="11" t="s">
        <v>2216</v>
      </c>
    </row>
    <row r="19" customFormat="false" ht="15" hidden="false" customHeight="false" outlineLevel="0" collapsed="false">
      <c r="A19" s="4" t="s">
        <v>2252</v>
      </c>
      <c r="B19" s="4" t="s">
        <v>2242</v>
      </c>
      <c r="C19" s="3" t="s">
        <v>2243</v>
      </c>
      <c r="D19" s="11" t="s">
        <v>2244</v>
      </c>
      <c r="E19" s="4" t="s">
        <v>2227</v>
      </c>
      <c r="F19" s="113" t="n">
        <v>6.12640309057557</v>
      </c>
      <c r="G19" s="113" t="n">
        <v>9.41883786448199</v>
      </c>
      <c r="H19" s="113" t="n">
        <v>17.2643200828347</v>
      </c>
      <c r="I19" s="11" t="s">
        <v>2253</v>
      </c>
      <c r="J19" s="11" t="s">
        <v>2216</v>
      </c>
    </row>
    <row r="20" customFormat="false" ht="15" hidden="false" customHeight="false" outlineLevel="0" collapsed="false">
      <c r="A20" s="4" t="s">
        <v>2254</v>
      </c>
      <c r="B20" s="4" t="s">
        <v>2255</v>
      </c>
      <c r="C20" s="3" t="s">
        <v>2256</v>
      </c>
      <c r="D20" s="11" t="s">
        <v>2257</v>
      </c>
      <c r="E20" s="4" t="s">
        <v>2214</v>
      </c>
      <c r="F20" s="113" t="n">
        <v>21.4202694</v>
      </c>
      <c r="G20" s="113" t="n">
        <v>27.510214</v>
      </c>
      <c r="H20" s="113" t="n">
        <v>34.1207434</v>
      </c>
      <c r="I20" s="11" t="s">
        <v>2258</v>
      </c>
      <c r="J20" s="11" t="s">
        <v>2216</v>
      </c>
    </row>
    <row r="21" customFormat="false" ht="15" hidden="false" customHeight="false" outlineLevel="0" collapsed="false">
      <c r="A21" s="4" t="s">
        <v>2259</v>
      </c>
      <c r="B21" s="4" t="s">
        <v>2255</v>
      </c>
      <c r="C21" s="3" t="s">
        <v>2256</v>
      </c>
      <c r="D21" s="11" t="s">
        <v>2257</v>
      </c>
      <c r="E21" s="4" t="s">
        <v>2218</v>
      </c>
      <c r="F21" s="113" t="n">
        <v>20.6393904</v>
      </c>
      <c r="G21" s="113" t="n">
        <v>24.015174</v>
      </c>
      <c r="H21" s="113" t="n">
        <v>27.6502044</v>
      </c>
      <c r="I21" s="11" t="s">
        <v>2260</v>
      </c>
      <c r="J21" s="11" t="s">
        <v>2216</v>
      </c>
    </row>
    <row r="22" customFormat="false" ht="15" hidden="false" customHeight="false" outlineLevel="0" collapsed="false">
      <c r="A22" s="4" t="s">
        <v>2261</v>
      </c>
      <c r="B22" s="4" t="s">
        <v>2255</v>
      </c>
      <c r="C22" s="3" t="s">
        <v>2256</v>
      </c>
      <c r="D22" s="11" t="s">
        <v>2257</v>
      </c>
      <c r="E22" s="4" t="s">
        <v>2221</v>
      </c>
      <c r="F22" s="113" t="n">
        <v>28.5549024</v>
      </c>
      <c r="G22" s="113" t="n">
        <v>37.445504</v>
      </c>
      <c r="H22" s="113" t="n">
        <v>50.9505064</v>
      </c>
      <c r="I22" s="11" t="s">
        <v>2262</v>
      </c>
      <c r="J22" s="11" t="s">
        <v>2216</v>
      </c>
    </row>
    <row r="23" customFormat="false" ht="15" hidden="false" customHeight="false" outlineLevel="0" collapsed="false">
      <c r="A23" s="4" t="s">
        <v>2263</v>
      </c>
      <c r="B23" s="4" t="s">
        <v>2255</v>
      </c>
      <c r="C23" s="3" t="s">
        <v>2256</v>
      </c>
      <c r="D23" s="11" t="s">
        <v>2257</v>
      </c>
      <c r="E23" s="4" t="s">
        <v>2224</v>
      </c>
      <c r="F23" s="113" t="n">
        <v>33.2734032</v>
      </c>
      <c r="G23" s="113" t="n">
        <v>37.586352</v>
      </c>
      <c r="H23" s="113" t="n">
        <v>42.6375752</v>
      </c>
      <c r="I23" s="11" t="s">
        <v>2264</v>
      </c>
      <c r="J23" s="11" t="s">
        <v>2216</v>
      </c>
    </row>
    <row r="24" customFormat="false" ht="15" hidden="false" customHeight="false" outlineLevel="0" collapsed="false">
      <c r="A24" s="4" t="s">
        <v>2265</v>
      </c>
      <c r="B24" s="4" t="s">
        <v>2255</v>
      </c>
      <c r="C24" s="3" t="s">
        <v>2256</v>
      </c>
      <c r="D24" s="11" t="s">
        <v>2257</v>
      </c>
      <c r="E24" s="4" t="s">
        <v>2227</v>
      </c>
      <c r="F24" s="113" t="n">
        <v>35.845578</v>
      </c>
      <c r="G24" s="113" t="n">
        <v>50.08578</v>
      </c>
      <c r="H24" s="113" t="n">
        <v>65.481558</v>
      </c>
      <c r="I24" s="11" t="s">
        <v>2266</v>
      </c>
      <c r="J24" s="11" t="s">
        <v>2216</v>
      </c>
    </row>
    <row r="25" customFormat="false" ht="15" hidden="false" customHeight="false" outlineLevel="0" collapsed="false">
      <c r="A25" s="4" t="s">
        <v>2267</v>
      </c>
      <c r="B25" s="4" t="s">
        <v>2268</v>
      </c>
      <c r="C25" s="3" t="s">
        <v>2269</v>
      </c>
      <c r="D25" s="11" t="s">
        <v>2257</v>
      </c>
      <c r="E25" s="4" t="s">
        <v>2214</v>
      </c>
      <c r="F25" s="113" t="n">
        <v>10.212</v>
      </c>
      <c r="G25" s="113" t="n">
        <v>12.67</v>
      </c>
      <c r="H25" s="113" t="n">
        <v>16.186</v>
      </c>
      <c r="I25" s="11" t="s">
        <v>2270</v>
      </c>
      <c r="J25" s="11" t="s">
        <v>2216</v>
      </c>
    </row>
    <row r="26" customFormat="false" ht="15" hidden="false" customHeight="false" outlineLevel="0" collapsed="false">
      <c r="A26" s="4" t="s">
        <v>2271</v>
      </c>
      <c r="B26" s="4" t="s">
        <v>2268</v>
      </c>
      <c r="C26" s="3" t="s">
        <v>2269</v>
      </c>
      <c r="D26" s="11" t="s">
        <v>2257</v>
      </c>
      <c r="E26" s="4" t="s">
        <v>2218</v>
      </c>
      <c r="F26" s="113" t="n">
        <v>10.212</v>
      </c>
      <c r="G26" s="113" t="n">
        <v>12.67</v>
      </c>
      <c r="H26" s="113" t="n">
        <v>16.186</v>
      </c>
      <c r="I26" s="11" t="s">
        <v>2272</v>
      </c>
      <c r="J26" s="11" t="s">
        <v>2216</v>
      </c>
    </row>
    <row r="27" customFormat="false" ht="15" hidden="false" customHeight="false" outlineLevel="0" collapsed="false">
      <c r="A27" s="4" t="s">
        <v>2273</v>
      </c>
      <c r="B27" s="4" t="s">
        <v>2268</v>
      </c>
      <c r="C27" s="3" t="s">
        <v>2269</v>
      </c>
      <c r="D27" s="11" t="s">
        <v>2257</v>
      </c>
      <c r="E27" s="4" t="s">
        <v>2221</v>
      </c>
      <c r="F27" s="113" t="n">
        <v>10.212</v>
      </c>
      <c r="G27" s="113" t="n">
        <v>12.67</v>
      </c>
      <c r="H27" s="113" t="n">
        <v>16.186</v>
      </c>
      <c r="I27" s="11" t="s">
        <v>2274</v>
      </c>
      <c r="J27" s="11" t="s">
        <v>2216</v>
      </c>
    </row>
    <row r="28" customFormat="false" ht="15" hidden="false" customHeight="false" outlineLevel="0" collapsed="false">
      <c r="A28" s="4" t="s">
        <v>2275</v>
      </c>
      <c r="B28" s="4" t="s">
        <v>2268</v>
      </c>
      <c r="C28" s="3" t="s">
        <v>2269</v>
      </c>
      <c r="D28" s="11" t="s">
        <v>2257</v>
      </c>
      <c r="E28" s="4" t="s">
        <v>2224</v>
      </c>
      <c r="F28" s="113" t="n">
        <v>10.212</v>
      </c>
      <c r="G28" s="113" t="n">
        <v>12.67</v>
      </c>
      <c r="H28" s="113" t="n">
        <v>16.186</v>
      </c>
      <c r="I28" s="11" t="s">
        <v>2276</v>
      </c>
      <c r="J28" s="11" t="s">
        <v>2216</v>
      </c>
    </row>
    <row r="29" customFormat="false" ht="15" hidden="false" customHeight="false" outlineLevel="0" collapsed="false">
      <c r="A29" s="4" t="s">
        <v>2277</v>
      </c>
      <c r="B29" s="4" t="s">
        <v>2268</v>
      </c>
      <c r="C29" s="3" t="s">
        <v>2269</v>
      </c>
      <c r="D29" s="11" t="s">
        <v>2257</v>
      </c>
      <c r="E29" s="4" t="s">
        <v>2227</v>
      </c>
      <c r="F29" s="113" t="n">
        <v>10.212</v>
      </c>
      <c r="G29" s="113" t="n">
        <v>12.67</v>
      </c>
      <c r="H29" s="113" t="n">
        <v>16.186</v>
      </c>
      <c r="I29" s="11" t="s">
        <v>2278</v>
      </c>
      <c r="J29" s="11" t="s">
        <v>2216</v>
      </c>
    </row>
    <row r="30" customFormat="false" ht="15" hidden="false" customHeight="false" outlineLevel="0" collapsed="false">
      <c r="A30" s="4" t="s">
        <v>2279</v>
      </c>
      <c r="B30" s="4" t="s">
        <v>2280</v>
      </c>
      <c r="C30" s="3" t="s">
        <v>2281</v>
      </c>
      <c r="D30" s="11" t="s">
        <v>2257</v>
      </c>
      <c r="E30" s="4" t="s">
        <v>2214</v>
      </c>
      <c r="F30" s="113" t="n">
        <v>31.6322694</v>
      </c>
      <c r="G30" s="113" t="n">
        <v>40.180214</v>
      </c>
      <c r="H30" s="113" t="n">
        <v>50.3067434</v>
      </c>
      <c r="I30" s="11" t="s">
        <v>2282</v>
      </c>
      <c r="J30" s="11" t="s">
        <v>2216</v>
      </c>
    </row>
    <row r="31" customFormat="false" ht="15" hidden="false" customHeight="false" outlineLevel="0" collapsed="false">
      <c r="A31" s="4" t="s">
        <v>2283</v>
      </c>
      <c r="B31" s="4" t="s">
        <v>2280</v>
      </c>
      <c r="C31" s="3" t="s">
        <v>2281</v>
      </c>
      <c r="D31" s="11" t="s">
        <v>2257</v>
      </c>
      <c r="E31" s="4" t="s">
        <v>2218</v>
      </c>
      <c r="F31" s="113" t="n">
        <v>30.8513904</v>
      </c>
      <c r="G31" s="113" t="n">
        <v>36.685174</v>
      </c>
      <c r="H31" s="113" t="n">
        <v>43.8362044</v>
      </c>
      <c r="I31" s="11" t="s">
        <v>2284</v>
      </c>
      <c r="J31" s="11" t="s">
        <v>2216</v>
      </c>
    </row>
    <row r="32" customFormat="false" ht="15" hidden="false" customHeight="false" outlineLevel="0" collapsed="false">
      <c r="A32" s="4" t="s">
        <v>2285</v>
      </c>
      <c r="B32" s="4" t="s">
        <v>2280</v>
      </c>
      <c r="C32" s="3" t="s">
        <v>2281</v>
      </c>
      <c r="D32" s="11" t="s">
        <v>2257</v>
      </c>
      <c r="E32" s="4" t="s">
        <v>2221</v>
      </c>
      <c r="F32" s="113" t="n">
        <v>38.7669024</v>
      </c>
      <c r="G32" s="113" t="n">
        <v>50.115504</v>
      </c>
      <c r="H32" s="113" t="n">
        <v>67.1365064</v>
      </c>
      <c r="I32" s="11" t="s">
        <v>2286</v>
      </c>
      <c r="J32" s="11" t="s">
        <v>2216</v>
      </c>
    </row>
    <row r="33" customFormat="false" ht="15" hidden="false" customHeight="false" outlineLevel="0" collapsed="false">
      <c r="A33" s="4" t="s">
        <v>2287</v>
      </c>
      <c r="B33" s="4" t="s">
        <v>2280</v>
      </c>
      <c r="C33" s="3" t="s">
        <v>2281</v>
      </c>
      <c r="D33" s="11" t="s">
        <v>2257</v>
      </c>
      <c r="E33" s="4" t="s">
        <v>2224</v>
      </c>
      <c r="F33" s="113" t="n">
        <v>43.4854032</v>
      </c>
      <c r="G33" s="113" t="n">
        <v>50.256352</v>
      </c>
      <c r="H33" s="113" t="n">
        <v>58.8235752</v>
      </c>
      <c r="I33" s="11" t="s">
        <v>2288</v>
      </c>
      <c r="J33" s="11" t="s">
        <v>2216</v>
      </c>
    </row>
    <row r="34" customFormat="false" ht="15" hidden="false" customHeight="false" outlineLevel="0" collapsed="false">
      <c r="A34" s="4" t="s">
        <v>2289</v>
      </c>
      <c r="B34" s="4" t="s">
        <v>2280</v>
      </c>
      <c r="C34" s="3" t="s">
        <v>2281</v>
      </c>
      <c r="D34" s="11" t="s">
        <v>2257</v>
      </c>
      <c r="E34" s="4" t="s">
        <v>2227</v>
      </c>
      <c r="F34" s="113" t="n">
        <v>46.057578</v>
      </c>
      <c r="G34" s="113" t="n">
        <v>62.75578</v>
      </c>
      <c r="H34" s="113" t="n">
        <v>81.667558</v>
      </c>
      <c r="I34" s="11" t="s">
        <v>2290</v>
      </c>
      <c r="J34" s="11" t="s">
        <v>2216</v>
      </c>
    </row>
    <row r="35" customFormat="false" ht="15" hidden="false" customHeight="false" outlineLevel="0" collapsed="false">
      <c r="A35" s="4" t="s">
        <v>2291</v>
      </c>
      <c r="B35" s="4" t="s">
        <v>2292</v>
      </c>
      <c r="C35" s="3" t="s">
        <v>2293</v>
      </c>
      <c r="D35" s="11" t="s">
        <v>2294</v>
      </c>
      <c r="E35" s="4" t="s">
        <v>1519</v>
      </c>
      <c r="F35" s="113" t="n">
        <v>10.212</v>
      </c>
      <c r="G35" s="113" t="n">
        <v>12.67</v>
      </c>
      <c r="H35" s="113" t="n">
        <v>16.186</v>
      </c>
      <c r="I35" s="11" t="s">
        <v>2295</v>
      </c>
      <c r="J35" s="11" t="s">
        <v>2216</v>
      </c>
    </row>
    <row r="36" customFormat="false" ht="15" hidden="false" customHeight="false" outlineLevel="0" collapsed="false">
      <c r="A36" s="4" t="s">
        <v>2296</v>
      </c>
      <c r="B36" s="4" t="s">
        <v>2297</v>
      </c>
      <c r="C36" s="4" t="s">
        <v>2298</v>
      </c>
      <c r="D36" s="6" t="s">
        <v>182</v>
      </c>
      <c r="E36" s="4" t="s">
        <v>2214</v>
      </c>
      <c r="F36" s="113" t="n">
        <v>6</v>
      </c>
      <c r="G36" s="113" t="n">
        <v>6</v>
      </c>
      <c r="H36" s="113" t="n">
        <v>4</v>
      </c>
      <c r="I36" s="11" t="s">
        <v>2299</v>
      </c>
      <c r="J36" s="11" t="s">
        <v>2216</v>
      </c>
    </row>
    <row r="37" customFormat="false" ht="15" hidden="false" customHeight="false" outlineLevel="0" collapsed="false">
      <c r="A37" s="4" t="s">
        <v>2300</v>
      </c>
      <c r="B37" s="4" t="s">
        <v>2297</v>
      </c>
      <c r="C37" s="4" t="s">
        <v>2298</v>
      </c>
      <c r="D37" s="6" t="s">
        <v>182</v>
      </c>
      <c r="E37" s="4" t="s">
        <v>2218</v>
      </c>
      <c r="F37" s="113" t="n">
        <v>6</v>
      </c>
      <c r="G37" s="113" t="n">
        <v>6</v>
      </c>
      <c r="H37" s="113" t="n">
        <v>4</v>
      </c>
      <c r="I37" s="11" t="s">
        <v>2301</v>
      </c>
      <c r="J37" s="11" t="s">
        <v>2216</v>
      </c>
    </row>
    <row r="38" customFormat="false" ht="15" hidden="false" customHeight="false" outlineLevel="0" collapsed="false">
      <c r="A38" s="4" t="s">
        <v>2302</v>
      </c>
      <c r="B38" s="4" t="s">
        <v>2297</v>
      </c>
      <c r="C38" s="4" t="s">
        <v>2298</v>
      </c>
      <c r="D38" s="6" t="s">
        <v>182</v>
      </c>
      <c r="E38" s="4" t="s">
        <v>2221</v>
      </c>
      <c r="F38" s="113" t="n">
        <v>6</v>
      </c>
      <c r="G38" s="113" t="n">
        <v>6</v>
      </c>
      <c r="H38" s="113" t="n">
        <v>4</v>
      </c>
      <c r="I38" s="11" t="s">
        <v>2303</v>
      </c>
      <c r="J38" s="11" t="s">
        <v>2216</v>
      </c>
    </row>
    <row r="39" customFormat="false" ht="15" hidden="false" customHeight="false" outlineLevel="0" collapsed="false">
      <c r="A39" s="4" t="s">
        <v>2304</v>
      </c>
      <c r="B39" s="4" t="s">
        <v>2297</v>
      </c>
      <c r="C39" s="4" t="s">
        <v>2298</v>
      </c>
      <c r="D39" s="6" t="s">
        <v>182</v>
      </c>
      <c r="E39" s="4" t="s">
        <v>2224</v>
      </c>
      <c r="F39" s="113" t="n">
        <v>6</v>
      </c>
      <c r="G39" s="113" t="n">
        <v>6</v>
      </c>
      <c r="H39" s="113" t="n">
        <v>4</v>
      </c>
      <c r="I39" s="11" t="s">
        <v>2305</v>
      </c>
      <c r="J39" s="11" t="s">
        <v>2216</v>
      </c>
    </row>
    <row r="40" customFormat="false" ht="15" hidden="false" customHeight="false" outlineLevel="0" collapsed="false">
      <c r="A40" s="4" t="s">
        <v>2306</v>
      </c>
      <c r="B40" s="4" t="s">
        <v>2297</v>
      </c>
      <c r="C40" s="4" t="s">
        <v>2298</v>
      </c>
      <c r="D40" s="6" t="s">
        <v>182</v>
      </c>
      <c r="E40" s="4" t="s">
        <v>2227</v>
      </c>
      <c r="F40" s="113" t="n">
        <v>6</v>
      </c>
      <c r="G40" s="113" t="n">
        <v>6</v>
      </c>
      <c r="H40" s="113" t="n">
        <v>4</v>
      </c>
      <c r="I40" s="11" t="s">
        <v>2307</v>
      </c>
      <c r="J40" s="11" t="s">
        <v>2216</v>
      </c>
    </row>
    <row r="41" customFormat="false" ht="15" hidden="false" customHeight="false" outlineLevel="0" collapsed="false">
      <c r="A41" s="4" t="s">
        <v>2308</v>
      </c>
      <c r="B41" s="4" t="s">
        <v>2309</v>
      </c>
      <c r="C41" s="3" t="s">
        <v>2310</v>
      </c>
      <c r="D41" s="11" t="s">
        <v>2213</v>
      </c>
      <c r="E41" s="4" t="s">
        <v>2214</v>
      </c>
      <c r="F41" s="113" t="n">
        <v>3.5700449</v>
      </c>
      <c r="G41" s="113" t="n">
        <v>4.58503566666667</v>
      </c>
      <c r="H41" s="113" t="n">
        <v>8.53018585</v>
      </c>
      <c r="I41" s="11" t="s">
        <v>2311</v>
      </c>
      <c r="J41" s="11" t="s">
        <v>2216</v>
      </c>
    </row>
    <row r="42" customFormat="false" ht="15" hidden="false" customHeight="false" outlineLevel="0" collapsed="false">
      <c r="A42" s="4" t="s">
        <v>2312</v>
      </c>
      <c r="B42" s="4" t="s">
        <v>2309</v>
      </c>
      <c r="C42" s="3" t="s">
        <v>2310</v>
      </c>
      <c r="D42" s="11" t="s">
        <v>2213</v>
      </c>
      <c r="E42" s="4" t="s">
        <v>2218</v>
      </c>
      <c r="F42" s="113" t="n">
        <v>3.4398984</v>
      </c>
      <c r="G42" s="113" t="n">
        <v>4.002529</v>
      </c>
      <c r="H42" s="113" t="n">
        <v>6.9125511</v>
      </c>
      <c r="I42" s="11" t="s">
        <v>2313</v>
      </c>
      <c r="J42" s="11" t="s">
        <v>2216</v>
      </c>
    </row>
    <row r="43" customFormat="false" ht="15" hidden="false" customHeight="false" outlineLevel="0" collapsed="false">
      <c r="A43" s="4" t="s">
        <v>2314</v>
      </c>
      <c r="B43" s="4" t="s">
        <v>2309</v>
      </c>
      <c r="C43" s="3" t="s">
        <v>2310</v>
      </c>
      <c r="D43" s="11" t="s">
        <v>2213</v>
      </c>
      <c r="E43" s="4" t="s">
        <v>2221</v>
      </c>
      <c r="F43" s="113" t="n">
        <v>4.7591504</v>
      </c>
      <c r="G43" s="113" t="n">
        <v>6.24091733333333</v>
      </c>
      <c r="H43" s="113" t="n">
        <v>12.7376266</v>
      </c>
      <c r="I43" s="11" t="s">
        <v>2315</v>
      </c>
      <c r="J43" s="11" t="s">
        <v>2216</v>
      </c>
    </row>
    <row r="44" customFormat="false" ht="15" hidden="false" customHeight="false" outlineLevel="0" collapsed="false">
      <c r="A44" s="4" t="s">
        <v>2316</v>
      </c>
      <c r="B44" s="4" t="s">
        <v>2309</v>
      </c>
      <c r="C44" s="3" t="s">
        <v>2310</v>
      </c>
      <c r="D44" s="11" t="s">
        <v>2213</v>
      </c>
      <c r="E44" s="4" t="s">
        <v>2224</v>
      </c>
      <c r="F44" s="113" t="n">
        <v>5.5455672</v>
      </c>
      <c r="G44" s="113" t="n">
        <v>6.264392</v>
      </c>
      <c r="H44" s="113" t="n">
        <v>10.6593938</v>
      </c>
      <c r="I44" s="11" t="s">
        <v>2317</v>
      </c>
      <c r="J44" s="11" t="s">
        <v>2216</v>
      </c>
    </row>
    <row r="45" customFormat="false" ht="15" hidden="false" customHeight="false" outlineLevel="0" collapsed="false">
      <c r="A45" s="4" t="s">
        <v>2318</v>
      </c>
      <c r="B45" s="4" t="s">
        <v>2309</v>
      </c>
      <c r="C45" s="3" t="s">
        <v>2310</v>
      </c>
      <c r="D45" s="11" t="s">
        <v>2213</v>
      </c>
      <c r="E45" s="4" t="s">
        <v>2227</v>
      </c>
      <c r="F45" s="113" t="n">
        <v>5.974263</v>
      </c>
      <c r="G45" s="113" t="n">
        <v>8.34763</v>
      </c>
      <c r="H45" s="113" t="n">
        <v>16.3703895</v>
      </c>
      <c r="I45" s="11" t="s">
        <v>2319</v>
      </c>
      <c r="J45" s="11" t="s">
        <v>2216</v>
      </c>
    </row>
    <row r="46" customFormat="false" ht="15" hidden="false" customHeight="false" outlineLevel="0" collapsed="false">
      <c r="A46" s="4" t="s">
        <v>2320</v>
      </c>
      <c r="B46" s="4" t="s">
        <v>2321</v>
      </c>
      <c r="C46" s="3" t="s">
        <v>2322</v>
      </c>
      <c r="D46" s="11" t="s">
        <v>2213</v>
      </c>
      <c r="E46" s="4" t="s">
        <v>2214</v>
      </c>
      <c r="F46" s="113" t="n">
        <v>0.507733333333333</v>
      </c>
      <c r="G46" s="113" t="n">
        <v>0.634416666666667</v>
      </c>
      <c r="H46" s="113" t="n">
        <v>0.812233333333334</v>
      </c>
      <c r="I46" s="11" t="s">
        <v>2323</v>
      </c>
      <c r="J46" s="11" t="s">
        <v>2216</v>
      </c>
    </row>
    <row r="47" customFormat="false" ht="15" hidden="false" customHeight="false" outlineLevel="0" collapsed="false">
      <c r="A47" s="4" t="s">
        <v>2324</v>
      </c>
      <c r="B47" s="4" t="s">
        <v>2321</v>
      </c>
      <c r="C47" s="3" t="s">
        <v>2322</v>
      </c>
      <c r="D47" s="11" t="s">
        <v>2213</v>
      </c>
      <c r="E47" s="4" t="s">
        <v>2218</v>
      </c>
      <c r="F47" s="113" t="n">
        <v>0.507733333333333</v>
      </c>
      <c r="G47" s="113" t="n">
        <v>0.634416666666667</v>
      </c>
      <c r="H47" s="113" t="n">
        <v>0.812233333333334</v>
      </c>
      <c r="I47" s="11" t="s">
        <v>2325</v>
      </c>
      <c r="J47" s="11" t="s">
        <v>2216</v>
      </c>
    </row>
    <row r="48" customFormat="false" ht="15" hidden="false" customHeight="false" outlineLevel="0" collapsed="false">
      <c r="A48" s="4" t="s">
        <v>2326</v>
      </c>
      <c r="B48" s="4" t="s">
        <v>2321</v>
      </c>
      <c r="C48" s="3" t="s">
        <v>2322</v>
      </c>
      <c r="D48" s="11" t="s">
        <v>2213</v>
      </c>
      <c r="E48" s="4" t="s">
        <v>2221</v>
      </c>
      <c r="F48" s="113" t="n">
        <v>0.507733333333333</v>
      </c>
      <c r="G48" s="113" t="n">
        <v>0.634416666666667</v>
      </c>
      <c r="H48" s="113" t="n">
        <v>0.812233333333334</v>
      </c>
      <c r="I48" s="11" t="s">
        <v>2327</v>
      </c>
      <c r="J48" s="11" t="s">
        <v>2216</v>
      </c>
    </row>
    <row r="49" customFormat="false" ht="15" hidden="false" customHeight="false" outlineLevel="0" collapsed="false">
      <c r="A49" s="4" t="s">
        <v>2328</v>
      </c>
      <c r="B49" s="4" t="s">
        <v>2321</v>
      </c>
      <c r="C49" s="3" t="s">
        <v>2322</v>
      </c>
      <c r="D49" s="11" t="s">
        <v>2213</v>
      </c>
      <c r="E49" s="4" t="s">
        <v>2224</v>
      </c>
      <c r="F49" s="113" t="n">
        <v>0.507733333333333</v>
      </c>
      <c r="G49" s="113" t="n">
        <v>0.634416666666667</v>
      </c>
      <c r="H49" s="113" t="n">
        <v>0.812233333333334</v>
      </c>
      <c r="I49" s="11" t="s">
        <v>2329</v>
      </c>
      <c r="J49" s="11" t="s">
        <v>2216</v>
      </c>
    </row>
    <row r="50" customFormat="false" ht="15" hidden="false" customHeight="false" outlineLevel="0" collapsed="false">
      <c r="A50" s="4" t="s">
        <v>2330</v>
      </c>
      <c r="B50" s="4" t="s">
        <v>2321</v>
      </c>
      <c r="C50" s="3" t="s">
        <v>2322</v>
      </c>
      <c r="D50" s="11" t="s">
        <v>2213</v>
      </c>
      <c r="E50" s="4" t="s">
        <v>2227</v>
      </c>
      <c r="F50" s="113" t="n">
        <v>0.507733333333333</v>
      </c>
      <c r="G50" s="113" t="n">
        <v>0.634416666666667</v>
      </c>
      <c r="H50" s="113" t="n">
        <v>0.812233333333334</v>
      </c>
      <c r="I50" s="11" t="s">
        <v>2331</v>
      </c>
      <c r="J50" s="11" t="s">
        <v>2216</v>
      </c>
    </row>
    <row r="51" customFormat="false" ht="15" hidden="false" customHeight="false" outlineLevel="0" collapsed="false">
      <c r="A51" s="4" t="s">
        <v>2332</v>
      </c>
      <c r="B51" s="4" t="s">
        <v>2333</v>
      </c>
      <c r="C51" s="3" t="s">
        <v>2334</v>
      </c>
      <c r="D51" s="11" t="s">
        <v>2213</v>
      </c>
      <c r="E51" s="4" t="s">
        <v>2214</v>
      </c>
      <c r="F51" s="113" t="n">
        <v>1.3211941962</v>
      </c>
      <c r="G51" s="113" t="n">
        <v>2.27737549</v>
      </c>
      <c r="H51" s="113" t="n">
        <v>3.6068536832</v>
      </c>
      <c r="I51" s="11" t="s">
        <v>2335</v>
      </c>
      <c r="J51" s="11" t="s">
        <v>2216</v>
      </c>
    </row>
    <row r="52" customFormat="false" ht="15" hidden="false" customHeight="false" outlineLevel="0" collapsed="false">
      <c r="A52" s="4" t="s">
        <v>2336</v>
      </c>
      <c r="B52" s="4" t="s">
        <v>2333</v>
      </c>
      <c r="C52" s="3" t="s">
        <v>2334</v>
      </c>
      <c r="D52" s="11" t="s">
        <v>2213</v>
      </c>
      <c r="E52" s="4" t="s">
        <v>2218</v>
      </c>
      <c r="F52" s="113" t="n">
        <v>1.3032339792</v>
      </c>
      <c r="G52" s="113" t="n">
        <v>2.15504909</v>
      </c>
      <c r="H52" s="113" t="n">
        <v>3.2962678112</v>
      </c>
      <c r="I52" s="11" t="s">
        <v>2337</v>
      </c>
      <c r="J52" s="11" t="s">
        <v>2216</v>
      </c>
    </row>
    <row r="53" customFormat="false" ht="15" hidden="false" customHeight="false" outlineLevel="0" collapsed="false">
      <c r="A53" s="4" t="s">
        <v>2338</v>
      </c>
      <c r="B53" s="4" t="s">
        <v>2333</v>
      </c>
      <c r="C53" s="3" t="s">
        <v>2334</v>
      </c>
      <c r="D53" s="11" t="s">
        <v>2213</v>
      </c>
      <c r="E53" s="4" t="s">
        <v>2221</v>
      </c>
      <c r="F53" s="113" t="n">
        <v>1.4852907552</v>
      </c>
      <c r="G53" s="113" t="n">
        <v>2.62511064</v>
      </c>
      <c r="H53" s="113" t="n">
        <v>4.4146823072</v>
      </c>
      <c r="I53" s="11" t="s">
        <v>2339</v>
      </c>
      <c r="J53" s="11" t="s">
        <v>2216</v>
      </c>
    </row>
    <row r="54" customFormat="false" ht="15" hidden="false" customHeight="false" outlineLevel="0" collapsed="false">
      <c r="A54" s="4" t="s">
        <v>2340</v>
      </c>
      <c r="B54" s="4" t="s">
        <v>2333</v>
      </c>
      <c r="C54" s="3" t="s">
        <v>2334</v>
      </c>
      <c r="D54" s="11" t="s">
        <v>2213</v>
      </c>
      <c r="E54" s="4" t="s">
        <v>2224</v>
      </c>
      <c r="F54" s="113" t="n">
        <v>1.5938162736</v>
      </c>
      <c r="G54" s="113" t="n">
        <v>2.63004032</v>
      </c>
      <c r="H54" s="113" t="n">
        <v>4.0156616096</v>
      </c>
      <c r="I54" s="11" t="s">
        <v>2341</v>
      </c>
      <c r="J54" s="11" t="s">
        <v>2216</v>
      </c>
    </row>
    <row r="55" customFormat="false" ht="15" hidden="false" customHeight="false" outlineLevel="0" collapsed="false">
      <c r="A55" s="4" t="s">
        <v>2342</v>
      </c>
      <c r="B55" s="4" t="s">
        <v>2333</v>
      </c>
      <c r="C55" s="3" t="s">
        <v>2334</v>
      </c>
      <c r="D55" s="11" t="s">
        <v>2213</v>
      </c>
      <c r="E55" s="4" t="s">
        <v>2227</v>
      </c>
      <c r="F55" s="113" t="n">
        <v>1.652976294</v>
      </c>
      <c r="G55" s="113" t="n">
        <v>3.0675203</v>
      </c>
      <c r="H55" s="113" t="n">
        <v>5.112172784</v>
      </c>
      <c r="I55" s="11" t="s">
        <v>2343</v>
      </c>
      <c r="J55" s="11" t="s">
        <v>2216</v>
      </c>
    </row>
    <row r="56" customFormat="false" ht="15" hidden="false" customHeight="false" outlineLevel="0" collapsed="false">
      <c r="A56" s="4" t="s">
        <v>2344</v>
      </c>
      <c r="B56" s="4" t="s">
        <v>2345</v>
      </c>
      <c r="C56" s="3" t="s">
        <v>514</v>
      </c>
      <c r="D56" s="11" t="s">
        <v>2346</v>
      </c>
      <c r="E56" s="4" t="s">
        <v>2214</v>
      </c>
      <c r="F56" s="113" t="n">
        <v>0.06</v>
      </c>
      <c r="G56" s="113" t="n">
        <v>0.08</v>
      </c>
      <c r="H56" s="113" t="n">
        <v>0.1</v>
      </c>
      <c r="I56" s="11" t="s">
        <v>2347</v>
      </c>
      <c r="J56" s="11" t="s">
        <v>2216</v>
      </c>
    </row>
    <row r="57" customFormat="false" ht="15" hidden="false" customHeight="false" outlineLevel="0" collapsed="false">
      <c r="A57" s="4" t="s">
        <v>2348</v>
      </c>
      <c r="B57" s="4" t="s">
        <v>2345</v>
      </c>
      <c r="C57" s="3" t="s">
        <v>514</v>
      </c>
      <c r="D57" s="11" t="s">
        <v>2346</v>
      </c>
      <c r="E57" s="4" t="s">
        <v>2218</v>
      </c>
      <c r="F57" s="113" t="n">
        <v>0.06</v>
      </c>
      <c r="G57" s="113" t="n">
        <v>0.08</v>
      </c>
      <c r="H57" s="113" t="n">
        <v>0.1</v>
      </c>
      <c r="I57" s="11" t="s">
        <v>2349</v>
      </c>
      <c r="J57" s="11" t="s">
        <v>2216</v>
      </c>
    </row>
    <row r="58" customFormat="false" ht="15" hidden="false" customHeight="false" outlineLevel="0" collapsed="false">
      <c r="A58" s="4" t="s">
        <v>2350</v>
      </c>
      <c r="B58" s="4" t="s">
        <v>2345</v>
      </c>
      <c r="C58" s="3" t="s">
        <v>514</v>
      </c>
      <c r="D58" s="11" t="s">
        <v>2346</v>
      </c>
      <c r="E58" s="4" t="s">
        <v>2221</v>
      </c>
      <c r="F58" s="113" t="n">
        <v>0.06</v>
      </c>
      <c r="G58" s="113" t="n">
        <v>0.08</v>
      </c>
      <c r="H58" s="113" t="n">
        <v>0.1</v>
      </c>
      <c r="I58" s="11" t="s">
        <v>2351</v>
      </c>
      <c r="J58" s="11" t="s">
        <v>2216</v>
      </c>
    </row>
    <row r="59" customFormat="false" ht="15" hidden="false" customHeight="false" outlineLevel="0" collapsed="false">
      <c r="A59" s="4" t="s">
        <v>2352</v>
      </c>
      <c r="B59" s="4" t="s">
        <v>2345</v>
      </c>
      <c r="C59" s="3" t="s">
        <v>514</v>
      </c>
      <c r="D59" s="11" t="s">
        <v>2346</v>
      </c>
      <c r="E59" s="4" t="s">
        <v>2224</v>
      </c>
      <c r="F59" s="113" t="n">
        <v>0.06</v>
      </c>
      <c r="G59" s="113" t="n">
        <v>0.08</v>
      </c>
      <c r="H59" s="113" t="n">
        <v>0.1</v>
      </c>
      <c r="I59" s="11" t="s">
        <v>2353</v>
      </c>
      <c r="J59" s="11" t="s">
        <v>2216</v>
      </c>
    </row>
    <row r="60" customFormat="false" ht="15" hidden="false" customHeight="false" outlineLevel="0" collapsed="false">
      <c r="A60" s="4" t="s">
        <v>2354</v>
      </c>
      <c r="B60" s="4" t="s">
        <v>2345</v>
      </c>
      <c r="C60" s="3" t="s">
        <v>514</v>
      </c>
      <c r="D60" s="11" t="s">
        <v>2346</v>
      </c>
      <c r="E60" s="4" t="s">
        <v>2227</v>
      </c>
      <c r="F60" s="113" t="n">
        <v>0.06</v>
      </c>
      <c r="G60" s="113" t="n">
        <v>0.08</v>
      </c>
      <c r="H60" s="113" t="n">
        <v>0.1</v>
      </c>
      <c r="I60" s="11" t="s">
        <v>2355</v>
      </c>
      <c r="J60" s="11" t="s">
        <v>2216</v>
      </c>
    </row>
    <row r="61" customFormat="false" ht="15" hidden="false" customHeight="false" outlineLevel="0" collapsed="false">
      <c r="A61" s="4" t="s">
        <v>2356</v>
      </c>
      <c r="B61" s="4" t="s">
        <v>2357</v>
      </c>
      <c r="C61" s="3" t="s">
        <v>2358</v>
      </c>
      <c r="D61" s="11" t="s">
        <v>2213</v>
      </c>
      <c r="E61" s="4" t="s">
        <v>2214</v>
      </c>
      <c r="F61" s="113" t="n">
        <v>0.404712</v>
      </c>
      <c r="G61" s="113" t="n">
        <v>0.672768</v>
      </c>
      <c r="H61" s="113" t="n">
        <v>1.02492</v>
      </c>
      <c r="I61" s="11" t="s">
        <v>2359</v>
      </c>
      <c r="J61" s="11" t="s">
        <v>2216</v>
      </c>
    </row>
    <row r="62" customFormat="false" ht="15" hidden="false" customHeight="false" outlineLevel="0" collapsed="false">
      <c r="A62" s="4" t="s">
        <v>2360</v>
      </c>
      <c r="B62" s="4" t="s">
        <v>2357</v>
      </c>
      <c r="C62" s="3" t="s">
        <v>2358</v>
      </c>
      <c r="D62" s="11" t="s">
        <v>2213</v>
      </c>
      <c r="E62" s="4" t="s">
        <v>2218</v>
      </c>
      <c r="F62" s="113" t="n">
        <v>0.404712</v>
      </c>
      <c r="G62" s="113" t="n">
        <v>0.672768</v>
      </c>
      <c r="H62" s="113" t="n">
        <v>1.02492</v>
      </c>
      <c r="I62" s="11" t="s">
        <v>2361</v>
      </c>
      <c r="J62" s="11" t="s">
        <v>2216</v>
      </c>
    </row>
    <row r="63" customFormat="false" ht="15" hidden="false" customHeight="false" outlineLevel="0" collapsed="false">
      <c r="A63" s="4" t="s">
        <v>2362</v>
      </c>
      <c r="B63" s="4" t="s">
        <v>2357</v>
      </c>
      <c r="C63" s="3" t="s">
        <v>2358</v>
      </c>
      <c r="D63" s="11" t="s">
        <v>2213</v>
      </c>
      <c r="E63" s="4" t="s">
        <v>2221</v>
      </c>
      <c r="F63" s="113" t="n">
        <v>0.404712</v>
      </c>
      <c r="G63" s="113" t="n">
        <v>0.672768</v>
      </c>
      <c r="H63" s="113" t="n">
        <v>1.02492</v>
      </c>
      <c r="I63" s="11" t="s">
        <v>2363</v>
      </c>
      <c r="J63" s="11" t="s">
        <v>2216</v>
      </c>
    </row>
    <row r="64" customFormat="false" ht="15" hidden="false" customHeight="false" outlineLevel="0" collapsed="false">
      <c r="A64" s="4" t="s">
        <v>2364</v>
      </c>
      <c r="B64" s="4" t="s">
        <v>2357</v>
      </c>
      <c r="C64" s="3" t="s">
        <v>2358</v>
      </c>
      <c r="D64" s="11" t="s">
        <v>2213</v>
      </c>
      <c r="E64" s="4" t="s">
        <v>2224</v>
      </c>
      <c r="F64" s="113" t="n">
        <v>0.404712</v>
      </c>
      <c r="G64" s="113" t="n">
        <v>0.672768</v>
      </c>
      <c r="H64" s="113" t="n">
        <v>1.02492</v>
      </c>
      <c r="I64" s="11" t="s">
        <v>2365</v>
      </c>
      <c r="J64" s="11" t="s">
        <v>2216</v>
      </c>
    </row>
    <row r="65" customFormat="false" ht="15" hidden="false" customHeight="false" outlineLevel="0" collapsed="false">
      <c r="A65" s="4" t="s">
        <v>2366</v>
      </c>
      <c r="B65" s="4" t="s">
        <v>2357</v>
      </c>
      <c r="C65" s="3" t="s">
        <v>2358</v>
      </c>
      <c r="D65" s="11" t="s">
        <v>2213</v>
      </c>
      <c r="E65" s="4" t="s">
        <v>2227</v>
      </c>
      <c r="F65" s="113" t="n">
        <v>0.404712</v>
      </c>
      <c r="G65" s="113" t="n">
        <v>0.672768</v>
      </c>
      <c r="H65" s="113" t="n">
        <v>1.02492</v>
      </c>
      <c r="I65" s="11" t="s">
        <v>2367</v>
      </c>
      <c r="J65" s="11" t="s">
        <v>2216</v>
      </c>
    </row>
    <row r="66" customFormat="false" ht="15" hidden="false" customHeight="false" outlineLevel="0" collapsed="false">
      <c r="A66" s="4" t="s">
        <v>2368</v>
      </c>
      <c r="B66" s="4" t="s">
        <v>2369</v>
      </c>
      <c r="C66" s="3" t="s">
        <v>2370</v>
      </c>
      <c r="D66" s="11" t="s">
        <v>2213</v>
      </c>
      <c r="E66" s="4" t="s">
        <v>2214</v>
      </c>
      <c r="F66" s="113" t="n">
        <v>0.428405388</v>
      </c>
      <c r="G66" s="113" t="n">
        <v>0.82530642</v>
      </c>
      <c r="H66" s="113" t="n">
        <v>1.364829736</v>
      </c>
      <c r="I66" s="11" t="s">
        <v>2371</v>
      </c>
      <c r="J66" s="11" t="s">
        <v>2216</v>
      </c>
    </row>
    <row r="67" customFormat="false" ht="15" hidden="false" customHeight="false" outlineLevel="0" collapsed="false">
      <c r="A67" s="4" t="s">
        <v>2372</v>
      </c>
      <c r="B67" s="4" t="s">
        <v>2369</v>
      </c>
      <c r="C67" s="3" t="s">
        <v>2370</v>
      </c>
      <c r="D67" s="11" t="s">
        <v>2213</v>
      </c>
      <c r="E67" s="4" t="s">
        <v>2218</v>
      </c>
      <c r="F67" s="113" t="n">
        <v>0.412787808</v>
      </c>
      <c r="G67" s="113" t="n">
        <v>0.72045522</v>
      </c>
      <c r="H67" s="113" t="n">
        <v>1.106008176</v>
      </c>
      <c r="I67" s="11" t="s">
        <v>2373</v>
      </c>
      <c r="J67" s="11" t="s">
        <v>2216</v>
      </c>
    </row>
    <row r="68" customFormat="false" ht="15" hidden="false" customHeight="false" outlineLevel="0" collapsed="false">
      <c r="A68" s="4" t="s">
        <v>2374</v>
      </c>
      <c r="B68" s="4" t="s">
        <v>2369</v>
      </c>
      <c r="C68" s="3" t="s">
        <v>2370</v>
      </c>
      <c r="D68" s="11" t="s">
        <v>2213</v>
      </c>
      <c r="E68" s="4" t="s">
        <v>2221</v>
      </c>
      <c r="F68" s="113" t="n">
        <v>0.571098048</v>
      </c>
      <c r="G68" s="113" t="n">
        <v>1.12336512</v>
      </c>
      <c r="H68" s="113" t="n">
        <v>2.038020256</v>
      </c>
      <c r="I68" s="11" t="s">
        <v>2375</v>
      </c>
      <c r="J68" s="11" t="s">
        <v>2216</v>
      </c>
    </row>
    <row r="69" customFormat="false" ht="15" hidden="false" customHeight="false" outlineLevel="0" collapsed="false">
      <c r="A69" s="4" t="s">
        <v>2376</v>
      </c>
      <c r="B69" s="4" t="s">
        <v>2369</v>
      </c>
      <c r="C69" s="3" t="s">
        <v>2370</v>
      </c>
      <c r="D69" s="11" t="s">
        <v>2213</v>
      </c>
      <c r="E69" s="4" t="s">
        <v>2224</v>
      </c>
      <c r="F69" s="113" t="n">
        <v>0.665468064</v>
      </c>
      <c r="G69" s="113" t="n">
        <v>1.12759056</v>
      </c>
      <c r="H69" s="113" t="n">
        <v>1.705503008</v>
      </c>
      <c r="I69" s="11" t="s">
        <v>2377</v>
      </c>
      <c r="J69" s="11" t="s">
        <v>2216</v>
      </c>
    </row>
    <row r="70" customFormat="false" ht="15" hidden="false" customHeight="false" outlineLevel="0" collapsed="false">
      <c r="A70" s="4" t="s">
        <v>2378</v>
      </c>
      <c r="B70" s="4" t="s">
        <v>2369</v>
      </c>
      <c r="C70" s="3" t="s">
        <v>2370</v>
      </c>
      <c r="D70" s="11" t="s">
        <v>2213</v>
      </c>
      <c r="E70" s="4" t="s">
        <v>2227</v>
      </c>
      <c r="F70" s="113" t="n">
        <v>0.71691156</v>
      </c>
      <c r="G70" s="113" t="n">
        <v>1.5025734</v>
      </c>
      <c r="H70" s="113" t="n">
        <v>2.61926232</v>
      </c>
      <c r="I70" s="11" t="s">
        <v>2379</v>
      </c>
      <c r="J70" s="11" t="s">
        <v>2216</v>
      </c>
    </row>
    <row r="71" customFormat="false" ht="15" hidden="false" customHeight="false" outlineLevel="0" collapsed="false">
      <c r="A71" s="4" t="s">
        <v>2380</v>
      </c>
      <c r="B71" s="4" t="s">
        <v>2381</v>
      </c>
      <c r="C71" s="3" t="s">
        <v>2382</v>
      </c>
      <c r="D71" s="11" t="s">
        <v>2213</v>
      </c>
      <c r="E71" s="4" t="s">
        <v>2214</v>
      </c>
      <c r="F71" s="113" t="n">
        <v>0.15318</v>
      </c>
      <c r="G71" s="113" t="n">
        <v>0.2534</v>
      </c>
      <c r="H71" s="113" t="n">
        <v>0.40465</v>
      </c>
      <c r="I71" s="11" t="s">
        <v>2383</v>
      </c>
      <c r="J71" s="11" t="s">
        <v>2216</v>
      </c>
    </row>
    <row r="72" customFormat="false" ht="15" hidden="false" customHeight="false" outlineLevel="0" collapsed="false">
      <c r="A72" s="4" t="s">
        <v>2384</v>
      </c>
      <c r="B72" s="4" t="s">
        <v>2381</v>
      </c>
      <c r="C72" s="3" t="s">
        <v>2382</v>
      </c>
      <c r="D72" s="11" t="s">
        <v>2213</v>
      </c>
      <c r="E72" s="4" t="s">
        <v>2218</v>
      </c>
      <c r="F72" s="113" t="n">
        <v>0.15318</v>
      </c>
      <c r="G72" s="113" t="n">
        <v>0.2534</v>
      </c>
      <c r="H72" s="113" t="n">
        <v>0.40465</v>
      </c>
      <c r="I72" s="11" t="s">
        <v>2385</v>
      </c>
      <c r="J72" s="11" t="s">
        <v>2216</v>
      </c>
    </row>
    <row r="73" customFormat="false" ht="15" hidden="false" customHeight="false" outlineLevel="0" collapsed="false">
      <c r="A73" s="4" t="s">
        <v>2386</v>
      </c>
      <c r="B73" s="4" t="s">
        <v>2381</v>
      </c>
      <c r="C73" s="3" t="s">
        <v>2382</v>
      </c>
      <c r="D73" s="11" t="s">
        <v>2213</v>
      </c>
      <c r="E73" s="4" t="s">
        <v>2221</v>
      </c>
      <c r="F73" s="113" t="n">
        <v>0.15318</v>
      </c>
      <c r="G73" s="113" t="n">
        <v>0.2534</v>
      </c>
      <c r="H73" s="113" t="n">
        <v>0.40465</v>
      </c>
      <c r="I73" s="11" t="s">
        <v>2387</v>
      </c>
      <c r="J73" s="11" t="s">
        <v>2216</v>
      </c>
    </row>
    <row r="74" customFormat="false" ht="15" hidden="false" customHeight="false" outlineLevel="0" collapsed="false">
      <c r="A74" s="4" t="s">
        <v>2388</v>
      </c>
      <c r="B74" s="4" t="s">
        <v>2381</v>
      </c>
      <c r="C74" s="3" t="s">
        <v>2382</v>
      </c>
      <c r="D74" s="11" t="s">
        <v>2213</v>
      </c>
      <c r="E74" s="4" t="s">
        <v>2224</v>
      </c>
      <c r="F74" s="113" t="n">
        <v>0.15318</v>
      </c>
      <c r="G74" s="113" t="n">
        <v>0.2534</v>
      </c>
      <c r="H74" s="113" t="n">
        <v>0.40465</v>
      </c>
      <c r="I74" s="11" t="s">
        <v>2389</v>
      </c>
      <c r="J74" s="11" t="s">
        <v>2216</v>
      </c>
    </row>
    <row r="75" customFormat="false" ht="15" hidden="false" customHeight="false" outlineLevel="0" collapsed="false">
      <c r="A75" s="4" t="s">
        <v>2390</v>
      </c>
      <c r="B75" s="4" t="s">
        <v>2381</v>
      </c>
      <c r="C75" s="3" t="s">
        <v>2382</v>
      </c>
      <c r="D75" s="11" t="s">
        <v>2213</v>
      </c>
      <c r="E75" s="4" t="s">
        <v>2227</v>
      </c>
      <c r="F75" s="113" t="n">
        <v>0.15318</v>
      </c>
      <c r="G75" s="113" t="n">
        <v>0.2534</v>
      </c>
      <c r="H75" s="113" t="n">
        <v>0.40465</v>
      </c>
      <c r="I75" s="11" t="s">
        <v>2391</v>
      </c>
      <c r="J75" s="11" t="s">
        <v>2216</v>
      </c>
    </row>
    <row r="76" customFormat="false" ht="15" hidden="false" customHeight="false" outlineLevel="0" collapsed="false">
      <c r="A76" s="4" t="s">
        <v>2392</v>
      </c>
      <c r="B76" s="4" t="s">
        <v>2393</v>
      </c>
      <c r="C76" s="3" t="s">
        <v>2394</v>
      </c>
      <c r="D76" s="11" t="s">
        <v>2213</v>
      </c>
      <c r="E76" s="4" t="s">
        <v>2214</v>
      </c>
      <c r="F76" s="113" t="n">
        <v>0.24</v>
      </c>
      <c r="G76" s="113" t="n">
        <v>0.325</v>
      </c>
      <c r="H76" s="113" t="n">
        <v>0.41</v>
      </c>
      <c r="I76" s="11" t="s">
        <v>2395</v>
      </c>
      <c r="J76" s="11" t="s">
        <v>2216</v>
      </c>
    </row>
    <row r="77" customFormat="false" ht="15" hidden="false" customHeight="false" outlineLevel="0" collapsed="false">
      <c r="A77" s="4" t="s">
        <v>2396</v>
      </c>
      <c r="B77" s="4" t="s">
        <v>2393</v>
      </c>
      <c r="C77" s="3" t="s">
        <v>2394</v>
      </c>
      <c r="D77" s="11" t="s">
        <v>2213</v>
      </c>
      <c r="E77" s="4" t="s">
        <v>2218</v>
      </c>
      <c r="F77" s="113" t="n">
        <v>0.24</v>
      </c>
      <c r="G77" s="113" t="n">
        <v>0.325</v>
      </c>
      <c r="H77" s="113" t="n">
        <v>0.41</v>
      </c>
      <c r="I77" s="11" t="s">
        <v>2397</v>
      </c>
      <c r="J77" s="11" t="s">
        <v>2216</v>
      </c>
    </row>
    <row r="78" customFormat="false" ht="15" hidden="false" customHeight="false" outlineLevel="0" collapsed="false">
      <c r="A78" s="4" t="s">
        <v>2398</v>
      </c>
      <c r="B78" s="4" t="s">
        <v>2393</v>
      </c>
      <c r="C78" s="3" t="s">
        <v>2394</v>
      </c>
      <c r="D78" s="11" t="s">
        <v>2213</v>
      </c>
      <c r="E78" s="4" t="s">
        <v>2221</v>
      </c>
      <c r="F78" s="113" t="n">
        <v>0.24</v>
      </c>
      <c r="G78" s="113" t="n">
        <v>0.325</v>
      </c>
      <c r="H78" s="113" t="n">
        <v>0.41</v>
      </c>
      <c r="I78" s="11" t="s">
        <v>2399</v>
      </c>
      <c r="J78" s="11" t="s">
        <v>2216</v>
      </c>
    </row>
    <row r="79" customFormat="false" ht="15" hidden="false" customHeight="false" outlineLevel="0" collapsed="false">
      <c r="A79" s="4" t="s">
        <v>2400</v>
      </c>
      <c r="B79" s="4" t="s">
        <v>2393</v>
      </c>
      <c r="C79" s="3" t="s">
        <v>2394</v>
      </c>
      <c r="D79" s="11" t="s">
        <v>2213</v>
      </c>
      <c r="E79" s="4" t="s">
        <v>2224</v>
      </c>
      <c r="F79" s="113" t="n">
        <v>0.24</v>
      </c>
      <c r="G79" s="113" t="n">
        <v>0.325</v>
      </c>
      <c r="H79" s="113" t="n">
        <v>0.41</v>
      </c>
      <c r="I79" s="11" t="s">
        <v>2401</v>
      </c>
      <c r="J79" s="11" t="s">
        <v>2216</v>
      </c>
    </row>
    <row r="80" customFormat="false" ht="15" hidden="false" customHeight="false" outlineLevel="0" collapsed="false">
      <c r="A80" s="4" t="s">
        <v>2402</v>
      </c>
      <c r="B80" s="4" t="s">
        <v>2393</v>
      </c>
      <c r="C80" s="3" t="s">
        <v>2394</v>
      </c>
      <c r="D80" s="11" t="s">
        <v>2213</v>
      </c>
      <c r="E80" s="4" t="s">
        <v>2227</v>
      </c>
      <c r="F80" s="113" t="n">
        <v>0.24</v>
      </c>
      <c r="G80" s="113" t="n">
        <v>0.325</v>
      </c>
      <c r="H80" s="113" t="n">
        <v>0.41</v>
      </c>
      <c r="I80" s="11" t="s">
        <v>2403</v>
      </c>
      <c r="J80" s="11" t="s">
        <v>2216</v>
      </c>
    </row>
    <row r="81" customFormat="false" ht="15" hidden="false" customHeight="false" outlineLevel="0" collapsed="false">
      <c r="A81" s="4" t="s">
        <v>2404</v>
      </c>
      <c r="B81" s="4" t="s">
        <v>2405</v>
      </c>
      <c r="C81" s="3" t="s">
        <v>2406</v>
      </c>
      <c r="D81" s="11" t="s">
        <v>2213</v>
      </c>
      <c r="E81" s="4" t="s">
        <v>2214</v>
      </c>
      <c r="F81" s="113" t="n">
        <v>0.0948968082</v>
      </c>
      <c r="G81" s="113" t="n">
        <v>0.20090107</v>
      </c>
      <c r="H81" s="113" t="n">
        <v>0.4024539472</v>
      </c>
      <c r="I81" s="11" t="s">
        <v>2407</v>
      </c>
      <c r="J81" s="11" t="s">
        <v>2216</v>
      </c>
    </row>
    <row r="82" customFormat="false" ht="15" hidden="false" customHeight="false" outlineLevel="0" collapsed="false">
      <c r="A82" s="4" t="s">
        <v>2408</v>
      </c>
      <c r="B82" s="4" t="s">
        <v>2405</v>
      </c>
      <c r="C82" s="3" t="s">
        <v>2406</v>
      </c>
      <c r="D82" s="11" t="s">
        <v>2213</v>
      </c>
      <c r="E82" s="4" t="s">
        <v>2218</v>
      </c>
      <c r="F82" s="113" t="n">
        <v>0.0925541712</v>
      </c>
      <c r="G82" s="113" t="n">
        <v>0.18342587</v>
      </c>
      <c r="H82" s="113" t="n">
        <v>0.3506896352</v>
      </c>
      <c r="I82" s="11" t="s">
        <v>2409</v>
      </c>
      <c r="J82" s="11" t="s">
        <v>2216</v>
      </c>
    </row>
    <row r="83" customFormat="false" ht="15" hidden="false" customHeight="false" outlineLevel="0" collapsed="false">
      <c r="A83" s="4" t="s">
        <v>2410</v>
      </c>
      <c r="B83" s="4" t="s">
        <v>2405</v>
      </c>
      <c r="C83" s="3" t="s">
        <v>2406</v>
      </c>
      <c r="D83" s="11" t="s">
        <v>2213</v>
      </c>
      <c r="E83" s="4" t="s">
        <v>2221</v>
      </c>
      <c r="F83" s="113" t="n">
        <v>0.1163007072</v>
      </c>
      <c r="G83" s="113" t="n">
        <v>0.25057752</v>
      </c>
      <c r="H83" s="113" t="n">
        <v>0.5370920512</v>
      </c>
      <c r="I83" s="11" t="s">
        <v>2411</v>
      </c>
      <c r="J83" s="11" t="s">
        <v>2216</v>
      </c>
    </row>
    <row r="84" customFormat="false" ht="15" hidden="false" customHeight="false" outlineLevel="0" collapsed="false">
      <c r="A84" s="4" t="s">
        <v>2412</v>
      </c>
      <c r="B84" s="4" t="s">
        <v>2405</v>
      </c>
      <c r="C84" s="3" t="s">
        <v>2406</v>
      </c>
      <c r="D84" s="11" t="s">
        <v>2213</v>
      </c>
      <c r="E84" s="4" t="s">
        <v>2224</v>
      </c>
      <c r="F84" s="113" t="n">
        <v>0.1304562096</v>
      </c>
      <c r="G84" s="113" t="n">
        <v>0.25128176</v>
      </c>
      <c r="H84" s="113" t="n">
        <v>0.4705886016</v>
      </c>
      <c r="I84" s="11" t="s">
        <v>2413</v>
      </c>
      <c r="J84" s="11" t="s">
        <v>2216</v>
      </c>
    </row>
    <row r="85" customFormat="false" ht="15" hidden="false" customHeight="false" outlineLevel="0" collapsed="false">
      <c r="A85" s="4" t="s">
        <v>2414</v>
      </c>
      <c r="B85" s="4" t="s">
        <v>2405</v>
      </c>
      <c r="C85" s="3" t="s">
        <v>2406</v>
      </c>
      <c r="D85" s="11" t="s">
        <v>2213</v>
      </c>
      <c r="E85" s="4" t="s">
        <v>2227</v>
      </c>
      <c r="F85" s="113" t="n">
        <v>0.138172734</v>
      </c>
      <c r="G85" s="113" t="n">
        <v>0.3137789</v>
      </c>
      <c r="H85" s="113" t="n">
        <v>0.653340464</v>
      </c>
      <c r="I85" s="11" t="s">
        <v>2415</v>
      </c>
      <c r="J85" s="11" t="s">
        <v>2216</v>
      </c>
    </row>
    <row r="86" customFormat="false" ht="15" hidden="false" customHeight="false" outlineLevel="0" collapsed="false">
      <c r="A86" s="4" t="s">
        <v>2416</v>
      </c>
      <c r="B86" s="4" t="s">
        <v>2417</v>
      </c>
      <c r="C86" s="3" t="s">
        <v>2418</v>
      </c>
      <c r="D86" s="11" t="s">
        <v>42</v>
      </c>
      <c r="E86" s="4" t="s">
        <v>2214</v>
      </c>
      <c r="F86" s="23" t="n">
        <v>0.7</v>
      </c>
      <c r="G86" s="23" t="n">
        <v>0.8</v>
      </c>
      <c r="H86" s="23" t="n">
        <v>0.9</v>
      </c>
      <c r="I86" s="11" t="s">
        <v>2419</v>
      </c>
      <c r="J86" s="11" t="s">
        <v>2216</v>
      </c>
    </row>
    <row r="87" customFormat="false" ht="15" hidden="false" customHeight="false" outlineLevel="0" collapsed="false">
      <c r="A87" s="4" t="s">
        <v>2420</v>
      </c>
      <c r="B87" s="4" t="s">
        <v>2417</v>
      </c>
      <c r="C87" s="3" t="s">
        <v>2418</v>
      </c>
      <c r="D87" s="11" t="s">
        <v>42</v>
      </c>
      <c r="E87" s="4" t="s">
        <v>2218</v>
      </c>
      <c r="F87" s="23" t="n">
        <v>0.7</v>
      </c>
      <c r="G87" s="23" t="n">
        <v>0.8</v>
      </c>
      <c r="H87" s="23" t="n">
        <v>0.9</v>
      </c>
      <c r="I87" s="11" t="s">
        <v>2421</v>
      </c>
      <c r="J87" s="11" t="s">
        <v>2216</v>
      </c>
    </row>
    <row r="88" customFormat="false" ht="15" hidden="false" customHeight="false" outlineLevel="0" collapsed="false">
      <c r="A88" s="4" t="s">
        <v>2422</v>
      </c>
      <c r="B88" s="4" t="s">
        <v>2417</v>
      </c>
      <c r="C88" s="3" t="s">
        <v>2418</v>
      </c>
      <c r="D88" s="11" t="s">
        <v>42</v>
      </c>
      <c r="E88" s="4" t="s">
        <v>2221</v>
      </c>
      <c r="F88" s="23" t="n">
        <v>0.7</v>
      </c>
      <c r="G88" s="23" t="n">
        <v>0.8</v>
      </c>
      <c r="H88" s="23" t="n">
        <v>0.9</v>
      </c>
      <c r="I88" s="11" t="s">
        <v>2423</v>
      </c>
      <c r="J88" s="11" t="s">
        <v>2216</v>
      </c>
    </row>
    <row r="89" customFormat="false" ht="15" hidden="false" customHeight="false" outlineLevel="0" collapsed="false">
      <c r="A89" s="4" t="s">
        <v>2424</v>
      </c>
      <c r="B89" s="4" t="s">
        <v>2417</v>
      </c>
      <c r="C89" s="3" t="s">
        <v>2418</v>
      </c>
      <c r="D89" s="11" t="s">
        <v>42</v>
      </c>
      <c r="E89" s="4" t="s">
        <v>2224</v>
      </c>
      <c r="F89" s="23" t="n">
        <v>0.7</v>
      </c>
      <c r="G89" s="23" t="n">
        <v>0.8</v>
      </c>
      <c r="H89" s="23" t="n">
        <v>0.9</v>
      </c>
      <c r="I89" s="11" t="s">
        <v>2425</v>
      </c>
      <c r="J89" s="11" t="s">
        <v>2216</v>
      </c>
    </row>
    <row r="90" customFormat="false" ht="15" hidden="false" customHeight="false" outlineLevel="0" collapsed="false">
      <c r="A90" s="4" t="s">
        <v>2426</v>
      </c>
      <c r="B90" s="4" t="s">
        <v>2417</v>
      </c>
      <c r="C90" s="3" t="s">
        <v>2418</v>
      </c>
      <c r="D90" s="11" t="s">
        <v>42</v>
      </c>
      <c r="E90" s="4" t="s">
        <v>2227</v>
      </c>
      <c r="F90" s="23" t="n">
        <v>0.7</v>
      </c>
      <c r="G90" s="23" t="n">
        <v>0.8</v>
      </c>
      <c r="H90" s="23" t="n">
        <v>0.9</v>
      </c>
      <c r="I90" s="11" t="s">
        <v>2427</v>
      </c>
      <c r="J90" s="11" t="s">
        <v>2216</v>
      </c>
    </row>
    <row r="91" customFormat="false" ht="15" hidden="false" customHeight="false" outlineLevel="0" collapsed="false">
      <c r="A91" s="4" t="s">
        <v>2428</v>
      </c>
      <c r="B91" s="4" t="s">
        <v>2429</v>
      </c>
      <c r="C91" s="3" t="s">
        <v>2430</v>
      </c>
      <c r="D91" s="11" t="s">
        <v>2431</v>
      </c>
      <c r="E91" s="4" t="s">
        <v>2214</v>
      </c>
      <c r="F91" s="113" t="n">
        <v>1.1</v>
      </c>
      <c r="G91" s="113" t="n">
        <v>1.2</v>
      </c>
      <c r="H91" s="113" t="n">
        <v>1.3</v>
      </c>
      <c r="I91" s="11" t="s">
        <v>2432</v>
      </c>
      <c r="J91" s="11" t="s">
        <v>2216</v>
      </c>
    </row>
    <row r="92" customFormat="false" ht="15" hidden="false" customHeight="false" outlineLevel="0" collapsed="false">
      <c r="A92" s="4" t="s">
        <v>2433</v>
      </c>
      <c r="B92" s="4" t="s">
        <v>2429</v>
      </c>
      <c r="C92" s="3" t="s">
        <v>2430</v>
      </c>
      <c r="D92" s="11" t="s">
        <v>2431</v>
      </c>
      <c r="E92" s="4" t="s">
        <v>2218</v>
      </c>
      <c r="F92" s="113" t="n">
        <v>1.1</v>
      </c>
      <c r="G92" s="113" t="n">
        <v>1.2</v>
      </c>
      <c r="H92" s="113" t="n">
        <v>1.3</v>
      </c>
      <c r="I92" s="11" t="s">
        <v>2434</v>
      </c>
      <c r="J92" s="11" t="s">
        <v>2216</v>
      </c>
    </row>
    <row r="93" customFormat="false" ht="15" hidden="false" customHeight="false" outlineLevel="0" collapsed="false">
      <c r="A93" s="4" t="s">
        <v>2435</v>
      </c>
      <c r="B93" s="4" t="s">
        <v>2429</v>
      </c>
      <c r="C93" s="3" t="s">
        <v>2430</v>
      </c>
      <c r="D93" s="11" t="s">
        <v>2431</v>
      </c>
      <c r="E93" s="4" t="s">
        <v>2221</v>
      </c>
      <c r="F93" s="113" t="n">
        <v>1.1</v>
      </c>
      <c r="G93" s="113" t="n">
        <v>1.2</v>
      </c>
      <c r="H93" s="113" t="n">
        <v>1.3</v>
      </c>
      <c r="I93" s="11" t="s">
        <v>2436</v>
      </c>
      <c r="J93" s="11" t="s">
        <v>2216</v>
      </c>
    </row>
    <row r="94" customFormat="false" ht="15" hidden="false" customHeight="false" outlineLevel="0" collapsed="false">
      <c r="A94" s="4" t="s">
        <v>2437</v>
      </c>
      <c r="B94" s="4" t="s">
        <v>2429</v>
      </c>
      <c r="C94" s="3" t="s">
        <v>2430</v>
      </c>
      <c r="D94" s="11" t="s">
        <v>2431</v>
      </c>
      <c r="E94" s="4" t="s">
        <v>2224</v>
      </c>
      <c r="F94" s="113" t="n">
        <v>1.1</v>
      </c>
      <c r="G94" s="113" t="n">
        <v>1.2</v>
      </c>
      <c r="H94" s="113" t="n">
        <v>1.3</v>
      </c>
      <c r="I94" s="11" t="s">
        <v>2438</v>
      </c>
      <c r="J94" s="11" t="s">
        <v>2216</v>
      </c>
    </row>
    <row r="95" customFormat="false" ht="15" hidden="false" customHeight="false" outlineLevel="0" collapsed="false">
      <c r="A95" s="4" t="s">
        <v>2439</v>
      </c>
      <c r="B95" s="4" t="s">
        <v>2429</v>
      </c>
      <c r="C95" s="3" t="s">
        <v>2430</v>
      </c>
      <c r="D95" s="11" t="s">
        <v>2431</v>
      </c>
      <c r="E95" s="4" t="s">
        <v>2227</v>
      </c>
      <c r="F95" s="113" t="n">
        <v>1.1</v>
      </c>
      <c r="G95" s="113" t="n">
        <v>1.2</v>
      </c>
      <c r="H95" s="113" t="n">
        <v>1.3</v>
      </c>
      <c r="I95" s="11" t="s">
        <v>2440</v>
      </c>
      <c r="J95" s="11" t="s">
        <v>2216</v>
      </c>
    </row>
    <row r="96" customFormat="false" ht="15" hidden="false" customHeight="false" outlineLevel="0" collapsed="false">
      <c r="A96" s="4" t="s">
        <v>2441</v>
      </c>
      <c r="B96" s="4" t="s">
        <v>2442</v>
      </c>
      <c r="C96" s="3" t="s">
        <v>2443</v>
      </c>
      <c r="D96" s="6" t="s">
        <v>2444</v>
      </c>
      <c r="E96" s="4" t="s">
        <v>2214</v>
      </c>
      <c r="F96" s="21" t="n">
        <v>718048</v>
      </c>
      <c r="G96" s="21" t="n">
        <v>718048</v>
      </c>
      <c r="H96" s="21" t="n">
        <v>718048</v>
      </c>
      <c r="I96" s="11" t="s">
        <v>2445</v>
      </c>
      <c r="J96" s="11" t="s">
        <v>2216</v>
      </c>
    </row>
    <row r="97" customFormat="false" ht="15" hidden="false" customHeight="false" outlineLevel="0" collapsed="false">
      <c r="A97" s="4" t="s">
        <v>2446</v>
      </c>
      <c r="B97" s="4" t="s">
        <v>2442</v>
      </c>
      <c r="C97" s="3" t="s">
        <v>2443</v>
      </c>
      <c r="D97" s="6" t="s">
        <v>2444</v>
      </c>
      <c r="E97" s="4" t="s">
        <v>2218</v>
      </c>
      <c r="F97" s="21" t="n">
        <v>501768</v>
      </c>
      <c r="G97" s="21" t="n">
        <v>501768</v>
      </c>
      <c r="H97" s="21" t="n">
        <v>501768</v>
      </c>
      <c r="I97" s="11" t="s">
        <v>2447</v>
      </c>
      <c r="J97" s="11" t="s">
        <v>2216</v>
      </c>
    </row>
    <row r="98" customFormat="false" ht="15" hidden="false" customHeight="false" outlineLevel="0" collapsed="false">
      <c r="A98" s="4" t="s">
        <v>2448</v>
      </c>
      <c r="B98" s="4" t="s">
        <v>2442</v>
      </c>
      <c r="C98" s="3" t="s">
        <v>2443</v>
      </c>
      <c r="D98" s="6" t="s">
        <v>2444</v>
      </c>
      <c r="E98" s="4" t="s">
        <v>2221</v>
      </c>
      <c r="F98" s="21" t="n">
        <v>487008</v>
      </c>
      <c r="G98" s="21" t="n">
        <v>487008</v>
      </c>
      <c r="H98" s="21" t="n">
        <v>487008</v>
      </c>
      <c r="I98" s="11" t="s">
        <v>2449</v>
      </c>
      <c r="J98" s="11" t="s">
        <v>2216</v>
      </c>
    </row>
    <row r="99" customFormat="false" ht="15" hidden="false" customHeight="false" outlineLevel="0" collapsed="false">
      <c r="A99" s="4" t="s">
        <v>2450</v>
      </c>
      <c r="B99" s="4" t="s">
        <v>2442</v>
      </c>
      <c r="C99" s="3" t="s">
        <v>2443</v>
      </c>
      <c r="D99" s="6" t="s">
        <v>2444</v>
      </c>
      <c r="E99" s="4" t="s">
        <v>2224</v>
      </c>
      <c r="F99" s="21" t="n">
        <v>291744</v>
      </c>
      <c r="G99" s="21" t="n">
        <v>291744</v>
      </c>
      <c r="H99" s="21" t="n">
        <v>291744</v>
      </c>
      <c r="I99" s="11" t="s">
        <v>2451</v>
      </c>
      <c r="J99" s="11" t="s">
        <v>2216</v>
      </c>
    </row>
    <row r="100" customFormat="false" ht="15" hidden="false" customHeight="false" outlineLevel="0" collapsed="false">
      <c r="A100" s="4" t="s">
        <v>2452</v>
      </c>
      <c r="B100" s="4" t="s">
        <v>2442</v>
      </c>
      <c r="C100" s="3" t="s">
        <v>2443</v>
      </c>
      <c r="D100" s="6" t="s">
        <v>2444</v>
      </c>
      <c r="E100" s="4" t="s">
        <v>2227</v>
      </c>
      <c r="F100" s="21" t="n">
        <v>194760</v>
      </c>
      <c r="G100" s="21" t="n">
        <v>194760</v>
      </c>
      <c r="H100" s="21" t="n">
        <v>194760</v>
      </c>
      <c r="I100" s="11" t="s">
        <v>2453</v>
      </c>
      <c r="J100" s="11" t="s">
        <v>2216</v>
      </c>
    </row>
    <row r="101" customFormat="false" ht="15" hidden="false" customHeight="false" outlineLevel="0" collapsed="false">
      <c r="A101" s="4" t="s">
        <v>2454</v>
      </c>
      <c r="B101" s="4" t="s">
        <v>2455</v>
      </c>
      <c r="C101" s="3" t="s">
        <v>2456</v>
      </c>
      <c r="D101" s="6" t="s">
        <v>2457</v>
      </c>
      <c r="E101" s="4" t="s">
        <v>2214</v>
      </c>
      <c r="F101" s="21" t="n">
        <v>22439</v>
      </c>
      <c r="G101" s="21" t="n">
        <v>22439</v>
      </c>
      <c r="H101" s="21" t="n">
        <v>22439</v>
      </c>
      <c r="I101" s="11" t="s">
        <v>2458</v>
      </c>
      <c r="J101" s="11" t="s">
        <v>2216</v>
      </c>
    </row>
    <row r="102" customFormat="false" ht="15" hidden="false" customHeight="false" outlineLevel="0" collapsed="false">
      <c r="A102" s="4" t="s">
        <v>2459</v>
      </c>
      <c r="B102" s="4" t="s">
        <v>2455</v>
      </c>
      <c r="C102" s="3" t="s">
        <v>2456</v>
      </c>
      <c r="D102" s="6" t="s">
        <v>2457</v>
      </c>
      <c r="E102" s="4" t="s">
        <v>2218</v>
      </c>
      <c r="F102" s="21" t="n">
        <v>6969</v>
      </c>
      <c r="G102" s="21" t="n">
        <v>6969</v>
      </c>
      <c r="H102" s="21" t="n">
        <v>6969</v>
      </c>
      <c r="I102" s="11" t="s">
        <v>2460</v>
      </c>
      <c r="J102" s="11" t="s">
        <v>2216</v>
      </c>
    </row>
    <row r="103" customFormat="false" ht="15" hidden="false" customHeight="false" outlineLevel="0" collapsed="false">
      <c r="A103" s="4" t="s">
        <v>2461</v>
      </c>
      <c r="B103" s="4" t="s">
        <v>2455</v>
      </c>
      <c r="C103" s="3" t="s">
        <v>2456</v>
      </c>
      <c r="D103" s="6" t="s">
        <v>2457</v>
      </c>
      <c r="E103" s="4" t="s">
        <v>2221</v>
      </c>
      <c r="F103" s="21" t="n">
        <v>6764</v>
      </c>
      <c r="G103" s="21" t="n">
        <v>6764</v>
      </c>
      <c r="H103" s="21" t="n">
        <v>6764</v>
      </c>
      <c r="I103" s="11" t="s">
        <v>2462</v>
      </c>
      <c r="J103" s="11" t="s">
        <v>2216</v>
      </c>
    </row>
    <row r="104" customFormat="false" ht="15" hidden="false" customHeight="false" outlineLevel="0" collapsed="false">
      <c r="A104" s="4" t="s">
        <v>2463</v>
      </c>
      <c r="B104" s="4" t="s">
        <v>2455</v>
      </c>
      <c r="C104" s="3" t="s">
        <v>2456</v>
      </c>
      <c r="D104" s="6" t="s">
        <v>2457</v>
      </c>
      <c r="E104" s="4" t="s">
        <v>2224</v>
      </c>
      <c r="F104" s="21" t="n">
        <v>4052</v>
      </c>
      <c r="G104" s="21" t="n">
        <v>4052</v>
      </c>
      <c r="H104" s="21" t="n">
        <v>4052</v>
      </c>
      <c r="I104" s="11" t="s">
        <v>2464</v>
      </c>
      <c r="J104" s="11" t="s">
        <v>2216</v>
      </c>
    </row>
    <row r="105" customFormat="false" ht="15" hidden="false" customHeight="false" outlineLevel="0" collapsed="false">
      <c r="A105" s="4" t="s">
        <v>2465</v>
      </c>
      <c r="B105" s="4" t="s">
        <v>2455</v>
      </c>
      <c r="C105" s="3" t="s">
        <v>2456</v>
      </c>
      <c r="D105" s="6" t="s">
        <v>2457</v>
      </c>
      <c r="E105" s="4" t="s">
        <v>2227</v>
      </c>
      <c r="F105" s="21" t="n">
        <v>2705</v>
      </c>
      <c r="G105" s="21" t="n">
        <v>2705</v>
      </c>
      <c r="H105" s="21" t="n">
        <v>2705</v>
      </c>
      <c r="I105" s="11" t="s">
        <v>2466</v>
      </c>
      <c r="J105" s="11" t="s">
        <v>2216</v>
      </c>
    </row>
    <row r="106" customFormat="false" ht="15" hidden="false" customHeight="false" outlineLevel="0" collapsed="false">
      <c r="A106" s="4" t="s">
        <v>2467</v>
      </c>
      <c r="B106" s="4" t="s">
        <v>2468</v>
      </c>
      <c r="C106" s="3" t="s">
        <v>2469</v>
      </c>
      <c r="D106" s="11" t="s">
        <v>42</v>
      </c>
      <c r="E106" s="4" t="s">
        <v>1519</v>
      </c>
      <c r="F106" s="114"/>
      <c r="G106" s="23" t="n">
        <v>0.6</v>
      </c>
      <c r="H106" s="114"/>
      <c r="I106" s="11" t="s">
        <v>2470</v>
      </c>
      <c r="J106" s="11" t="s">
        <v>2216</v>
      </c>
    </row>
    <row r="107" customFormat="false" ht="15" hidden="false" customHeight="false" outlineLevel="0" collapsed="false">
      <c r="A107" s="4" t="s">
        <v>2471</v>
      </c>
      <c r="B107" s="4" t="s">
        <v>2472</v>
      </c>
      <c r="C107" s="3" t="s">
        <v>2473</v>
      </c>
      <c r="D107" s="11" t="s">
        <v>2213</v>
      </c>
      <c r="E107" s="4" t="s">
        <v>2214</v>
      </c>
      <c r="F107" s="113" t="n">
        <v>4.00488774987164</v>
      </c>
      <c r="G107" s="113" t="n">
        <v>4.00488774987164</v>
      </c>
      <c r="H107" s="113" t="n">
        <v>4.00488774987164</v>
      </c>
      <c r="I107" s="11" t="s">
        <v>2474</v>
      </c>
      <c r="J107" s="11" t="s">
        <v>2216</v>
      </c>
    </row>
    <row r="108" customFormat="false" ht="15" hidden="false" customHeight="false" outlineLevel="0" collapsed="false">
      <c r="A108" s="4" t="s">
        <v>2475</v>
      </c>
      <c r="B108" s="4" t="s">
        <v>2472</v>
      </c>
      <c r="C108" s="3" t="s">
        <v>2473</v>
      </c>
      <c r="D108" s="11" t="s">
        <v>2213</v>
      </c>
      <c r="E108" s="4" t="s">
        <v>2218</v>
      </c>
      <c r="F108" s="113" t="n">
        <v>20.1746158611128</v>
      </c>
      <c r="G108" s="113" t="n">
        <v>20.1746158611128</v>
      </c>
      <c r="H108" s="113" t="n">
        <v>20.1746158611128</v>
      </c>
      <c r="I108" s="11" t="s">
        <v>2476</v>
      </c>
      <c r="J108" s="11" t="s">
        <v>2216</v>
      </c>
    </row>
    <row r="109" customFormat="false" ht="15" hidden="false" customHeight="false" outlineLevel="0" collapsed="false">
      <c r="A109" s="4" t="s">
        <v>2477</v>
      </c>
      <c r="B109" s="4" t="s">
        <v>2472</v>
      </c>
      <c r="C109" s="3" t="s">
        <v>2473</v>
      </c>
      <c r="D109" s="11" t="s">
        <v>2213</v>
      </c>
      <c r="E109" s="4" t="s">
        <v>2221</v>
      </c>
      <c r="F109" s="113" t="n">
        <v>26.2652356996766</v>
      </c>
      <c r="G109" s="113" t="n">
        <v>26.2652356996766</v>
      </c>
      <c r="H109" s="113" t="n">
        <v>26.2652356996766</v>
      </c>
      <c r="I109" s="11" t="s">
        <v>2478</v>
      </c>
      <c r="J109" s="11" t="s">
        <v>2216</v>
      </c>
    </row>
    <row r="110" customFormat="false" ht="15" hidden="false" customHeight="false" outlineLevel="0" collapsed="false">
      <c r="A110" s="4" t="s">
        <v>2479</v>
      </c>
      <c r="B110" s="4" t="s">
        <v>2472</v>
      </c>
      <c r="C110" s="3" t="s">
        <v>2473</v>
      </c>
      <c r="D110" s="11" t="s">
        <v>2213</v>
      </c>
      <c r="E110" s="4" t="s">
        <v>2224</v>
      </c>
      <c r="F110" s="113" t="n">
        <v>48.7237019639935</v>
      </c>
      <c r="G110" s="113" t="n">
        <v>48.7237019639935</v>
      </c>
      <c r="H110" s="113" t="n">
        <v>48.7237019639935</v>
      </c>
      <c r="I110" s="11" t="s">
        <v>2480</v>
      </c>
      <c r="J110" s="11" t="s">
        <v>2216</v>
      </c>
    </row>
    <row r="111" customFormat="false" ht="15" hidden="false" customHeight="false" outlineLevel="0" collapsed="false">
      <c r="A111" s="4" t="s">
        <v>2481</v>
      </c>
      <c r="B111" s="4" t="s">
        <v>2472</v>
      </c>
      <c r="C111" s="3" t="s">
        <v>2473</v>
      </c>
      <c r="D111" s="11" t="s">
        <v>2213</v>
      </c>
      <c r="E111" s="4" t="s">
        <v>2227</v>
      </c>
      <c r="F111" s="113" t="n">
        <v>68.9276257152094</v>
      </c>
      <c r="G111" s="113" t="n">
        <v>68.9276257152094</v>
      </c>
      <c r="H111" s="113" t="n">
        <v>68.9276257152094</v>
      </c>
      <c r="I111" s="11" t="s">
        <v>2482</v>
      </c>
      <c r="J111" s="11" t="s">
        <v>2216</v>
      </c>
    </row>
    <row r="112" customFormat="false" ht="15" hidden="false" customHeight="false" outlineLevel="0" collapsed="false">
      <c r="A112" s="4" t="s">
        <v>2483</v>
      </c>
      <c r="B112" s="4" t="s">
        <v>2484</v>
      </c>
      <c r="C112" s="3" t="s">
        <v>2485</v>
      </c>
      <c r="D112" s="11" t="s">
        <v>2244</v>
      </c>
      <c r="E112" s="4" t="s">
        <v>1519</v>
      </c>
      <c r="F112" s="113" t="n">
        <v>1.11286669150028</v>
      </c>
      <c r="G112" s="113" t="n">
        <v>1.60502925637165</v>
      </c>
      <c r="H112" s="113" t="n">
        <v>2.76720095633376</v>
      </c>
      <c r="I112" s="11" t="s">
        <v>2486</v>
      </c>
      <c r="J112" s="11" t="s">
        <v>2216</v>
      </c>
    </row>
    <row r="113" customFormat="false" ht="15" hidden="false" customHeight="false" outlineLevel="0" collapsed="false">
      <c r="A113" s="4" t="s">
        <v>2487</v>
      </c>
      <c r="B113" s="4" t="s">
        <v>2488</v>
      </c>
      <c r="C113" s="3" t="s">
        <v>2489</v>
      </c>
      <c r="D113" s="11" t="s">
        <v>2244</v>
      </c>
      <c r="E113" s="4" t="s">
        <v>1519</v>
      </c>
      <c r="F113" s="113" t="n">
        <v>1.55003663914234</v>
      </c>
      <c r="G113" s="113" t="n">
        <v>2.08645378736555</v>
      </c>
      <c r="H113" s="113" t="n">
        <v>3.39439662035368</v>
      </c>
      <c r="I113" s="11" t="s">
        <v>2490</v>
      </c>
      <c r="J113" s="11" t="s">
        <v>2216</v>
      </c>
    </row>
    <row r="114" customFormat="false" ht="15" hidden="false" customHeight="false" outlineLevel="0" collapsed="false">
      <c r="A114" s="4" t="s">
        <v>2491</v>
      </c>
      <c r="B114" s="4" t="s">
        <v>2492</v>
      </c>
      <c r="C114" s="3" t="s">
        <v>2493</v>
      </c>
      <c r="D114" s="11" t="s">
        <v>2244</v>
      </c>
      <c r="E114" s="4" t="s">
        <v>1519</v>
      </c>
      <c r="F114" s="113" t="n">
        <v>2.04104144426194</v>
      </c>
      <c r="G114" s="113" t="n">
        <v>2.98269559427618</v>
      </c>
      <c r="H114" s="113" t="n">
        <v>5.59559440727497</v>
      </c>
      <c r="I114" s="11" t="s">
        <v>2494</v>
      </c>
      <c r="J114" s="11" t="s">
        <v>2216</v>
      </c>
    </row>
    <row r="115" customFormat="false" ht="15" hidden="false" customHeight="false" outlineLevel="0" collapsed="false">
      <c r="A115" s="4" t="s">
        <v>2495</v>
      </c>
      <c r="B115" s="4" t="s">
        <v>2496</v>
      </c>
      <c r="C115" s="3" t="s">
        <v>2497</v>
      </c>
      <c r="D115" s="11" t="s">
        <v>2244</v>
      </c>
      <c r="E115" s="4" t="s">
        <v>1519</v>
      </c>
      <c r="F115" s="113" t="n">
        <v>3.84895231682799</v>
      </c>
      <c r="G115" s="113" t="n">
        <v>4.99359409623699</v>
      </c>
      <c r="H115" s="113" t="n">
        <v>8.09104040200768</v>
      </c>
      <c r="I115" s="11" t="s">
        <v>2498</v>
      </c>
      <c r="J115" s="11" t="s">
        <v>2216</v>
      </c>
    </row>
    <row r="116" customFormat="false" ht="15" hidden="false" customHeight="false" outlineLevel="0" collapsed="false">
      <c r="A116" s="4" t="s">
        <v>2499</v>
      </c>
      <c r="B116" s="4" t="s">
        <v>2500</v>
      </c>
      <c r="C116" s="3" t="s">
        <v>2501</v>
      </c>
      <c r="D116" s="11" t="s">
        <v>2502</v>
      </c>
      <c r="E116" s="4" t="s">
        <v>1519</v>
      </c>
      <c r="F116" s="113" t="n">
        <v>7.0000433103819</v>
      </c>
      <c r="G116" s="113" t="n">
        <v>10.0957952959174</v>
      </c>
      <c r="H116" s="113" t="n">
        <v>17.4059720636914</v>
      </c>
      <c r="I116" s="11" t="s">
        <v>2503</v>
      </c>
      <c r="J116" s="11" t="s">
        <v>2216</v>
      </c>
    </row>
    <row r="117" customFormat="false" ht="15" hidden="false" customHeight="false" outlineLevel="0" collapsed="false">
      <c r="A117" s="4" t="s">
        <v>2504</v>
      </c>
      <c r="B117" s="4" t="s">
        <v>2505</v>
      </c>
      <c r="C117" s="3" t="s">
        <v>2506</v>
      </c>
      <c r="D117" s="11" t="s">
        <v>2502</v>
      </c>
      <c r="E117" s="4" t="s">
        <v>1519</v>
      </c>
      <c r="F117" s="113" t="n">
        <v>6.81316695089878</v>
      </c>
      <c r="G117" s="113" t="n">
        <v>9.17098191725462</v>
      </c>
      <c r="H117" s="113" t="n">
        <v>14.9200285257983</v>
      </c>
      <c r="I117" s="11" t="s">
        <v>2507</v>
      </c>
      <c r="J117" s="11" t="s">
        <v>2216</v>
      </c>
    </row>
    <row r="118" customFormat="false" ht="15" hidden="false" customHeight="false" outlineLevel="0" collapsed="false">
      <c r="A118" s="4" t="s">
        <v>2508</v>
      </c>
      <c r="B118" s="4" t="s">
        <v>2509</v>
      </c>
      <c r="C118" s="3" t="s">
        <v>2510</v>
      </c>
      <c r="D118" s="11" t="s">
        <v>2502</v>
      </c>
      <c r="E118" s="4" t="s">
        <v>1519</v>
      </c>
      <c r="F118" s="113" t="n">
        <v>8.70747076237914</v>
      </c>
      <c r="G118" s="113" t="n">
        <v>12.7247463559608</v>
      </c>
      <c r="H118" s="113" t="n">
        <v>23.87186935202</v>
      </c>
      <c r="I118" s="11" t="s">
        <v>2511</v>
      </c>
      <c r="J118" s="11" t="s">
        <v>2216</v>
      </c>
    </row>
    <row r="119" customFormat="false" ht="15" hidden="false" customHeight="false" outlineLevel="0" collapsed="false">
      <c r="A119" s="4" t="s">
        <v>2512</v>
      </c>
      <c r="B119" s="4" t="s">
        <v>2513</v>
      </c>
      <c r="C119" s="3" t="s">
        <v>2514</v>
      </c>
      <c r="D119" s="11" t="s">
        <v>2502</v>
      </c>
      <c r="E119" s="4" t="s">
        <v>1519</v>
      </c>
      <c r="F119" s="113" t="n">
        <v>9.83668060375303</v>
      </c>
      <c r="G119" s="113" t="n">
        <v>12.7620157762701</v>
      </c>
      <c r="H119" s="113" t="n">
        <v>20.6780894215396</v>
      </c>
      <c r="I119" s="11" t="s">
        <v>2515</v>
      </c>
      <c r="J119" s="11" t="s">
        <v>2216</v>
      </c>
    </row>
    <row r="120" customFormat="false" ht="15" hidden="false" customHeight="false" outlineLevel="0" collapsed="false">
      <c r="A120" s="4" t="s">
        <v>2516</v>
      </c>
      <c r="B120" s="4" t="s">
        <v>2517</v>
      </c>
      <c r="C120" s="3" t="s">
        <v>2518</v>
      </c>
      <c r="D120" s="11" t="s">
        <v>2519</v>
      </c>
      <c r="E120" s="4" t="s">
        <v>1519</v>
      </c>
      <c r="F120" s="113" t="n">
        <v>31.6056</v>
      </c>
      <c r="G120" s="113" t="n">
        <v>34.0368</v>
      </c>
      <c r="H120" s="113" t="n">
        <v>36.8732</v>
      </c>
      <c r="I120" s="11" t="s">
        <v>2520</v>
      </c>
      <c r="J120" s="11" t="s">
        <v>2216</v>
      </c>
    </row>
    <row r="121" customFormat="false" ht="15" hidden="false" customHeight="false" outlineLevel="0" collapsed="false">
      <c r="A121" s="4" t="s">
        <v>2521</v>
      </c>
      <c r="B121" s="4" t="s">
        <v>2522</v>
      </c>
      <c r="C121" s="3" t="s">
        <v>2523</v>
      </c>
      <c r="D121" s="6"/>
      <c r="E121" s="3"/>
      <c r="F121" s="114"/>
      <c r="G121" s="114"/>
      <c r="H121" s="114"/>
      <c r="I121" s="11" t="s">
        <v>2524</v>
      </c>
      <c r="J121" s="11" t="s">
        <v>2216</v>
      </c>
    </row>
    <row r="122" customFormat="false" ht="15" hidden="false" customHeight="false" outlineLevel="0" collapsed="false">
      <c r="A122" s="4" t="s">
        <v>2525</v>
      </c>
      <c r="B122" s="4" t="s">
        <v>2526</v>
      </c>
      <c r="C122" s="3" t="s">
        <v>2523</v>
      </c>
      <c r="D122" s="6"/>
      <c r="E122" s="3"/>
      <c r="F122" s="114"/>
      <c r="G122" s="114"/>
      <c r="H122" s="114"/>
      <c r="I122" s="11" t="s">
        <v>2524</v>
      </c>
      <c r="J122" s="11" t="s">
        <v>2216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2026-10-08T18:54:00Z</dcterms:created>
  <dc:creator>openpyxl</dc:creator>
  <dc:description/>
  <dc:language>en-US</dc:language>
  <cp:lastModifiedBy/>
  <dcterms:modified xsi:type="dcterms:W3CDTF">2026-10-08T18:54:00Z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