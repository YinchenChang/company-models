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Thesis" sheetId="4" state="visible" r:id="rId6"/>
    <sheet name="Seg" sheetId="5" state="visible" r:id="rId7"/>
    <sheet name="PL" sheetId="6" state="visible" r:id="rId8"/>
    <sheet name="CF" sheetId="7" state="visible" r:id="rId9"/>
    <sheet name="Val" sheetId="8" state="visible" r:id="rId10"/>
    <sheet name="Recon" sheetId="9" state="visible" r:id="rId11"/>
    <sheet name="Sens" sheetId="10" state="visible" r:id="rId12"/>
    <sheet name="Sources" sheetId="11" state="visible" r:id="rId13"/>
  </sheets>
  <definedNames>
    <definedName function="false" hidden="false" name="abc_rate" vbProcedure="false">In!$E$164</definedName>
    <definedName function="false" hidden="false" name="abc_rate_hi" vbProcedure="false">In!$F$164</definedName>
    <definedName function="false" hidden="false" name="abc_rate_lo" vbProcedure="false">In!$D$164</definedName>
    <definedName function="false" hidden="false" name="abc_ttm" vbProcedure="false">Q!$B$79</definedName>
    <definedName function="false" hidden="false" name="ads_mode" vbProcedure="false">In!$E$72</definedName>
    <definedName function="false" hidden="false" name="ads_mode_hi" vbProcedure="false">In!$F$72</definedName>
    <definedName function="false" hidden="false" name="ads_mode_lo" vbProcedure="false">In!$D$72</definedName>
    <definedName function="false" hidden="false" name="ai_mw_pttm" vbProcedure="false">In!$E$135</definedName>
    <definedName function="false" hidden="false" name="ai_mw_ttm" vbProcedure="false">In!$E$134</definedName>
    <definedName function="false" hidden="false" name="ai_pttm" vbProcedure="false">Thesis!$C$14</definedName>
    <definedName function="false" hidden="false" name="ai_ttm" vbProcedure="false">Thesis!$C$13</definedName>
    <definedName function="false" hidden="false" name="ai_ttm_e" vbProcedure="false">Thesis!$C$15</definedName>
    <definedName function="false" hidden="false" name="am_26" vbProcedure="false">In!$E$88</definedName>
    <definedName function="false" hidden="false" name="am_27" vbProcedure="false">In!$E$92</definedName>
    <definedName function="false" hidden="false" name="am_28" vbProcedure="false">In!$E$89</definedName>
    <definedName function="false" hidden="false" name="anth_1H" vbProcedure="false">In!$E$212</definedName>
    <definedName function="false" hidden="false" name="anth_27" vbProcedure="false">In!$E$192</definedName>
    <definedName function="false" hidden="false" name="anth_28" vbProcedure="false">In!$E$193</definedName>
    <definedName function="false" hidden="false" name="anth_29" vbProcedure="false">In!$E$194</definedName>
    <definedName function="false" hidden="false" name="anth_2H" vbProcedure="false">In!$E$191</definedName>
    <definedName function="false" hidden="false" name="anth_30" vbProcedure="false">In!$E$195</definedName>
    <definedName function="false" hidden="false" name="anth_31" vbProcedure="false">In!$E$196</definedName>
    <definedName function="false" hidden="false" name="anth_32" vbProcedure="false">In!$E$197</definedName>
    <definedName function="false" hidden="false" name="ant_stake" vbProcedure="false">In!$E$18</definedName>
    <definedName function="false" hidden="false" name="ant_stake_hi" vbProcedure="false">In!$F$18</definedName>
    <definedName function="false" hidden="false" name="ant_stake_lo" vbProcedure="false">In!$D$18</definedName>
    <definedName function="false" hidden="false" name="ant_val" vbProcedure="false">In!$E$17</definedName>
    <definedName function="false" hidden="false" name="bb_t" vbProcedure="false">In!$E$182</definedName>
    <definedName function="false" hidden="false" name="bb_t_hi" vbProcedure="false">In!$F$182</definedName>
    <definedName function="false" hidden="false" name="bb_t_lo" vbProcedure="false">In!$D$182</definedName>
    <definedName function="false" hidden="false" name="beta" vbProcedure="false">In!$E$27</definedName>
    <definedName function="false" hidden="false" name="beta_gf" vbProcedure="false">In!$E$25</definedName>
    <definedName function="false" hidden="false" name="beta_hi" vbProcedure="false">In!$F$27</definedName>
    <definedName function="false" hidden="false" name="beta_lo" vbProcedure="false">In!$D$27</definedName>
    <definedName function="false" hidden="false" name="beta_sa" vbProcedure="false">In!$E$24</definedName>
    <definedName function="false" hidden="false" name="blume_a" vbProcedure="false">In!$E$26</definedName>
    <definedName function="false" hidden="false" name="capex_1h" vbProcedure="false">In!$E$132</definedName>
    <definedName function="false" hidden="false" name="capex_g" vbProcedure="false">In!$E$131</definedName>
    <definedName function="false" hidden="false" name="capex_g_hi" vbProcedure="false">In!$F$131</definedName>
    <definedName function="false" hidden="false" name="capex_g_lo" vbProcedure="false">In!$D$131</definedName>
    <definedName function="false" hidden="false" name="cap_b2" vbProcedure="false">In!$E$120</definedName>
    <definedName function="false" hidden="false" name="cap_b3" vbProcedure="false">In!$E$121</definedName>
    <definedName function="false" hidden="false" name="cap_h" vbProcedure="false">In!$E$119</definedName>
    <definedName function="false" hidden="false" name="cap_vr" vbProcedure="false">In!$E$122</definedName>
    <definedName function="false" hidden="false" name="cash_0" vbProcedure="false">In!$E$11</definedName>
    <definedName function="false" hidden="false" name="cash_ye25" vbProcedure="false">In!$E$12</definedName>
    <definedName function="false" hidden="false" name="cfac" vbProcedure="false">In!$E$118</definedName>
    <definedName function="false" hidden="false" name="cip_0" vbProcedure="false">In!$E$129</definedName>
    <definedName function="false" hidden="false" name="cip_0_hi" vbProcedure="false">In!$F$129</definedName>
    <definedName function="false" hidden="false" name="cip_0_lo" vbProcedure="false">In!$D$129</definedName>
    <definedName function="false" hidden="false" name="cip_it" vbProcedure="false">In!$E$130</definedName>
    <definedName function="false" hidden="false" name="cip_it_hi" vbProcedure="false">In!$F$130</definedName>
    <definedName function="false" hidden="false" name="cip_it_lo" vbProcedure="false">In!$D$130</definedName>
    <definedName function="false" hidden="false" name="cip_lag" vbProcedure="false">In!$E$90</definedName>
    <definedName function="false" hidden="false" name="cip_lag_hi" vbProcedure="false">In!$F$90</definedName>
    <definedName function="false" hidden="false" name="cit_b2" vbProcedure="false">In!$E$112</definedName>
    <definedName function="false" hidden="false" name="cit_b3" vbProcedure="false">In!$E$113</definedName>
    <definedName function="false" hidden="false" name="cit_h" vbProcedure="false">In!$E$111</definedName>
    <definedName function="false" hidden="false" name="cit_vr" vbProcedure="false">In!$E$114</definedName>
    <definedName function="false" hidden="false" name="cloud_ebitda_ttm" vbProcedure="false">Q!$B$75</definedName>
    <definedName function="false" hidden="false" name="cloud_pttm" vbProcedure="false">Q!$B$77</definedName>
    <definedName function="false" hidden="false" name="cloud_ttm" vbProcedure="false">Q!$B$76</definedName>
    <definedName function="false" hidden="false" name="cons_tp" vbProcedure="false">In!$E$45</definedName>
    <definedName function="false" hidden="false" name="conv_mw" vbProcedure="false">In!$E$91</definedName>
    <definedName function="false" hidden="false" name="conv_n" vbProcedure="false">In!$E$141</definedName>
    <definedName function="false" hidden="false" name="conv_sh" vbProcedure="false">In!$E$10</definedName>
    <definedName function="false" hidden="false" name="conv_sh_hi" vbProcedure="false">In!$F$10</definedName>
    <definedName function="false" hidden="false" name="conv_sh_lo" vbProcedure="false">In!$D$10</definedName>
    <definedName function="false" hidden="false" name="cx_co" vbProcedure="false">In!$E$169</definedName>
    <definedName function="false" hidden="false" name="cx_co_hi" vbProcedure="false">In!$F$169</definedName>
    <definedName function="false" hidden="false" name="cx_co_lo" vbProcedure="false">In!$D$169</definedName>
    <definedName function="false" hidden="false" name="cx_ob" vbProcedure="false">In!$E$170</definedName>
    <definedName function="false" hidden="false" name="cx_svc" vbProcedure="false">In!$E$168</definedName>
    <definedName function="false" hidden="false" name="cx_svc_hi" vbProcedure="false">In!$F$168</definedName>
    <definedName function="false" hidden="false" name="cx_svc_lo" vbProcedure="false">In!$D$168</definedName>
    <definedName function="false" hidden="false" name="c_capex_26" vbProcedure="false">In!$E$235</definedName>
    <definedName function="false" hidden="false" name="c_capex_27" vbProcedure="false">In!$E$236</definedName>
    <definedName function="false" hidden="false" name="c_capex_28" vbProcedure="false">In!$E$237</definedName>
    <definedName function="false" hidden="false" name="c_ebitda_26" vbProcedure="false">In!$E$241</definedName>
    <definedName function="false" hidden="false" name="c_ebitda_27" vbProcedure="false">In!$E$242</definedName>
    <definedName function="false" hidden="false" name="c_ebitda_28" vbProcedure="false">In!$E$243</definedName>
    <definedName function="false" hidden="false" name="c_ebit_26" vbProcedure="false">In!$E$229</definedName>
    <definedName function="false" hidden="false" name="c_ebit_27" vbProcedure="false">In!$E$230</definedName>
    <definedName function="false" hidden="false" name="c_ebit_28" vbProcedure="false">In!$E$231</definedName>
    <definedName function="false" hidden="false" name="c_eps26_sa" vbProcedure="false">In!$E$244</definedName>
    <definedName function="false" hidden="false" name="c_eps26_sa_hi" vbProcedure="false">In!$F$244</definedName>
    <definedName function="false" hidden="false" name="c_eps26_sa_lo" vbProcedure="false">In!$D$244</definedName>
    <definedName function="false" hidden="false" name="c_eps_26" vbProcedure="false">In!$E$232</definedName>
    <definedName function="false" hidden="false" name="c_eps_27" vbProcedure="false">In!$E$233</definedName>
    <definedName function="false" hidden="false" name="c_eps_28" vbProcedure="false">In!$E$234</definedName>
    <definedName function="false" hidden="false" name="c_fcf_26" vbProcedure="false">In!$E$238</definedName>
    <definedName function="false" hidden="false" name="c_fcf_27" vbProcedure="false">In!$E$239</definedName>
    <definedName function="false" hidden="false" name="c_fcf_28" vbProcedure="false">In!$E$240</definedName>
    <definedName function="false" hidden="false" name="c_rev_26" vbProcedure="false">In!$E$226</definedName>
    <definedName function="false" hidden="false" name="c_rev_27" vbProcedure="false">In!$E$227</definedName>
    <definedName function="false" hidden="false" name="c_rev_28" vbProcedure="false">In!$E$228</definedName>
    <definedName function="false" hidden="false" name="dA" vbProcedure="false">In!$E$148</definedName>
    <definedName function="false" hidden="false" name="da_base" vbProcedure="false">In!$E$128</definedName>
    <definedName function="false" hidden="false" name="dA_hi" vbProcedure="false">In!$F$148</definedName>
    <definedName function="false" hidden="false" name="dA_lo" vbProcedure="false">In!$D$148</definedName>
    <definedName function="false" hidden="false" name="da_ttm" vbProcedure="false">Q!$B$69</definedName>
    <definedName function="false" hidden="false" name="dC" vbProcedure="false">In!$E$150</definedName>
    <definedName function="false" hidden="false" name="dC_hi" vbProcedure="false">In!$F$150</definedName>
    <definedName function="false" hidden="false" name="dC_lo" vbProcedure="false">In!$D$150</definedName>
    <definedName function="false" hidden="false" name="debt_0" vbProcedure="false">In!$E$13</definedName>
    <definedName function="false" hidden="false" name="debt_new_2h" vbProcedure="false">In!$E$205</definedName>
    <definedName function="false" hidden="false" name="debt_ye25" vbProcedure="false">In!$E$218</definedName>
    <definedName function="false" hidden="false" name="dil" vbProcedure="false">In!$E$177</definedName>
    <definedName function="false" hidden="false" name="dil_hi" vbProcedure="false">In!$F$177</definedName>
    <definedName function="false" hidden="false" name="dil_lo" vbProcedure="false">In!$D$177</definedName>
    <definedName function="false" hidden="false" name="dpi_b2" vbProcedure="false">In!$E$116</definedName>
    <definedName function="false" hidden="false" name="dpi_b3" vbProcedure="false">In!$E$117</definedName>
    <definedName function="false" hidden="false" name="dpi_h" vbProcedure="false">In!$E$115</definedName>
    <definedName function="false" hidden="false" name="dps" vbProcedure="false">In!$E$180</definedName>
    <definedName function="false" hidden="false" name="dps_g" vbProcedure="false">In!$E$181</definedName>
    <definedName function="false" hidden="false" name="dps_tgt" vbProcedure="false">In!$E$46</definedName>
    <definedName function="false" hidden="false" name="eq_1H" vbProcedure="false">In!$E$215</definedName>
    <definedName function="false" hidden="false" name="erp" vbProcedure="false">In!$E$28</definedName>
    <definedName function="false" hidden="false" name="erp_hi" vbProcedure="false">In!$F$28</definedName>
    <definedName function="false" hidden="false" name="erp_lo" vbProcedure="false">In!$D$28</definedName>
    <definedName function="false" hidden="false" name="ext_sh" vbProcedure="false">In!$E$77</definedName>
    <definedName function="false" hidden="false" name="ext_sh_hi" vbProcedure="false">In!$F$77</definedName>
    <definedName function="false" hidden="false" name="ext_sh_lo" vbProcedure="false">In!$D$77</definedName>
    <definedName function="false" hidden="false" name="fines" vbProcedure="false">In!$E$14</definedName>
    <definedName function="false" hidden="false" name="fin_lease" vbProcedure="false">In!$E$31</definedName>
    <definedName function="false" hidden="false" name="g0s_q" vbProcedure="false">In!$E$142</definedName>
    <definedName function="false" hidden="false" name="g0s_q_hi" vbProcedure="false">In!$F$142</definedName>
    <definedName function="false" hidden="false" name="g0_cloud" vbProcedure="false">Q!$B$63</definedName>
    <definedName function="false" hidden="false" name="g0_co" vbProcedure="false">Thesis!$C$16</definedName>
    <definedName function="false" hidden="false" name="g0_net" vbProcedure="false">Q!$B$61</definedName>
    <definedName function="false" hidden="false" name="g0_search" vbProcedure="false">Q!$B$59</definedName>
    <definedName function="false" hidden="false" name="g0_subs" vbProcedure="false">Q!$B$62</definedName>
    <definedName function="false" hidden="false" name="g0_yt" vbProcedure="false">Q!$B$60</definedName>
    <definedName function="false" hidden="false" name="gl_co" vbProcedure="false">In!$E$147</definedName>
    <definedName function="false" hidden="false" name="gl_co_hi" vbProcedure="false">In!$F$147</definedName>
    <definedName function="false" hidden="false" name="gl_co_lo" vbProcedure="false">In!$D$147</definedName>
    <definedName function="false" hidden="false" name="gl_net" vbProcedure="false">In!$E$145</definedName>
    <definedName function="false" hidden="false" name="gl_net_hi" vbProcedure="false">In!$F$145</definedName>
    <definedName function="false" hidden="false" name="gl_net_lo" vbProcedure="false">In!$D$145</definedName>
    <definedName function="false" hidden="false" name="gl_search" vbProcedure="false">In!$E$143</definedName>
    <definedName function="false" hidden="false" name="gl_search_hi" vbProcedure="false">In!$F$143</definedName>
    <definedName function="false" hidden="false" name="gl_search_lo" vbProcedure="false">In!$D$143</definedName>
    <definedName function="false" hidden="false" name="gl_subs" vbProcedure="false">In!$E$146</definedName>
    <definedName function="false" hidden="false" name="gl_subs_hi" vbProcedure="false">In!$F$146</definedName>
    <definedName function="false" hidden="false" name="gl_subs_lo" vbProcedure="false">In!$D$146</definedName>
    <definedName function="false" hidden="false" name="gl_yt" vbProcedure="false">In!$E$144</definedName>
    <definedName function="false" hidden="false" name="gl_yt_hi" vbProcedure="false">In!$F$144</definedName>
    <definedName function="false" hidden="false" name="gl_yt_lo" vbProcedure="false">In!$D$144</definedName>
    <definedName function="false" hidden="false" name="gpuhr_h" vbProcedure="false">In!$E$106</definedName>
    <definedName function="false" hidden="false" name="g_tv" vbProcedure="false">In!$E$34</definedName>
    <definedName function="false" hidden="false" name="g_tv_hi" vbProcedure="false">In!$F$34</definedName>
    <definedName function="false" hidden="false" name="g_tv_lo" vbProcedure="false">In!$D$34</definedName>
    <definedName function="false" hidden="false" name="he_b2" vbProcedure="false">In!$E$103</definedName>
    <definedName function="false" hidden="false" name="he_b2_hi" vbProcedure="false">In!$F$103</definedName>
    <definedName function="false" hidden="false" name="he_b2_lo" vbProcedure="false">In!$D$103</definedName>
    <definedName function="false" hidden="false" name="he_b3" vbProcedure="false">In!$E$104</definedName>
    <definedName function="false" hidden="false" name="he_b3_hi" vbProcedure="false">In!$F$104</definedName>
    <definedName function="false" hidden="false" name="he_b3_lo" vbProcedure="false">In!$D$104</definedName>
    <definedName function="false" hidden="false" name="he_h" vbProcedure="false">In!$E$102</definedName>
    <definedName function="false" hidden="false" name="he_h_hi" vbProcedure="false">In!$F$102</definedName>
    <definedName function="false" hidden="false" name="he_h_lo" vbProcedure="false">In!$D$102</definedName>
    <definedName function="false" hidden="false" name="he_vr" vbProcedure="false">In!$E$105</definedName>
    <definedName function="false" hidden="false" name="he_vr_hi" vbProcedure="false">In!$F$105</definedName>
    <definedName function="false" hidden="false" name="he_vr_lo" vbProcedure="false">In!$D$105</definedName>
    <definedName function="false" hidden="false" name="illiq" vbProcedure="false">In!$E$19</definedName>
    <definedName function="false" hidden="false" name="illiq_hi" vbProcedure="false">In!$F$19</definedName>
    <definedName function="false" hidden="false" name="illiq_lo" vbProcedure="false">In!$D$19</definedName>
    <definedName function="false" hidden="false" name="inc_m" vbProcedure="false">In!$E$152</definedName>
    <definedName function="false" hidden="false" name="inc_m_hi" vbProcedure="false">In!$F$152</definedName>
    <definedName function="false" hidden="false" name="inc_m_lo" vbProcedure="false">In!$D$152</definedName>
    <definedName function="false" hidden="false" name="internal_ai_reading" vbProcedure="false">In!$E$49</definedName>
    <definedName function="false" hidden="false" name="internal_ai_reading_lo" vbProcedure="false">In!$D$49</definedName>
    <definedName function="false" hidden="false" name="kd" vbProcedure="false">In!$E$30</definedName>
    <definedName function="false" hidden="false" name="kd_sp" vbProcedure="false">In!$E$29</definedName>
    <definedName function="false" hidden="false" name="kd_sp_hi" vbProcedure="false">In!$F$29</definedName>
    <definedName function="false" hidden="false" name="kd_sp_lo" vbProcedure="false">In!$D$29</definedName>
    <definedName function="false" hidden="false" name="ke" vbProcedure="false">Val!$B$36</definedName>
    <definedName function="false" hidden="false" name="kl_px" vbProcedure="false">In!$E$99</definedName>
    <definedName function="false" hidden="false" name="kl_px_lo" vbProcedure="false">In!$D$99</definedName>
    <definedName function="false" hidden="false" name="ks_px" vbProcedure="false">In!$E$100</definedName>
    <definedName function="false" hidden="false" name="ks_px_hi" vbProcedure="false">In!$F$100</definedName>
    <definedName function="false" hidden="false" name="k_blend" vbProcedure="false">Thesis!$C$8</definedName>
    <definedName function="false" hidden="false" name="k_long" vbProcedure="false">Thesis!$C$6</definedName>
    <definedName function="false" hidden="false" name="k_spot" vbProcedure="false">Thesis!$C$7</definedName>
    <definedName function="false" hidden="false" name="lease_1H" vbProcedure="false">In!$E$211</definedName>
    <definedName function="false" hidden="false" name="lease_27" vbProcedure="false">In!$E$185</definedName>
    <definedName function="false" hidden="false" name="lease_28" vbProcedure="false">In!$E$186</definedName>
    <definedName function="false" hidden="false" name="lease_29" vbProcedure="false">In!$E$187</definedName>
    <definedName function="false" hidden="false" name="lease_2H" vbProcedure="false">In!$E$184</definedName>
    <definedName function="false" hidden="false" name="lease_30" vbProcedure="false">In!$E$188</definedName>
    <definedName function="false" hidden="false" name="lease_31" vbProcedure="false">In!$E$189</definedName>
    <definedName function="false" hidden="false" name="lease_32" vbProcedure="false">In!$E$190</definedName>
    <definedName function="false" hidden="false" name="life_fac" vbProcedure="false">In!$E$125</definedName>
    <definedName function="false" hidden="false" name="life_fac_hi" vbProcedure="false">In!$F$125</definedName>
    <definedName function="false" hidden="false" name="life_fac_lo" vbProcedure="false">In!$D$125</definedName>
    <definedName function="false" hidden="false" name="life_it" vbProcedure="false">In!$E$124</definedName>
    <definedName function="false" hidden="false" name="life_it_hi" vbProcedure="false">In!$F$124</definedName>
    <definedName function="false" hidden="false" name="life_it_lo" vbProcedure="false">In!$D$124</definedName>
    <definedName function="false" hidden="false" name="life_na" vbProcedure="false">In!$E$126</definedName>
    <definedName function="false" hidden="false" name="life_na_hi" vbProcedure="false">In!$F$126</definedName>
    <definedName function="false" hidden="false" name="life_na_lo" vbProcedure="false">In!$D$126</definedName>
    <definedName function="false" hidden="false" name="long_sh" vbProcedure="false">In!$E$101</definedName>
    <definedName function="false" hidden="false" name="long_sh_hi" vbProcedure="false">In!$F$101</definedName>
    <definedName function="false" hidden="false" name="long_sh_lo" vbProcedure="false">In!$D$101</definedName>
    <definedName function="false" hidden="false" name="mA" vbProcedure="false">In!$E$149</definedName>
    <definedName function="false" hidden="false" name="mat_1H" vbProcedure="false">In!$E$213</definedName>
    <definedName function="false" hidden="false" name="mat_27" vbProcedure="false">In!$E$199</definedName>
    <definedName function="false" hidden="false" name="mat_28" vbProcedure="false">In!$E$200</definedName>
    <definedName function="false" hidden="false" name="mat_29" vbProcedure="false">In!$E$201</definedName>
    <definedName function="false" hidden="false" name="mat_2H" vbProcedure="false">In!$E$198</definedName>
    <definedName function="false" hidden="false" name="mat_30" vbProcedure="false">In!$E$202</definedName>
    <definedName function="false" hidden="false" name="mat_31" vbProcedure="false">In!$E$203</definedName>
    <definedName function="false" hidden="false" name="mat_32" vbProcedure="false">In!$E$204</definedName>
    <definedName function="false" hidden="false" name="mA_hi" vbProcedure="false">In!$F$149</definedName>
    <definedName function="false" hidden="false" name="mA_lo" vbProcedure="false">In!$D$149</definedName>
    <definedName function="false" hidden="false" name="mb_ttm" vbProcedure="false">In!$E$48</definedName>
    <definedName function="false" hidden="false" name="mb_ttm_hi" vbProcedure="false">In!$F$48</definedName>
    <definedName function="false" hidden="false" name="mC" vbProcedure="false">In!$E$151</definedName>
    <definedName function="false" hidden="false" name="mC_hi" vbProcedure="false">In!$F$151</definedName>
    <definedName function="false" hidden="false" name="mC_lo" vbProcedure="false">In!$D$151</definedName>
    <definedName function="false" hidden="false" name="mid" vbProcedure="false">In!$E$36</definedName>
    <definedName function="false" hidden="false" name="min_cash" vbProcedure="false">In!$E$183</definedName>
    <definedName function="false" hidden="false" name="mix0_b2" vbProcedure="false">In!$E$86</definedName>
    <definedName function="false" hidden="false" name="mix0_b3" vbProcedure="false">In!$E$87</definedName>
    <definedName function="false" hidden="false" name="mix0_h" vbProcedure="false">In!$E$85</definedName>
    <definedName function="false" hidden="false" name="mult_ads" vbProcedure="false">Val!$B$125</definedName>
    <definedName function="false" hidden="false" name="mult_adsx" vbProcedure="false">Val!$B$128</definedName>
    <definedName function="false" hidden="false" name="mult_ads_own" vbProcedure="false">In!$E$71</definedName>
    <definedName function="false" hidden="false" name="mult_ai" vbProcedure="false">In!$E$70</definedName>
    <definedName function="false" hidden="false" name="mult_ai_hi" vbProcedure="false">In!$F$70</definedName>
    <definedName function="false" hidden="false" name="mult_ai_lo" vbProcedure="false">In!$D$70</definedName>
    <definedName function="false" hidden="false" name="mult_cloud" vbProcedure="false">Val!$B$127</definedName>
    <definedName function="false" hidden="false" name="mult_subs" vbProcedure="false">Val!$B$126</definedName>
    <definedName function="false" hidden="false" name="mw_q2" vbProcedure="false">In!$E$78</definedName>
    <definedName function="false" hidden="false" name="mw_q2_hi" vbProcedure="false">In!$F$78</definedName>
    <definedName function="false" hidden="false" name="mw_q2_lo" vbProcedure="false">In!$D$78</definedName>
    <definedName function="false" hidden="false" name="mw_tot0" vbProcedure="false">In!$E$79</definedName>
    <definedName function="false" hidden="false" name="mw_ye23" vbProcedure="false">In!$E$82</definedName>
    <definedName function="false" hidden="false" name="mw_ye24" vbProcedure="false">In!$E$81</definedName>
    <definedName function="false" hidden="false" name="mw_ye25" vbProcedure="false">In!$E$80</definedName>
    <definedName function="false" hidden="false" name="m_co" vbProcedure="false">Thesis!$C$19</definedName>
    <definedName function="false" hidden="false" name="m_co_1h" vbProcedure="false">Thesis!$C$18</definedName>
    <definedName function="false" hidden="false" name="m_co_ttm" vbProcedure="false">Thesis!$C$17</definedName>
    <definedName function="false" hidden="false" name="m_net" vbProcedure="false">In!$E$166</definedName>
    <definedName function="false" hidden="false" name="m_net_hi" vbProcedure="false">In!$F$166</definedName>
    <definedName function="false" hidden="false" name="m_net_lo" vbProcedure="false">In!$D$166</definedName>
    <definedName function="false" hidden="false" name="m_subs" vbProcedure="false">In!$E$167</definedName>
    <definedName function="false" hidden="false" name="m_subs_hi" vbProcedure="false">In!$F$167</definedName>
    <definedName function="false" hidden="false" name="m_subs_lo" vbProcedure="false">In!$D$167</definedName>
    <definedName function="false" hidden="false" name="m_svc" vbProcedure="false">Q!$B$74</definedName>
    <definedName function="false" hidden="false" name="m_svc_1h" vbProcedure="false">Q!$B$73</definedName>
    <definedName function="false" hidden="false" name="m_svc_ttm" vbProcedure="false">Q!$B$70</definedName>
    <definedName function="false" hidden="false" name="m_yt" vbProcedure="false">In!$E$165</definedName>
    <definedName function="false" hidden="false" name="m_yt_hi" vbProcedure="false">In!$F$165</definedName>
    <definedName function="false" hidden="false" name="m_yt_lo" vbProcedure="false">In!$D$165</definedName>
    <definedName function="false" hidden="false" name="nci" vbProcedure="false">In!$E$15</definedName>
    <definedName function="false" hidden="false" name="newd_1H" vbProcedure="false">In!$E$214</definedName>
    <definedName function="false" hidden="false" name="ob_oi" vbProcedure="false">In!$E$163</definedName>
    <definedName function="false" hidden="false" name="ob_oi_hi" vbProcedure="false">In!$F$163</definedName>
    <definedName function="false" hidden="false" name="ob_oi_lo" vbProcedure="false">In!$D$163</definedName>
    <definedName function="false" hidden="false" name="ob_rev_27" vbProcedure="false">In!$E$157</definedName>
    <definedName function="false" hidden="false" name="ob_rev_28" vbProcedure="false">In!$E$158</definedName>
    <definedName function="false" hidden="false" name="ob_rev_29" vbProcedure="false">In!$E$159</definedName>
    <definedName function="false" hidden="false" name="ob_rev_2H" vbProcedure="false">In!$E$156</definedName>
    <definedName function="false" hidden="false" name="ob_rev_30" vbProcedure="false">In!$E$160</definedName>
    <definedName function="false" hidden="false" name="ob_rev_31" vbProcedure="false">In!$E$161</definedName>
    <definedName function="false" hidden="false" name="ob_rev_32" vbProcedure="false">In!$E$162</definedName>
    <definedName function="false" hidden="false" name="ob_val" vbProcedure="false">In!$E$75</definedName>
    <definedName function="false" hidden="false" name="oi_ob_ttm" vbProcedure="false">Q!$B$78</definedName>
    <definedName function="false" hidden="false" name="opex0" vbProcedure="false">Thesis!$C$12</definedName>
    <definedName function="false" hidden="false" name="opx_b2" vbProcedure="false">In!$E$108</definedName>
    <definedName function="false" hidden="false" name="opx_b3" vbProcedure="false">In!$E$109</definedName>
    <definedName function="false" hidden="false" name="opx_h" vbProcedure="false">In!$E$107</definedName>
    <definedName function="false" hidden="false" name="opx_vr" vbProcedure="false">In!$E$110</definedName>
    <definedName function="false" hidden="false" name="oth_eq" vbProcedure="false">In!$E$21</definedName>
    <definedName function="false" hidden="false" name="pace" vbProcedure="false">In!$E$83</definedName>
    <definedName function="false" hidden="false" name="pace_hi" vbProcedure="false">In!$F$83</definedName>
    <definedName function="false" hidden="false" name="pace_lo" vbProcedure="false">In!$D$83</definedName>
    <definedName function="false" hidden="false" name="pace_tpu1" vbProcedure="false">In!$E$84</definedName>
    <definedName function="false" hidden="false" name="permw0" vbProcedure="false">Thesis!$C$11</definedName>
    <definedName function="false" hidden="false" name="phi_0" vbProcedure="false">In!$E$127</definedName>
    <definedName function="false" hidden="false" name="phi_0_hi" vbProcedure="false">In!$F$127</definedName>
    <definedName function="false" hidden="false" name="phi_0_lo" vbProcedure="false">In!$D$127</definedName>
    <definedName function="false" hidden="false" name="pm_ads_app" vbProcedure="false">In!$E$56</definedName>
    <definedName function="false" hidden="false" name="pm_ads_meta" vbProcedure="false">In!$E$53</definedName>
    <definedName function="false" hidden="false" name="pm_ads_pins" vbProcedure="false">In!$E$54</definedName>
    <definedName function="false" hidden="false" name="pm_ads_rddt" vbProcedure="false">In!$E$57</definedName>
    <definedName function="false" hidden="false" name="pm_ads_snap" vbProcedure="false">In!$E$58</definedName>
    <definedName function="false" hidden="false" name="pm_ads_ttd" vbProcedure="false">In!$E$55</definedName>
    <definedName function="false" hidden="false" name="pm_cloud_akam" vbProcedure="false">In!$E$67</definedName>
    <definedName function="false" hidden="false" name="pm_cloud_crm" vbProcedure="false">In!$E$65</definedName>
    <definedName function="false" hidden="false" name="pm_cloud_docn" vbProcedure="false">In!$E$69</definedName>
    <definedName function="false" hidden="false" name="pm_cloud_eqix" vbProcedure="false">In!$E$68</definedName>
    <definedName function="false" hidden="false" name="pm_cloud_ibm" vbProcedure="false">In!$E$63</definedName>
    <definedName function="false" hidden="false" name="pm_cloud_now" vbProcedure="false">In!$E$66</definedName>
    <definedName function="false" hidden="false" name="pm_cloud_orcl" vbProcedure="false">In!$E$62</definedName>
    <definedName function="false" hidden="false" name="pm_cloud_sap" vbProcedure="false">In!$E$64</definedName>
    <definedName function="false" hidden="false" name="pm_subs_dis" vbProcedure="false">In!$E$61</definedName>
    <definedName function="false" hidden="false" name="pm_subs_nflx" vbProcedure="false">In!$E$59</definedName>
    <definedName function="false" hidden="false" name="pm_subs_spot" vbProcedure="false">In!$E$60</definedName>
    <definedName function="false" hidden="false" name="pref_1H" vbProcedure="false">In!$E$217</definedName>
    <definedName function="false" hidden="false" name="pref_27" vbProcedure="false">In!$E$207</definedName>
    <definedName function="false" hidden="false" name="pref_28" vbProcedure="false">In!$E$208</definedName>
    <definedName function="false" hidden="false" name="pref_29" vbProcedure="false">In!$E$209</definedName>
    <definedName function="false" hidden="false" name="pref_2H" vbProcedure="false">In!$E$206</definedName>
    <definedName function="false" hidden="false" name="pref_paid_1H" vbProcedure="false">In!$E$216</definedName>
    <definedName function="false" hidden="false" name="px" vbProcedure="false">In!$E$5</definedName>
    <definedName function="false" hidden="false" name="px_v022" vbProcedure="false">In!$E$225</definedName>
    <definedName function="false" hidden="false" name="px_val" vbProcedure="false">In!$E$6</definedName>
    <definedName function="false" hidden="false" name="q3sh_cloud" vbProcedure="false">Q!$B$81</definedName>
    <definedName function="false" hidden="false" name="rent_27" vbProcedure="false">In!$E$137</definedName>
    <definedName function="false" hidden="false" name="rent_28" vbProcedure="false">In!$E$138</definedName>
    <definedName function="false" hidden="false" name="rent_29" vbProcedure="false">In!$E$139</definedName>
    <definedName function="false" hidden="false" name="rent_2H" vbProcedure="false">In!$E$136</definedName>
    <definedName function="false" hidden="false" name="rev3_ttm" vbProcedure="false">Q!$B$65</definedName>
    <definedName function="false" hidden="false" name="rf" vbProcedure="false">In!$E$23</definedName>
    <definedName function="false" hidden="false" name="ronic" vbProcedure="false">Val!$B$39</definedName>
    <definedName function="false" hidden="false" name="ronic_sp" vbProcedure="false">In!$E$35</definedName>
    <definedName function="false" hidden="false" name="ronic_sp_hi" vbProcedure="false">In!$F$35</definedName>
    <definedName function="false" hidden="false" name="rpo_24m" vbProcedure="false">In!$E$220</definedName>
    <definedName function="false" hidden="false" name="rpo_cloud" vbProcedure="false">In!$E$219</definedName>
    <definedName function="false" hidden="false" name="r_cash" vbProcedure="false">In!$E$174</definedName>
    <definedName function="false" hidden="false" name="r_debt" vbProcedure="false">In!$E$175</definedName>
    <definedName function="false" hidden="false" name="sbc_add" vbProcedure="false">In!$E$50</definedName>
    <definedName function="false" hidden="false" name="sbc_add_hi" vbProcedure="false">In!$F$50</definedName>
    <definedName function="false" hidden="false" name="sbc_r" vbProcedure="false">In!$E$176</definedName>
    <definedName function="false" hidden="false" name="selfb" vbProcedure="false">In!$E$123</definedName>
    <definedName function="false" hidden="false" name="selfb_hi" vbProcedure="false">In!$F$123</definedName>
    <definedName function="false" hidden="false" name="selfb_lo" vbProcedure="false">In!$D$123</definedName>
    <definedName function="false" hidden="false" name="sh1_cloud" vbProcedure="false">Q!$B$72</definedName>
    <definedName function="false" hidden="false" name="sh1_svc" vbProcedure="false">Q!$B$71</definedName>
    <definedName function="false" hidden="false" name="sh_basic_q2" vbProcedure="false">In!$E$9</definedName>
    <definedName function="false" hidden="false" name="sh_cloud" vbProcedure="false">Q!$B$67</definedName>
    <definedName function="false" hidden="false" name="sh_dil_q2" vbProcedure="false">In!$E$8</definedName>
    <definedName function="false" hidden="false" name="sh_ob" vbProcedure="false">Q!$B$68</definedName>
    <definedName function="false" hidden="false" name="sh_out" vbProcedure="false">In!$E$7</definedName>
    <definedName function="false" hidden="false" name="sh_svc" vbProcedure="false">Q!$B$66</definedName>
    <definedName function="false" hidden="false" name="spacex" vbProcedure="false">In!$E$20</definedName>
    <definedName function="false" hidden="false" name="svc_sh" vbProcedure="false">In!$E$133</definedName>
    <definedName function="false" hidden="false" name="svc_sh_hi" vbProcedure="false">In!$F$133</definedName>
    <definedName function="false" hidden="false" name="svc_sh_lo" vbProcedure="false">In!$D$133</definedName>
    <definedName function="false" hidden="false" name="svc_ttm" vbProcedure="false">Q!$B$64</definedName>
    <definedName function="false" hidden="false" name="tac_sh" vbProcedure="false">Q!$B$80</definedName>
    <definedName function="false" hidden="false" name="tax" vbProcedure="false">In!$E$172</definedName>
    <definedName function="false" hidden="false" name="tax_eq" vbProcedure="false">In!$E$173</definedName>
    <definedName function="false" hidden="false" name="tax_hi" vbProcedure="false">In!$F$172</definedName>
    <definedName function="false" hidden="false" name="tax_lo" vbProcedure="false">In!$D$172</definedName>
    <definedName function="false" hidden="false" name="tax_w" vbProcedure="false">In!$E$33</definedName>
    <definedName function="false" hidden="false" name="tpu_2h" vbProcedure="false">In!$E$153</definedName>
    <definedName function="false" hidden="false" name="tpu_2h_hi" vbProcedure="false">In!$F$153</definedName>
    <definedName function="false" hidden="false" name="tpu_2h_lo" vbProcedure="false">In!$D$153</definedName>
    <definedName function="false" hidden="false" name="tpu_adj" vbProcedure="false">Thesis!$C$9</definedName>
    <definedName function="false" hidden="false" name="tpu_adjc" vbProcedure="false">Thesis!$C$10</definedName>
    <definedName function="false" hidden="false" name="tpu_cf" vbProcedure="false">In!$E$97</definedName>
    <definedName function="false" hidden="false" name="tpu_cf_hi" vbProcedure="false">In!$F$97</definedName>
    <definedName function="false" hidden="false" name="tpu_cf_lo" vbProcedure="false">In!$D$97</definedName>
    <definedName function="false" hidden="false" name="tpu_f" vbProcedure="false">In!$E$96</definedName>
    <definedName function="false" hidden="false" name="tpu_f_hi" vbProcedure="false">In!$F$96</definedName>
    <definedName function="false" hidden="false" name="tpu_f_lo" vbProcedure="false">In!$D$96</definedName>
    <definedName function="false" hidden="false" name="tpu_hold" vbProcedure="false">In!$E$94</definedName>
    <definedName function="false" hidden="false" name="tpu_hold_hi" vbProcedure="false">In!$F$94</definedName>
    <definedName function="false" hidden="false" name="tpu_hold_lo" vbProcedure="false">In!$D$94</definedName>
    <definedName function="false" hidden="false" name="tpu_m" vbProcedure="false">In!$E$155</definedName>
    <definedName function="false" hidden="false" name="tpu_m_hi" vbProcedure="false">In!$F$155</definedName>
    <definedName function="false" hidden="false" name="tpu_m_lo" vbProcedure="false">In!$D$155</definedName>
    <definedName function="false" hidden="false" name="tpu_out" vbProcedure="false">In!$E$95</definedName>
    <definedName function="false" hidden="false" name="tpu_out_hi" vbProcedure="false">In!$F$95</definedName>
    <definedName function="false" hidden="false" name="tpu_out_lo" vbProcedure="false">In!$D$95</definedName>
    <definedName function="false" hidden="false" name="tpu_sh" vbProcedure="false">In!$E$93</definedName>
    <definedName function="false" hidden="false" name="tpu_yr" vbProcedure="false">In!$E$154</definedName>
    <definedName function="false" hidden="false" name="tpu_yr_hi" vbProcedure="false">In!$F$154</definedName>
    <definedName function="false" hidden="false" name="tpu_yr_lo" vbProcedure="false">In!$D$154</definedName>
    <definedName function="false" hidden="false" name="tpw_v022" vbProcedure="false">In!$E$224</definedName>
    <definedName function="false" hidden="false" name="tp_v022" vbProcedure="false">In!$E$223</definedName>
    <definedName function="false" hidden="false" name="tp_v03" vbProcedure="false">In!$E$222</definedName>
    <definedName function="false" hidden="false" name="tp_wA" vbProcedure="false">In!$E$39</definedName>
    <definedName function="false" hidden="false" name="tp_wB" vbProcedure="false">In!$E$40</definedName>
    <definedName function="false" hidden="false" name="tp_wC" vbProcedure="false">In!$E$41</definedName>
    <definedName function="false" hidden="false" name="tv_alt" vbProcedure="false">In!$E$51</definedName>
    <definedName function="false" hidden="false" name="tv_alt_hi" vbProcedure="false">In!$F$51</definedName>
    <definedName function="false" hidden="false" name="t_px0" vbProcedure="false">In!$E$47</definedName>
    <definedName function="false" hidden="false" name="t_q4" vbProcedure="false">In!$E$38</definedName>
    <definedName function="false" hidden="false" name="t_tgt" vbProcedure="false">In!$E$43</definedName>
    <definedName function="false" hidden="false" name="t_val" vbProcedure="false">In!$E$37</definedName>
    <definedName function="false" hidden="false" name="wacc" vbProcedure="false">Val!$B$38</definedName>
    <definedName function="false" hidden="false" name="wacc_adj" vbProcedure="false">In!$E$32</definedName>
    <definedName function="false" hidden="false" name="wacc_adj_hi" vbProcedure="false">In!$F$32</definedName>
    <definedName function="false" hidden="false" name="wacc_adj_lo" vbProcedure="false">In!$D$32</definedName>
    <definedName function="false" hidden="false" name="waymo_stake" vbProcedure="false">In!$E$74</definedName>
    <definedName function="false" hidden="false" name="waymo_stake_hi" vbProcedure="false">In!$F$74</definedName>
    <definedName function="false" hidden="false" name="waymo_stake_lo" vbProcedure="false">In!$D$74</definedName>
    <definedName function="false" hidden="false" name="waymo_val" vbProcedure="false">In!$E$73</definedName>
    <definedName function="false" hidden="false" name="wc_2h" vbProcedure="false">In!$E$178</definedName>
    <definedName function="false" hidden="false" name="wc_k" vbProcedure="false">In!$E$179</definedName>
    <definedName function="false" hidden="false" name="wc_k_hi" vbProcedure="false">In!$F$179</definedName>
    <definedName function="false" hidden="false" name="wc_k_lo" vbProcedure="false">In!$D$179</definedName>
    <definedName function="false" hidden="false" name="w_dcf" vbProcedure="false">In!$E$42</definedName>
    <definedName function="false" hidden="false" name="w_dcf_hi" vbProcedure="false">In!$F$42</definedName>
    <definedName function="false" hidden="false" name="w_dcf_lo" vbProcedure="false">In!$D$42</definedName>
    <definedName function="false" hidden="false" name="w_ntm27" vbProcedure="false">In!$E$44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<sst xmlns="http://schemas.openxmlformats.org/spreadsheetml/2006/main" count="3705" uniqueCount="1618">
  <si>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）個股模型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季度滾動）— 命題模組＋官方營收分部 → 損益表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</si>
  <si>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改變搜尋之後，</t>
    </r>
    <r>
      <rPr>
        <sz val="11"/>
        <color theme="1"/>
        <rFont val="Calibri"/>
        <family val="2"/>
        <charset val="1"/>
      </rPr>
      <t xml:space="preserve">Google Search </t>
    </r>
    <r>
      <rPr>
        <sz val="11"/>
        <color theme="1"/>
        <rFont val="Noto Sans CJK SC"/>
        <family val="2"/>
      </rPr>
      <t xml:space="preserve">的變現能否守住，同時 </t>
    </r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）能否把翻倍的資本支出變成營收；資本支出與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年股權發行後的每股價值是否高於現價。</t>
    </r>
  </si>
  <si>
    <r>
      <rPr>
        <sz val="11"/>
        <color theme="1"/>
        <rFont val="Noto Sans CJK SC"/>
        <family val="2"/>
      </rPr>
      <t xml:space="preserve">核心問題：</t>
    </r>
    <r>
      <rPr>
        <sz val="11"/>
        <color theme="1"/>
        <rFont val="Calibri"/>
        <family val="2"/>
        <charset val="1"/>
      </rPr>
      <t xml:space="preserve">Search &amp; other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助理分流、每次查詢變現下降）下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營收與利益率會掉多少，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營收能否抵銷；加計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折舊與股權發行後的每股價值。</t>
    </r>
  </si>
  <si>
    <t xml:space="preserve">驅動 → 推導對照表（每頁輸入、推導量、因果方向）</t>
  </si>
  <si>
    <t xml:space="preserve">頁</t>
  </si>
  <si>
    <r>
      <rPr>
        <b val="true"/>
        <sz val="11"/>
        <rFont val="Noto Sans CJK SC"/>
        <family val="2"/>
      </rPr>
      <t xml:space="preserve">輸入（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頁鍵）</t>
    </r>
  </si>
  <si>
    <t xml:space="preserve">推導量</t>
  </si>
  <si>
    <t xml:space="preserve">因果方向</t>
  </si>
  <si>
    <t xml:space="preserve">Thesis</t>
  </si>
  <si>
    <r>
      <rPr>
        <sz val="11"/>
        <color theme="1"/>
        <rFont val="Calibri"/>
        <family val="2"/>
        <charset val="1"/>
      </rPr>
      <t xml:space="preserve">pace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ext_sh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mw_tot0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kl_px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ks_px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long_sh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Tokenomics IF_HoldEcon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OpexGW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CapexIT</t>
    </r>
  </si>
  <si>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資本支出、新增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折舊、自用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</t>
    </r>
  </si>
  <si>
    <r>
      <rPr>
        <sz val="11"/>
        <color theme="1"/>
        <rFont val="Calibri"/>
        <family val="2"/>
        <charset val="1"/>
      </rPr>
      <t xml:space="preserve">MW → </t>
    </r>
    <r>
      <rPr>
        <sz val="11"/>
        <color theme="1"/>
        <rFont val="Noto Sans CJK SC"/>
        <family val="2"/>
      </rPr>
      <t xml:space="preserve">收入（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× 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MW → </t>
    </r>
    <r>
      <rPr>
        <sz val="11"/>
        <color theme="1"/>
        <rFont val="Noto Sans CJK SC"/>
        <family val="2"/>
      </rPr>
      <t xml:space="preserve">資本支出 → 折舊 → 分部營業利益</t>
    </r>
  </si>
  <si>
    <t xml:space="preserve">Seg</t>
  </si>
  <si>
    <r>
      <rPr>
        <sz val="11"/>
        <color theme="1"/>
        <rFont val="Calibri"/>
        <family val="2"/>
        <charset val="1"/>
      </rPr>
      <t xml:space="preserve">g0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頁近四季）、</t>
    </r>
    <r>
      <rPr>
        <sz val="11"/>
        <color theme="1"/>
        <rFont val="Calibri"/>
        <family val="2"/>
        <charset val="1"/>
      </rPr>
      <t xml:space="preserve">gl_*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conv_n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ob_rev_*</t>
    </r>
  </si>
  <si>
    <r>
      <rPr>
        <sz val="11"/>
        <color theme="1"/>
        <rFont val="Noto Sans CJK SC"/>
        <family val="2"/>
      </rPr>
      <t xml:space="preserve">四條產品線、三個分部、合併營收；非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資本支出與折舊</t>
    </r>
  </si>
  <si>
    <r>
      <rPr>
        <sz val="11"/>
        <color theme="1"/>
        <rFont val="Noto Sans CJK SC"/>
        <family val="2"/>
      </rPr>
      <t xml:space="preserve">近四季年增 → 長期值；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分流</t>
    </r>
    <r>
      <rPr>
        <sz val="11"/>
        <color theme="1"/>
        <rFont val="Calibri"/>
        <family val="2"/>
        <charset val="1"/>
      </rPr>
      <t xml:space="preserve">)×(1</t>
    </r>
    <r>
      <rPr>
        <sz val="11"/>
        <color theme="1"/>
        <rFont val="Noto Sans CJK SC"/>
        <family val="2"/>
      </rPr>
      <t xml:space="preserve">＋變現變動</t>
    </r>
    <r>
      <rPr>
        <sz val="11"/>
        <color theme="1"/>
        <rFont val="Calibri"/>
        <family val="2"/>
        <charset val="1"/>
      </rPr>
      <t xml:space="preserve">)</t>
    </r>
  </si>
  <si>
    <t xml:space="preserve">PL</t>
  </si>
  <si>
    <r>
      <rPr>
        <sz val="11"/>
        <color theme="1"/>
        <rFont val="Calibri"/>
        <family val="2"/>
        <charset val="1"/>
      </rPr>
      <t xml:space="preserve">m_svc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inc_m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tpu_m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abc_rate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svc_sh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da_base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tax</t>
    </r>
  </si>
  <si>
    <r>
      <rPr>
        <sz val="11"/>
        <color theme="1"/>
        <rFont val="Noto Sans CJK SC"/>
        <family val="2"/>
      </rPr>
      <t xml:space="preserve">分部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、分部營業利益、合併營業利益、淨利、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</si>
  <si>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分部營收 → 分部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折舊 → 營業利益 → 業外、稅 → </t>
    </r>
    <r>
      <rPr>
        <sz val="11"/>
        <color theme="1"/>
        <rFont val="Calibri"/>
        <family val="2"/>
        <charset val="1"/>
      </rPr>
      <t xml:space="preserve">EPS</t>
    </r>
  </si>
  <si>
    <t xml:space="preserve">CF</t>
  </si>
  <si>
    <r>
      <rPr>
        <sz val="11"/>
        <color theme="1"/>
        <rFont val="Calibri"/>
        <family val="2"/>
        <charset val="1"/>
      </rPr>
      <t xml:space="preserve">sbc_r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wc_*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bb_t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min_cash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anth_*</t>
    </r>
  </si>
  <si>
    <t xml:space="preserve">自由現金流、股利、回購、新債、淨現金、收支關卡</t>
  </si>
  <si>
    <t xml:space="preserve">淨利＋折舊 − 資本支出 → 自由現金流 → 股利 → 回購／舉債</t>
  </si>
  <si>
    <t xml:space="preserve">Val</t>
  </si>
  <si>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erp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g_tv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、同業倍數、持股、</t>
    </r>
    <r>
      <rPr>
        <sz val="11"/>
        <color theme="1"/>
        <rFont val="Calibri"/>
        <family val="2"/>
        <charset val="1"/>
      </rPr>
      <t xml:space="preserve">tp_w*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w_dcf</t>
    </r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</si>
  <si>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、分部加總、目標價、上檔空間、投資建議</t>
    </r>
  </si>
  <si>
    <r>
      <rPr>
        <sz val="11"/>
        <color theme="1"/>
        <rFont val="Noto Sans CJK SC"/>
        <family val="2"/>
      </rPr>
      <t xml:space="preserve">無槓桿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折現＋分部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倍數 → 情境加權 →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</si>
  <si>
    <t xml:space="preserve">Sens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</si>
  <si>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頁低／高值</t>
    </r>
  </si>
  <si>
    <t xml:space="preserve">加權目標價變動</t>
  </si>
  <si>
    <t xml:space="preserve">一次改一個輸入、整本重算</t>
  </si>
  <si>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的差異（</t>
    </r>
    <r>
      <rPr>
        <b val="true"/>
        <sz val="11"/>
        <rFont val="Cambria"/>
        <family val="0"/>
        <charset val="1"/>
      </rPr>
      <t xml:space="preserve">v0.3.1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2026Q3 </t>
    </r>
    <r>
      <rPr>
        <b val="true"/>
        <sz val="11"/>
        <rFont val="Noto Sans CJK SC"/>
        <family val="2"/>
      </rPr>
      <t xml:space="preserve">季度滾動）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</si>
  <si>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頁加入 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（保留 </t>
    </r>
    <r>
      <rPr>
        <sz val="11"/>
        <color theme="1"/>
        <rFont val="Calibri"/>
        <family val="2"/>
        <charset val="1"/>
      </rPr>
      <t xml:space="preserve">2024Q4–2026Q3 </t>
    </r>
    <r>
      <rPr>
        <sz val="11"/>
        <color theme="1"/>
        <rFont val="Noto Sans CJK SC"/>
        <family val="2"/>
      </rPr>
      <t xml:space="preserve">八季）；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模型；評價日 </t>
    </r>
    <r>
      <rPr>
        <sz val="11"/>
        <color theme="1"/>
        <rFont val="Calibri"/>
        <family val="2"/>
        <charset val="1"/>
      </rPr>
      <t xml:space="preserve">2026-06-30 → 2026-09-30</t>
    </r>
    <r>
      <rPr>
        <sz val="11"/>
        <color theme="1"/>
        <rFont val="Noto Sans CJK SC"/>
        <family val="2"/>
      </rPr>
      <t xml:space="preserve">，目標日 </t>
    </r>
    <r>
      <rPr>
        <sz val="11"/>
        <color theme="1"/>
        <rFont val="Calibri"/>
        <family val="2"/>
        <charset val="1"/>
      </rPr>
      <t xml:space="preserve">2027-10-29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個月後）。</t>
    </r>
  </si>
  <si>
    <r>
      <rPr>
        <sz val="11"/>
        <color theme="1"/>
        <rFont val="Calibri"/>
        <family val="2"/>
        <charset val="1"/>
      </rPr>
      <t xml:space="preserve">Tokenomics v21.4 → v21.7</t>
    </r>
    <r>
      <rPr>
        <sz val="11"/>
        <color theme="1"/>
        <rFont val="Noto Sans CJK SC"/>
        <family val="2"/>
      </rPr>
      <t xml:space="preserve">（快照重取；契約名稱只有 </t>
    </r>
    <r>
      <rPr>
        <sz val="11"/>
        <color theme="1"/>
        <rFont val="Calibri"/>
        <family val="2"/>
        <charset val="1"/>
      </rPr>
      <t xml:space="preserve">IF_NonNV_Hold_TPU </t>
    </r>
    <r>
      <rPr>
        <sz val="11"/>
        <color theme="1"/>
        <rFont val="Noto Sans CJK SC"/>
        <family val="2"/>
      </rPr>
      <t xml:space="preserve">改變）；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係數由「同期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 </t>
    </r>
    <r>
      <rPr>
        <sz val="11"/>
        <color theme="1"/>
        <rFont val="Calibri"/>
        <family val="2"/>
        <charset val="1"/>
      </rPr>
      <t xml:space="preserve">× 1.0</t>
    </r>
    <r>
      <rPr>
        <sz val="11"/>
        <color theme="1"/>
        <rFont val="Noto Sans CJK SC"/>
        <family val="2"/>
      </rPr>
      <t xml:space="preserve">」改讀 </t>
    </r>
    <r>
      <rPr>
        <sz val="11"/>
        <color theme="1"/>
        <rFont val="Calibri"/>
        <family val="2"/>
        <charset val="1"/>
      </rPr>
      <t xml:space="preserve">IF_NonNV_Hold_TPU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），舊口徑列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</si>
  <si>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資本支出指引維持 </t>
    </r>
    <r>
      <rPr>
        <sz val="11"/>
        <color theme="1"/>
        <rFont val="Calibri"/>
        <family val="2"/>
        <charset val="1"/>
      </rPr>
      <t xml:space="preserve">195–205 → AI MW </t>
    </r>
    <r>
      <rPr>
        <sz val="11"/>
        <color theme="1"/>
        <rFont val="Noto Sans CJK SC"/>
        <family val="2"/>
      </rPr>
      <t xml:space="preserve">速度以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131.95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公式＝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重解。</t>
    </r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</si>
  <si>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權益權重與回購價改用評價日股價（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344.08</t>
    </r>
    <r>
      <rPr>
        <sz val="11"/>
        <color theme="1"/>
        <rFont val="Noto Sans CJK SC"/>
        <family val="2"/>
      </rPr>
      <t xml:space="preserve">），現價只影響上檔空間與評等。</t>
    </r>
  </si>
  <si>
    <r>
      <rPr>
        <sz val="11"/>
        <color theme="1"/>
        <rFont val="Noto Sans CJK SC"/>
        <family val="2"/>
      </rPr>
      <t xml:space="preserve">架構與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相同（命題＋官方分部 → 損益表；讀法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主值）；</t>
    </r>
    <r>
      <rPr>
        <sz val="11"/>
        <color theme="1"/>
        <rFont val="Calibri"/>
        <family val="2"/>
        <charset val="1"/>
      </rPr>
      <t xml:space="preserve">v0.2.2 → v0.3 </t>
    </r>
    <r>
      <rPr>
        <sz val="11"/>
        <color theme="1"/>
        <rFont val="Noto Sans CJK SC"/>
        <family val="2"/>
      </rPr>
      <t xml:space="preserve">的差異見 </t>
    </r>
    <r>
      <rPr>
        <sz val="11"/>
        <color theme="1"/>
        <rFont val="Calibri"/>
        <family val="2"/>
        <charset val="1"/>
      </rPr>
      <t xml:space="preserve">dist/_</t>
    </r>
    <r>
      <rPr>
        <sz val="11"/>
        <color theme="1"/>
        <rFont val="Noto Sans CJK SC"/>
        <family val="2"/>
      </rPr>
      <t xml:space="preserve">待刪除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成品與 </t>
    </r>
    <r>
      <rPr>
        <sz val="11"/>
        <color theme="1"/>
        <rFont val="Calibri"/>
        <family val="2"/>
        <charset val="1"/>
      </rPr>
      <t xml:space="preserve">docs/reports/20261027_alphabet_v0.3_</t>
    </r>
    <r>
      <rPr>
        <sz val="11"/>
        <color theme="1"/>
        <rFont val="Noto Sans CJK SC"/>
        <family val="2"/>
      </rPr>
      <t xml:space="preserve">分部架構</t>
    </r>
    <r>
      <rPr>
        <sz val="11"/>
        <color theme="1"/>
        <rFont val="Calibri"/>
        <family val="2"/>
        <charset val="1"/>
      </rPr>
      <t xml:space="preserve">.md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</si>
  <si>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工作表：</t>
    </r>
    <r>
      <rPr>
        <b val="true"/>
        <sz val="11"/>
        <rFont val="Cambria"/>
        <family val="0"/>
        <charset val="1"/>
      </rPr>
      <t xml:space="preserve">README → In → Q → Thesis → Seg → PL → CF → Val → Recon → Sens → Sources</t>
    </r>
    <r>
      <rPr>
        <b val="true"/>
        <sz val="11"/>
        <rFont val="Noto Sans CJK SC"/>
        <family val="2"/>
      </rPr>
      <t xml:space="preserve">。藍字＝輸入、黑字＝公式；黃底＝判斷題。建置：</t>
    </r>
    <r>
      <rPr>
        <b val="true"/>
        <sz val="11"/>
        <rFont val="Cambria"/>
        <family val="0"/>
        <charset val="1"/>
      </rPr>
      <t xml:space="preserve">bash alphabet/make_v03.sh</t>
    </r>
  </si>
  <si>
    <r>
      <rPr>
        <sz val="11"/>
        <color theme="1"/>
        <rFont val="Noto Sans CJK SC"/>
        <family val="2"/>
      </rPr>
      <t xml:space="preserve">數字標記：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（經查核）／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（公司或賣方自述）／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（換算）。本模型是研究整理，不是投資建議以外的保證。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</si>
  <si>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的驅動見本頁最後一節「情境驅動對照」〔</t>
    </r>
    <r>
      <rPr>
        <sz val="11"/>
        <color theme="1"/>
        <rFont val="Calibri"/>
        <family val="2"/>
        <charset val="1"/>
      </rPr>
      <t xml:space="preserve">v0.3.3</t>
    </r>
    <r>
      <rPr>
        <sz val="11"/>
        <color theme="1"/>
        <rFont val="Noto Sans CJK SC"/>
        <family val="2"/>
      </rPr>
      <t xml:space="preserve">〕）。金額 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；每股 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；股數十億股；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。標記：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一律給低／高區間）</t>
    </r>
  </si>
  <si>
    <r>
      <rPr>
        <sz val="11"/>
        <color theme="1"/>
        <rFont val="Noto Sans CJK SC"/>
        <family val="2"/>
      </rPr>
      <t xml:space="preserve">「沿用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」＝</t>
    </r>
    <r>
      <rPr>
        <sz val="11"/>
        <color theme="1"/>
        <rFont val="Calibri"/>
        <family val="2"/>
        <charset val="1"/>
      </rPr>
      <t xml:space="preserve">MAG v0.2.2 </t>
    </r>
    <r>
      <rPr>
        <sz val="11"/>
        <color theme="1"/>
        <rFont val="Noto Sans CJK SC"/>
        <family val="2"/>
      </rPr>
      <t xml:space="preserve">已核准的參數（原出處：</t>
    </r>
    <r>
      <rPr>
        <sz val="11"/>
        <color theme="1"/>
        <rFont val="Calibri"/>
        <family val="2"/>
        <charset val="1"/>
      </rPr>
      <t xml:space="preserve">alphabet/legacy_v0.2/company.json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kspec.py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data/kevidence_alphabet_20261008.json</t>
    </r>
    <r>
      <rPr>
        <sz val="11"/>
        <color theme="1"/>
        <rFont val="Noto Sans CJK SC"/>
        <family val="2"/>
      </rPr>
      <t xml:space="preserve">；對照表 </t>
    </r>
    <r>
      <rPr>
        <sz val="11"/>
        <color theme="1"/>
        <rFont val="Calibri"/>
        <family val="2"/>
        <charset val="1"/>
      </rPr>
      <t xml:space="preserve">r1 C1–C23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升級 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data/tokenomics_snapshot_v21.7.json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data/alphabet_facts_2026q3.json</t>
    </r>
    <r>
      <rPr>
        <sz val="11"/>
        <color theme="1"/>
        <rFont val="Noto Sans CJK SC"/>
        <family val="2"/>
      </rPr>
      <t xml:space="preserve">）、評價日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。黃底＝判斷題（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</si>
  <si>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</si>
  <si>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</si>
  <si>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</si>
  <si>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</si>
  <si>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</si>
  <si>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</si>
  <si>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</si>
  <si>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t xml:space="preserve">來源</t>
  </si>
  <si>
    <t xml:space="preserve">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</si>
  <si>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現價、股數與資產負債（評價日 </t>
    </r>
    <r>
      <rPr>
        <b val="true"/>
        <sz val="11"/>
        <rFont val="Cambria"/>
        <family val="0"/>
        <charset val="1"/>
      </rPr>
      <t xml:space="preserve">2026-09-30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2026Q3 </t>
    </r>
    <r>
      <rPr>
        <b val="true"/>
        <sz val="11"/>
        <rFont val="Noto Sans CJK SC"/>
        <family val="2"/>
      </rPr>
      <t xml:space="preserve">財報新聞稿，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尚未提供）</t>
    </r>
  </si>
  <si>
    <t xml:space="preserve">px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</si>
  <si>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收盤）</t>
    </r>
  </si>
  <si>
    <t xml:space="preserve">US$</t>
  </si>
  <si>
    <t xml:space="preserve">Verified</t>
  </si>
  <si>
    <r>
      <rPr>
        <sz val="11"/>
        <color theme="1"/>
        <rFont val="Calibri"/>
        <family val="2"/>
        <charset val="1"/>
      </rPr>
      <t xml:space="preserve">BigGo Finance https://finance.biggo.com/news/747b8ed4-8d02-4fc5-84ac-f68ab61a7d20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10-28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324.89</t>
    </r>
    <r>
      <rPr>
        <sz val="11"/>
        <color theme="1"/>
        <rFont val="Noto Sans CJK SC"/>
        <family val="2"/>
      </rPr>
      <t xml:space="preserve">、盤後 </t>
    </r>
    <r>
      <rPr>
        <sz val="11"/>
        <color theme="1"/>
        <rFont val="Calibri"/>
        <family val="2"/>
        <charset val="1"/>
      </rPr>
      <t xml:space="preserve">294.20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Investing.com GOOGL </t>
    </r>
    <r>
      <rPr>
        <sz val="11"/>
        <color theme="1"/>
        <rFont val="Noto Sans CJK SC"/>
        <family val="2"/>
      </rPr>
      <t xml:space="preserve">報價 </t>
    </r>
    <r>
      <rPr>
        <sz val="11"/>
        <color theme="1"/>
        <rFont val="Calibri"/>
        <family val="2"/>
        <charset val="1"/>
      </rPr>
      <t xml:space="preserve">324.89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+1.34%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https://www.investing.com/news/company-news/alphabet-q3-2026-slides-128b-revenue-overshadowed-by-profit-miss-93CH-4981067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讀取）</t>
    </r>
  </si>
  <si>
    <r>
      <rPr>
        <sz val="11"/>
        <color theme="1"/>
        <rFont val="Noto Sans CJK SC"/>
        <family val="2"/>
      </rPr>
      <t xml:space="preserve">只影響上檔空間與評等（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起與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、回購價脫鉤，見 </t>
    </r>
    <r>
      <rPr>
        <sz val="11"/>
        <color theme="1"/>
        <rFont val="Calibri"/>
        <family val="2"/>
        <charset val="1"/>
      </rPr>
      <t xml:space="preserve">px_val</t>
    </r>
    <r>
      <rPr>
        <sz val="11"/>
        <color theme="1"/>
        <rFont val="Noto Sans CJK SC"/>
        <family val="2"/>
      </rPr>
      <t xml:space="preserve">）。財報後盤後約 </t>
    </r>
    <r>
      <rPr>
        <sz val="11"/>
        <color theme="1"/>
        <rFont val="Calibri"/>
        <family val="2"/>
        <charset val="1"/>
      </rPr>
      <t xml:space="preserve">288–294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收盤尚未產生。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316.80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</si>
  <si>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t xml:space="preserve">px_val</t>
  </si>
  <si>
    <r>
      <rPr>
        <sz val="11"/>
        <color theme="1"/>
        <rFont val="Noto Sans CJK SC"/>
        <family val="2"/>
      </rPr>
      <t xml:space="preserve">評價日股價（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權益權重與回購價用）</t>
    </r>
  </si>
  <si>
    <r>
      <rPr>
        <sz val="11"/>
        <color theme="1"/>
        <rFont val="Calibri"/>
        <family val="2"/>
        <charset val="1"/>
      </rPr>
      <t xml:space="preserve">FinancialContent GOOGL </t>
    </r>
    <r>
      <rPr>
        <sz val="11"/>
        <color theme="1"/>
        <rFont val="Noto Sans CJK SC"/>
        <family val="2"/>
      </rPr>
      <t xml:space="preserve">歷史股價 </t>
    </r>
    <r>
      <rPr>
        <sz val="11"/>
        <color theme="1"/>
        <rFont val="Calibri"/>
        <family val="2"/>
        <charset val="1"/>
      </rPr>
      <t xml:space="preserve">https://www.financialcontent.com/quote/NQ%3AGOOGL/historical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讀取：</t>
    </r>
    <r>
      <rPr>
        <sz val="11"/>
        <color theme="1"/>
        <rFont val="Calibri"/>
        <family val="2"/>
        <charset val="1"/>
      </rPr>
      <t xml:space="preserve">9/30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344.08</t>
    </r>
    <r>
      <rPr>
        <sz val="11"/>
        <color theme="1"/>
        <rFont val="Noto Sans CJK SC"/>
        <family val="2"/>
      </rPr>
      <t xml:space="preserve">；同頁 </t>
    </r>
    <r>
      <rPr>
        <sz val="11"/>
        <color theme="1"/>
        <rFont val="Calibri"/>
        <family val="2"/>
        <charset val="1"/>
      </rPr>
      <t xml:space="preserve">10/07 350.50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10/23 320.21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相同）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</si>
  <si>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新增：評價日市值權重（與評價日一致）；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以現價代用</t>
    </r>
  </si>
  <si>
    <t xml:space="preserve">sh_out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</si>
  <si>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，資產負債表股本說明）</t>
    </r>
  </si>
  <si>
    <t xml:space="preserve">十億股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</si>
  <si>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</si>
  <si>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mag/extract/docs/2026Q3/alphabet_2026Q3_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頁資產負債表股本說明（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sh.out.20260930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</si>
  <si>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封面股數尚未提供；</t>
    </r>
    <r>
      <rPr>
        <sz val="11"/>
        <color theme="1"/>
        <rFont val="Calibri"/>
        <family val="2"/>
        <charset val="1"/>
      </rPr>
      <t xml:space="preserve">Class A 5,888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 828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 5,578 </t>
    </r>
    <r>
      <rPr>
        <sz val="11"/>
        <color theme="1"/>
        <rFont val="Noto Sans CJK SC"/>
        <family val="2"/>
      </rPr>
      <t xml:space="preserve">百萬股</t>
    </r>
  </si>
  <si>
    <t xml:space="preserve">sh_dil_q2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</si>
  <si>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稀釋加權股數</t>
    </r>
  </si>
  <si>
    <r>
      <rPr>
        <sz val="11"/>
        <color theme="1"/>
        <rFont val="Calibri"/>
        <family val="2"/>
        <charset val="1"/>
      </rPr>
      <t xml:space="preserve">mag/extract/docs/2026Q3/alphabet_2026Q3_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sh.dilW.2026q3</t>
    </r>
    <r>
      <rPr>
        <sz val="11"/>
        <color theme="1"/>
        <rFont val="Noto Sans CJK SC"/>
        <family val="2"/>
      </rPr>
      <t xml:space="preserve">）</t>
    </r>
  </si>
  <si>
    <t xml:space="preserve">sh_basic_q2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</si>
  <si>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基本加權股數</t>
    </r>
  </si>
  <si>
    <r>
      <rPr>
        <sz val="11"/>
        <color theme="1"/>
        <rFont val="Calibri"/>
        <family val="2"/>
        <charset val="1"/>
      </rPr>
      <t xml:space="preserve">mag/extract/docs/2026Q3/alphabet_2026Q3_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sh.basicW.2026q3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</si>
  <si>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ATM </t>
    </r>
    <r>
      <rPr>
        <sz val="11"/>
        <color theme="1"/>
        <rFont val="Noto Sans CJK SC"/>
        <family val="2"/>
      </rPr>
      <t xml:space="preserve">發行 </t>
    </r>
    <r>
      <rPr>
        <sz val="11"/>
        <color theme="1"/>
        <rFont val="Calibri"/>
        <family val="2"/>
        <charset val="1"/>
      </rPr>
      <t xml:space="preserve">36M </t>
    </r>
    <r>
      <rPr>
        <sz val="11"/>
        <color theme="1"/>
        <rFont val="Noto Sans CJK SC"/>
        <family val="2"/>
      </rPr>
      <t xml:space="preserve">股（在季內加權）；期末稀釋股數＝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稀釋加權＋</t>
    </r>
    <r>
      <rPr>
        <sz val="11"/>
        <color theme="1"/>
        <rFont val="Calibri"/>
        <family val="2"/>
        <charset val="1"/>
      </rPr>
      <t xml:space="preserve">(9/30 </t>
    </r>
    <r>
      <rPr>
        <sz val="11"/>
        <color theme="1"/>
        <rFont val="Noto Sans CJK SC"/>
        <family val="2"/>
      </rPr>
      <t xml:space="preserve">流通股 −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基本加權</t>
    </r>
    <r>
      <rPr>
        <sz val="11"/>
        <color theme="1"/>
        <rFont val="Calibri"/>
        <family val="2"/>
        <charset val="1"/>
      </rPr>
      <t xml:space="preserve">)</t>
    </r>
  </si>
  <si>
    <t xml:space="preserve">conv_sh</t>
  </si>
  <si>
    <r>
      <rPr>
        <sz val="11"/>
        <color theme="1"/>
        <rFont val="Noto Sans CJK SC"/>
        <family val="2"/>
      </rPr>
      <t xml:space="preserve">強制轉換特別股 </t>
    </r>
    <r>
      <rPr>
        <sz val="11"/>
        <color theme="1"/>
        <rFont val="Calibri"/>
        <family val="2"/>
        <charset val="1"/>
      </rPr>
      <t xml:space="preserve">2029-05-15 </t>
    </r>
    <r>
      <rPr>
        <sz val="11"/>
        <color theme="1"/>
        <rFont val="Noto Sans CJK SC"/>
        <family val="2"/>
      </rPr>
      <t xml:space="preserve">轉換股數（上限）</t>
    </r>
  </si>
  <si>
    <r>
      <rPr>
        <sz val="11"/>
        <color theme="1"/>
        <rFont val="Calibri"/>
        <family val="2"/>
        <charset val="1"/>
      </rPr>
      <t xml:space="preserve">8-K 2026-06-05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系列每股轉 </t>
    </r>
    <r>
      <rPr>
        <sz val="11"/>
        <color theme="1"/>
        <rFont val="Calibri"/>
        <family val="2"/>
        <charset val="1"/>
      </rPr>
      <t xml:space="preserve">2.2520–2.8160 </t>
    </r>
    <r>
      <rPr>
        <sz val="11"/>
        <color theme="1"/>
        <rFont val="Noto Sans CJK SC"/>
        <family val="2"/>
      </rPr>
      <t xml:space="preserve">股、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系列 </t>
    </r>
    <r>
      <rPr>
        <sz val="11"/>
        <color theme="1"/>
        <rFont val="Calibri"/>
        <family val="2"/>
        <charset val="1"/>
      </rPr>
      <t xml:space="preserve">2.2740–2.8420 </t>
    </r>
    <r>
      <rPr>
        <sz val="11"/>
        <color theme="1"/>
        <rFont val="Noto Sans CJK SC"/>
        <family val="2"/>
      </rPr>
      <t xml:space="preserve">股 → </t>
    </r>
    <r>
      <rPr>
        <sz val="11"/>
        <color theme="1"/>
        <rFont val="Calibri"/>
        <family val="2"/>
        <charset val="1"/>
      </rPr>
      <t xml:space="preserve">43.6–54.6M </t>
    </r>
    <r>
      <rPr>
        <sz val="11"/>
        <color theme="1"/>
        <rFont val="Noto Sans CJK SC"/>
        <family val="2"/>
      </rPr>
      <t xml:space="preserve">股；沿用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debt.convertibles</t>
    </r>
  </si>
  <si>
    <t xml:space="preserve">取稀釋最大（保守）；評價時直接加入股數，特別股股利照付至轉換</t>
  </si>
  <si>
    <t xml:space="preserve">cash_0</t>
  </si>
  <si>
    <r>
      <rPr>
        <sz val="11"/>
        <color theme="1"/>
        <rFont val="Noto Sans CJK SC"/>
        <family val="2"/>
      </rPr>
      <t xml:space="preserve">現金＋債權類有價證券（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</si>
  <si>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</si>
  <si>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</si>
  <si>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Noto Sans CJK SC"/>
        <family val="2"/>
      </rPr>
      <t xml:space="preserve">新聞稿資產負債表：現金 </t>
    </r>
    <r>
      <rPr>
        <sz val="11"/>
        <color theme="1"/>
        <rFont val="Calibri"/>
        <family val="2"/>
        <charset val="1"/>
      </rPr>
      <t xml:space="preserve">56.334</t>
    </r>
    <r>
      <rPr>
        <sz val="11"/>
        <color theme="1"/>
        <rFont val="Noto Sans CJK SC"/>
        <family val="2"/>
      </rPr>
      <t xml:space="preserve">＋有價證券 </t>
    </r>
    <r>
      <rPr>
        <sz val="11"/>
        <color theme="1"/>
        <rFont val="Calibri"/>
        <family val="2"/>
        <charset val="1"/>
      </rPr>
      <t xml:space="preserve">208.764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265.098 − </t>
    </r>
    <r>
      <rPr>
        <sz val="11"/>
        <color theme="1"/>
        <rFont val="Noto Sans CJK SC"/>
        <family val="2"/>
      </rPr>
      <t xml:space="preserve">其中權益證券 </t>
    </r>
    <r>
      <rPr>
        <sz val="11"/>
        <color theme="1"/>
        <rFont val="Calibri"/>
        <family val="2"/>
        <charset val="1"/>
      </rPr>
      <t xml:space="preserve">90.4</t>
    </r>
    <r>
      <rPr>
        <sz val="11"/>
        <color theme="1"/>
        <rFont val="Noto Sans CJK SC"/>
        <family val="2"/>
      </rPr>
      <t xml:space="preserve">（法說；事實總帳 </t>
    </r>
    <r>
      <rPr>
        <sz val="11"/>
        <color theme="1"/>
        <rFont val="Calibri"/>
        <family val="2"/>
        <charset val="1"/>
      </rPr>
      <t xml:space="preserve">bs.cashTotal.2026q3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mkt.eqsec.2026q3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</si>
  <si>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尚未提供：權益證券以法說 </t>
    </r>
    <r>
      <rPr>
        <sz val="11"/>
        <color theme="1"/>
        <rFont val="Calibri"/>
        <family val="2"/>
        <charset val="1"/>
      </rPr>
      <t xml:space="preserve">90.4 </t>
    </r>
    <r>
      <rPr>
        <sz val="11"/>
        <color theme="1"/>
        <rFont val="Noto Sans CJK SC"/>
        <family val="2"/>
      </rPr>
      <t xml:space="preserve">代用（資料缺口）；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155.411</t>
    </r>
  </si>
  <si>
    <t xml:space="preserve">cash_ye25</t>
  </si>
  <si>
    <r>
      <rPr>
        <sz val="11"/>
        <color theme="1"/>
        <rFont val="Noto Sans CJK SC"/>
        <family val="2"/>
      </rPr>
      <t xml:space="preserve">現金＋債權類有價證券（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</si>
  <si>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10-K 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30.708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96.135 − 6.313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ytdActual.cash1231</t>
    </r>
    <r>
      <rPr>
        <sz val="11"/>
        <color theme="1"/>
        <rFont val="Noto Sans CJK SC"/>
        <family val="2"/>
      </rPr>
      <t xml:space="preserve">）</t>
    </r>
  </si>
  <si>
    <t xml:space="preserve">debt_0</t>
  </si>
  <si>
    <r>
      <rPr>
        <sz val="11"/>
        <color theme="1"/>
        <rFont val="Noto Sans CJK SC"/>
        <family val="2"/>
      </rPr>
      <t xml:space="preserve">債務面額（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</si>
  <si>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面額 </t>
    </r>
    <r>
      <rPr>
        <sz val="11"/>
        <color theme="1"/>
        <rFont val="Calibri"/>
        <family val="2"/>
        <charset val="1"/>
      </rPr>
      <t xml:space="preserve">101.085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發債淨額 </t>
    </r>
    <r>
      <rPr>
        <sz val="11"/>
        <color theme="1"/>
        <rFont val="Calibri"/>
        <family val="2"/>
        <charset val="1"/>
      </rPr>
      <t xml:space="preserve">28.996 − Q3 </t>
    </r>
    <r>
      <rPr>
        <sz val="11"/>
        <color theme="1"/>
        <rFont val="Noto Sans CJK SC"/>
        <family val="2"/>
      </rPr>
      <t xml:space="preserve">償還 </t>
    </r>
    <r>
      <rPr>
        <sz val="11"/>
        <color theme="1"/>
        <rFont val="Calibri"/>
        <family val="2"/>
        <charset val="1"/>
      </rPr>
      <t xml:space="preserve">3.626</t>
    </r>
    <r>
      <rPr>
        <sz val="11"/>
        <color theme="1"/>
        <rFont val="Noto Sans CJK SC"/>
        <family val="2"/>
      </rPr>
      <t xml:space="preserve">（新聞稿現金流量表）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</si>
  <si>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尚未提供（資料缺口）；對照：資產負債表長期債務帳面 </t>
    </r>
    <r>
      <rPr>
        <sz val="11"/>
        <color theme="1"/>
        <rFont val="Calibri"/>
        <family val="2"/>
        <charset val="1"/>
      </rPr>
      <t xml:space="preserve">125.102</t>
    </r>
    <r>
      <rPr>
        <sz val="11"/>
        <color theme="1"/>
        <rFont val="Noto Sans CJK SC"/>
        <family val="2"/>
      </rPr>
      <t xml:space="preserve">（不含一年內到期）</t>
    </r>
  </si>
  <si>
    <t xml:space="preserve">fines</t>
  </si>
  <si>
    <t xml:space="preserve">應計罰款與和解（類債）</t>
  </si>
  <si>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餘額 </t>
    </r>
    <r>
      <rPr>
        <sz val="11"/>
        <color theme="1"/>
        <rFont val="Calibri"/>
        <family val="2"/>
        <charset val="1"/>
      </rPr>
      <t xml:space="preserve">17.356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2026Q2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已付歐盟罰款 </t>
    </r>
    <r>
      <rPr>
        <sz val="11"/>
        <color theme="1"/>
        <rFont val="Calibri"/>
        <family val="2"/>
        <charset val="1"/>
      </rPr>
      <t xml:space="preserve">5.2</t>
    </r>
    <r>
      <rPr>
        <sz val="11"/>
        <color theme="1"/>
        <rFont val="Noto Sans CJK SC"/>
        <family val="2"/>
      </rPr>
      <t xml:space="preserve">（法說）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</si>
  <si>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尚未提供；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餘額扣除（付款在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）</t>
    </r>
  </si>
  <si>
    <t xml:space="preserve">nci</t>
  </si>
  <si>
    <t xml:space="preserve">非控制權益（類債）</t>
  </si>
  <si>
    <r>
      <rPr>
        <sz val="11"/>
        <color theme="1"/>
        <rFont val="Calibri"/>
        <family val="2"/>
        <charset val="1"/>
      </rPr>
      <t xml:space="preserve">10-Q 2026Q2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bs.nci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等少數股權）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</si>
  <si>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尚未提供）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</si>
  <si>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持股（分部加總與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皆加入；非上市 </t>
    </r>
    <r>
      <rPr>
        <b val="true"/>
        <sz val="11"/>
        <rFont val="Cambria"/>
        <family val="0"/>
        <charset val="1"/>
      </rPr>
      <t xml:space="preserve">× (1 − </t>
    </r>
    <r>
      <rPr>
        <b val="true"/>
        <sz val="11"/>
        <rFont val="Noto Sans CJK SC"/>
        <family val="2"/>
      </rPr>
      <t xml:space="preserve">流動性折價</t>
    </r>
    <r>
      <rPr>
        <b val="true"/>
        <sz val="11"/>
        <rFont val="Cambria"/>
        <family val="0"/>
        <charset val="1"/>
      </rPr>
      <t xml:space="preserve">)</t>
    </r>
    <r>
      <rPr>
        <b val="true"/>
        <sz val="11"/>
        <rFont val="Noto Sans CJK SC"/>
        <family val="2"/>
      </rPr>
      <t xml:space="preserve">；上市不折價）</t>
    </r>
  </si>
  <si>
    <t xml:space="preserve">ant_val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</si>
  <si>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最近一輪投後估值（</t>
    </r>
    <r>
      <rPr>
        <sz val="11"/>
        <color theme="1"/>
        <rFont val="Calibri"/>
        <family val="2"/>
        <charset val="1"/>
      </rPr>
      <t xml:space="preserve">Series 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</si>
  <si>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TechCrunch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Anthropic raises $65 billion, nears $1T valuation ahead of IPO</t>
    </r>
    <r>
      <rPr>
        <sz val="11"/>
        <color theme="1"/>
        <rFont val="Noto Sans CJK SC"/>
        <family val="2"/>
      </rPr>
      <t xml:space="preserve">〉（經 </t>
    </r>
    <r>
      <rPr>
        <sz val="11"/>
        <color theme="1"/>
        <rFont val="Calibri"/>
        <family val="2"/>
        <charset val="1"/>
      </rPr>
      <t xml:space="preserve">anthropic/ SRC_ANT_299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2026-05-28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rp.anthropic.val.seriesH</t>
    </r>
    <r>
      <rPr>
        <sz val="11"/>
        <color theme="1"/>
        <rFont val="Noto Sans CJK SC"/>
        <family val="2"/>
      </rPr>
      <t xml:space="preserve">）</t>
    </r>
  </si>
  <si>
    <t xml:space="preserve">ant_stake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</si>
  <si>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持股比例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</si>
  <si>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</si>
  <si>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</si>
  <si>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一手不存在：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法院文件約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；非上市證券帳面 </t>
    </r>
    <r>
      <rPr>
        <sz val="11"/>
        <color theme="1"/>
        <rFont val="Calibri"/>
        <family val="2"/>
        <charset val="1"/>
      </rPr>
      <t xml:space="preserve">124.3B ÷ 965B </t>
    </r>
    <r>
      <rPr>
        <sz val="11"/>
        <color theme="1"/>
        <rFont val="Noto Sans CJK SC"/>
        <family val="2"/>
      </rPr>
      <t xml:space="preserve">隱含上限 </t>
    </r>
    <r>
      <rPr>
        <sz val="11"/>
        <color theme="1"/>
        <rFont val="Calibri"/>
        <family val="2"/>
        <charset val="1"/>
      </rPr>
      <t xml:space="preserve">12.9%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valuation.holdings</t>
    </r>
    <r>
      <rPr>
        <sz val="11"/>
        <color theme="1"/>
        <rFont val="Noto Sans CJK SC"/>
        <family val="2"/>
      </rPr>
      <t xml:space="preserve">）</t>
    </r>
  </si>
  <si>
    <t xml:space="preserve">illiq</t>
  </si>
  <si>
    <t xml:space="preserve">非上市持股流動性折價</t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</si>
  <si>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Val 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流動性折價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）；對照表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條</t>
    </r>
  </si>
  <si>
    <t xml:space="preserve">spacex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</si>
  <si>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持股公允價值（上市、限售；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</si>
  <si>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2026-06-30 94.1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：短期 </t>
    </r>
    <r>
      <rPr>
        <sz val="11"/>
        <color theme="1"/>
        <rFont val="Calibri"/>
        <family val="2"/>
        <charset val="1"/>
      </rPr>
      <t xml:space="preserve">80.0</t>
    </r>
    <r>
      <rPr>
        <sz val="11"/>
        <color theme="1"/>
        <rFont val="Noto Sans CJK SC"/>
        <family val="2"/>
      </rPr>
      <t xml:space="preserve">＋長期限售 </t>
    </r>
    <r>
      <rPr>
        <sz val="11"/>
        <color theme="1"/>
        <rFont val="Calibri"/>
        <family val="2"/>
        <charset val="1"/>
      </rPr>
      <t xml:space="preserve">14.1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權益證券淨損益 −</t>
    </r>
    <r>
      <rPr>
        <sz val="11"/>
        <color theme="1"/>
        <rFont val="Calibri"/>
        <family val="2"/>
        <charset val="1"/>
      </rPr>
      <t xml:space="preserve">8.664</t>
    </r>
    <r>
      <rPr>
        <sz val="11"/>
        <color theme="1"/>
        <rFont val="Noto Sans CJK SC"/>
        <family val="2"/>
      </rPr>
      <t xml:space="preserve">（新聞稿第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頁；法說：主要為 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未實現損失）</t>
    </r>
  </si>
  <si>
    <r>
      <rPr>
        <sz val="11"/>
        <color theme="1"/>
        <rFont val="Noto Sans CJK SC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權益證券損失全數來自 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尚未提供（資料缺口）</t>
    </r>
  </si>
  <si>
    <t xml:space="preserve">oth_eq</t>
  </si>
  <si>
    <t xml:space="preserve">其他有價權益證券</t>
  </si>
  <si>
    <r>
      <rPr>
        <sz val="11"/>
        <color theme="1"/>
        <rFont val="Noto Sans CJK SC"/>
        <family val="2"/>
      </rPr>
      <t xml:space="preserve">有價權益證券 </t>
    </r>
    <r>
      <rPr>
        <sz val="11"/>
        <color theme="1"/>
        <rFont val="Calibri"/>
        <family val="2"/>
        <charset val="1"/>
      </rPr>
      <t xml:space="preserve">87.063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14.126 − SpaceX 94.1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</si>
  <si>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折現率與目標價規則</t>
    </r>
  </si>
  <si>
    <t xml:space="preserve">rf</t>
  </si>
  <si>
    <r>
      <rPr>
        <sz val="11"/>
        <color theme="1"/>
        <rFont val="Noto Sans CJK SC"/>
        <family val="2"/>
      </rPr>
      <t xml:space="preserve">無風險利率（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年美債，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</si>
  <si>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美國財政部每日殖利率曲線（</t>
    </r>
    <r>
      <rPr>
        <sz val="11"/>
        <color theme="1"/>
        <rFont val="Calibri"/>
        <family val="2"/>
        <charset val="1"/>
      </rPr>
      <t xml:space="preserve">Daily Treasury Par Yield Curve Rates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 Yr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https://home.treasury.gov/resource-center/data-chart-center/interest-rates/TextView?type=daily_treasury_yield_curve&amp;field_tdr_date_value_month=202610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10-27 4.99%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10-26 5.00%</t>
    </r>
    <r>
      <rPr>
        <sz val="11"/>
        <color theme="1"/>
        <rFont val="Noto Sans CJK SC"/>
        <family val="2"/>
      </rPr>
      <t xml:space="preserve">（最新公布日 </t>
    </r>
    <r>
      <rPr>
        <sz val="11"/>
        <color theme="1"/>
        <rFont val="Calibri"/>
        <family val="2"/>
        <charset val="1"/>
      </rPr>
      <t xml:space="preserve">10-27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</si>
  <si>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5.00%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10-26</t>
    </r>
    <r>
      <rPr>
        <sz val="11"/>
        <color theme="1"/>
        <rFont val="Noto Sans CJK SC"/>
        <family val="2"/>
      </rPr>
      <t xml:space="preserve">）</t>
    </r>
  </si>
  <si>
    <t xml:space="preserve">beta_sa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</si>
  <si>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5 </t>
    </r>
    <r>
      <rPr>
        <sz val="11"/>
        <color theme="1"/>
        <rFont val="Noto Sans CJK SC"/>
        <family val="2"/>
      </rPr>
      <t xml:space="preserve">年月資料（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同值）</t>
    </r>
  </si>
  <si>
    <t xml:space="preserve">x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</si>
  <si>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GOOGL statistics</t>
    </r>
    <r>
      <rPr>
        <sz val="11"/>
        <color theme="1"/>
        <rFont val="Noto Sans CJK SC"/>
        <family val="2"/>
      </rPr>
      <t xml:space="preserve">〉（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val.beta.sa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</si>
  <si>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</t>
    </r>
  </si>
  <si>
    <t xml:space="preserve">beta_gf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</si>
  <si>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GuruFocus 3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</si>
  <si>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GOOGL Beta</t>
    </r>
    <r>
      <rPr>
        <sz val="11"/>
        <color theme="1"/>
        <rFont val="Noto Sans CJK SC"/>
        <family val="2"/>
      </rPr>
      <t xml:space="preserve">〉（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val.beta.gurufocus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</si>
  <si>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不同資料商、不同期間（</t>
    </r>
    <r>
      <rPr>
        <sz val="11"/>
        <color theme="1"/>
        <rFont val="Calibri"/>
        <family val="2"/>
        <charset val="1"/>
      </rPr>
      <t xml:space="preserve">C13</t>
    </r>
    <r>
      <rPr>
        <sz val="11"/>
        <color theme="1"/>
        <rFont val="Noto Sans CJK SC"/>
        <family val="2"/>
      </rPr>
      <t xml:space="preserve">）</t>
    </r>
  </si>
  <si>
    <t xml:space="preserve">blume_a</t>
  </si>
  <si>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調整係數（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調整＝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(1 − a)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</si>
  <si>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Blume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1971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調整 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同式（修正一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</t>
    </r>
  </si>
  <si>
    <t xml:space="preserve">beta</t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</si>
  <si>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調整後兩個獨立來源的中位數）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</si>
  <si>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調整（</t>
    </r>
    <r>
      <rPr>
        <sz val="11"/>
        <color theme="1"/>
        <rFont val="Calibri"/>
        <family val="2"/>
        <charset val="1"/>
      </rPr>
      <t xml:space="preserve">0.67 × </t>
    </r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0.33</t>
    </r>
    <r>
      <rPr>
        <sz val="11"/>
        <color theme="1"/>
        <rFont val="Noto Sans CJK SC"/>
        <family val="2"/>
      </rPr>
      <t xml:space="preserve">），兩個獨立來源取中位數</t>
    </r>
  </si>
  <si>
    <r>
      <rPr>
        <sz val="11"/>
        <color theme="1"/>
        <rFont val="Noto Sans CJK SC"/>
        <family val="2"/>
      </rPr>
      <t xml:space="preserve">低／高＝兩個來源各自的調整值；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修正前用原始 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1.288</t>
    </r>
  </si>
  <si>
    <t xml:space="preserve">erp</t>
  </si>
  <si>
    <t xml:space="preserve">股權風險溢酬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</si>
  <si>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val.erp</t>
    </r>
    <r>
      <rPr>
        <sz val="11"/>
        <color theme="1"/>
        <rFont val="Noto Sans CJK SC"/>
        <family val="2"/>
      </rPr>
      <t xml:space="preserve">）</t>
    </r>
  </si>
  <si>
    <t xml:space="preserve">kd_sp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</si>
  <si>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 </t>
    </r>
    <r>
      <rPr>
        <sz val="11"/>
        <color theme="1"/>
        <rFont val="Calibri"/>
        <family val="2"/>
        <charset val="1"/>
      </rPr>
      <t xml:space="preserve">AA </t>
    </r>
    <r>
      <rPr>
        <sz val="11"/>
        <color theme="1"/>
        <rFont val="Noto Sans CJK SC"/>
        <family val="2"/>
      </rPr>
      <t xml:space="preserve">公司債利差（相對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</si>
  <si>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Aa2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AA+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debt.rating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年期利差約 </t>
    </r>
    <r>
      <rPr>
        <sz val="11"/>
        <color theme="1"/>
        <rFont val="Calibri"/>
        <family val="2"/>
        <charset val="1"/>
      </rPr>
      <t xml:space="preserve">50–90bp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2066 </t>
    </r>
    <r>
      <rPr>
        <sz val="11"/>
        <color theme="1"/>
        <rFont val="Noto Sans CJK SC"/>
        <family val="2"/>
      </rPr>
      <t xml:space="preserve">長債發行利差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130bp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年期，不採（修正一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</t>
    </r>
  </si>
  <si>
    <t xml:space="preserve">kd</t>
  </si>
  <si>
    <r>
      <rPr>
        <sz val="11"/>
        <color theme="1"/>
        <rFont val="Noto Sans CJK SC"/>
        <family val="2"/>
      </rPr>
      <t xml:space="preserve">稅前債務成本（約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年期）＝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＋利差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</si>
  <si>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年期公司債殖利率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</si>
  <si>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修正前用 </t>
    </r>
    <r>
      <rPr>
        <sz val="11"/>
        <color theme="1"/>
        <rFont val="Calibri"/>
        <family val="2"/>
        <charset val="1"/>
      </rPr>
      <t xml:space="preserve">2066 </t>
    </r>
    <r>
      <rPr>
        <sz val="11"/>
        <color theme="1"/>
        <rFont val="Noto Sans CJK SC"/>
        <family val="2"/>
      </rPr>
      <t xml:space="preserve">票據 </t>
    </r>
    <r>
      <rPr>
        <sz val="11"/>
        <color theme="1"/>
        <rFont val="Calibri"/>
        <family val="2"/>
        <charset val="1"/>
      </rPr>
      <t xml:space="preserve">6.527%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定價條款 </t>
    </r>
    <r>
      <rPr>
        <sz val="11"/>
        <color theme="1"/>
        <rFont val="Calibri"/>
        <family val="2"/>
        <charset val="1"/>
      </rPr>
      <t xml:space="preserve">FWP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US$25B </t>
    </r>
    <r>
      <rPr>
        <sz val="11"/>
        <color theme="1"/>
        <rFont val="Noto Sans CJK SC"/>
        <family val="2"/>
      </rPr>
      <t xml:space="preserve">票據）（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val.kd.2066</t>
    </r>
    <r>
      <rPr>
        <sz val="11"/>
        <color theme="1"/>
        <rFont val="Noto Sans CJK SC"/>
        <family val="2"/>
      </rPr>
      <t xml:space="preserve">））</t>
    </r>
  </si>
  <si>
    <t xml:space="preserve">fin_lease</t>
  </si>
  <si>
    <r>
      <rPr>
        <sz val="11"/>
        <color theme="1"/>
        <rFont val="Noto Sans CJK SC"/>
        <family val="2"/>
      </rPr>
      <t xml:space="preserve">融資租賃負債（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</si>
  <si>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2026Q2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lease.finLiab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</si>
  <si>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負債與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、分部加總的淨負債（修正一 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）</t>
    </r>
  </si>
  <si>
    <t xml:space="preserve">wacc_adj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</si>
  <si>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格：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</si>
  <si>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WACC ±1 </t>
    </r>
    <r>
      <rPr>
        <sz val="11"/>
        <color theme="1"/>
        <rFont val="Noto Sans CJK SC"/>
        <family val="2"/>
      </rPr>
      <t xml:space="preserve">個百分點的目標價格</t>
    </r>
  </si>
  <si>
    <t xml:space="preserve">tax_w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</si>
  <si>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用稅率（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有效稅率）</t>
    </r>
  </si>
  <si>
    <r>
      <rPr>
        <sz val="11"/>
        <color theme="1"/>
        <rFont val="Calibri"/>
        <family val="2"/>
        <charset val="1"/>
      </rPr>
      <t xml:space="preserve">10-K 2025</t>
    </r>
    <r>
      <rPr>
        <sz val="11"/>
        <color theme="1"/>
        <rFont val="Noto Sans CJK SC"/>
        <family val="2"/>
      </rPr>
      <t xml:space="preserve">：所得稅 </t>
    </r>
    <r>
      <rPr>
        <sz val="11"/>
        <color theme="1"/>
        <rFont val="Calibri"/>
        <family val="2"/>
        <charset val="1"/>
      </rPr>
      <t xml:space="preserve">26.656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158.826</t>
    </r>
  </si>
  <si>
    <t xml:space="preserve">g_tv</t>
  </si>
  <si>
    <r>
      <rPr>
        <sz val="11"/>
        <color theme="1"/>
        <rFont val="Noto Sans CJK SC"/>
        <family val="2"/>
      </rPr>
      <t xml:space="preserve">永續成長率（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後）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</si>
  <si>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Val 0.1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3%</t>
    </r>
    <r>
      <rPr>
        <sz val="11"/>
        <color theme="1"/>
        <rFont val="Noto Sans CJK SC"/>
        <family val="2"/>
      </rPr>
      <t xml:space="preserve">）</t>
    </r>
  </si>
  <si>
    <t xml:space="preserve">ronic_sp</t>
  </si>
  <si>
    <r>
      <rPr>
        <sz val="11"/>
        <color theme="1"/>
        <rFont val="Noto Sans CJK SC"/>
        <family val="2"/>
      </rPr>
      <t xml:space="preserve">永續期新投資報酬率 </t>
    </r>
    <r>
      <rPr>
        <sz val="11"/>
        <color theme="1"/>
        <rFont val="Calibri"/>
        <family val="2"/>
        <charset val="1"/>
      </rPr>
      <t xml:space="preserve">RONIC </t>
    </r>
    <r>
      <rPr>
        <sz val="11"/>
        <color theme="1"/>
        <rFont val="Noto Sans CJK SC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的差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</si>
  <si>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（判斷；終值＝</t>
    </r>
    <r>
      <rPr>
        <sz val="11"/>
        <color theme="1"/>
        <rFont val="Calibri"/>
        <family val="2"/>
        <charset val="1"/>
      </rPr>
      <t xml:space="preserve">NOPAT(FY2033) ×(1 − g ÷ RONIC) ÷ (WACC − 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</si>
  <si>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；修正前固定 </t>
    </r>
    <r>
      <rPr>
        <sz val="11"/>
        <color theme="1"/>
        <rFont val="Calibri"/>
        <family val="2"/>
        <charset val="1"/>
      </rPr>
      <t xml:space="preserve">12%</t>
    </r>
  </si>
  <si>
    <t xml:space="preserve">mid</t>
  </si>
  <si>
    <t xml:space="preserve">期中慣例：年度現金流距年初</t>
  </si>
  <si>
    <t xml:space="preserve">年</t>
  </si>
  <si>
    <r>
      <rPr>
        <sz val="11"/>
        <color theme="1"/>
        <rFont val="Noto Sans CJK SC"/>
        <family val="2"/>
      </rPr>
      <t xml:space="preserve">年度現金流平均發生在年中；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為評價日後 </t>
    </r>
    <r>
      <rPr>
        <sz val="11"/>
        <color theme="1"/>
        <rFont val="Calibri"/>
        <family val="2"/>
        <charset val="1"/>
      </rPr>
      <t xml:space="preserve">0.125 </t>
    </r>
    <r>
      <rPr>
        <sz val="11"/>
        <color theme="1"/>
        <rFont val="Noto Sans CJK SC"/>
        <family val="2"/>
      </rPr>
      <t xml:space="preserve">年</t>
    </r>
  </si>
  <si>
    <t xml:space="preserve">t_val</t>
  </si>
  <si>
    <r>
      <rPr>
        <sz val="11"/>
        <color theme="1"/>
        <rFont val="Noto Sans CJK SC"/>
        <family val="2"/>
      </rPr>
      <t xml:space="preserve">評價日（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）的年份小數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</si>
  <si>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：評價日由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2026.5</t>
    </r>
    <r>
      <rPr>
        <sz val="11"/>
        <color theme="1"/>
        <rFont val="Noto Sans CJK SC"/>
        <family val="2"/>
      </rPr>
      <t xml:space="preserve">）滾到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；年度折現年數＝年度＋</t>
    </r>
    <r>
      <rPr>
        <sz val="11"/>
        <color theme="1"/>
        <rFont val="Calibri"/>
        <family val="2"/>
        <charset val="1"/>
      </rPr>
      <t xml:space="preserve">mid − t_val</t>
    </r>
  </si>
  <si>
    <t xml:space="preserve">t_q4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</si>
  <si>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現金流折現年數（評價日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起，期中）</t>
    </r>
  </si>
  <si>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12-31 </t>
    </r>
    <r>
      <rPr>
        <sz val="11"/>
        <color theme="1"/>
        <rFont val="Noto Sans CJK SC"/>
        <family val="2"/>
      </rPr>
      <t xml:space="preserve">的中點</t>
    </r>
  </si>
  <si>
    <t xml:space="preserve">tp_wA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</si>
  <si>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</si>
  <si>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Val 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）</t>
    </r>
  </si>
  <si>
    <t xml:space="preserve">tp_wB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</si>
  <si>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</si>
  <si>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同上</t>
  </si>
  <si>
    <t xml:space="preserve">tp_wC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</si>
  <si>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</si>
  <si>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</si>
  <si>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的權重（其餘＝分部加總 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</si>
  <si>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Val 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半導體「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各半」一致）</t>
    </r>
  </si>
  <si>
    <t xml:space="preserve">t_tgt</t>
  </si>
  <si>
    <r>
      <rPr>
        <sz val="11"/>
        <color theme="1"/>
        <rFont val="Noto Sans CJK SC"/>
        <family val="2"/>
      </rPr>
      <t xml:space="preserve">目標時點距評價日（</t>
    </r>
    <r>
      <rPr>
        <sz val="11"/>
        <color theme="1"/>
        <rFont val="Calibri"/>
        <family val="2"/>
        <charset val="1"/>
      </rPr>
      <t xml:space="preserve">2026-09-30 → 2027-10-29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</si>
  <si>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(2027-10-29 − 2026-09-30) ÷ 365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394 </t>
    </r>
    <r>
      <rPr>
        <sz val="11"/>
        <color theme="1"/>
        <rFont val="Noto Sans CJK SC"/>
        <family val="2"/>
      </rPr>
      <t xml:space="preserve">天</t>
    </r>
  </si>
  <si>
    <r>
      <rPr>
        <sz val="11"/>
        <color theme="1"/>
        <rFont val="Noto Sans CJK SC"/>
        <family val="2"/>
      </rPr>
      <t xml:space="preserve">目標價約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個月後（今天 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起算）；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2026-06-30 → 2027-10-27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1.3233</t>
    </r>
    <r>
      <rPr>
        <sz val="11"/>
        <color theme="1"/>
        <rFont val="Noto Sans CJK SC"/>
        <family val="2"/>
      </rPr>
      <t xml:space="preserve">）</t>
    </r>
  </si>
  <si>
    <t xml:space="preserve">w_ntm27</t>
  </si>
  <si>
    <r>
      <rPr>
        <sz val="11"/>
        <color theme="1"/>
        <rFont val="Noto Sans CJK SC"/>
        <family val="2"/>
      </rPr>
      <t xml:space="preserve">目標時點 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的權重</t>
    </r>
  </si>
  <si>
    <r>
      <rPr>
        <sz val="11"/>
        <color theme="1"/>
        <rFont val="Calibri"/>
        <family val="2"/>
        <charset val="1"/>
      </rPr>
      <t xml:space="preserve">(2027-12-31 − 2027-10-29) ÷ 365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63 </t>
    </r>
    <r>
      <rPr>
        <sz val="11"/>
        <color theme="1"/>
        <rFont val="Noto Sans CJK SC"/>
        <family val="2"/>
      </rPr>
      <t xml:space="preserve">天；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權重＝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本值</t>
    </r>
  </si>
  <si>
    <r>
      <rPr>
        <sz val="11"/>
        <color theme="1"/>
        <rFont val="Noto Sans CJK SC"/>
        <family val="2"/>
      </rPr>
      <t xml:space="preserve">分部加總用目標時點的未來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EBITDA</t>
    </r>
  </si>
  <si>
    <t xml:space="preserve">cons_tp</t>
  </si>
  <si>
    <t xml:space="preserve">市場共識目標價（平均）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</si>
  <si>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 </t>
    </r>
    <r>
      <rPr>
        <sz val="11"/>
        <color theme="1"/>
        <rFont val="Calibri"/>
        <family val="2"/>
        <charset val="1"/>
      </rPr>
      <t xml:space="preserve">https://stockanalysis.com/stocks/googl/forecast/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讀取，頁面仍為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更新；</t>
    </r>
    <r>
      <rPr>
        <sz val="11"/>
        <color theme="1"/>
        <rFont val="Calibri"/>
        <family val="2"/>
        <charset val="1"/>
      </rPr>
      <t xml:space="preserve">61 </t>
    </r>
    <r>
      <rPr>
        <sz val="11"/>
        <color theme="1"/>
        <rFont val="Noto Sans CJK SC"/>
        <family val="2"/>
      </rPr>
      <t xml:space="preserve">位分析師；中位數 </t>
    </r>
    <r>
      <rPr>
        <sz val="11"/>
        <color theme="1"/>
        <rFont val="Calibri"/>
        <family val="2"/>
        <charset val="1"/>
      </rPr>
      <t xml:space="preserve">430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340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</si>
  <si>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財報後（</t>
    </r>
    <r>
      <rPr>
        <sz val="11"/>
        <color theme="1"/>
        <rFont val="Calibri"/>
        <family val="2"/>
        <charset val="1"/>
      </rPr>
      <t xml:space="preserve">10-28 </t>
    </r>
    <r>
      <rPr>
        <sz val="11"/>
        <color theme="1"/>
        <rFont val="Noto Sans CJK SC"/>
        <family val="2"/>
      </rPr>
      <t xml:space="preserve">盤後）的修正尚未反映；賣方有承銷關係，只作對照</t>
    </r>
  </si>
  <si>
    <t xml:space="preserve">dps_tgt</t>
  </si>
  <si>
    <t xml:space="preserve">評價日到目標時點的每股股利（推到目標價時扣除）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</si>
  <si>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一季＋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年至 </t>
    </r>
    <r>
      <rPr>
        <sz val="11"/>
        <color theme="1"/>
        <rFont val="Calibri"/>
        <family val="2"/>
        <charset val="1"/>
      </rPr>
      <t xml:space="preserve">10-29</t>
    </r>
    <r>
      <rPr>
        <sz val="11"/>
        <color theme="1"/>
        <rFont val="Noto Sans CJK SC"/>
        <family val="2"/>
      </rPr>
      <t xml:space="preserve">（修正一 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）</t>
    </r>
  </si>
  <si>
    <t xml:space="preserve">t_px0</t>
  </si>
  <si>
    <r>
      <rPr>
        <sz val="11"/>
        <color theme="1"/>
        <rFont val="Noto Sans CJK SC"/>
        <family val="2"/>
      </rPr>
      <t xml:space="preserve">現價日（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）的年份小數</t>
    </r>
  </si>
  <si>
    <r>
      <rPr>
        <sz val="11"/>
        <color theme="1"/>
        <rFont val="Noto Sans CJK SC"/>
        <family val="2"/>
      </rPr>
      <t xml:space="preserve">只供對照（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起回購均價改用評價日股價 </t>
    </r>
    <r>
      <rPr>
        <sz val="11"/>
        <color theme="1"/>
        <rFont val="Calibri"/>
        <family val="2"/>
        <charset val="1"/>
      </rPr>
      <t xml:space="preserve">px_val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ke)^(</t>
    </r>
    <r>
      <rPr>
        <sz val="11"/>
        <color theme="1"/>
        <rFont val="Noto Sans CJK SC"/>
        <family val="2"/>
      </rPr>
      <t xml:space="preserve">期中 − </t>
    </r>
    <r>
      <rPr>
        <sz val="11"/>
        <color theme="1"/>
        <rFont val="Calibri"/>
        <family val="2"/>
        <charset val="1"/>
      </rPr>
      <t xml:space="preserve">t_val)</t>
    </r>
    <r>
      <rPr>
        <sz val="11"/>
        <color theme="1"/>
        <rFont val="Noto Sans CJK SC"/>
        <family val="2"/>
      </rPr>
      <t xml:space="preserve">）</t>
    </r>
  </si>
  <si>
    <t xml:space="preserve">mb_ttm</t>
  </si>
  <si>
    <r>
      <rPr>
        <sz val="11"/>
        <color theme="1"/>
        <rFont val="Noto Sans CJK SC"/>
        <family val="2"/>
      </rPr>
      <t xml:space="preserve">分部利益率起點改用近四季（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</si>
  <si>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判斷：預設 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（最新已申報的年初至今，利潤率擴張中、與評價日機隊同時點）；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的近四季口徑</t>
    </r>
  </si>
  <si>
    <t xml:space="preserve">internal_ai_reading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</si>
  <si>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＝主值：自用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價值中性，計影子效益；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＝敏感度：只計成本）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</si>
  <si>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2026-10-27 15:03 </t>
    </r>
    <r>
      <rPr>
        <sz val="11"/>
        <color theme="1"/>
        <rFont val="Noto Sans CJK SC"/>
        <family val="2"/>
      </rPr>
      <t xml:space="preserve">決定讀法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為主值：自用增量 </t>
    </r>
    <r>
      <rPr>
        <sz val="11"/>
        <color theme="1"/>
        <rFont val="Calibri"/>
        <family val="2"/>
        <charset val="1"/>
      </rPr>
      <t xml:space="preserve">MW × Tokenomics IF_HoldEcon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）＝自用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影子效益（非財報營收），進評價口徑 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；對照表 </t>
    </r>
    <r>
      <rPr>
        <sz val="11"/>
        <color theme="1"/>
        <rFont val="Calibri"/>
        <family val="2"/>
        <charset val="1"/>
      </rPr>
      <t xml:space="preserve">r1 C16</t>
    </r>
  </si>
  <si>
    <r>
      <rPr>
        <sz val="11"/>
        <color theme="1"/>
        <rFont val="Noto Sans CJK SC"/>
        <family val="2"/>
      </rPr>
      <t xml:space="preserve">營收列與分部對帳不動；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頁兩種讀法的目標價並列（皆為活公式）</t>
    </r>
  </si>
  <si>
    <t xml:space="preserve">sbc_add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</si>
  <si>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加回股權報酬（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</si>
  <si>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判斷：股權報酬視為真實成本、不加回（稀釋已在股數 </t>
    </r>
    <r>
      <rPr>
        <sz val="11"/>
        <color theme="1"/>
        <rFont val="Calibri"/>
        <family val="2"/>
        <charset val="1"/>
      </rPr>
      <t xml:space="preserve">dil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＝加回（稅後）</t>
    </r>
  </si>
  <si>
    <t xml:space="preserve">tv_alt</t>
  </si>
  <si>
    <r>
      <rPr>
        <sz val="11"/>
        <color theme="1"/>
        <rFont val="Noto Sans CJK SC"/>
        <family val="2"/>
      </rPr>
      <t xml:space="preserve">終值改用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無槓桿自由現金流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</si>
  <si>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判斷：基準用價值驅動公式（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＝替代口徑</t>
    </r>
  </si>
  <si>
    <r>
      <rPr>
        <b val="true"/>
        <sz val="11"/>
        <rFont val="Cambria"/>
        <family val="0"/>
        <charset val="1"/>
      </rPr>
      <t xml:space="preserve">C2. </t>
    </r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）倍數：同業 </t>
    </r>
    <r>
      <rPr>
        <b val="true"/>
        <sz val="11"/>
        <rFont val="Cambria"/>
        <family val="0"/>
        <charset val="1"/>
      </rPr>
      <t xml:space="preserve">NTM EV/EBITDA</t>
    </r>
    <r>
      <rPr>
        <b val="true"/>
        <sz val="11"/>
        <rFont val="Noto Sans CJK SC"/>
        <family val="2"/>
      </rPr>
      <t xml:space="preserve">（沿用 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共用同業檔，基準日 </t>
    </r>
    <r>
      <rPr>
        <b val="true"/>
        <sz val="11"/>
        <rFont val="Cambria"/>
        <family val="0"/>
        <charset val="1"/>
      </rPr>
      <t xml:space="preserve">2026-10-07</t>
    </r>
    <r>
      <rPr>
        <b val="true"/>
        <sz val="11"/>
        <rFont val="Noto Sans CJK SC"/>
        <family val="2"/>
      </rPr>
      <t xml:space="preserve">；中位數在 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頁計算）</t>
    </r>
  </si>
  <si>
    <t xml:space="preserve">pm_ads_meta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</si>
  <si>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</si>
  <si>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r>
      <rPr>
        <sz val="11"/>
        <color theme="1"/>
        <rFont val="Calibri"/>
        <family val="2"/>
        <charset val="1"/>
      </rPr>
      <t xml:space="preserve">data/peers_ads_20261009.json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三家共用）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</si>
  <si>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NTM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 </t>
    </r>
    <r>
      <rPr>
        <sz val="11"/>
        <color theme="1"/>
        <rFont val="Noto Sans CJK SC"/>
        <family val="2"/>
      </rPr>
      <t xml:space="preserve">時間加權）</t>
    </r>
  </si>
  <si>
    <t xml:space="preserve">pm_ads_pins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</si>
  <si>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Pinterest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PINS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</si>
  <si>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pm_ads_ttd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</si>
  <si>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The Trade Desk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</si>
  <si>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pm_ads_app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</si>
  <si>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AppLovin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</si>
  <si>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pm_ads_rddt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</si>
  <si>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Reddit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RDDT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</si>
  <si>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pm_ads_snap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</si>
  <si>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層級費用）：</t>
    </r>
    <r>
      <rPr>
        <sz val="11"/>
        <color theme="1"/>
        <rFont val="Calibri"/>
        <family val="2"/>
        <charset val="1"/>
      </rPr>
      <t xml:space="preserve">Snap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SNAP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</si>
  <si>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pm_subs_nflx</t>
  </si>
  <si>
    <r>
      <rPr>
        <sz val="11"/>
        <color theme="1"/>
        <rFont val="Noto Sans CJK SC"/>
        <family val="2"/>
      </rPr>
      <t xml:space="preserve">訂閱影音（</t>
    </r>
    <r>
      <rPr>
        <sz val="11"/>
        <color theme="1"/>
        <rFont val="Calibri"/>
        <family val="2"/>
        <charset val="1"/>
      </rPr>
      <t xml:space="preserve">Subscriptions, platforms, and devices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Netflix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NFLX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</si>
  <si>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r>
      <rPr>
        <sz val="11"/>
        <color theme="1"/>
        <rFont val="Calibri"/>
        <family val="2"/>
        <charset val="1"/>
      </rPr>
      <t xml:space="preserve">legacy_v0.2/company.json valuation.segmentMultiples.subs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NFLX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SPOT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amazon/data </t>
    </r>
    <r>
      <rPr>
        <sz val="11"/>
        <color theme="1"/>
        <rFont val="Noto Sans CJK SC"/>
        <family val="2"/>
      </rPr>
      <t xml:space="preserve">事實總帳）</t>
    </r>
  </si>
  <si>
    <t xml:space="preserve">pm_subs_spot</t>
  </si>
  <si>
    <r>
      <rPr>
        <sz val="11"/>
        <color theme="1"/>
        <rFont val="Noto Sans CJK SC"/>
        <family val="2"/>
      </rPr>
      <t xml:space="preserve">訂閱影音（</t>
    </r>
    <r>
      <rPr>
        <sz val="11"/>
        <color theme="1"/>
        <rFont val="Calibri"/>
        <family val="2"/>
        <charset val="1"/>
      </rPr>
      <t xml:space="preserve">Subscriptions, platforms, and devices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Spotify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SPOT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</si>
  <si>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pm_subs_dis</t>
  </si>
  <si>
    <r>
      <rPr>
        <sz val="11"/>
        <color theme="1"/>
        <rFont val="Noto Sans CJK SC"/>
        <family val="2"/>
      </rPr>
      <t xml:space="preserve">訂閱影音（</t>
    </r>
    <r>
      <rPr>
        <sz val="11"/>
        <color theme="1"/>
        <rFont val="Calibri"/>
        <family val="2"/>
        <charset val="1"/>
      </rPr>
      <t xml:space="preserve">Subscriptions, platforms, and devices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Disney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</si>
  <si>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pm_cloud_orcl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</si>
  <si>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</si>
  <si>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r>
      <rPr>
        <sz val="11"/>
        <color theme="1"/>
        <rFont val="Calibri"/>
        <family val="2"/>
        <charset val="1"/>
      </rPr>
      <t xml:space="preserve">data/peers_cloud_20261008.json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三家共用）</t>
    </r>
  </si>
  <si>
    <t xml:space="preserve">pm_cloud_ibm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</si>
  <si>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</si>
  <si>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pm_cloud_sap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</si>
  <si>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SAP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</si>
  <si>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pm_cloud_crm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</si>
  <si>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Salesforce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</si>
  <si>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pm_cloud_now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</si>
  <si>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ServiceNow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</si>
  <si>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pm_cloud_akam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</si>
  <si>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Akamai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AKAM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</si>
  <si>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pm_cloud_eqix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</si>
  <si>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Equinix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EQIX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</si>
  <si>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pm_cloud_docn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</si>
  <si>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其他）：</t>
    </r>
    <r>
      <rPr>
        <sz val="11"/>
        <color theme="1"/>
        <rFont val="Calibri"/>
        <family val="2"/>
        <charset val="1"/>
      </rPr>
      <t xml:space="preserve">DigitalOcean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DOCN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</si>
  <si>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mult_ai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</si>
  <si>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系統銷售的 </t>
    </r>
    <r>
      <rPr>
        <sz val="11"/>
        <color theme="1"/>
        <rFont val="Calibri"/>
        <family val="2"/>
        <charset val="1"/>
      </rPr>
      <t xml:space="preserve">EV/EBITDA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同業倍數對照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</si>
  <si>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valuation.evEbitda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 </t>
    </r>
    <r>
      <rPr>
        <sz val="11"/>
        <color theme="1"/>
        <rFont val="Calibri"/>
        <family val="2"/>
        <charset val="1"/>
      </rPr>
      <t xml:space="preserve">6×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CRWV TTM 25×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 NTM 9.5× </t>
    </r>
    <r>
      <rPr>
        <sz val="11"/>
        <color theme="1"/>
        <rFont val="Noto Sans CJK SC"/>
        <family val="2"/>
      </rPr>
      <t xml:space="preserve">為對照，事實總帳 </t>
    </r>
    <r>
      <rPr>
        <sz val="11"/>
        <color theme="1"/>
        <rFont val="Calibri"/>
        <family val="2"/>
        <charset val="1"/>
      </rPr>
      <t xml:space="preserve">val.peer.aiInfra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</si>
  <si>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主值改用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；本倍數版只作對照列</t>
    </r>
  </si>
  <si>
    <t xml:space="preserve">mult_ads_own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</si>
  <si>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</si>
  <si>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val.googl.ownNtm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</si>
  <si>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ads_mode</t>
  </si>
  <si>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層級的倍數（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＝六家廣告同業中位數；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自身）</t>
    </r>
  </si>
  <si>
    <r>
      <rPr>
        <sz val="11"/>
        <color theme="1"/>
        <rFont val="Noto Sans CJK SC"/>
        <family val="2"/>
      </rPr>
      <t xml:space="preserve">修正一：小型廣告科技（</t>
    </r>
    <r>
      <rPr>
        <sz val="11"/>
        <color theme="1"/>
        <rFont val="Calibri"/>
        <family val="2"/>
        <charset val="1"/>
      </rPr>
      <t xml:space="preserve">PINS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TTD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APP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RDDT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SNAP</t>
    </r>
    <r>
      <rPr>
        <sz val="11"/>
        <color theme="1"/>
        <rFont val="Noto Sans CJK SC"/>
        <family val="2"/>
      </rPr>
      <t xml:space="preserve">）規模與護城河不可比 → 預設 </t>
    </r>
    <r>
      <rPr>
        <sz val="11"/>
        <color theme="1"/>
        <rFont val="Calibri"/>
        <family val="2"/>
        <charset val="1"/>
      </rPr>
      <t xml:space="preserve">META NTM 10.79×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仍用六家中位數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</si>
  <si>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：中位數 </t>
    </r>
    <r>
      <rPr>
        <sz val="11"/>
        <color theme="1"/>
        <rFont val="Calibri"/>
        <family val="2"/>
        <charset val="1"/>
      </rPr>
      <t xml:space="preserve">9.11×</t>
    </r>
    <r>
      <rPr>
        <sz val="11"/>
        <color theme="1"/>
        <rFont val="Noto Sans CJK SC"/>
        <family val="2"/>
      </rPr>
      <t xml:space="preserve">／自身 </t>
    </r>
    <r>
      <rPr>
        <sz val="11"/>
        <color theme="1"/>
        <rFont val="Calibri"/>
        <family val="2"/>
        <charset val="1"/>
      </rPr>
      <t xml:space="preserve">14.68×</t>
    </r>
  </si>
  <si>
    <t xml:space="preserve">waymo_val</t>
  </si>
  <si>
    <r>
      <rPr>
        <sz val="11"/>
        <color theme="1"/>
        <rFont val="Calibri"/>
        <family val="2"/>
        <charset val="1"/>
      </rPr>
      <t xml:space="preserve">Waymo Series D </t>
    </r>
    <r>
      <rPr>
        <sz val="11"/>
        <color theme="1"/>
        <rFont val="Noto Sans CJK SC"/>
        <family val="2"/>
      </rPr>
      <t xml:space="preserve">投後估值（</t>
    </r>
    <r>
      <rPr>
        <sz val="11"/>
        <color theme="1"/>
        <rFont val="Calibri"/>
        <family val="2"/>
        <charset val="1"/>
      </rPr>
      <t xml:space="preserve">2026-02-02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</si>
  <si>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Fintool https://fintool.com/news/waymo-16-billion-126-billion-valuation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Bloomberg Law https://news.bloomberglaw.com/private-equity/waymo-raises-16-billion-from-alphabet-others-to-expand-service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讀取）：募資 </t>
    </r>
    <r>
      <rPr>
        <sz val="11"/>
        <color theme="1"/>
        <rFont val="Calibri"/>
        <family val="2"/>
        <charset val="1"/>
      </rPr>
      <t xml:space="preserve">16.0</t>
    </r>
    <r>
      <rPr>
        <sz val="11"/>
        <color theme="1"/>
        <rFont val="Noto Sans CJK SC"/>
        <family val="2"/>
      </rPr>
      <t xml:space="preserve">、投後 </t>
    </r>
    <r>
      <rPr>
        <sz val="11"/>
        <color theme="1"/>
        <rFont val="Calibri"/>
        <family val="2"/>
        <charset val="1"/>
      </rPr>
      <t xml:space="preserve">126</t>
    </r>
    <r>
      <rPr>
        <sz val="11"/>
        <color theme="1"/>
        <rFont val="Noto Sans CJK SC"/>
        <family val="2"/>
      </rPr>
      <t xml:space="preserve">（含新資金）</t>
    </r>
  </si>
  <si>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出資約 </t>
    </r>
    <r>
      <rPr>
        <sz val="11"/>
        <color theme="1"/>
        <rFont val="Calibri"/>
        <family val="2"/>
        <charset val="1"/>
      </rPr>
      <t xml:space="preserve">13.0</t>
    </r>
    <r>
      <rPr>
        <sz val="11"/>
        <color theme="1"/>
        <rFont val="Noto Sans CJK SC"/>
        <family val="2"/>
      </rPr>
      <t xml:space="preserve">；修正二</t>
    </r>
  </si>
  <si>
    <t xml:space="preserve">waymo_stake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</si>
  <si>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持有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</si>
  <si>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Noto Sans CJK SC"/>
        <family val="2"/>
      </rPr>
      <t xml:space="preserve">公司未揭露確切比例；</t>
    </r>
    <r>
      <rPr>
        <sz val="11"/>
        <color theme="1"/>
        <rFont val="Calibri"/>
        <family val="2"/>
        <charset val="1"/>
      </rPr>
      <t xml:space="preserve">Fintool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仍為多數股東（</t>
    </r>
    <r>
      <rPr>
        <sz val="11"/>
        <color theme="1"/>
        <rFont val="Calibri"/>
        <family val="2"/>
        <charset val="1"/>
      </rPr>
      <t xml:space="preserve">majority investor</t>
    </r>
    <r>
      <rPr>
        <sz val="11"/>
        <color theme="1"/>
        <rFont val="Noto Sans CJK SC"/>
        <family val="2"/>
      </rPr>
      <t xml:space="preserve">）</t>
    </r>
  </si>
  <si>
    <t xml:space="preserve">未找到：確切持股比例</t>
  </si>
  <si>
    <t xml:space="preserve">ob_val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</si>
  <si>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價值＝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流動性折價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</si>
  <si>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修正二：分部加總與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一致以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市場估值計 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排除 </t>
    </r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營業虧損與資本支出，改加本值）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</si>
  <si>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Verily </t>
    </r>
    <r>
      <rPr>
        <sz val="11"/>
        <color theme="1"/>
        <rFont val="Noto Sans CJK SC"/>
        <family val="2"/>
      </rPr>
      <t xml:space="preserve">等）不另計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</si>
  <si>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命題模組：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容量（沿用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；總 </t>
    </r>
    <r>
      <rPr>
        <b val="true"/>
        <sz val="11"/>
        <rFont val="Cambria"/>
        <family val="0"/>
        <charset val="1"/>
      </rPr>
      <t xml:space="preserve">AI MW</t>
    </r>
    <r>
      <rPr>
        <b val="true"/>
        <sz val="11"/>
        <rFont val="Noto Sans CJK SC"/>
        <family val="2"/>
      </rPr>
      <t xml:space="preserve">＝對外 </t>
    </r>
    <r>
      <rPr>
        <b val="true"/>
        <sz val="11"/>
        <rFont val="Cambria"/>
        <family val="0"/>
        <charset val="1"/>
      </rPr>
      <t xml:space="preserve">MW ÷ </t>
    </r>
    <r>
      <rPr>
        <b val="true"/>
        <sz val="11"/>
        <rFont val="Noto Sans CJK SC"/>
        <family val="2"/>
      </rPr>
      <t xml:space="preserve">對外比例）</t>
    </r>
  </si>
  <si>
    <t xml:space="preserve">ext_sh</t>
  </si>
  <si>
    <r>
      <rPr>
        <sz val="11"/>
        <color theme="1"/>
        <rFont val="Noto Sans CJK SC"/>
        <family val="2"/>
      </rPr>
      <t xml:space="preserve">對外比例（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MW ÷ 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</si>
  <si>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mw.extShare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v0.1a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25%–40%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</si>
  <si>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capexModel.extShare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C23</t>
    </r>
    <r>
      <rPr>
        <sz val="11"/>
        <color theme="1"/>
        <rFont val="Noto Sans CJK SC"/>
        <family val="2"/>
      </rPr>
      <t xml:space="preserve">：公司未揭露，是最大不確定（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另列 </t>
    </r>
    <r>
      <rPr>
        <sz val="11"/>
        <color theme="1"/>
        <rFont val="Calibri"/>
        <family val="2"/>
        <charset val="1"/>
      </rPr>
      <t xml:space="preserve">±20pt</t>
    </r>
    <r>
      <rPr>
        <sz val="11"/>
        <color theme="1"/>
        <rFont val="Noto Sans CJK SC"/>
        <family val="2"/>
      </rPr>
      <t xml:space="preserve">）</t>
    </r>
  </si>
  <si>
    <t xml:space="preserve">mw_q2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</si>
  <si>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，自用＋對外）</t>
    </r>
  </si>
  <si>
    <t xml:space="preserve">MW</t>
  </si>
  <si>
    <r>
      <rPr>
        <sz val="11"/>
        <color theme="1"/>
        <rFont val="Calibri"/>
        <family val="2"/>
        <charset val="1"/>
      </rPr>
      <t xml:space="preserve">Epoch AI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AI Chip Owners</t>
    </r>
    <r>
      <rPr>
        <sz val="11"/>
        <color theme="1"/>
        <rFont val="Noto Sans CJK SC"/>
        <family val="2"/>
      </rPr>
      <t xml:space="preserve">〉資料集：</t>
    </r>
    <r>
      <rPr>
        <sz val="11"/>
        <color theme="1"/>
        <rFont val="Calibri"/>
        <family val="2"/>
        <charset val="1"/>
      </rPr>
      <t xml:space="preserve">cumulative by designer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CSV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2026-05-12 </t>
    </r>
    <r>
      <rPr>
        <sz val="11"/>
        <color theme="1"/>
        <rFont val="Noto Sans CJK SC"/>
        <family val="2"/>
      </rPr>
      <t xml:space="preserve">更新）（</t>
    </r>
    <r>
      <rPr>
        <sz val="11"/>
        <color theme="1"/>
        <rFont val="Calibri"/>
        <family val="2"/>
        <charset val="1"/>
      </rPr>
      <t xml:space="preserve">2026-05-12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mw.ai.it.2026q2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</si>
  <si>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Epoch AI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3,841 MW × IT/TDP 1.65</t>
    </r>
    <r>
      <rPr>
        <sz val="11"/>
        <color theme="1"/>
        <rFont val="Noto Sans CJK SC"/>
        <family val="2"/>
      </rPr>
      <t xml:space="preserve">；對外 </t>
    </r>
    <r>
      <rPr>
        <sz val="11"/>
        <color theme="1"/>
        <rFont val="Calibri"/>
        <family val="2"/>
        <charset val="1"/>
      </rPr>
      <t xml:space="preserve">1,901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6,337 × 30%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defaults.billableOpen</t>
    </r>
    <r>
      <rPr>
        <sz val="11"/>
        <color theme="1"/>
        <rFont val="Noto Sans CJK SC"/>
        <family val="2"/>
      </rPr>
      <t xml:space="preserve">）</t>
    </r>
  </si>
  <si>
    <t xml:space="preserve">mw_tot0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</si>
  <si>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（評價日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pace × 0.25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</si>
  <si>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新增依 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基準速度（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世代組合）；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51.4 </t>
    </r>
    <r>
      <rPr>
        <sz val="11"/>
        <color theme="1"/>
        <rFont val="Noto Sans CJK SC"/>
        <family val="2"/>
      </rPr>
      <t xml:space="preserve">已是實績</t>
    </r>
  </si>
  <si>
    <r>
      <rPr>
        <sz val="11"/>
        <color theme="1"/>
        <rFont val="Noto Sans CJK SC"/>
        <family val="2"/>
      </rPr>
      <t xml:space="preserve">期初機隊＝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機隊（</t>
    </r>
    <r>
      <rPr>
        <sz val="11"/>
        <color theme="1"/>
        <rFont val="Calibri"/>
        <family val="2"/>
        <charset val="1"/>
      </rPr>
      <t xml:space="preserve">mix0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新增</t>
    </r>
  </si>
  <si>
    <t xml:space="preserve">mw_ye25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</si>
  <si>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</si>
  <si>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Epoch AI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AI Chip Owners</t>
    </r>
    <r>
      <rPr>
        <sz val="11"/>
        <color theme="1"/>
        <rFont val="Noto Sans CJK SC"/>
        <family val="2"/>
      </rPr>
      <t xml:space="preserve">〉資料集：</t>
    </r>
    <r>
      <rPr>
        <sz val="11"/>
        <color theme="1"/>
        <rFont val="Calibri"/>
        <family val="2"/>
        <charset val="1"/>
      </rPr>
      <t xml:space="preserve">cumulative by designer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CSV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2026-05-12 </t>
    </r>
    <r>
      <rPr>
        <sz val="11"/>
        <color theme="1"/>
        <rFont val="Noto Sans CJK SC"/>
        <family val="2"/>
      </rPr>
      <t xml:space="preserve">更新）（</t>
    </r>
    <r>
      <rPr>
        <sz val="11"/>
        <color theme="1"/>
        <rFont val="Calibri"/>
        <family val="2"/>
        <charset val="1"/>
      </rPr>
      <t xml:space="preserve">2026-05-12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mw.ai.it.epoch.2025q4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</si>
  <si>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1,462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defaults.mwYearEnd 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30%</t>
    </r>
  </si>
  <si>
    <t xml:space="preserve">mw_ye24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</si>
  <si>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2024-12-31</t>
    </r>
    <r>
      <rPr>
        <sz val="11"/>
        <color theme="1"/>
        <rFont val="Noto Sans CJK SC"/>
        <family val="2"/>
      </rPr>
      <t xml:space="preserve">；汰換用）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</si>
  <si>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defaults.mwYearEnd 2024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643 ÷ 30%</t>
    </r>
  </si>
  <si>
    <t xml:space="preserve">mw_ye23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</si>
  <si>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2023-12-31</t>
    </r>
    <r>
      <rPr>
        <sz val="11"/>
        <color theme="1"/>
        <rFont val="Noto Sans CJK SC"/>
        <family val="2"/>
      </rPr>
      <t xml:space="preserve">；汰換用）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</si>
  <si>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defaults.mwYearEnd 2023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191 ÷ 30%</t>
    </r>
  </si>
  <si>
    <t xml:space="preserve">pace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</si>
  <si>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每年新增（三情境相同；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重解）</t>
    </r>
  </si>
  <si>
    <r>
      <rPr>
        <sz val="11"/>
        <color theme="1"/>
        <rFont val="Calibri"/>
        <family val="2"/>
        <charset val="1"/>
      </rPr>
      <t xml:space="preserve">MW/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</si>
  <si>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重解，</t>
    </r>
    <r>
      <rPr>
        <sz val="11"/>
        <color theme="1"/>
        <rFont val="Calibri"/>
        <family val="2"/>
        <charset val="1"/>
      </rPr>
      <t xml:space="preserve">alphabet/calib_pace_v031.py → data/pace_v031.json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131.953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法說維持 </t>
    </r>
    <r>
      <rPr>
        <sz val="11"/>
        <color theme="1"/>
        <rFont val="Calibri"/>
        <family val="2"/>
        <charset val="1"/>
      </rPr>
      <t xml:space="preserve">195–205</t>
    </r>
    <r>
      <rPr>
        <sz val="11"/>
        <color theme="1"/>
        <rFont val="Noto Sans CJK SC"/>
        <family val="2"/>
      </rPr>
      <t xml:space="preserve">），指引下限補足 ≈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</si>
  <si>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低／高＝基準 </t>
    </r>
    <r>
      <rPr>
        <sz val="11"/>
        <color theme="1"/>
        <rFont val="Calibri"/>
        <family val="2"/>
        <charset val="1"/>
      </rPr>
      <t xml:space="preserve">× 2/3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 1.5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保守／積極的比例）；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4,159.67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1,247.9 ÷ 30%</t>
    </r>
    <r>
      <rPr>
        <sz val="11"/>
        <color theme="1"/>
        <rFont val="Noto Sans CJK SC"/>
        <family val="2"/>
      </rPr>
      <t xml:space="preserve">）；本版不作情境軸，只列 </t>
    </r>
    <r>
      <rPr>
        <sz val="11"/>
        <color theme="1"/>
        <rFont val="Calibri"/>
        <family val="2"/>
        <charset val="1"/>
      </rPr>
      <t xml:space="preserve">Sens</t>
    </r>
  </si>
  <si>
    <t xml:space="preserve">pace_tpu1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</si>
  <si>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每年新增：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（舊 </t>
    </r>
    <r>
      <rPr>
        <sz val="11"/>
        <color theme="1"/>
        <rFont val="Calibri"/>
        <family val="2"/>
        <charset val="1"/>
      </rPr>
      <t xml:space="preserve">C2 </t>
    </r>
    <r>
      <rPr>
        <sz val="11"/>
        <color theme="1"/>
        <rFont val="Noto Sans CJK SC"/>
        <family val="2"/>
      </rPr>
      <t xml:space="preserve">口徑）時的 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解</t>
    </r>
  </si>
  <si>
    <r>
      <rPr>
        <sz val="11"/>
        <color theme="1"/>
        <rFont val="Noto Sans CJK SC"/>
        <family val="2"/>
      </rPr>
      <t xml:space="preserve">同上，</t>
    </r>
    <r>
      <rPr>
        <sz val="11"/>
        <color theme="1"/>
        <rFont val="Calibri"/>
        <family val="2"/>
        <charset val="1"/>
      </rPr>
      <t xml:space="preserve">tpu_f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tpu_cf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時重解；只供變動拆解 </t>
    </r>
    <r>
      <rPr>
        <sz val="11"/>
        <color theme="1"/>
        <rFont val="Calibri"/>
        <family val="2"/>
        <charset val="1"/>
      </rPr>
      <t xml:space="preserve">(c)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(d)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舊口徑」使用</t>
    </r>
  </si>
  <si>
    <t xml:space="preserve">mix0_h</t>
  </si>
  <si>
    <r>
      <rPr>
        <sz val="11"/>
        <color theme="1"/>
        <rFont val="Noto Sans CJK SC"/>
        <family val="2"/>
      </rPr>
      <t xml:space="preserve">期初機隊：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TPU v4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</si>
  <si>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pricing.chips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v5 15%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 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</si>
  <si>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以同期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世代代理</t>
    </r>
  </si>
  <si>
    <t xml:space="preserve">mix0_b2</t>
  </si>
  <si>
    <r>
      <rPr>
        <sz val="11"/>
        <color theme="1"/>
        <rFont val="Noto Sans CJK SC"/>
        <family val="2"/>
      </rPr>
      <t xml:space="preserve">期初機隊：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Trillium v6e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</si>
  <si>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Trillium 35%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GB200 10%</t>
    </r>
    <r>
      <rPr>
        <sz val="11"/>
        <color theme="1"/>
        <rFont val="Noto Sans CJK SC"/>
        <family val="2"/>
      </rPr>
      <t xml:space="preserve">）</t>
    </r>
  </si>
  <si>
    <t xml:space="preserve">C2</t>
  </si>
  <si>
    <t xml:space="preserve">mix0_b3</t>
  </si>
  <si>
    <r>
      <rPr>
        <sz val="11"/>
        <color theme="1"/>
        <rFont val="Noto Sans CJK SC"/>
        <family val="2"/>
      </rPr>
      <t xml:space="preserve">期初機隊：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</si>
  <si>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Ironwood 30%</t>
    </r>
    <r>
      <rPr>
        <sz val="11"/>
        <color theme="1"/>
        <rFont val="Noto Sans CJK SC"/>
        <family val="2"/>
      </rPr>
      <t xml:space="preserve">）</t>
    </r>
  </si>
  <si>
    <t xml:space="preserve">am_26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</si>
  <si>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錨占比（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</si>
  <si>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 Ironwood 75%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GB300 25%</t>
    </r>
    <r>
      <rPr>
        <sz val="11"/>
        <color theme="1"/>
        <rFont val="Noto Sans CJK SC"/>
        <family val="2"/>
      </rPr>
      <t xml:space="preserve">）</t>
    </r>
  </si>
  <si>
    <t xml:space="preserve">am_28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</si>
  <si>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起新增中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錨占比（下一代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</si>
  <si>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起下一代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VR200 25%</t>
    </r>
    <r>
      <rPr>
        <sz val="11"/>
        <color theme="1"/>
        <rFont val="Noto Sans CJK SC"/>
        <family val="2"/>
      </rPr>
      <t xml:space="preserve">）</t>
    </r>
  </si>
  <si>
    <t xml:space="preserve">cip_lag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</si>
  <si>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資本支出到在役的時間差（年；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＝支出當年即依 </t>
    </r>
    <r>
      <rPr>
        <sz val="11"/>
        <color theme="1"/>
        <rFont val="Calibri"/>
        <family val="2"/>
        <charset val="1"/>
      </rPr>
      <t xml:space="preserve">phi_0 </t>
    </r>
    <r>
      <rPr>
        <sz val="11"/>
        <color theme="1"/>
        <rFont val="Noto Sans CJK SC"/>
        <family val="2"/>
      </rPr>
      <t xml:space="preserve">折舊）</t>
    </r>
  </si>
  <si>
    <r>
      <rPr>
        <sz val="11"/>
        <color theme="1"/>
        <rFont val="Noto Sans CJK SC"/>
        <family val="2"/>
      </rPr>
      <t xml:space="preserve">修正三：資本支出仍依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路徑足額支付 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的新增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，在建工程 </t>
    </r>
    <r>
      <rPr>
        <sz val="11"/>
        <color theme="1"/>
        <rFont val="Calibri"/>
        <family val="2"/>
        <charset val="1"/>
      </rPr>
      <t xml:space="preserve">122.8 </t>
    </r>
    <r>
      <rPr>
        <sz val="11"/>
        <color theme="1"/>
        <rFont val="Noto Sans CJK SC"/>
        <family val="2"/>
      </rPr>
      <t xml:space="preserve">是另一筆已付資產（照原時程折舊、不另增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）→ 時間差取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才不會少提折舊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</si>
  <si>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＝修正二口徑（在建工程視為新增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來源但資本支出未相應減少，約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的資產少提折舊）</t>
    </r>
  </si>
  <si>
    <t xml:space="preserve">conv_mw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</si>
  <si>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新增速度收斂年數（到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只剩 </t>
    </r>
    <r>
      <rPr>
        <sz val="11"/>
        <color theme="1"/>
        <rFont val="Calibri"/>
        <family val="2"/>
        <charset val="1"/>
      </rPr>
      <t xml:space="preserve">g × </t>
    </r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</si>
  <si>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：終值不得落在建置高峰</t>
    </r>
  </si>
  <si>
    <t xml:space="preserve">am_27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</si>
  <si>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錨占比（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</si>
  <si>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2027 Ironwood 40%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GB300 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</si>
  <si>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新增全為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Ironwood 75%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GB300 25%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起全為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錨（下一代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</si>
  <si>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tpu_sh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</si>
  <si>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</si>
  <si>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Calibri"/>
        <family val="2"/>
        <charset val="1"/>
      </rPr>
      <t xml:space="preserve">Epoch 2025 </t>
    </r>
    <r>
      <rPr>
        <sz val="11"/>
        <color theme="1"/>
        <rFont val="Noto Sans CJK SC"/>
        <family val="2"/>
      </rPr>
      <t xml:space="preserve">年新增功耗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77%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pricing.mixNote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</si>
  <si>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只在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係數不等於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時有作用</t>
    </r>
  </si>
  <si>
    <t xml:space="preserve">tpu_hold</t>
  </si>
  <si>
    <r>
      <rPr>
        <sz val="11"/>
        <color theme="1"/>
        <rFont val="Calibri"/>
        <family val="2"/>
        <charset val="1"/>
      </rPr>
      <t xml:space="preserve">Tokenomics IF_NonNV_Hold_TPU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</si>
  <si>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data/tokenomics_snapshot_v21.7.json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Interface!C375:E375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v21.6 </t>
    </r>
    <r>
      <rPr>
        <sz val="11"/>
        <color theme="1"/>
        <rFont val="Noto Sans CJK SC"/>
        <family val="2"/>
      </rPr>
      <t xml:space="preserve">起依每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設備價推導）</t>
    </r>
  </si>
  <si>
    <r>
      <rPr>
        <sz val="11"/>
        <color theme="1"/>
        <rFont val="Noto Sans CJK SC"/>
        <family val="2"/>
      </rPr>
      <t xml:space="preserve">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條；契約第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條）</t>
    </r>
  </si>
  <si>
    <t xml:space="preserve">tpu_out</t>
  </si>
  <si>
    <r>
      <rPr>
        <sz val="11"/>
        <color theme="1"/>
        <rFont val="Calibri"/>
        <family val="2"/>
        <charset val="1"/>
      </rPr>
      <t xml:space="preserve">Tokenomics IF_NonNV_Out_TPU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</si>
  <si>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data/tokenomics_snapshot_v21.7.json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Interface!C370:E370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、慣例值，</t>
    </r>
    <r>
      <rPr>
        <sz val="11"/>
        <color theme="1"/>
        <rFont val="Calibri"/>
        <family val="2"/>
        <charset val="1"/>
      </rPr>
      <t xml:space="preserve">PR #172 Q1 </t>
    </r>
    <r>
      <rPr>
        <sz val="11"/>
        <color theme="1"/>
        <rFont val="Noto Sans CJK SC"/>
        <family val="2"/>
      </rPr>
      <t xml:space="preserve">未決）</t>
    </r>
  </si>
  <si>
    <t xml:space="preserve">只作敏感度（收入改按產出比）</t>
  </si>
  <si>
    <t xml:space="preserve">tpu_f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</si>
  <si>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收入錨係數（＝</t>
    </r>
    <r>
      <rPr>
        <sz val="11"/>
        <color theme="1"/>
        <rFont val="Calibri"/>
        <family val="2"/>
        <charset val="1"/>
      </rPr>
      <t xml:space="preserve">Tokenomics TPU </t>
    </r>
    <r>
      <rPr>
        <sz val="11"/>
        <color theme="1"/>
        <rFont val="Noto Sans CJK SC"/>
        <family val="2"/>
      </rPr>
      <t xml:space="preserve">持有成本比）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</si>
  <si>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（工作單第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項預設：改讀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TPU MW </t>
    </r>
    <r>
      <rPr>
        <sz val="11"/>
        <color theme="1"/>
        <rFont val="Noto Sans CJK SC"/>
        <family val="2"/>
      </rPr>
      <t xml:space="preserve">的每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收入＝</t>
    </r>
    <r>
      <rPr>
        <sz val="11"/>
        <color theme="1"/>
        <rFont val="Calibri"/>
        <family val="2"/>
        <charset val="1"/>
      </rPr>
      <t xml:space="preserve">k × TPU </t>
    </r>
    <r>
      <rPr>
        <sz val="11"/>
        <color theme="1"/>
        <rFont val="Noto Sans CJK SC"/>
        <family val="2"/>
      </rPr>
      <t xml:space="preserve">持有成本＝</t>
    </r>
    <r>
      <rPr>
        <sz val="11"/>
        <color theme="1"/>
        <rFont val="Calibri"/>
        <family val="2"/>
        <charset val="1"/>
      </rPr>
      <t xml:space="preserve">k × IF_NonNV_Hold_TPU × </t>
    </r>
    <r>
      <rPr>
        <sz val="11"/>
        <color theme="1"/>
        <rFont val="Noto Sans CJK SC"/>
        <family val="2"/>
      </rPr>
      <t xml:space="preserve">錨世代 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（持有成本比套用到各錨世代，近似）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</si>
  <si>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為舊 </t>
    </r>
    <r>
      <rPr>
        <sz val="11"/>
        <color theme="1"/>
        <rFont val="Calibri"/>
        <family val="2"/>
        <charset val="1"/>
      </rPr>
      <t xml:space="preserve">C2 </t>
    </r>
    <r>
      <rPr>
        <sz val="11"/>
        <color theme="1"/>
        <rFont val="Noto Sans CJK SC"/>
        <family val="2"/>
      </rPr>
      <t xml:space="preserve">口徑（同期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 </t>
    </r>
    <r>
      <rPr>
        <sz val="11"/>
        <color theme="1"/>
        <rFont val="Calibri"/>
        <family val="2"/>
        <charset val="1"/>
      </rPr>
      <t xml:space="preserve">× 1.0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）；低＝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低端 </t>
    </r>
    <r>
      <rPr>
        <sz val="11"/>
        <color theme="1"/>
        <rFont val="Calibri"/>
        <family val="2"/>
        <charset val="1"/>
      </rPr>
      <t xml:space="preserve">0.65</t>
    </r>
  </si>
  <si>
    <t xml:space="preserve">tpu_cf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</si>
  <si>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資本支出係數（＝</t>
    </r>
    <r>
      <rPr>
        <sz val="11"/>
        <color theme="1"/>
        <rFont val="Calibri"/>
        <family val="2"/>
        <charset val="1"/>
      </rPr>
      <t xml:space="preserve">Tokenomics TPU </t>
    </r>
    <r>
      <rPr>
        <sz val="11"/>
        <color theme="1"/>
        <rFont val="Noto Sans CJK SC"/>
        <family val="2"/>
      </rPr>
      <t xml:space="preserve">持有成本比）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</si>
  <si>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資本支出與持有成本同比例（持有成本以資本回收為主）；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未單列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</si>
  <si>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敏感度時與 </t>
    </r>
    <r>
      <rPr>
        <sz val="11"/>
        <color theme="1"/>
        <rFont val="Calibri"/>
        <family val="2"/>
        <charset val="1"/>
      </rPr>
      <t xml:space="preserve">tpu_f </t>
    </r>
    <r>
      <rPr>
        <sz val="11"/>
        <color theme="1"/>
        <rFont val="Noto Sans CJK SC"/>
        <family val="2"/>
      </rPr>
      <t xml:space="preserve">同側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</si>
  <si>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命題模組：每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價格（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＝證據價格 </t>
    </r>
    <r>
      <rPr>
        <b val="true"/>
        <sz val="11"/>
        <rFont val="Cambria"/>
        <family val="0"/>
        <charset val="1"/>
      </rPr>
      <t xml:space="preserve">÷ Tokenomics </t>
    </r>
    <r>
      <rPr>
        <b val="true"/>
        <sz val="11"/>
        <rFont val="Noto Sans CJK SC"/>
        <family val="2"/>
      </rPr>
      <t xml:space="preserve">同世代成本；沿用 </t>
    </r>
    <r>
      <rPr>
        <b val="true"/>
        <sz val="11"/>
        <rFont val="Cambria"/>
        <family val="0"/>
        <charset val="1"/>
      </rPr>
      <t xml:space="preserve">v0.2.2 kspec.py</t>
    </r>
    <r>
      <rPr>
        <b val="true"/>
        <sz val="11"/>
        <rFont val="Noto Sans CJK SC"/>
        <family val="2"/>
      </rPr>
      <t xml:space="preserve">）</t>
    </r>
  </si>
  <si>
    <t xml:space="preserve">kl_px</t>
  </si>
  <si>
    <r>
      <rPr>
        <sz val="11"/>
        <color theme="1"/>
        <rFont val="Noto Sans CJK SC"/>
        <family val="2"/>
      </rPr>
      <t xml:space="preserve">長約證據價格（判斷倍數 </t>
    </r>
    <r>
      <rPr>
        <sz val="11"/>
        <color theme="1"/>
        <rFont val="Calibri"/>
        <family val="2"/>
        <charset val="1"/>
      </rPr>
      <t xml:space="preserve">0.75 × v5.27 VR200 12.762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</si>
  <si>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US$m/MW-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</si>
  <si>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legacy_v0.2/company.json pricing.kEvidence long.base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long.low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data/kevidence_alphabet_20261008.json kspecInputs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</si>
  <si>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不是觀察到的市場價格；分母＝</t>
    </r>
    <r>
      <rPr>
        <sz val="11"/>
        <color theme="1"/>
        <rFont val="Calibri"/>
        <family val="2"/>
        <charset val="1"/>
      </rPr>
      <t xml:space="preserve">VR200 IF_HoldEcon</t>
    </r>
  </si>
  <si>
    <t xml:space="preserve">ks_px</t>
  </si>
  <si>
    <r>
      <rPr>
        <sz val="11"/>
        <color theme="1"/>
        <rFont val="Noto Sans CJK SC"/>
        <family val="2"/>
      </rPr>
      <t xml:space="preserve">現貨證據價格（</t>
    </r>
    <r>
      <rPr>
        <sz val="11"/>
        <color theme="1"/>
        <rFont val="Calibri"/>
        <family val="2"/>
        <charset val="1"/>
      </rPr>
      <t xml:space="preserve">Silicon Data H100 </t>
    </r>
    <r>
      <rPr>
        <sz val="11"/>
        <color theme="1"/>
        <rFont val="Noto Sans CJK SC"/>
        <family val="2"/>
      </rPr>
      <t xml:space="preserve">指數）</t>
    </r>
  </si>
  <si>
    <t xml:space="preserve">US$/GPU-hr</t>
  </si>
  <si>
    <r>
      <rPr>
        <sz val="11"/>
        <color theme="1"/>
        <rFont val="Calibri"/>
        <family val="2"/>
        <charset val="1"/>
      </rPr>
      <t xml:space="preserve">Silicon Data H100 Index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https://www.silicondata.com/products/silicon-index/h100</t>
    </r>
    <r>
      <rPr>
        <sz val="11"/>
        <color theme="1"/>
        <rFont val="Noto Sans CJK SC"/>
        <family val="2"/>
      </rPr>
      <t xml:space="preserve">；高＝</t>
    </r>
    <r>
      <rPr>
        <sz val="11"/>
        <color theme="1"/>
        <rFont val="Calibri"/>
        <family val="2"/>
        <charset val="1"/>
      </rPr>
      <t xml:space="preserve">GCP a3-highgpu-8g 3 </t>
    </r>
    <r>
      <rPr>
        <sz val="11"/>
        <color theme="1"/>
        <rFont val="Noto Sans CJK SC"/>
        <family val="2"/>
      </rPr>
      <t xml:space="preserve">年預留 </t>
    </r>
    <r>
      <rPr>
        <sz val="11"/>
        <color theme="1"/>
        <rFont val="Calibri"/>
        <family val="2"/>
        <charset val="1"/>
      </rPr>
      <t xml:space="preserve">4.858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</si>
  <si>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分母＝</t>
    </r>
    <r>
      <rPr>
        <sz val="11"/>
        <color theme="1"/>
        <rFont val="Calibri"/>
        <family val="2"/>
        <charset val="1"/>
      </rPr>
      <t xml:space="preserve">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三家一致</t>
    </r>
  </si>
  <si>
    <t xml:space="preserve">long_sh</t>
  </si>
  <si>
    <t xml:space="preserve">長約占比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</si>
  <si>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pricing.longShare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積壓以多年期大客戶為主）</t>
    </r>
  </si>
  <si>
    <t xml:space="preserve">he_h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</si>
  <si>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</si>
  <si>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r>
      <rPr>
        <sz val="11"/>
        <color theme="1"/>
        <rFont val="Calibri"/>
        <family val="2"/>
        <charset val="1"/>
      </rPr>
      <t xml:space="preserve">data/tokenomics_snapshot_v21.7.json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Interface!C13:Q13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</si>
  <si>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WACC 10% </t>
    </r>
    <r>
      <rPr>
        <sz val="11"/>
        <color theme="1"/>
        <rFont val="Noto Sans CJK SC"/>
        <family val="2"/>
      </rPr>
      <t xml:space="preserve">下的打平持有成本；收入端不乘 </t>
    </r>
    <r>
      <rPr>
        <sz val="11"/>
        <color theme="1"/>
        <rFont val="Calibri"/>
        <family val="2"/>
        <charset val="1"/>
      </rPr>
      <t xml:space="preserve">IF_Util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MW-year </t>
    </r>
    <r>
      <rPr>
        <sz val="11"/>
        <color theme="1"/>
        <rFont val="Noto Sans CJK SC"/>
        <family val="2"/>
      </rPr>
      <t xml:space="preserve">計價）</t>
    </r>
  </si>
  <si>
    <t xml:space="preserve">he_b2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</si>
  <si>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</si>
  <si>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he_b3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</si>
  <si>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</si>
  <si>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he_vr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</si>
  <si>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</si>
  <si>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gpuhr_h</t>
  </si>
  <si>
    <r>
      <rPr>
        <sz val="11"/>
        <color theme="1"/>
        <rFont val="Calibri"/>
        <family val="2"/>
        <charset val="1"/>
      </rPr>
      <t xml:space="preserve">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</si>
  <si>
    <t xml:space="preserve">data/tokenomics_snapshot_v21.7.json</t>
  </si>
  <si>
    <t xml:space="preserve">opx_h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</si>
  <si>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</si>
  <si>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opx_b2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</si>
  <si>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</si>
  <si>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opx_b3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</si>
  <si>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</si>
  <si>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opx_vr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</si>
  <si>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</si>
  <si>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cit_h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</si>
  <si>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</si>
  <si>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US$m/MW</t>
  </si>
  <si>
    <t xml:space="preserve">cit_b2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</si>
  <si>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</si>
  <si>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cit_b3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</si>
  <si>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</si>
  <si>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cit_vr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</si>
  <si>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</si>
  <si>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dpi_h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</si>
  <si>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年折舊）</t>
    </r>
  </si>
  <si>
    <t xml:space="preserve">期初機隊汰換時遞減基礎折舊（修正一）</t>
  </si>
  <si>
    <t xml:space="preserve">dpi_b2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</si>
  <si>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</si>
  <si>
    <t xml:space="preserve">dpi_b3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</si>
  <si>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</si>
  <si>
    <t xml:space="preserve">cfac</t>
  </si>
  <si>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機房資本支出）</t>
    </r>
  </si>
  <si>
    <t xml:space="preserve">cap_h</t>
  </si>
  <si>
    <r>
      <rPr>
        <sz val="11"/>
        <color theme="1"/>
        <rFont val="Calibri"/>
        <family val="2"/>
        <charset val="1"/>
      </rPr>
      <t xml:space="preserve">IFW_RevGWFleet_Util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（上限檢查用，不得作預測）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</si>
  <si>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本值 </t>
    </r>
    <r>
      <rPr>
        <sz val="11"/>
        <color theme="1"/>
        <rFont val="Calibri"/>
        <family val="2"/>
        <charset val="1"/>
      </rPr>
      <t xml:space="preserve">&gt; 50% </t>
    </r>
    <r>
      <rPr>
        <sz val="11"/>
        <color theme="1"/>
        <rFont val="Noto Sans CJK SC"/>
        <family val="2"/>
      </rPr>
      <t xml:space="preserve">示警</t>
    </r>
  </si>
  <si>
    <t xml:space="preserve">cap_b2</t>
  </si>
  <si>
    <r>
      <rPr>
        <sz val="11"/>
        <color theme="1"/>
        <rFont val="Calibri"/>
        <family val="2"/>
        <charset val="1"/>
      </rPr>
      <t xml:space="preserve">IFW_RevGWFleet_Util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（上限檢查用，不得作預測）</t>
    </r>
  </si>
  <si>
    <t xml:space="preserve">cap_b3</t>
  </si>
  <si>
    <r>
      <rPr>
        <sz val="11"/>
        <color theme="1"/>
        <rFont val="Calibri"/>
        <family val="2"/>
        <charset val="1"/>
      </rPr>
      <t xml:space="preserve">IFW_RevGWFleet_Util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（上限檢查用，不得作預測）</t>
    </r>
  </si>
  <si>
    <t xml:space="preserve">cap_vr</t>
  </si>
  <si>
    <r>
      <rPr>
        <sz val="11"/>
        <color theme="1"/>
        <rFont val="Calibri"/>
        <family val="2"/>
        <charset val="1"/>
      </rPr>
      <t xml:space="preserve">IFW_RevGWFleet_Util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（上限檢查用，不得作預測）</t>
    </r>
  </si>
  <si>
    <t xml:space="preserve">selfb</t>
  </si>
  <si>
    <t xml:space="preserve">自建機房比例（租用部分不計機房資本支出）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</si>
  <si>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capexModel.selfBuild</t>
    </r>
  </si>
  <si>
    <t xml:space="preserve">life_it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</si>
  <si>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</t>
    </r>
  </si>
  <si>
    <r>
      <rPr>
        <sz val="11"/>
        <color theme="1"/>
        <rFont val="Calibri"/>
        <family val="2"/>
        <charset val="1"/>
      </rPr>
      <t xml:space="preserve">Tokenomics IF_DeprLifeIT 6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10-K 2025</t>
    </r>
    <r>
      <rPr>
        <sz val="11"/>
        <color theme="1"/>
        <rFont val="Noto Sans CJK SC"/>
        <family val="2"/>
      </rPr>
      <t xml:space="preserve">：伺服器與網通設備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年（事實總帳 </t>
    </r>
    <r>
      <rPr>
        <sz val="11"/>
        <color theme="1"/>
        <rFont val="Calibri"/>
        <family val="2"/>
        <charset val="1"/>
      </rPr>
      <t xml:space="preserve">ppe.serverLife</t>
    </r>
    <r>
      <rPr>
        <sz val="11"/>
        <color theme="1"/>
        <rFont val="Noto Sans CJK SC"/>
        <family val="2"/>
      </rPr>
      <t xml:space="preserve">）</t>
    </r>
  </si>
  <si>
    <t xml:space="preserve">life_fac</t>
  </si>
  <si>
    <t xml:space="preserve">機房折舊年限</t>
  </si>
  <si>
    <r>
      <rPr>
        <sz val="11"/>
        <color theme="1"/>
        <rFont val="Calibri"/>
        <family val="2"/>
        <charset val="1"/>
      </rPr>
      <t xml:space="preserve">Tokenomics IF_CapexFacility 12.67 ÷ IF_DeprFac 0.634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</t>
    </r>
  </si>
  <si>
    <t xml:space="preserve">life_na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</si>
  <si>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資本支出折舊年限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</si>
  <si>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capexModel.nonAiLife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C17</t>
    </r>
    <r>
      <rPr>
        <sz val="11"/>
        <color theme="1"/>
        <rFont val="Noto Sans CJK SC"/>
        <family val="2"/>
      </rPr>
      <t xml:space="preserve">）</t>
    </r>
  </si>
  <si>
    <t xml:space="preserve">phi_0</t>
  </si>
  <si>
    <t xml:space="preserve">資本支出當期折舊比例（在役時點與半年慣例）</t>
  </si>
  <si>
    <r>
      <rPr>
        <sz val="11"/>
        <color theme="1"/>
        <rFont val="Noto Sans CJK SC"/>
        <family val="2"/>
      </rPr>
      <t xml:space="preserve">判斷：支出平均於期中、約半年後上線 → 當期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；最後一年補足 </t>
    </r>
    <r>
      <rPr>
        <sz val="11"/>
        <color theme="1"/>
        <rFont val="Calibri"/>
        <family val="2"/>
        <charset val="1"/>
      </rPr>
      <t xml:space="preserve">75%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</si>
  <si>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折舊進損益的時點（工作單第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</si>
  <si>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t xml:space="preserve">da_base</t>
  </si>
  <si>
    <r>
      <rPr>
        <sz val="11"/>
        <color theme="1"/>
        <rFont val="Noto Sans CJK SC"/>
        <family val="2"/>
      </rPr>
      <t xml:space="preserve">評價日在役資產年折舊（</t>
    </r>
    <r>
      <rPr>
        <sz val="11"/>
        <color theme="1"/>
        <rFont val="Calibri"/>
        <family val="2"/>
        <charset val="1"/>
      </rPr>
      <t xml:space="preserve">2026Q2 ×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</si>
  <si>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US$B/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</si>
  <si>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現金流量表折舊 </t>
    </r>
    <r>
      <rPr>
        <sz val="11"/>
        <color theme="1"/>
        <rFont val="Calibri"/>
        <family val="2"/>
        <charset val="1"/>
      </rPr>
      <t xml:space="preserve">2026Q2 7.104 × 4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capexModel.segDaRunRate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</si>
  <si>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在役淨額 ≈ </t>
    </r>
    <r>
      <rPr>
        <sz val="11"/>
        <color theme="1"/>
        <rFont val="Calibri"/>
        <family val="2"/>
        <charset val="1"/>
      </rPr>
      <t xml:space="preserve">PP&amp;E 321.2 − </t>
    </r>
    <r>
      <rPr>
        <sz val="11"/>
        <color theme="1"/>
        <rFont val="Noto Sans CJK SC"/>
        <family val="2"/>
      </rPr>
      <t xml:space="preserve">在建 </t>
    </r>
    <r>
      <rPr>
        <sz val="11"/>
        <color theme="1"/>
        <rFont val="Calibri"/>
        <family val="2"/>
        <charset val="1"/>
      </rPr>
      <t xml:space="preserve">122.8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198.4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÷ 28.4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7.0 </t>
    </r>
    <r>
      <rPr>
        <sz val="11"/>
        <color theme="1"/>
        <rFont val="Noto Sans CJK SC"/>
        <family val="2"/>
      </rPr>
      <t xml:space="preserve">年 → 模型期內以直線法每年 </t>
    </r>
    <r>
      <rPr>
        <sz val="11"/>
        <color theme="1"/>
        <rFont val="Calibri"/>
        <family val="2"/>
        <charset val="1"/>
      </rPr>
      <t xml:space="preserve">28.4</t>
    </r>
  </si>
  <si>
    <t xml:space="preserve">cip_0</t>
  </si>
  <si>
    <r>
      <rPr>
        <sz val="11"/>
        <color theme="1"/>
        <rFont val="Noto Sans CJK SC"/>
        <family val="2"/>
      </rPr>
      <t xml:space="preserve">在建工程（尚未在役，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推估）</t>
    </r>
  </si>
  <si>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在建 </t>
    </r>
    <r>
      <rPr>
        <sz val="11"/>
        <color theme="1"/>
        <rFont val="Calibri"/>
        <family val="2"/>
        <charset val="1"/>
      </rPr>
      <t xml:space="preserve">122.814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9/30 </t>
    </r>
    <r>
      <rPr>
        <sz val="11"/>
        <color theme="1"/>
        <rFont val="Noto Sans CJK SC"/>
        <family val="2"/>
      </rPr>
      <t xml:space="preserve">不動產與設備淨額 </t>
    </r>
    <r>
      <rPr>
        <sz val="11"/>
        <color theme="1"/>
        <rFont val="Calibri"/>
        <family val="2"/>
        <charset val="1"/>
      </rPr>
      <t xml:space="preserve">372.827 ÷ 6/30 321.212</t>
    </r>
    <r>
      <rPr>
        <sz val="11"/>
        <color theme="1"/>
        <rFont val="Noto Sans CJK SC"/>
        <family val="2"/>
      </rPr>
      <t xml:space="preserve">）：假設在建占淨額比例（</t>
    </r>
    <r>
      <rPr>
        <sz val="11"/>
        <color theme="1"/>
        <rFont val="Calibri"/>
        <family val="2"/>
        <charset val="1"/>
      </rPr>
      <t xml:space="preserve">38.2%</t>
    </r>
    <r>
      <rPr>
        <sz val="11"/>
        <color theme="1"/>
        <rFont val="Noto Sans CJK SC"/>
        <family val="2"/>
      </rPr>
      <t xml:space="preserve">）不變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</si>
  <si>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尚未提供（資料缺口）；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起轉入在役；依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資本支出結構分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／機房</t>
    </r>
  </si>
  <si>
    <t xml:space="preserve">cip_it</t>
  </si>
  <si>
    <r>
      <rPr>
        <sz val="11"/>
        <color theme="1"/>
        <rFont val="Noto Sans CJK SC"/>
        <family val="2"/>
      </rPr>
      <t xml:space="preserve">在建工程與資本支出中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（伺服器與網通）占比</t>
    </r>
  </si>
  <si>
    <r>
      <rPr>
        <sz val="11"/>
        <color theme="1"/>
        <rFont val="Noto Sans CJK SC"/>
        <family val="2"/>
      </rPr>
      <t xml:space="preserve">同上逐字稿（約 </t>
    </r>
    <r>
      <rPr>
        <sz val="11"/>
        <color theme="1"/>
        <rFont val="Calibri"/>
        <family val="2"/>
        <charset val="1"/>
      </rPr>
      <t xml:space="preserve">65% </t>
    </r>
    <r>
      <rPr>
        <sz val="11"/>
        <color theme="1"/>
        <rFont val="Noto Sans CJK SC"/>
        <family val="2"/>
      </rPr>
      <t xml:space="preserve">伺服器與網通、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Noto Sans CJK SC"/>
        <family val="2"/>
      </rPr>
      <t xml:space="preserve">資料中心）（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capex.mix.2026q3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</si>
  <si>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為約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capex.mix.2026q2</t>
    </r>
    <r>
      <rPr>
        <sz val="11"/>
        <color theme="1"/>
        <rFont val="Noto Sans CJK SC"/>
        <family val="2"/>
      </rPr>
      <t xml:space="preserve">）</t>
    </r>
  </si>
  <si>
    <t xml:space="preserve">capex_g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</si>
  <si>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資本支出指引中點</t>
    </r>
  </si>
  <si>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法說逐字稿 </t>
    </r>
    <r>
      <rPr>
        <sz val="11"/>
        <color theme="1"/>
        <rFont val="Calibri"/>
        <family val="2"/>
        <charset val="1"/>
      </rPr>
      <t xml:space="preserve">https://www.investing.com/news/transcripts/earnings-call-transcript-alphabet-q3-2026-profit-miss-sparks-10-afterhours-drop-93CH-4981037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guid.capex.2026.oct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</si>
  <si>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法說維持 </t>
    </r>
    <r>
      <rPr>
        <sz val="11"/>
        <color theme="1"/>
        <rFont val="Calibri"/>
        <family val="2"/>
        <charset val="1"/>
      </rPr>
      <t xml:space="preserve">195–205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月上修後）；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公式＝本值</t>
    </r>
  </si>
  <si>
    <t xml:space="preserve">capex_1h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</si>
  <si>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資本支出（購置不動產與設備）</t>
    </r>
  </si>
  <si>
    <r>
      <rPr>
        <sz val="11"/>
        <color theme="1"/>
        <rFont val="Noto Sans CJK SC"/>
        <family val="2"/>
      </rPr>
      <t xml:space="preserve">財報新聞稿現金流量表年初至今欄（</t>
    </r>
    <r>
      <rPr>
        <sz val="11"/>
        <color theme="1"/>
        <rFont val="Calibri"/>
        <family val="2"/>
        <charset val="1"/>
      </rPr>
      <t xml:space="preserve">Q1 35.674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44.924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 51.355</t>
    </r>
    <r>
      <rPr>
        <sz val="11"/>
        <color theme="1"/>
        <rFont val="Noto Sans CJK SC"/>
        <family val="2"/>
      </rPr>
      <t xml:space="preserve">）</t>
    </r>
  </si>
  <si>
    <t xml:space="preserve">svc_sh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</si>
  <si>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增量成本中歸 </t>
    </r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的比例（其餘＝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層級：</t>
    </r>
    <r>
      <rPr>
        <sz val="11"/>
        <color theme="1"/>
        <rFont val="Calibri"/>
        <family val="2"/>
        <charset val="1"/>
      </rPr>
      <t xml:space="preserve">DeepMind </t>
    </r>
    <r>
      <rPr>
        <sz val="11"/>
        <color theme="1"/>
        <rFont val="Noto Sans CJK SC"/>
        <family val="2"/>
      </rPr>
      <t xml:space="preserve">模型開發）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</si>
  <si>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：技術基礎設施依使用量分攤到分部；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Google DeepMind </t>
    </r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模型開發費用列 </t>
    </r>
    <r>
      <rPr>
        <sz val="11"/>
        <color theme="1"/>
        <rFont val="Calibri"/>
        <family val="2"/>
        <charset val="1"/>
      </rPr>
      <t xml:space="preserve">Alphabet-level activities</t>
    </r>
  </si>
  <si>
    <r>
      <rPr>
        <sz val="11"/>
        <color theme="1"/>
        <rFont val="Noto Sans CJK SC"/>
        <family val="2"/>
      </rPr>
      <t xml:space="preserve">服務端推論（搜尋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Gemini app</t>
    </r>
    <r>
      <rPr>
        <sz val="11"/>
        <color theme="1"/>
        <rFont val="Noto Sans CJK SC"/>
        <family val="2"/>
      </rPr>
      <t xml:space="preserve">）歸 </t>
    </r>
    <r>
      <rPr>
        <sz val="11"/>
        <color theme="1"/>
        <rFont val="Calibri"/>
        <family val="2"/>
        <charset val="1"/>
      </rPr>
      <t xml:space="preserve">Services</t>
    </r>
    <r>
      <rPr>
        <sz val="11"/>
        <color theme="1"/>
        <rFont val="Noto Sans CJK SC"/>
        <family val="2"/>
      </rPr>
      <t xml:space="preserve">；訓練歸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</t>
    </r>
  </si>
  <si>
    <t xml:space="preserve">ai_mw_ttm</t>
  </si>
  <si>
    <r>
      <rPr>
        <sz val="11"/>
        <color theme="1"/>
        <rFont val="Noto Sans CJK SC"/>
        <family val="2"/>
      </rPr>
      <t xml:space="preserve">近四季平均對外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2025Q4–2026Q3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</si>
  <si>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cloudNonAi.aiMwTTM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2025Q3–2026Q2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1,447.9</t>
    </r>
    <r>
      <rPr>
        <sz val="11"/>
        <color theme="1"/>
        <rFont val="Noto Sans CJK SC"/>
        <family val="2"/>
      </rPr>
      <t xml:space="preserve">）滾一季：＋</t>
    </r>
    <r>
      <rPr>
        <sz val="11"/>
        <color theme="1"/>
        <rFont val="Calibri"/>
        <family val="2"/>
        <charset val="1"/>
      </rPr>
      <t xml:space="preserve">(2026Q3 </t>
    </r>
    <r>
      <rPr>
        <sz val="11"/>
        <color theme="1"/>
        <rFont val="Noto Sans CJK SC"/>
        <family val="2"/>
      </rPr>
      <t xml:space="preserve">平均 − </t>
    </r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1,154.9) ÷ 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年底對外 </t>
    </r>
    <r>
      <rPr>
        <sz val="11"/>
        <color theme="1"/>
        <rFont val="Calibri"/>
        <family val="2"/>
        <charset val="1"/>
      </rPr>
      <t xml:space="preserve">643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1,462 </t>
    </r>
    <r>
      <rPr>
        <sz val="11"/>
        <color theme="1"/>
        <rFont val="Noto Sans CJK SC"/>
        <family val="2"/>
      </rPr>
      <t xml:space="preserve">線性內插</t>
    </r>
  </si>
  <si>
    <r>
      <rPr>
        <sz val="11"/>
        <color theme="1"/>
        <rFont val="Noto Sans CJK SC"/>
        <family val="2"/>
      </rPr>
      <t xml:space="preserve">只用於拆 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其他的近四季年增（起始成長率）</t>
    </r>
  </si>
  <si>
    <t xml:space="preserve">ai_mw_pttm</t>
  </si>
  <si>
    <r>
      <rPr>
        <sz val="11"/>
        <color theme="1"/>
        <rFont val="Noto Sans CJK SC"/>
        <family val="2"/>
      </rPr>
      <t xml:space="preserve">前四季平均對外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2024Q4–2025Q3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</si>
  <si>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cloudNonAi.aiMwPrevTTM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657.3</t>
    </r>
    <r>
      <rPr>
        <sz val="11"/>
        <color theme="1"/>
        <rFont val="Noto Sans CJK SC"/>
        <family val="2"/>
      </rPr>
      <t xml:space="preserve">）滾一季：</t>
    </r>
    <r>
      <rPr>
        <sz val="11"/>
        <color theme="1"/>
        <rFont val="Calibri"/>
        <family val="2"/>
        <charset val="1"/>
      </rPr>
      <t xml:space="preserve">2024Q3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473.5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643 </t>
    </r>
    <r>
      <rPr>
        <sz val="11"/>
        <color theme="1"/>
        <rFont val="Noto Sans CJK SC"/>
        <family val="2"/>
      </rPr>
      <t xml:space="preserve">內插）</t>
    </r>
  </si>
  <si>
    <t xml:space="preserve">rent_2H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</si>
  <si>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算力租金（自用）</t>
    </r>
    <r>
      <rPr>
        <sz val="11"/>
        <color theme="1"/>
        <rFont val="Calibri"/>
        <family val="2"/>
        <charset val="1"/>
      </rPr>
      <t xml:space="preserve">Q4 26E</t>
    </r>
  </si>
  <si>
    <r>
      <rPr>
        <sz val="11"/>
        <color theme="1"/>
        <rFont val="Calibri"/>
        <family val="2"/>
        <charset val="1"/>
      </rPr>
      <t xml:space="preserve">SpaceX FWP 2026-06-05</t>
    </r>
    <r>
      <rPr>
        <sz val="11"/>
        <color theme="1"/>
        <rFont val="Noto Sans CJK SC"/>
        <family val="2"/>
      </rPr>
      <t xml:space="preserve">：每月 </t>
    </r>
    <r>
      <rPr>
        <sz val="11"/>
        <color theme="1"/>
        <rFont val="Calibri"/>
        <family val="2"/>
        <charset val="1"/>
      </rPr>
      <t xml:space="preserve">9.2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2029-06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rent.spacex</t>
    </r>
    <r>
      <rPr>
        <sz val="11"/>
        <color theme="1"/>
        <rFont val="Noto Sans CJK SC"/>
        <family val="2"/>
      </rPr>
      <t xml:space="preserve">；沿用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leases.rentedCompute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</si>
  <si>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列自用、計入營運成本（</t>
    </r>
    <r>
      <rPr>
        <sz val="11"/>
        <color theme="1"/>
        <rFont val="Calibri"/>
        <family val="2"/>
        <charset val="1"/>
      </rPr>
      <t xml:space="preserve">C8 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2026-12-31 </t>
    </r>
    <r>
      <rPr>
        <sz val="11"/>
        <color theme="1"/>
        <rFont val="Noto Sans CJK SC"/>
        <family val="2"/>
      </rPr>
      <t xml:space="preserve">後可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天通知解約</t>
    </r>
  </si>
  <si>
    <t xml:space="preserve">rent_27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</si>
  <si>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算力租金（自用）</t>
    </r>
    <r>
      <rPr>
        <sz val="11"/>
        <color theme="1"/>
        <rFont val="Calibri"/>
        <family val="2"/>
        <charset val="1"/>
      </rPr>
      <t xml:space="preserve">FY2027E</t>
    </r>
  </si>
  <si>
    <t xml:space="preserve">rent_28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</si>
  <si>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算力租金（自用）</t>
    </r>
    <r>
      <rPr>
        <sz val="11"/>
        <color theme="1"/>
        <rFont val="Calibri"/>
        <family val="2"/>
        <charset val="1"/>
      </rPr>
      <t xml:space="preserve">FY2028E</t>
    </r>
  </si>
  <si>
    <t xml:space="preserve">rent_29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</si>
  <si>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算力租金（自用）</t>
    </r>
    <r>
      <rPr>
        <sz val="11"/>
        <color theme="1"/>
        <rFont val="Calibri"/>
        <family val="2"/>
        <charset val="1"/>
      </rPr>
      <t xml:space="preserve">FY2029E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</si>
  <si>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營收分部（</t>
    </r>
    <r>
      <rPr>
        <b val="true"/>
        <sz val="11"/>
        <rFont val="Cambria"/>
        <family val="0"/>
        <charset val="1"/>
      </rPr>
      <t xml:space="preserve">Seg </t>
    </r>
    <r>
      <rPr>
        <b val="true"/>
        <sz val="11"/>
        <rFont val="Noto Sans CJK SC"/>
        <family val="2"/>
      </rPr>
      <t xml:space="preserve">頁）：成長路徑與 </t>
    </r>
    <r>
      <rPr>
        <b val="true"/>
        <sz val="11"/>
        <rFont val="Cambria"/>
        <family val="0"/>
        <charset val="1"/>
      </rPr>
      <t xml:space="preserve">Search </t>
    </r>
    <r>
      <rPr>
        <b val="true"/>
        <sz val="11"/>
        <rFont val="Noto Sans CJK SC"/>
        <family val="2"/>
      </rPr>
      <t xml:space="preserve">情境軸</t>
    </r>
  </si>
  <si>
    <t xml:space="preserve">conv_n</t>
  </si>
  <si>
    <r>
      <rPr>
        <sz val="11"/>
        <color theme="1"/>
        <rFont val="Noto Sans CJK SC"/>
        <family val="2"/>
      </rPr>
      <t xml:space="preserve">成長率收斂年數（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起始 → 長期值）</t>
    </r>
  </si>
  <si>
    <r>
      <rPr>
        <sz val="11"/>
        <color theme="1"/>
        <rFont val="Noto Sans CJK SC"/>
        <family val="2"/>
      </rPr>
      <t xml:space="preserve">判斷：近四季年增在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收斂到長期值（工作單：「近四季年增率 → 長期值」）</t>
    </r>
  </si>
  <si>
    <t xml:space="preserve">g0s_q</t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</si>
  <si>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起始年增改用最新一季年增（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＝近四季）</t>
    </r>
  </si>
  <si>
    <r>
      <rPr>
        <sz val="11"/>
        <color theme="1"/>
        <rFont val="Noto Sans CJK SC"/>
        <family val="2"/>
      </rPr>
      <t xml:space="preserve">判斷：預設沿用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規則（近四季年增 → 長期值）；</t>
    </r>
    <r>
      <rPr>
        <sz val="11"/>
        <color theme="1"/>
        <rFont val="Calibri"/>
        <family val="2"/>
        <charset val="1"/>
      </rPr>
      <t xml:space="preserve">2026Q3 Search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+12.0%</t>
    </r>
    <r>
      <rPr>
        <sz val="11"/>
        <color theme="1"/>
        <rFont val="Noto Sans CJK SC"/>
        <family val="2"/>
      </rPr>
      <t xml:space="preserve">（近四季 </t>
    </r>
    <r>
      <rPr>
        <sz val="11"/>
        <color theme="1"/>
        <rFont val="Calibri"/>
        <family val="2"/>
        <charset val="1"/>
      </rPr>
      <t xml:space="preserve">+16.1%</t>
    </r>
    <r>
      <rPr>
        <sz val="11"/>
        <color theme="1"/>
        <rFont val="Noto Sans CJK SC"/>
        <family val="2"/>
      </rPr>
      <t xml:space="preserve">），法說稱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面對高基期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</si>
  <si>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</si>
  <si>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t xml:space="preserve">gl_search</t>
  </si>
  <si>
    <r>
      <rPr>
        <sz val="11"/>
        <color theme="1"/>
        <rFont val="Calibri"/>
        <family val="2"/>
        <charset val="1"/>
      </rPr>
      <t xml:space="preserve">Google Search &amp; other </t>
    </r>
    <r>
      <rPr>
        <sz val="11"/>
        <color theme="1"/>
        <rFont val="Noto Sans CJK SC"/>
        <family val="2"/>
      </rPr>
      <t xml:space="preserve">長期成長（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基準路徑）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</si>
  <si>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search.gLT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</si>
  <si>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+16.8%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2015–2025 </t>
    </r>
    <r>
      <rPr>
        <sz val="11"/>
        <color theme="1"/>
        <rFont val="Noto Sans CJK SC"/>
        <family val="2"/>
      </rPr>
      <t xml:space="preserve">年均約 </t>
    </r>
    <r>
      <rPr>
        <sz val="11"/>
        <color theme="1"/>
        <rFont val="Calibri"/>
        <family val="2"/>
        <charset val="1"/>
      </rPr>
      <t xml:space="preserve">13%</t>
    </r>
  </si>
  <si>
    <t xml:space="preserve">gl_yt</t>
  </si>
  <si>
    <r>
      <rPr>
        <sz val="11"/>
        <color theme="1"/>
        <rFont val="Calibri"/>
        <family val="2"/>
        <charset val="1"/>
      </rPr>
      <t xml:space="preserve">YouTube ads </t>
    </r>
    <r>
      <rPr>
        <sz val="11"/>
        <color theme="1"/>
        <rFont val="Noto Sans CJK SC"/>
        <family val="2"/>
      </rPr>
      <t xml:space="preserve">長期成長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</si>
  <si>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youtube.gLT</t>
    </r>
  </si>
  <si>
    <t xml:space="preserve">gl_net</t>
  </si>
  <si>
    <r>
      <rPr>
        <sz val="11"/>
        <color theme="1"/>
        <rFont val="Calibri"/>
        <family val="2"/>
        <charset val="1"/>
      </rPr>
      <t xml:space="preserve">Google Network </t>
    </r>
    <r>
      <rPr>
        <sz val="11"/>
        <color theme="1"/>
        <rFont val="Noto Sans CJK SC"/>
        <family val="2"/>
      </rPr>
      <t xml:space="preserve">長期成長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</si>
  <si>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network.gLT</t>
    </r>
  </si>
  <si>
    <r>
      <rPr>
        <sz val="11"/>
        <color theme="1"/>
        <rFont val="Noto Sans CJK SC"/>
        <family val="2"/>
      </rPr>
      <t xml:space="preserve">近四季 −</t>
    </r>
    <r>
      <rPr>
        <sz val="11"/>
        <color theme="1"/>
        <rFont val="Calibri"/>
        <family val="2"/>
        <charset val="1"/>
      </rPr>
      <t xml:space="preserve">2.2%</t>
    </r>
  </si>
  <si>
    <t xml:space="preserve">gl_subs</t>
  </si>
  <si>
    <r>
      <rPr>
        <sz val="11"/>
        <color theme="1"/>
        <rFont val="Calibri"/>
        <family val="2"/>
        <charset val="1"/>
      </rPr>
      <t xml:space="preserve">Google subscriptions, platforms, and devices </t>
    </r>
    <r>
      <rPr>
        <sz val="11"/>
        <color theme="1"/>
        <rFont val="Noto Sans CJK SC"/>
        <family val="2"/>
      </rPr>
      <t xml:space="preserve">長期成長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</si>
  <si>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subs.gLT</t>
    </r>
  </si>
  <si>
    <t xml:space="preserve">gl_co</t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</si>
  <si>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Workspace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Wiz</t>
    </r>
    <r>
      <rPr>
        <sz val="11"/>
        <color theme="1"/>
        <rFont val="Noto Sans CJK SC"/>
        <family val="2"/>
      </rPr>
      <t xml:space="preserve">）長期成長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</si>
  <si>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cloudNonAi.gLT</t>
    </r>
  </si>
  <si>
    <t xml:space="preserve">dA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</si>
  <si>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：查詢分流（負值＝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模式吸引查詢回流）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</t>
    </r>
  </si>
  <si>
    <r>
      <rPr>
        <sz val="11"/>
        <color theme="1"/>
        <rFont val="Calibri"/>
        <family val="2"/>
        <charset val="1"/>
      </rPr>
      <t xml:space="preserve">AI Overviews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AI Mode </t>
    </r>
    <r>
      <rPr>
        <sz val="11"/>
        <color theme="1"/>
        <rFont val="Noto Sans CJK SC"/>
        <family val="2"/>
      </rPr>
      <t xml:space="preserve">擴大使用：公司稱 </t>
    </r>
    <r>
      <rPr>
        <sz val="11"/>
        <color theme="1"/>
        <rFont val="Calibri"/>
        <family val="2"/>
        <charset val="1"/>
      </rPr>
      <t xml:space="preserve">AI Overviews </t>
    </r>
    <r>
      <rPr>
        <sz val="11"/>
        <color theme="1"/>
        <rFont val="Noto Sans CJK SC"/>
        <family val="2"/>
      </rPr>
      <t xml:space="preserve">帶動相關查詢增加（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法說，二手；本次未重新查核）</t>
    </r>
  </si>
  <si>
    <r>
      <rPr>
        <sz val="11"/>
        <color theme="1"/>
        <rFont val="Noto Sans CJK SC"/>
        <family val="2"/>
      </rPr>
      <t xml:space="preserve">線性：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 → FY2030 </t>
    </r>
    <r>
      <rPr>
        <sz val="11"/>
        <color theme="1"/>
        <rFont val="Noto Sans CJK SC"/>
        <family val="2"/>
      </rPr>
      <t xml:space="preserve">全額，之後持平</t>
    </r>
  </si>
  <si>
    <t xml:space="preserve">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</si>
  <si>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：每次查詢變現變動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</t>
    </r>
  </si>
  <si>
    <r>
      <rPr>
        <sz val="11"/>
        <color theme="1"/>
        <rFont val="Calibri"/>
        <family val="2"/>
        <charset val="1"/>
      </rPr>
      <t xml:space="preserve">AI Mode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AI Overviews </t>
    </r>
    <r>
      <rPr>
        <sz val="11"/>
        <color theme="1"/>
        <rFont val="Noto Sans CJK SC"/>
        <family val="2"/>
      </rPr>
      <t xml:space="preserve">廣告：公司稱 </t>
    </r>
    <r>
      <rPr>
        <sz val="11"/>
        <color theme="1"/>
        <rFont val="Calibri"/>
        <family val="2"/>
        <charset val="1"/>
      </rPr>
      <t xml:space="preserve">AI Overviews </t>
    </r>
    <r>
      <rPr>
        <sz val="11"/>
        <color theme="1"/>
        <rFont val="Noto Sans CJK SC"/>
        <family val="2"/>
      </rPr>
      <t xml:space="preserve">變現率與傳統搜尋約略相同（</t>
    </r>
    <r>
      <rPr>
        <sz val="11"/>
        <color theme="1"/>
        <rFont val="Calibri"/>
        <family val="2"/>
        <charset val="1"/>
      </rPr>
      <t xml:space="preserve">2025Q1 </t>
    </r>
    <r>
      <rPr>
        <sz val="11"/>
        <color theme="1"/>
        <rFont val="Noto Sans CJK SC"/>
        <family val="2"/>
      </rPr>
      <t xml:space="preserve">法說，二手；本次未重新查核）；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假設新廣告格式提高商業意圖查詢單價</t>
    </r>
  </si>
  <si>
    <t xml:space="preserve">dC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</si>
  <si>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：查詢被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助理分流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</t>
    </r>
  </si>
  <si>
    <r>
      <rPr>
        <sz val="11"/>
        <color theme="1"/>
        <rFont val="Calibri"/>
        <family val="2"/>
        <charset val="1"/>
      </rPr>
      <t xml:space="preserve">Gartner 2024-02-19 </t>
    </r>
    <r>
      <rPr>
        <sz val="11"/>
        <color theme="1"/>
        <rFont val="Noto Sans CJK SC"/>
        <family val="2"/>
      </rPr>
      <t xml:space="preserve">預測：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年傳統搜尋引擎查詢量因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聊天機器人減少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（第三方預測）；</t>
    </r>
    <r>
      <rPr>
        <sz val="11"/>
        <color theme="1"/>
        <rFont val="Calibri"/>
        <family val="2"/>
        <charset val="1"/>
      </rPr>
      <t xml:space="preserve">Apple Eddy Cue 2025-05-07 </t>
    </r>
    <r>
      <rPr>
        <sz val="11"/>
        <color theme="1"/>
        <rFont val="Noto Sans CJK SC"/>
        <family val="2"/>
      </rPr>
      <t xml:space="preserve">美國司法部案證詞：</t>
    </r>
    <r>
      <rPr>
        <sz val="11"/>
        <color theme="1"/>
        <rFont val="Calibri"/>
        <family val="2"/>
        <charset val="1"/>
      </rPr>
      <t xml:space="preserve">Safari </t>
    </r>
    <r>
      <rPr>
        <sz val="11"/>
        <color theme="1"/>
        <rFont val="Noto Sans CJK SC"/>
        <family val="2"/>
      </rPr>
      <t xml:space="preserve">搜尋 </t>
    </r>
    <r>
      <rPr>
        <sz val="11"/>
        <color theme="1"/>
        <rFont val="Calibri"/>
        <family val="2"/>
        <charset val="1"/>
      </rPr>
      <t xml:space="preserve">2025-04 </t>
    </r>
    <r>
      <rPr>
        <sz val="11"/>
        <color theme="1"/>
        <rFont val="Noto Sans CJK SC"/>
        <family val="2"/>
      </rPr>
      <t xml:space="preserve">首次下滑（二手；本次未重新查核）</t>
    </r>
  </si>
  <si>
    <r>
      <rPr>
        <sz val="11"/>
        <color theme="1"/>
        <rFont val="Noto Sans CJK SC"/>
        <family val="2"/>
      </rPr>
      <t xml:space="preserve">反證：</t>
    </r>
    <r>
      <rPr>
        <sz val="11"/>
        <color theme="1"/>
        <rFont val="Calibri"/>
        <family val="2"/>
        <charset val="1"/>
      </rPr>
      <t xml:space="preserve">Google Search &amp; other </t>
    </r>
    <r>
      <rPr>
        <sz val="11"/>
        <color theme="1"/>
        <rFont val="Noto Sans CJK SC"/>
        <family val="2"/>
      </rPr>
      <t xml:space="preserve">近四季仍 </t>
    </r>
    <r>
      <rPr>
        <sz val="11"/>
        <color theme="1"/>
        <rFont val="Calibri"/>
        <family val="2"/>
        <charset val="1"/>
      </rPr>
      <t xml:space="preserve">+16.8%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+16.8%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頁）→ 分流至今未見於營收；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是壓力情境</t>
    </r>
  </si>
  <si>
    <t xml:space="preserve">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</si>
  <si>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：每次查詢變現變動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</si>
  <si>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答案頁的廣告位少於十條藍色連結、點擊率下降（第三方點擊研究，二手；本次未重新查核）</t>
    </r>
  </si>
  <si>
    <t xml:space="preserve">inc_m</t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</si>
  <si>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情境差額的增量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</si>
  <si>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判斷：搜尋營收增減主要只連動 </t>
    </r>
    <r>
      <rPr>
        <sz val="11"/>
        <color theme="1"/>
        <rFont val="Calibri"/>
        <family val="2"/>
        <charset val="1"/>
      </rPr>
      <t xml:space="preserve">TAC</t>
    </r>
    <r>
      <rPr>
        <sz val="11"/>
        <color theme="1"/>
        <rFont val="Noto Sans CJK SC"/>
        <family val="2"/>
      </rPr>
      <t xml:space="preserve">（約占搜尋營收兩成，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TAC ÷ </t>
    </r>
    <r>
      <rPr>
        <sz val="11"/>
        <color theme="1"/>
        <rFont val="Noto Sans CJK SC"/>
        <family val="2"/>
      </rPr>
      <t xml:space="preserve">搜尋＋聯播網）→ 增量利潤率高於分部平均</t>
    </r>
  </si>
  <si>
    <t xml:space="preserve">營收減少時利潤減少得更多（營運槓桿）</t>
  </si>
  <si>
    <t xml:space="preserve">tpu_2h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</si>
  <si>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 </t>
    </r>
    <r>
      <rPr>
        <sz val="11"/>
        <color theme="1"/>
        <rFont val="Calibri"/>
        <family val="2"/>
        <charset val="1"/>
      </rPr>
      <t xml:space="preserve">Q4 26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</si>
  <si>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tpuSales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C8 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已認列一部分、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持續擴大、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更明顯，不揭露金額（事實總帳 </t>
    </r>
    <r>
      <rPr>
        <sz val="11"/>
        <color theme="1"/>
        <rFont val="Calibri"/>
        <family val="2"/>
        <charset val="1"/>
      </rPr>
      <t xml:space="preserve">guid.tpuRev.2026q3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</si>
  <si>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子列（命題子列）；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已認列金額未揭露、含在 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其他（資料缺口：可能使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起重複計入）</t>
    </r>
  </si>
  <si>
    <t xml:space="preserve">tpu_yr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</si>
  <si>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</si>
  <si>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萬顆、約 </t>
    </r>
    <r>
      <rPr>
        <sz val="11"/>
        <color theme="1"/>
        <rFont val="Calibri"/>
        <family val="2"/>
        <charset val="1"/>
      </rPr>
      <t xml:space="preserve">130 </t>
    </r>
    <r>
      <rPr>
        <sz val="11"/>
        <color theme="1"/>
        <rFont val="Noto Sans CJK SC"/>
        <family val="2"/>
      </rPr>
      <t xml:space="preserve">億（賣方；沿用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</si>
  <si>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±50% [Assumed]</t>
    </r>
  </si>
  <si>
    <t xml:space="preserve">tpu_m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</si>
  <si>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</si>
  <si>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tpuSales.m0</t>
    </r>
  </si>
  <si>
    <t xml:space="preserve">ob_rev_2H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</si>
  <si>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Q4 26E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</si>
  <si>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 otherBets.rev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FY2031–32 </t>
    </r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+0.2 </t>
    </r>
    <r>
      <rPr>
        <sz val="11"/>
        <color theme="1"/>
        <rFont val="Noto Sans CJK SC"/>
        <family val="2"/>
      </rPr>
      <t xml:space="preserve">延伸）</t>
    </r>
  </si>
  <si>
    <t xml:space="preserve">ob_rev_27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</si>
  <si>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FY2027E</t>
    </r>
  </si>
  <si>
    <t xml:space="preserve">ob_rev_28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</si>
  <si>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FY2028E</t>
    </r>
  </si>
  <si>
    <t xml:space="preserve">ob_rev_29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</si>
  <si>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FY2029E</t>
    </r>
  </si>
  <si>
    <t xml:space="preserve">ob_rev_30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</si>
  <si>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FY2030E</t>
    </r>
  </si>
  <si>
    <t xml:space="preserve">ob_rev_31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</si>
  <si>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FY2031E</t>
    </r>
  </si>
  <si>
    <t xml:space="preserve">ob_rev_32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</si>
  <si>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FY2032E</t>
    </r>
  </si>
  <si>
    <t xml:space="preserve">ob_oi</t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</si>
  <si>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營業利益（每年；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為四分之一）</t>
    </r>
  </si>
  <si>
    <r>
      <rPr>
        <sz val="11"/>
        <color theme="1"/>
        <rFont val="Calibri"/>
        <family val="2"/>
        <charset val="1"/>
      </rPr>
      <t xml:space="preserve">2026Q3 −2.047</t>
    </r>
    <r>
      <rPr>
        <sz val="11"/>
        <color theme="1"/>
        <rFont val="Noto Sans CJK SC"/>
        <family val="2"/>
      </rPr>
      <t xml:space="preserve">（年化 −</t>
    </r>
    <r>
      <rPr>
        <sz val="11"/>
        <color theme="1"/>
        <rFont val="Calibri"/>
        <family val="2"/>
        <charset val="1"/>
      </rPr>
      <t xml:space="preserve">8.2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擴張（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募資 </t>
    </r>
    <r>
      <rPr>
        <sz val="11"/>
        <color theme="1"/>
        <rFont val="Calibri"/>
        <family val="2"/>
        <charset val="1"/>
      </rPr>
      <t xml:space="preserve">16B</t>
    </r>
    <r>
      <rPr>
        <sz val="11"/>
        <color theme="1"/>
        <rFont val="Noto Sans CJK SC"/>
        <family val="2"/>
      </rPr>
      <t xml:space="preserve">，事實總帳 </t>
    </r>
    <r>
      <rPr>
        <sz val="11"/>
        <color theme="1"/>
        <rFont val="Calibri"/>
        <family val="2"/>
        <charset val="1"/>
      </rPr>
      <t xml:space="preserve">ob.waymo.funding</t>
    </r>
    <r>
      <rPr>
        <sz val="11"/>
        <color theme="1"/>
        <rFont val="Noto Sans CJK SC"/>
        <family val="2"/>
      </rPr>
      <t xml:space="preserve">）</t>
    </r>
  </si>
  <si>
    <t xml:space="preserve">abc_rate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</si>
  <si>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層級未分攤費用占營收（不含自用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增量成本）</t>
    </r>
  </si>
  <si>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7.655 ÷ 127.577</t>
    </r>
    <r>
      <rPr>
        <sz val="11"/>
        <color theme="1"/>
        <rFont val="Noto Sans CJK SC"/>
        <family val="2"/>
      </rPr>
      <t xml:space="preserve">（新聞稿分部表；</t>
    </r>
    <r>
      <rPr>
        <sz val="11"/>
        <color theme="1"/>
        <rFont val="Calibri"/>
        <family val="2"/>
        <charset val="1"/>
      </rPr>
      <t xml:space="preserve">Alphabet-level </t>
    </r>
    <r>
      <rPr>
        <sz val="11"/>
        <color theme="1"/>
        <rFont val="Noto Sans CJK SC"/>
        <family val="2"/>
      </rPr>
      <t xml:space="preserve">主要為共用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研發）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</si>
  <si>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2026Q2 4.83%</t>
    </r>
    <r>
      <rPr>
        <sz val="11"/>
        <color theme="1"/>
        <rFont val="Noto Sans CJK SC"/>
        <family val="2"/>
      </rPr>
      <t xml:space="preserve">（低端）；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跳升含評價日機隊的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研發算力</t>
    </r>
  </si>
  <si>
    <t xml:space="preserve">m_yt</t>
  </si>
  <si>
    <r>
      <rPr>
        <sz val="11"/>
        <color theme="1"/>
        <rFont val="Calibri"/>
        <family val="2"/>
        <charset val="1"/>
      </rPr>
      <t xml:space="preserve">YouTube ads EBITDA </t>
    </r>
    <r>
      <rPr>
        <sz val="11"/>
        <color theme="1"/>
        <rFont val="Noto Sans CJK SC"/>
        <family val="2"/>
      </rPr>
      <t xml:space="preserve">率（分部加總拆線用）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</si>
  <si>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legacyBiz.split.youtubeMargin</t>
    </r>
  </si>
  <si>
    <r>
      <rPr>
        <sz val="11"/>
        <color theme="1"/>
        <rFont val="Calibri"/>
        <family val="2"/>
        <charset val="1"/>
      </rPr>
      <t xml:space="preserve">Services </t>
    </r>
    <r>
      <rPr>
        <sz val="11"/>
        <color theme="1"/>
        <rFont val="Noto Sans CJK SC"/>
        <family val="2"/>
      </rPr>
      <t xml:space="preserve">分部利益只揭露合計；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＝分部殘差</t>
    </r>
  </si>
  <si>
    <t xml:space="preserve">m_net</t>
  </si>
  <si>
    <r>
      <rPr>
        <sz val="11"/>
        <color theme="1"/>
        <rFont val="Calibri"/>
        <family val="2"/>
        <charset val="1"/>
      </rPr>
      <t xml:space="preserve">Google Network 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</si>
  <si>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legacyBiz.split.networkMargin</t>
    </r>
  </si>
  <si>
    <t xml:space="preserve">m_subs</t>
  </si>
  <si>
    <r>
      <rPr>
        <sz val="11"/>
        <color theme="1"/>
        <rFont val="Calibri"/>
        <family val="2"/>
        <charset val="1"/>
      </rPr>
      <t xml:space="preserve">Subscriptions, platforms, and devices 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</si>
  <si>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legacyBiz.split.subsMargin</t>
    </r>
  </si>
  <si>
    <t xml:space="preserve">cx_svc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</si>
  <si>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資本支出占營收：</t>
    </r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各線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</si>
  <si>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legacyBiz.cxNote</t>
    </r>
  </si>
  <si>
    <t xml:space="preserve">cx_co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</si>
  <si>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資本支出占營收：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</si>
  <si>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legacyBiz.cxNote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</si>
  <si>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t xml:space="preserve">cx_ob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</si>
  <si>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資本支出占營收：</t>
    </r>
    <r>
      <rPr>
        <sz val="11"/>
        <color theme="1"/>
        <rFont val="Calibri"/>
        <family val="2"/>
        <charset val="1"/>
      </rPr>
      <t xml:space="preserve">Other Bets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</si>
  <si>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損益與現金流</t>
    </r>
  </si>
  <si>
    <t xml:space="preserve">tax</t>
  </si>
  <si>
    <t xml:space="preserve">有效稅率（預測期）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</si>
  <si>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16.8%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2026H1 19.1% </t>
    </r>
    <r>
      <rPr>
        <sz val="11"/>
        <color theme="1"/>
        <rFont val="Noto Sans CJK SC"/>
        <family val="2"/>
      </rPr>
      <t xml:space="preserve">含權益證券利益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</si>
  <si>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valuation.tax</t>
    </r>
  </si>
  <si>
    <t xml:space="preserve">tax_eq</t>
  </si>
  <si>
    <r>
      <rPr>
        <sz val="11"/>
        <color theme="1"/>
        <rFont val="Noto Sans CJK SC"/>
        <family val="2"/>
      </rPr>
      <t xml:space="preserve">權益證券損益的稅率（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不含權益證券損益用）</t>
    </r>
  </si>
  <si>
    <r>
      <rPr>
        <sz val="11"/>
        <color theme="1"/>
        <rFont val="Noto Sans CJK SC"/>
        <family val="2"/>
      </rPr>
      <t xml:space="preserve">美國聯邦稅率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（未實現利益之遞延所得稅）</t>
    </r>
  </si>
  <si>
    <t xml:space="preserve">r_cash</t>
  </si>
  <si>
    <t xml:space="preserve">現金收益率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</si>
  <si>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利息收入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平均現金＋債權證券（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4.3–4.6B</t>
    </r>
    <r>
      <rPr>
        <sz val="11"/>
        <color theme="1"/>
        <rFont val="Noto Sans CJK SC"/>
        <family val="2"/>
      </rPr>
      <t xml:space="preserve">／季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110B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3.8–4.0%</t>
    </r>
  </si>
  <si>
    <t xml:space="preserve">r_debt</t>
  </si>
  <si>
    <t xml:space="preserve">債務利率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</si>
  <si>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利息費用 </t>
    </r>
    <r>
      <rPr>
        <sz val="11"/>
        <color theme="1"/>
        <rFont val="Calibri"/>
        <family val="2"/>
        <charset val="1"/>
      </rPr>
      <t xml:space="preserve">1.278 × 4 ÷ 101.1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5.1%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新債加權票面 </t>
    </r>
    <r>
      <rPr>
        <sz val="11"/>
        <color theme="1"/>
        <rFont val="Calibri"/>
        <family val="2"/>
        <charset val="1"/>
      </rPr>
      <t xml:space="preserve">3.9%–5.3% → 4.8%</t>
    </r>
  </si>
  <si>
    <t xml:space="preserve">sbc_r</t>
  </si>
  <si>
    <t xml:space="preserve">股權報酬占營收</t>
  </si>
  <si>
    <r>
      <rPr>
        <sz val="11"/>
        <color theme="1"/>
        <rFont val="Noto Sans CJK SC"/>
        <family val="2"/>
      </rPr>
      <t xml:space="preserve">近四季（</t>
    </r>
    <r>
      <rPr>
        <sz val="11"/>
        <color theme="1"/>
        <rFont val="Calibri"/>
        <family val="2"/>
        <charset val="1"/>
      </rPr>
      <t xml:space="preserve">2025Q4–2026Q3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SBC 30.409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471.097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</si>
  <si>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營運現金加回；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不加回（視為真實成本）；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6.31%</t>
    </r>
  </si>
  <si>
    <t xml:space="preserve">dil</t>
  </si>
  <si>
    <t xml:space="preserve">股數年稀釋（股權報酬）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</si>
  <si>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）（沿用模板每年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；代扣稅與 </t>
    </r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不建模）</t>
    </r>
  </si>
  <si>
    <t xml:space="preserve">wc_2h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</si>
  <si>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營運資金變動（流入）</t>
    </r>
  </si>
  <si>
    <r>
      <rPr>
        <sz val="11"/>
        <color theme="1"/>
        <rFont val="Calibri"/>
        <family val="2"/>
        <charset val="1"/>
      </rPr>
      <t xml:space="preserve">C14</t>
    </r>
    <r>
      <rPr>
        <sz val="11"/>
        <color theme="1"/>
        <rFont val="Noto Sans CJK SC"/>
        <family val="2"/>
      </rPr>
      <t xml:space="preserve">：前一年度同期實績＝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+0.618 − 2025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−4.089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年初至今欄七列合計）</t>
    </r>
  </si>
  <si>
    <t xml:space="preserve">wc_k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</si>
  <si>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起營運資金變動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營收增量（流入）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</si>
  <si>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+0.618 ÷ </t>
    </r>
    <r>
      <rPr>
        <sz val="11"/>
        <color theme="1"/>
        <rFont val="Noto Sans CJK SC"/>
        <family val="2"/>
      </rPr>
      <t xml:space="preserve">營收增量 </t>
    </r>
    <r>
      <rPr>
        <sz val="11"/>
        <color theme="1"/>
        <rFont val="Calibri"/>
        <family val="2"/>
        <charset val="1"/>
      </rPr>
      <t xml:space="preserve">52.818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</si>
  <si>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dps</t>
  </si>
  <si>
    <r>
      <rPr>
        <sz val="11"/>
        <color theme="1"/>
        <rFont val="Noto Sans CJK SC"/>
        <family val="2"/>
      </rPr>
      <t xml:space="preserve">普通股每股年股利（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0.22</t>
    </r>
    <r>
      <rPr>
        <sz val="11"/>
        <color theme="1"/>
        <rFont val="Noto Sans CJK SC"/>
        <family val="2"/>
      </rPr>
      <t xml:space="preserve">／季）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</si>
  <si>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div.dps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起每季 </t>
    </r>
    <r>
      <rPr>
        <sz val="11"/>
        <color theme="1"/>
        <rFont val="Calibri"/>
        <family val="2"/>
        <charset val="1"/>
      </rPr>
      <t xml:space="preserve">0.22</t>
    </r>
    <r>
      <rPr>
        <sz val="11"/>
        <color theme="1"/>
        <rFont val="Noto Sans CJK SC"/>
        <family val="2"/>
      </rPr>
      <t xml:space="preserve">）</t>
    </r>
  </si>
  <si>
    <t xml:space="preserve">dps_g</t>
  </si>
  <si>
    <t xml:space="preserve">每股股利年成長</t>
  </si>
  <si>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0.21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0.22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C19</t>
    </r>
    <r>
      <rPr>
        <sz val="11"/>
        <color theme="1"/>
        <rFont val="Noto Sans CJK SC"/>
        <family val="2"/>
      </rPr>
      <t xml:space="preserve">）</t>
    </r>
  </si>
  <si>
    <t xml:space="preserve">bb_t</t>
  </si>
  <si>
    <r>
      <rPr>
        <sz val="11"/>
        <color theme="1"/>
        <rFont val="Noto Sans CJK SC"/>
        <family val="2"/>
      </rPr>
      <t xml:space="preserve">回購目標（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起每年，現金足夠時）</t>
    </r>
  </si>
  <si>
    <r>
      <rPr>
        <sz val="11"/>
        <color theme="1"/>
        <rFont val="Calibri"/>
        <family val="2"/>
        <charset val="1"/>
      </rPr>
      <t xml:space="preserve">2025Q3–2026Q2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17.003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bb.paid.4q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（暫停，</t>
    </r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</si>
  <si>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45.709</t>
    </r>
    <r>
      <rPr>
        <sz val="11"/>
        <color theme="1"/>
        <rFont val="Noto Sans CJK SC"/>
        <family val="2"/>
      </rPr>
      <t xml:space="preserve">；現金不足時先減回購、再舉債</t>
    </r>
  </si>
  <si>
    <t xml:space="preserve">min_cash</t>
  </si>
  <si>
    <t xml:space="preserve">最低現金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</si>
  <si>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defaults.minCash</t>
    </r>
  </si>
  <si>
    <t xml:space="preserve">lease_2H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</si>
  <si>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Q4 26E</t>
    </r>
  </si>
  <si>
    <r>
      <rPr>
        <sz val="11"/>
        <color theme="1"/>
        <rFont val="Calibri"/>
        <family val="2"/>
        <charset val="1"/>
      </rPr>
      <t xml:space="preserve">10-Q 2026Q2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到期表（沿用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leases.financePayments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2H26 0.206 </t>
    </r>
    <r>
      <rPr>
        <sz val="11"/>
        <color theme="1"/>
        <rFont val="Noto Sans CJK SC"/>
        <family val="2"/>
      </rPr>
      <t xml:space="preserve">的一半）</t>
    </r>
  </si>
  <si>
    <t xml:space="preserve">lease_27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</si>
  <si>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FY2027E</t>
    </r>
  </si>
  <si>
    <t xml:space="preserve">lease_28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</si>
  <si>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FY2028E</t>
    </r>
  </si>
  <si>
    <t xml:space="preserve">lease_29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</si>
  <si>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FY2029E</t>
    </r>
  </si>
  <si>
    <t xml:space="preserve">lease_30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</si>
  <si>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FY2030E</t>
    </r>
  </si>
  <si>
    <t xml:space="preserve">lease_31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</si>
  <si>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FY2031E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</si>
  <si>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0.25</t>
    </r>
    <r>
      <rPr>
        <sz val="11"/>
        <color theme="1"/>
        <rFont val="Noto Sans CJK SC"/>
        <family val="2"/>
      </rPr>
      <t xml:space="preserve">／年</t>
    </r>
  </si>
  <si>
    <t xml:space="preserve">lease_32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</si>
  <si>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FY2032E</t>
    </r>
  </si>
  <si>
    <t xml:space="preserve">anth_2H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</si>
  <si>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Q4 26E</t>
    </r>
  </si>
  <si>
    <r>
      <rPr>
        <sz val="11"/>
        <color theme="1"/>
        <rFont val="Noto Sans CJK SC"/>
        <family val="2"/>
      </rPr>
      <t xml:space="preserve">剩餘 </t>
    </r>
    <r>
      <rPr>
        <sz val="11"/>
        <color theme="1"/>
        <rFont val="Calibri"/>
        <family val="2"/>
        <charset val="1"/>
      </rPr>
      <t xml:space="preserve">20.0B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defaults.jvCommit</t>
    </r>
    <r>
      <rPr>
        <sz val="11"/>
        <color theme="1"/>
        <rFont val="Noto Sans CJK SC"/>
        <family val="2"/>
      </rPr>
      <t xml:space="preserve">）</t>
    </r>
  </si>
  <si>
    <t xml:space="preserve">投資活動，不在自由現金流；換得持股（評價中性）</t>
  </si>
  <si>
    <t xml:space="preserve">anth_27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</si>
  <si>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FY2027E</t>
    </r>
  </si>
  <si>
    <t xml:space="preserve">anth_28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</si>
  <si>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FY2028E</t>
    </r>
  </si>
  <si>
    <t xml:space="preserve">anth_29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</si>
  <si>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FY2029E</t>
    </r>
  </si>
  <si>
    <t xml:space="preserve">anth_30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</si>
  <si>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FY2030E</t>
    </r>
  </si>
  <si>
    <t xml:space="preserve">anth_31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</si>
  <si>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FY2031E</t>
    </r>
  </si>
  <si>
    <t xml:space="preserve">anth_32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</si>
  <si>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條件式出資 </t>
    </r>
    <r>
      <rPr>
        <sz val="11"/>
        <color theme="1"/>
        <rFont val="Calibri"/>
        <family val="2"/>
        <charset val="1"/>
      </rPr>
      <t xml:space="preserve">FY2032E</t>
    </r>
  </si>
  <si>
    <t xml:space="preserve">mat_2H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</si>
  <si>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Q4 26E</t>
    </r>
  </si>
  <si>
    <r>
      <rPr>
        <sz val="11"/>
        <color theme="1"/>
        <rFont val="Calibri"/>
        <family val="2"/>
        <charset val="1"/>
      </rPr>
      <t xml:space="preserve">10-K 2025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到期表＋信用額度（沿用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debt.amortization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已於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償還（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償還 </t>
    </r>
    <r>
      <rPr>
        <sz val="11"/>
        <color theme="1"/>
        <rFont val="Calibri"/>
        <family val="2"/>
        <charset val="1"/>
      </rPr>
      <t xml:space="preserve">3.626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Q4 0</t>
    </r>
  </si>
  <si>
    <t xml:space="preserve">mat_27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</si>
  <si>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FY2027E</t>
    </r>
  </si>
  <si>
    <t xml:space="preserve">mat_28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</si>
  <si>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FY2028E</t>
    </r>
  </si>
  <si>
    <t xml:space="preserve">mat_29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</si>
  <si>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FY2029E</t>
    </r>
  </si>
  <si>
    <t xml:space="preserve">mat_30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</si>
  <si>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FY2030E</t>
    </r>
  </si>
  <si>
    <t xml:space="preserve">mat_31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</si>
  <si>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FY2031E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</si>
  <si>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／年（其後 </t>
    </r>
    <r>
      <rPr>
        <sz val="11"/>
        <color theme="1"/>
        <rFont val="Calibri"/>
        <family val="2"/>
        <charset val="1"/>
      </rPr>
      <t xml:space="preserve">86.5 </t>
    </r>
    <r>
      <rPr>
        <sz val="11"/>
        <color theme="1"/>
        <rFont val="Noto Sans CJK SC"/>
        <family val="2"/>
      </rPr>
      <t xml:space="preserve">未分年）</t>
    </r>
  </si>
  <si>
    <t xml:space="preserve">mat_32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</si>
  <si>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FY2032E</t>
    </r>
  </si>
  <si>
    <t xml:space="preserve">debt_new_2h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</si>
  <si>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已知新發債務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</si>
  <si>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已發行票據 </t>
    </r>
    <r>
      <rPr>
        <sz val="11"/>
        <color theme="1"/>
        <rFont val="Calibri"/>
        <family val="2"/>
        <charset val="1"/>
      </rPr>
      <t xml:space="preserve">28.7</t>
    </r>
    <r>
      <rPr>
        <sz val="11"/>
        <color theme="1"/>
        <rFont val="Noto Sans CJK SC"/>
        <family val="2"/>
      </rPr>
      <t xml:space="preserve">（新聞稿第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頁）已在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尚無公告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</si>
  <si>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2H26 25.0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票據）已在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實績</t>
    </r>
  </si>
  <si>
    <t xml:space="preserve">pref_2H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</si>
  <si>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Q4 26E</t>
    </r>
  </si>
  <si>
    <r>
      <rPr>
        <sz val="11"/>
        <color theme="1"/>
        <rFont val="Calibri"/>
        <family val="2"/>
        <charset val="1"/>
      </rPr>
      <t xml:space="preserve">6.25% × 19.25B</t>
    </r>
    <r>
      <rPr>
        <sz val="11"/>
        <color theme="1"/>
        <rFont val="Noto Sans CJK SC"/>
        <family val="2"/>
      </rPr>
      <t xml:space="preserve">，每季 </t>
    </r>
    <r>
      <rPr>
        <sz val="11"/>
        <color theme="1"/>
        <rFont val="Calibri"/>
        <family val="2"/>
        <charset val="1"/>
      </rPr>
      <t xml:space="preserve">2/15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5/15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8/15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11/15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2029-05-15</t>
    </r>
    <r>
      <rPr>
        <sz val="11"/>
        <color theme="1"/>
        <rFont val="Noto Sans CJK SC"/>
        <family val="2"/>
      </rPr>
      <t xml:space="preserve">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defaults.dividend.preferred</t>
    </r>
    <r>
      <rPr>
        <sz val="11"/>
        <color theme="1"/>
        <rFont val="Noto Sans CJK SC"/>
        <family val="2"/>
      </rPr>
      <t xml:space="preserve">）</t>
    </r>
  </si>
  <si>
    <t xml:space="preserve">pref_27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</si>
  <si>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FY2027E</t>
    </r>
  </si>
  <si>
    <t xml:space="preserve">pref_28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</si>
  <si>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FY2028E</t>
    </r>
  </si>
  <si>
    <t xml:space="preserve">pref_29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</si>
  <si>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FY2029E</t>
    </r>
  </si>
  <si>
    <r>
      <rPr>
        <b val="true"/>
        <sz val="11"/>
        <rFont val="Cambria"/>
        <family val="0"/>
        <charset val="1"/>
      </rPr>
      <t xml:space="preserve">G2. 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9M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CF </t>
    </r>
    <r>
      <rPr>
        <b val="true"/>
        <sz val="11"/>
        <rFont val="Noto Sans CJK SC"/>
        <family val="2"/>
      </rPr>
      <t xml:space="preserve">頁；</t>
    </r>
    <r>
      <rPr>
        <b val="true"/>
        <sz val="11"/>
        <rFont val="Cambria"/>
        <family val="0"/>
        <charset val="1"/>
      </rPr>
      <t xml:space="preserve">2026Q3 </t>
    </r>
    <r>
      <rPr>
        <b val="true"/>
        <sz val="11"/>
        <rFont val="Noto Sans CJK SC"/>
        <family val="2"/>
      </rPr>
      <t xml:space="preserve">新聞稿現金流量表年初至今欄）</t>
    </r>
  </si>
  <si>
    <t xml:space="preserve">lease_1H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</si>
  <si>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融資租賃本金</t>
    </r>
  </si>
  <si>
    <r>
      <rPr>
        <sz val="11"/>
        <color theme="1"/>
        <rFont val="Calibri"/>
        <family val="2"/>
        <charset val="1"/>
      </rPr>
      <t xml:space="preserve">1H26 0.840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推估 </t>
    </r>
    <r>
      <rPr>
        <sz val="11"/>
        <color theme="1"/>
        <rFont val="Calibri"/>
        <family val="2"/>
        <charset val="1"/>
      </rPr>
      <t xml:space="preserve">0.103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到期 </t>
    </r>
    <r>
      <rPr>
        <sz val="11"/>
        <color theme="1"/>
        <rFont val="Calibri"/>
        <family val="2"/>
        <charset val="1"/>
      </rPr>
      <t xml:space="preserve">0.206 </t>
    </r>
    <r>
      <rPr>
        <sz val="11"/>
        <color theme="1"/>
        <rFont val="Noto Sans CJK SC"/>
        <family val="2"/>
      </rPr>
      <t xml:space="preserve">的一半）</t>
    </r>
  </si>
  <si>
    <r>
      <rPr>
        <sz val="11"/>
        <color theme="1"/>
        <rFont val="Calibri"/>
        <family val="2"/>
        <charset val="1"/>
      </rPr>
      <t xml:space="preserve">10-Q 2026Q3 </t>
    </r>
    <r>
      <rPr>
        <sz val="11"/>
        <color theme="1"/>
        <rFont val="Noto Sans CJK SC"/>
        <family val="2"/>
      </rPr>
      <t xml:space="preserve">尚未提供（資料缺口）</t>
    </r>
  </si>
  <si>
    <t xml:space="preserve">anth_1H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</si>
  <si>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策略投資（非上市證券 − 出售＋收購＋其他投資）</t>
    </r>
  </si>
  <si>
    <r>
      <rPr>
        <sz val="11"/>
        <color theme="1"/>
        <rFont val="Noto Sans CJK SC"/>
        <family val="2"/>
      </rPr>
      <t xml:space="preserve">新聞稿年初至今：購買非上市證券 </t>
    </r>
    <r>
      <rPr>
        <sz val="11"/>
        <color theme="1"/>
        <rFont val="Calibri"/>
        <family val="2"/>
        <charset val="1"/>
      </rPr>
      <t xml:space="preserve">24.160 − </t>
    </r>
    <r>
      <rPr>
        <sz val="11"/>
        <color theme="1"/>
        <rFont val="Noto Sans CJK SC"/>
        <family val="2"/>
      </rPr>
      <t xml:space="preserve">出售 </t>
    </r>
    <r>
      <rPr>
        <sz val="11"/>
        <color theme="1"/>
        <rFont val="Calibri"/>
        <family val="2"/>
        <charset val="1"/>
      </rPr>
      <t xml:space="preserve">1.875</t>
    </r>
    <r>
      <rPr>
        <sz val="11"/>
        <color theme="1"/>
        <rFont val="Noto Sans CJK SC"/>
        <family val="2"/>
      </rPr>
      <t xml:space="preserve">＋收購 </t>
    </r>
    <r>
      <rPr>
        <sz val="11"/>
        <color theme="1"/>
        <rFont val="Calibri"/>
        <family val="2"/>
        <charset val="1"/>
      </rPr>
      <t xml:space="preserve">34.103</t>
    </r>
    <r>
      <rPr>
        <sz val="11"/>
        <color theme="1"/>
        <rFont val="Noto Sans CJK SC"/>
        <family val="2"/>
      </rPr>
      <t xml:space="preserve">＋其他投資 </t>
    </r>
    <r>
      <rPr>
        <sz val="11"/>
        <color theme="1"/>
        <rFont val="Calibri"/>
        <family val="2"/>
        <charset val="1"/>
      </rPr>
      <t xml:space="preserve">0.879</t>
    </r>
  </si>
  <si>
    <t xml:space="preserve">v0.3 1H26 55.44</t>
  </si>
  <si>
    <t xml:space="preserve">mat_1H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</si>
  <si>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償還債務</t>
    </r>
  </si>
  <si>
    <r>
      <rPr>
        <sz val="11"/>
        <color theme="1"/>
        <rFont val="Calibri"/>
        <family val="2"/>
        <charset val="1"/>
      </rPr>
      <t xml:space="preserve">mag/extract/docs/2026Q3/alphabet_2026Q3_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頁（年初至今欄）（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cf.debtRep.ytd2026</t>
    </r>
    <r>
      <rPr>
        <sz val="11"/>
        <color theme="1"/>
        <rFont val="Noto Sans CJK SC"/>
        <family val="2"/>
      </rPr>
      <t xml:space="preserve">）</t>
    </r>
  </si>
  <si>
    <t xml:space="preserve">newd_1H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</si>
  <si>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發債淨額</t>
    </r>
  </si>
  <si>
    <r>
      <rPr>
        <sz val="11"/>
        <color theme="1"/>
        <rFont val="Calibri"/>
        <family val="2"/>
        <charset val="1"/>
      </rPr>
      <t xml:space="preserve">mag/extract/docs/2026Q3/alphabet_2026Q3_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頁（年初至今欄）（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cf.debtIss.ytd2026</t>
    </r>
    <r>
      <rPr>
        <sz val="11"/>
        <color theme="1"/>
        <rFont val="Noto Sans CJK SC"/>
        <family val="2"/>
      </rPr>
      <t xml:space="preserve">）</t>
    </r>
  </si>
  <si>
    <t xml:space="preserve">eq_1H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</si>
  <si>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股權發行淨額（普通股 </t>
    </r>
    <r>
      <rPr>
        <sz val="11"/>
        <color theme="1"/>
        <rFont val="Calibri"/>
        <family val="2"/>
        <charset val="1"/>
      </rPr>
      <t xml:space="preserve">42.870</t>
    </r>
    <r>
      <rPr>
        <sz val="11"/>
        <color theme="1"/>
        <rFont val="Noto Sans CJK SC"/>
        <family val="2"/>
      </rPr>
      <t xml:space="preserve">＋強制轉換特別股 </t>
    </r>
    <r>
      <rPr>
        <sz val="11"/>
        <color theme="1"/>
        <rFont val="Calibri"/>
        <family val="2"/>
        <charset val="1"/>
      </rPr>
      <t xml:space="preserve">19.063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</si>
  <si>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新聞稿現金流量表年初至今欄（</t>
    </r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ATM 12.4</t>
    </r>
    <r>
      <rPr>
        <sz val="11"/>
        <color theme="1"/>
        <rFont val="Noto Sans CJK SC"/>
        <family val="2"/>
      </rPr>
      <t xml:space="preserve">）</t>
    </r>
  </si>
  <si>
    <t xml:space="preserve">pref_paid_1H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</si>
  <si>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已付特別股股利（含在新聞稿股利支付列）</t>
    </r>
  </si>
  <si>
    <r>
      <rPr>
        <sz val="11"/>
        <color theme="1"/>
        <rFont val="Calibri"/>
        <family val="2"/>
        <charset val="1"/>
      </rPr>
      <t xml:space="preserve">2026-08-15 </t>
    </r>
    <r>
      <rPr>
        <sz val="11"/>
        <color theme="1"/>
        <rFont val="Noto Sans CJK SC"/>
        <family val="2"/>
      </rPr>
      <t xml:space="preserve">首次付息：</t>
    </r>
    <r>
      <rPr>
        <sz val="11"/>
        <color theme="1"/>
        <rFont val="Calibri"/>
        <family val="2"/>
        <charset val="1"/>
      </rPr>
      <t xml:space="preserve">19.25B × 6.25% ÷ 4</t>
    </r>
    <r>
      <rPr>
        <sz val="11"/>
        <color theme="1"/>
        <rFont val="Noto Sans CJK SC"/>
        <family val="2"/>
      </rPr>
      <t xml:space="preserve">；損益表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特別股股利 </t>
    </r>
    <r>
      <rPr>
        <sz val="11"/>
        <color theme="1"/>
        <rFont val="Calibri"/>
        <family val="2"/>
        <charset val="1"/>
      </rPr>
      <t xml:space="preserve">0.384</t>
    </r>
    <r>
      <rPr>
        <sz val="11"/>
        <color theme="1"/>
        <rFont val="Noto Sans CJK SC"/>
        <family val="2"/>
      </rPr>
      <t xml:space="preserve">（應計）</t>
    </r>
  </si>
  <si>
    <t xml:space="preserve">pref_1H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</si>
  <si>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特別股股利（損益表，應計）</t>
    </r>
  </si>
  <si>
    <r>
      <rPr>
        <sz val="11"/>
        <color theme="1"/>
        <rFont val="Calibri"/>
        <family val="2"/>
        <charset val="1"/>
      </rPr>
      <t xml:space="preserve">mag/extract/docs/2026Q3/alphabet_2026Q3_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頁合併損益表（年初至今欄）（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is.prefDiv.ytd2026</t>
    </r>
    <r>
      <rPr>
        <sz val="11"/>
        <color theme="1"/>
        <rFont val="Noto Sans CJK SC"/>
        <family val="2"/>
      </rPr>
      <t xml:space="preserve">）</t>
    </r>
  </si>
  <si>
    <t xml:space="preserve">debt_ye25</t>
  </si>
  <si>
    <r>
      <rPr>
        <sz val="11"/>
        <color theme="1"/>
        <rFont val="Noto Sans CJK SC"/>
        <family val="2"/>
      </rPr>
      <t xml:space="preserve">債務面額（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</si>
  <si>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Alphabet Form 10-K FY2025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，經查核合併財報）（</t>
    </r>
    <r>
      <rPr>
        <sz val="11"/>
        <color theme="1"/>
        <rFont val="Calibri"/>
        <family val="2"/>
        <charset val="1"/>
      </rPr>
      <t xml:space="preserve">2026-02-05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debt.face.fy2025</t>
    </r>
    <r>
      <rPr>
        <sz val="11"/>
        <color theme="1"/>
        <rFont val="Noto Sans CJK SC"/>
        <family val="2"/>
      </rPr>
      <t xml:space="preserve">）</t>
    </r>
  </si>
  <si>
    <t xml:space="preserve">rpo_cloud</t>
  </si>
  <si>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積壓（</t>
    </r>
    <r>
      <rPr>
        <sz val="11"/>
        <color theme="1"/>
        <rFont val="Calibri"/>
        <family val="2"/>
        <charset val="1"/>
      </rPr>
      <t xml:space="preserve">backlog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</si>
  <si>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同上逐字稿（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backlog 561B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rpo.cloud.2026q3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</si>
  <si>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513.9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10-Q RPO </t>
    </r>
    <r>
      <rPr>
        <sz val="11"/>
        <color theme="1"/>
        <rFont val="Noto Sans CJK SC"/>
        <family val="2"/>
      </rPr>
      <t xml:space="preserve">附註尚未提供</t>
    </r>
  </si>
  <si>
    <t xml:space="preserve">rpo_24m</t>
  </si>
  <si>
    <r>
      <rPr>
        <sz val="11"/>
        <color theme="1"/>
        <rFont val="Noto Sans CJK SC"/>
        <family val="2"/>
      </rPr>
      <t xml:space="preserve">積壓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個月內認列比例</t>
    </r>
  </si>
  <si>
    <r>
      <rPr>
        <sz val="11"/>
        <color theme="1"/>
        <rFont val="Noto Sans CJK SC"/>
        <family val="2"/>
      </rPr>
      <t xml:space="preserve">同上逐字稿（</t>
    </r>
    <r>
      <rPr>
        <sz val="11"/>
        <color theme="1"/>
        <rFont val="Calibri"/>
        <family val="2"/>
        <charset val="1"/>
      </rPr>
      <t xml:space="preserve">just over 55%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rpo.share24m.2026q3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</si>
  <si>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50%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</si>
  <si>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對照（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Noto Sans CJK SC"/>
        <family val="2"/>
      </rPr>
      <t xml:space="preserve">）</t>
    </r>
  </si>
  <si>
    <t xml:space="preserve">tp_v03</t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</si>
  <si>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加權目標價（修正三，讀法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</si>
  <si>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docs/reports/20261027_alphabet_v0.3_</t>
    </r>
    <r>
      <rPr>
        <sz val="11"/>
        <color theme="1"/>
        <rFont val="Noto Sans CJK SC"/>
        <family val="2"/>
      </rPr>
      <t xml:space="preserve">分部架構</t>
    </r>
    <r>
      <rPr>
        <sz val="11"/>
        <color theme="1"/>
        <rFont val="Calibri"/>
        <family val="2"/>
        <charset val="1"/>
      </rPr>
      <t xml:space="preserve">.md </t>
    </r>
    <r>
      <rPr>
        <sz val="11"/>
        <color theme="1"/>
        <rFont val="Noto Sans CJK SC"/>
        <family val="2"/>
      </rPr>
      <t xml:space="preserve">修正三（</t>
    </r>
    <r>
      <rPr>
        <sz val="11"/>
        <color theme="1"/>
        <rFont val="Calibri"/>
        <family val="2"/>
        <charset val="1"/>
      </rPr>
      <t xml:space="preserve">dist/_</t>
    </r>
    <r>
      <rPr>
        <sz val="11"/>
        <color theme="1"/>
        <rFont val="Noto Sans CJK SC"/>
        <family val="2"/>
      </rPr>
      <t xml:space="preserve">待刪除</t>
    </r>
    <r>
      <rPr>
        <sz val="11"/>
        <color theme="1"/>
        <rFont val="Calibri"/>
        <family val="2"/>
        <charset val="1"/>
      </rPr>
      <t xml:space="preserve">/20261027_Alphabet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 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258.7009</t>
    </r>
    <r>
      <rPr>
        <sz val="11"/>
        <color theme="1"/>
        <rFont val="Noto Sans CJK SC"/>
        <family val="2"/>
      </rPr>
      <t xml:space="preserve">）</t>
    </r>
  </si>
  <si>
    <t xml:space="preserve">變動拆解的起點</t>
  </si>
  <si>
    <t xml:space="preserve">tp_v022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</si>
  <si>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基準目標價（讀法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</si>
  <si>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docs/reports/20261025_alphabet_v0.2.2.md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v0.2.2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</si>
  <si>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</t>
    </r>
    <r>
      <rPr>
        <sz val="11"/>
        <color theme="1"/>
        <rFont val="Calibri"/>
        <family val="2"/>
        <charset val="1"/>
      </rPr>
      <t xml:space="preserve">218.79</t>
    </r>
    <r>
      <rPr>
        <sz val="11"/>
        <color theme="1"/>
        <rFont val="Noto Sans CJK SC"/>
        <family val="2"/>
      </rPr>
      <t xml:space="preserve">；三情境皆賣出</t>
    </r>
  </si>
  <si>
    <t xml:space="preserve">tpw_v022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</si>
  <si>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加權目標價（讀法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保守 </t>
    </r>
    <r>
      <rPr>
        <sz val="11"/>
        <color theme="1"/>
        <rFont val="Calibri"/>
        <family val="2"/>
        <charset val="1"/>
      </rPr>
      <t xml:space="preserve">175.08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146.09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積極 </t>
    </r>
    <r>
      <rPr>
        <sz val="11"/>
        <color theme="1"/>
        <rFont val="Calibri"/>
        <family val="2"/>
        <charset val="1"/>
      </rPr>
      <t xml:space="preserve">122.89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</si>
  <si>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交接檔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節三情境目標價；本表以本版情境權重換算</t>
    </r>
  </si>
  <si>
    <t xml:space="preserve">px_v022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</si>
  <si>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</si>
  <si>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mkt.price.close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</si>
  <si>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c_rev_26</t>
  </si>
  <si>
    <r>
      <rPr>
        <sz val="11"/>
        <color theme="1"/>
        <rFont val="Noto Sans CJK SC"/>
        <family val="2"/>
      </rPr>
      <t xml:space="preserve">共識 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</si>
  <si>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https://www.marketscreener.com/quote/stock/ALPHABET-INC-24203373/finances/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頁面）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</si>
  <si>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時（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）：營收 </t>
    </r>
    <r>
      <rPr>
        <sz val="11"/>
        <color theme="1"/>
        <rFont val="Calibri"/>
        <family val="2"/>
        <charset val="1"/>
      </rPr>
      <t xml:space="preserve">498.69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615.04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734.20</t>
    </r>
  </si>
  <si>
    <t xml:space="preserve">c_rev_27</t>
  </si>
  <si>
    <r>
      <rPr>
        <sz val="11"/>
        <color theme="1"/>
        <rFont val="Noto Sans CJK SC"/>
        <family val="2"/>
      </rPr>
      <t xml:space="preserve">共識 營收 </t>
    </r>
    <r>
      <rPr>
        <sz val="11"/>
        <color theme="1"/>
        <rFont val="Calibri"/>
        <family val="2"/>
        <charset val="1"/>
      </rPr>
      <t xml:space="preserve">FY2027</t>
    </r>
  </si>
  <si>
    <t xml:space="preserve">c_rev_28</t>
  </si>
  <si>
    <r>
      <rPr>
        <sz val="11"/>
        <color theme="1"/>
        <rFont val="Noto Sans CJK SC"/>
        <family val="2"/>
      </rPr>
      <t xml:space="preserve">共識 營收 </t>
    </r>
    <r>
      <rPr>
        <sz val="11"/>
        <color theme="1"/>
        <rFont val="Calibri"/>
        <family val="2"/>
        <charset val="1"/>
      </rPr>
      <t xml:space="preserve">FY2028</t>
    </r>
  </si>
  <si>
    <t xml:space="preserve">c_ebit_26</t>
  </si>
  <si>
    <r>
      <rPr>
        <sz val="11"/>
        <color theme="1"/>
        <rFont val="Noto Sans CJK SC"/>
        <family val="2"/>
      </rPr>
      <t xml:space="preserve">共識 營業利益 </t>
    </r>
    <r>
      <rPr>
        <sz val="11"/>
        <color theme="1"/>
        <rFont val="Calibri"/>
        <family val="2"/>
        <charset val="1"/>
      </rPr>
      <t xml:space="preserve">FY2026</t>
    </r>
  </si>
  <si>
    <t xml:space="preserve">c_ebit_27</t>
  </si>
  <si>
    <r>
      <rPr>
        <sz val="11"/>
        <color theme="1"/>
        <rFont val="Noto Sans CJK SC"/>
        <family val="2"/>
      </rPr>
      <t xml:space="preserve">共識 營業利益 </t>
    </r>
    <r>
      <rPr>
        <sz val="11"/>
        <color theme="1"/>
        <rFont val="Calibri"/>
        <family val="2"/>
        <charset val="1"/>
      </rPr>
      <t xml:space="preserve">FY2027</t>
    </r>
  </si>
  <si>
    <t xml:space="preserve">c_ebit_28</t>
  </si>
  <si>
    <r>
      <rPr>
        <sz val="11"/>
        <color theme="1"/>
        <rFont val="Noto Sans CJK SC"/>
        <family val="2"/>
      </rPr>
      <t xml:space="preserve">共識 營業利益 </t>
    </r>
    <r>
      <rPr>
        <sz val="11"/>
        <color theme="1"/>
        <rFont val="Calibri"/>
        <family val="2"/>
        <charset val="1"/>
      </rPr>
      <t xml:space="preserve">FY2028</t>
    </r>
  </si>
  <si>
    <t xml:space="preserve">c_eps_26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</si>
  <si>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，含權益證券利益） </t>
    </r>
    <r>
      <rPr>
        <sz val="11"/>
        <color theme="1"/>
        <rFont val="Calibri"/>
        <family val="2"/>
        <charset val="1"/>
      </rPr>
      <t xml:space="preserve">FY2026</t>
    </r>
  </si>
  <si>
    <t xml:space="preserve">c_eps_27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</si>
  <si>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，含權益證券利益） </t>
    </r>
    <r>
      <rPr>
        <sz val="11"/>
        <color theme="1"/>
        <rFont val="Calibri"/>
        <family val="2"/>
        <charset val="1"/>
      </rPr>
      <t xml:space="preserve">FY2027</t>
    </r>
  </si>
  <si>
    <t xml:space="preserve">c_eps_28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</si>
  <si>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，含權益證券利益） </t>
    </r>
    <r>
      <rPr>
        <sz val="11"/>
        <color theme="1"/>
        <rFont val="Calibri"/>
        <family val="2"/>
        <charset val="1"/>
      </rPr>
      <t xml:space="preserve">FY2028</t>
    </r>
  </si>
  <si>
    <t xml:space="preserve">c_capex_26</t>
  </si>
  <si>
    <r>
      <rPr>
        <sz val="11"/>
        <color theme="1"/>
        <rFont val="Noto Sans CJK SC"/>
        <family val="2"/>
      </rPr>
      <t xml:space="preserve">共識 資本支出 </t>
    </r>
    <r>
      <rPr>
        <sz val="11"/>
        <color theme="1"/>
        <rFont val="Calibri"/>
        <family val="2"/>
        <charset val="1"/>
      </rPr>
      <t xml:space="preserve">FY2026</t>
    </r>
  </si>
  <si>
    <t xml:space="preserve">c_capex_27</t>
  </si>
  <si>
    <r>
      <rPr>
        <sz val="11"/>
        <color theme="1"/>
        <rFont val="Noto Sans CJK SC"/>
        <family val="2"/>
      </rPr>
      <t xml:space="preserve">共識 資本支出 </t>
    </r>
    <r>
      <rPr>
        <sz val="11"/>
        <color theme="1"/>
        <rFont val="Calibri"/>
        <family val="2"/>
        <charset val="1"/>
      </rPr>
      <t xml:space="preserve">FY2027</t>
    </r>
  </si>
  <si>
    <t xml:space="preserve">c_capex_28</t>
  </si>
  <si>
    <r>
      <rPr>
        <sz val="11"/>
        <color theme="1"/>
        <rFont val="Noto Sans CJK SC"/>
        <family val="2"/>
      </rPr>
      <t xml:space="preserve">共識 資本支出 </t>
    </r>
    <r>
      <rPr>
        <sz val="11"/>
        <color theme="1"/>
        <rFont val="Calibri"/>
        <family val="2"/>
        <charset val="1"/>
      </rPr>
      <t xml:space="preserve">FY2028</t>
    </r>
  </si>
  <si>
    <t xml:space="preserve">c_fcf_26</t>
  </si>
  <si>
    <r>
      <rPr>
        <sz val="11"/>
        <color theme="1"/>
        <rFont val="Noto Sans CJK SC"/>
        <family val="2"/>
      </rPr>
      <t xml:space="preserve">共識 自由現金流 </t>
    </r>
    <r>
      <rPr>
        <sz val="11"/>
        <color theme="1"/>
        <rFont val="Calibri"/>
        <family val="2"/>
        <charset val="1"/>
      </rPr>
      <t xml:space="preserve">FY2026</t>
    </r>
  </si>
  <si>
    <t xml:space="preserve">c_fcf_27</t>
  </si>
  <si>
    <r>
      <rPr>
        <sz val="11"/>
        <color theme="1"/>
        <rFont val="Noto Sans CJK SC"/>
        <family val="2"/>
      </rPr>
      <t xml:space="preserve">共識 自由現金流 </t>
    </r>
    <r>
      <rPr>
        <sz val="11"/>
        <color theme="1"/>
        <rFont val="Calibri"/>
        <family val="2"/>
        <charset val="1"/>
      </rPr>
      <t xml:space="preserve">FY2027</t>
    </r>
  </si>
  <si>
    <t xml:space="preserve">c_fcf_28</t>
  </si>
  <si>
    <r>
      <rPr>
        <sz val="11"/>
        <color theme="1"/>
        <rFont val="Noto Sans CJK SC"/>
        <family val="2"/>
      </rPr>
      <t xml:space="preserve">共識 自由現金流 </t>
    </r>
    <r>
      <rPr>
        <sz val="11"/>
        <color theme="1"/>
        <rFont val="Calibri"/>
        <family val="2"/>
        <charset val="1"/>
      </rPr>
      <t xml:space="preserve">FY2028</t>
    </r>
  </si>
  <si>
    <t xml:space="preserve">c_ebitda_26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</si>
  <si>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（共識口徑含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 </t>
    </r>
    <r>
      <rPr>
        <sz val="11"/>
        <color theme="1"/>
        <rFont val="Calibri"/>
        <family val="2"/>
        <charset val="1"/>
      </rPr>
      <t xml:space="preserve">FY2026</t>
    </r>
  </si>
  <si>
    <t xml:space="preserve">c_ebitda_27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</si>
  <si>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（共識口徑含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 </t>
    </r>
    <r>
      <rPr>
        <sz val="11"/>
        <color theme="1"/>
        <rFont val="Calibri"/>
        <family val="2"/>
        <charset val="1"/>
      </rPr>
      <t xml:space="preserve">FY2027</t>
    </r>
  </si>
  <si>
    <t xml:space="preserve">c_ebitda_28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</si>
  <si>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（共識口徑含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 </t>
    </r>
    <r>
      <rPr>
        <sz val="11"/>
        <color theme="1"/>
        <rFont val="Calibri"/>
        <family val="2"/>
        <charset val="1"/>
      </rPr>
      <t xml:space="preserve">FY2028</t>
    </r>
  </si>
  <si>
    <t xml:space="preserve">c_eps26_sa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</si>
  <si>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，排除權益證券利益）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</si>
  <si>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位分析師）</t>
    </r>
  </si>
  <si>
    <r>
      <rPr>
        <sz val="11"/>
        <color theme="1"/>
        <rFont val="Noto Sans CJK SC"/>
        <family val="2"/>
      </rPr>
      <t xml:space="preserve">只作對照，不進模型（只被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共識對照引用）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</si>
  <si>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</si>
  <si>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</si>
  <si>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</si>
  <si>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</si>
  <si>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scn_d</t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</si>
  <si>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查詢分流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達到（負值＝回流）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</si>
  <si>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＝近四季成長收斂，不另加調整（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</si>
  <si>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scn_m</t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</si>
  <si>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每次查詢變現變動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</si>
  <si>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＝近四季成長收斂，不另加調整（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</si>
  <si>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</si>
  <si>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</si>
  <si>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</si>
  <si>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美元；股數十億股）。資料取自 </t>
    </r>
    <r>
      <rPr>
        <sz val="11"/>
        <color theme="1"/>
        <rFont val="Calibri"/>
        <family val="2"/>
        <charset val="1"/>
      </rPr>
      <t xml:space="preserve">data/alphabet_facts_20261008.json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MAG v0.1a </t>
    </r>
    <r>
      <rPr>
        <sz val="11"/>
        <color theme="1"/>
        <rFont val="Noto Sans CJK SC"/>
        <family val="2"/>
      </rPr>
      <t xml:space="preserve">起的 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一手資料）與 </t>
    </r>
    <r>
      <rPr>
        <sz val="11"/>
        <color theme="1"/>
        <rFont val="Calibri"/>
        <family val="2"/>
        <charset val="1"/>
      </rPr>
      <t xml:space="preserve">data/alphabet_facts_2026q3.json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新聞稿，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）；季度數＝財報新聞稿 </t>
    </r>
    <r>
      <rPr>
        <sz val="11"/>
        <color theme="1"/>
        <rFont val="Calibri"/>
        <family val="2"/>
        <charset val="1"/>
      </rPr>
      <t xml:space="preserve">[Interested-party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核閱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，年度＝</t>
    </r>
    <r>
      <rPr>
        <sz val="11"/>
        <color theme="1"/>
        <rFont val="Calibri"/>
        <family val="2"/>
        <charset val="1"/>
      </rPr>
      <t xml:space="preserve">10-K [Verified]</t>
    </r>
  </si>
  <si>
    <r>
      <rPr>
        <sz val="11"/>
        <color theme="1"/>
        <rFont val="Noto Sans CJK SC"/>
        <family val="2"/>
      </rPr>
      <t xml:space="preserve">核對列（實績必須為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）：產品線合計＝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、分部合計＝合併營收、分部營業利益合計＝合併營業利益（</t>
    </r>
    <r>
      <rPr>
        <sz val="11"/>
        <color theme="1"/>
        <rFont val="Calibri"/>
        <family val="2"/>
        <charset val="1"/>
      </rPr>
      <t xml:space="preserve">Alphabet-level activities </t>
    </r>
    <r>
      <rPr>
        <sz val="11"/>
        <color theme="1"/>
        <rFont val="Noto Sans CJK SC"/>
        <family val="2"/>
      </rPr>
      <t xml:space="preserve">含避險損益營收與未分攤費用）、營收 − 成本費用＝營業利益、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四季合計＝年報</t>
    </r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</si>
  <si>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</si>
  <si>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</si>
  <si>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</si>
  <si>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</si>
  <si>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</si>
  <si>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</si>
  <si>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</si>
  <si>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</si>
  <si>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FY2024</t>
  </si>
  <si>
    <t xml:space="preserve">FY2025</t>
  </si>
  <si>
    <t xml:space="preserve">9M26</t>
  </si>
  <si>
    <r>
      <rPr>
        <b val="true"/>
        <sz val="11"/>
        <rFont val="Noto Sans CJK SC"/>
        <family val="2"/>
      </rPr>
      <t xml:space="preserve">近四季 </t>
    </r>
    <r>
      <rPr>
        <b val="true"/>
        <sz val="11"/>
        <rFont val="Cambria"/>
        <family val="0"/>
        <charset val="1"/>
      </rPr>
      <t xml:space="preserve">TTM</t>
    </r>
  </si>
  <si>
    <t xml:space="preserve">前四季</t>
  </si>
  <si>
    <t xml:space="preserve">營收（官方分部與產品線）</t>
  </si>
  <si>
    <t xml:space="preserve">Google Search &amp; other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</si>
  <si>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（年）／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（季）</t>
    </r>
  </si>
  <si>
    <r>
      <rPr>
        <sz val="11"/>
        <color theme="1"/>
        <rFont val="Noto Sans CJK SC"/>
        <family val="2"/>
      </rPr>
      <t xml:space="preserve">季：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，各季；事實總帳 </t>
    </r>
    <r>
      <rPr>
        <sz val="11"/>
        <color theme="1"/>
        <rFont val="Calibri"/>
        <family val="2"/>
        <charset val="1"/>
      </rPr>
      <t xml:space="preserve">is.*.2024q4–2026q2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mag/extract/docs/2026Q3/alphabet_2026Q3_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</t>
    </r>
    <r>
      <rPr>
        <sz val="11"/>
        <color theme="1"/>
        <rFont val="Noto Sans CJK SC"/>
        <family val="2"/>
      </rPr>
      <t xml:space="preserve">，事實總帳 </t>
    </r>
    <r>
      <rPr>
        <sz val="11"/>
        <color theme="1"/>
        <rFont val="Calibri"/>
        <family val="2"/>
        <charset val="1"/>
      </rPr>
      <t xml:space="preserve">alphabet_facts_2026q3.json</t>
    </r>
    <r>
      <rPr>
        <sz val="11"/>
        <color theme="1"/>
        <rFont val="Noto Sans CJK SC"/>
        <family val="2"/>
      </rPr>
      <t xml:space="preserve">）；年：</t>
    </r>
    <r>
      <rPr>
        <sz val="11"/>
        <color theme="1"/>
        <rFont val="Calibri"/>
        <family val="2"/>
        <charset val="1"/>
      </rPr>
      <t xml:space="preserve">Form 10-K 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（經查核）</t>
    </r>
  </si>
  <si>
    <t xml:space="preserve">YouTube ads</t>
  </si>
  <si>
    <t xml:space="preserve">Google Network</t>
  </si>
  <si>
    <t xml:space="preserve">Google subscriptions, platforms, and devices</t>
  </si>
  <si>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（分部）</t>
    </r>
  </si>
  <si>
    <r>
      <rPr>
        <sz val="11"/>
        <color theme="1"/>
        <rFont val="Noto Sans CJK SC"/>
        <family val="2"/>
      </rPr>
      <t xml:space="preserve">檢查：產品線合計 − </t>
    </r>
    <r>
      <rPr>
        <sz val="11"/>
        <color theme="1"/>
        <rFont val="Calibri"/>
        <family val="2"/>
        <charset val="1"/>
      </rPr>
      <t xml:space="preserve">Google Services</t>
    </r>
  </si>
  <si>
    <t xml:space="preserve">—</t>
  </si>
  <si>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（分部）</t>
    </r>
  </si>
  <si>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（分部）</t>
    </r>
  </si>
  <si>
    <r>
      <rPr>
        <sz val="11"/>
        <color theme="1"/>
        <rFont val="Calibri"/>
        <family val="2"/>
        <charset val="1"/>
      </rPr>
      <t xml:space="preserve">Hedging gains (losses)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Alphabet-level</t>
    </r>
    <r>
      <rPr>
        <sz val="11"/>
        <color theme="1"/>
        <rFont val="Noto Sans CJK SC"/>
        <family val="2"/>
      </rPr>
      <t xml:space="preserve">）</t>
    </r>
  </si>
  <si>
    <t xml:space="preserve">合併營收</t>
  </si>
  <si>
    <t xml:space="preserve">檢查：分部合計＋避險 − 合併營收</t>
  </si>
  <si>
    <t xml:space="preserve">分部營業利益</t>
  </si>
  <si>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</si>
  <si>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</si>
  <si>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</si>
  <si>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Alphabet-level activities</t>
    </r>
    <r>
      <rPr>
        <sz val="11"/>
        <color theme="1"/>
        <rFont val="Noto Sans CJK SC"/>
        <family val="2"/>
      </rPr>
      <t xml:space="preserve">（避險營收 − 未分攤費用）</t>
    </r>
  </si>
  <si>
    <t xml:space="preserve">合併營業利益</t>
  </si>
  <si>
    <t xml:space="preserve">檢查：分部營業利益合計 − 合併營業利益</t>
  </si>
  <si>
    <t xml:space="preserve">合併損益</t>
  </si>
  <si>
    <t xml:space="preserve">營業成本</t>
  </si>
  <si>
    <r>
      <rPr>
        <sz val="11"/>
        <color theme="1"/>
        <rFont val="Noto Sans CJK SC"/>
        <family val="2"/>
      </rPr>
      <t xml:space="preserve">  其中：流量獲取成本 </t>
    </r>
    <r>
      <rPr>
        <sz val="11"/>
        <color theme="1"/>
        <rFont val="Calibri"/>
        <family val="2"/>
        <charset val="1"/>
      </rPr>
      <t xml:space="preserve">TAC</t>
    </r>
  </si>
  <si>
    <t xml:space="preserve">研發費用</t>
  </si>
  <si>
    <t xml:space="preserve">行銷費用</t>
  </si>
  <si>
    <t xml:space="preserve">管理費用</t>
  </si>
  <si>
    <t xml:space="preserve">檢查：營收 − 成本費用 − 營業利益</t>
  </si>
  <si>
    <t xml:space="preserve">其他收益淨額（含權益證券損益）</t>
  </si>
  <si>
    <t xml:space="preserve">  其中：權益證券淨損益</t>
  </si>
  <si>
    <t xml:space="preserve">稅前利益</t>
  </si>
  <si>
    <t xml:space="preserve">檢查：營業利益＋其他收益 − 稅前利益</t>
  </si>
  <si>
    <t xml:space="preserve">所得稅</t>
  </si>
  <si>
    <t xml:space="preserve">淨利</t>
  </si>
  <si>
    <t xml:space="preserve">檢查：稅前 − 所得稅 − 淨利</t>
  </si>
  <si>
    <t xml:space="preserve">稀釋加權股數（十億股）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</si>
  <si>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稀釋，美元）</t>
    </r>
  </si>
  <si>
    <t xml:space="preserve">現金流、資本支出與股東回饋</t>
  </si>
  <si>
    <t xml:space="preserve">折舊（不動產與設備）</t>
  </si>
  <si>
    <r>
      <rPr>
        <sz val="11"/>
        <color theme="1"/>
        <rFont val="Noto Sans CJK SC"/>
        <family val="2"/>
      </rPr>
      <t xml:space="preserve">股權報酬（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</si>
  <si>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t xml:space="preserve">營運現金流</t>
  </si>
  <si>
    <t xml:space="preserve">資本支出（購置不動產與設備）</t>
  </si>
  <si>
    <t xml:space="preserve">自由現金流（公司定義：營運現金流 − 資本支出）</t>
  </si>
  <si>
    <t xml:space="preserve">檢查：營運現金流 − 資本支出 − 自由現金流</t>
  </si>
  <si>
    <t xml:space="preserve">回購</t>
  </si>
  <si>
    <t xml:space="preserve">股利（普通＋特別股）</t>
  </si>
  <si>
    <r>
      <rPr>
        <b val="true"/>
        <sz val="11"/>
        <rFont val="Noto Sans CJK SC"/>
        <family val="2"/>
      </rPr>
      <t xml:space="preserve">核對彙總（實績必須為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</si>
  <si>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檢查：上列核對列絕對值合計（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季＋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</si>
  <si>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 − 年報（分部營收、產品線、分部營業利益、資本支出、營運現金、折舊）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</si>
  <si>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（三季合計）−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新聞稿年初至今欄（營收、營業利益、成本費用、業外、稅前、稅、淨利、折舊、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、營運現金、資本支出）</t>
    </r>
  </si>
  <si>
    <r>
      <rPr>
        <b val="true"/>
        <sz val="11"/>
        <rFont val="Noto Sans CJK SC"/>
        <family val="2"/>
      </rPr>
      <t xml:space="preserve">推導量（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頁的起始值；</t>
    </r>
    <r>
      <rPr>
        <b val="true"/>
        <sz val="11"/>
        <rFont val="Cambria"/>
        <family val="0"/>
        <charset val="1"/>
      </rPr>
      <t xml:space="preserve">[Derived]</t>
    </r>
    <r>
      <rPr>
        <b val="true"/>
        <sz val="11"/>
        <rFont val="Noto Sans CJK SC"/>
        <family val="2"/>
      </rPr>
      <t xml:space="preserve">）</t>
    </r>
  </si>
  <si>
    <t xml:space="preserve">數值</t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</si>
  <si>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Google Search &amp; other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g0s_q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時改用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單季年增）</t>
    </r>
  </si>
  <si>
    <r>
      <rPr>
        <sz val="11"/>
        <color theme="1"/>
        <rFont val="Calibri"/>
        <family val="2"/>
        <charset val="1"/>
      </rPr>
      <t xml:space="preserve">(2025Q4–2026Q3) ÷ (2024Q4–2025Q3)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 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的年增，之後收斂到長期值</t>
    </r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</si>
  <si>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YouTube ads</t>
    </r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</si>
  <si>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Google Network</t>
    </r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</si>
  <si>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Google subscriptions, platforms, and devices</t>
    </r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</si>
  <si>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Google Cloud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</si>
  <si>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營收</t>
    </r>
  </si>
  <si>
    <t xml:space="preserve">近四季三分部營收合計（不含避險）</t>
  </si>
  <si>
    <r>
      <rPr>
        <sz val="11"/>
        <color theme="1"/>
        <rFont val="Noto Sans CJK SC"/>
        <family val="2"/>
      </rPr>
      <t xml:space="preserve">折舊分攤比例：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（按近四季營收）</t>
    </r>
  </si>
  <si>
    <r>
      <rPr>
        <sz val="11"/>
        <color theme="1"/>
        <rFont val="Noto Sans CJK SC"/>
        <family val="2"/>
      </rPr>
      <t xml:space="preserve">公司不揭露分部折舊（技術基礎設施依使用量分攤，已含在分部營業利益）→ 按營收分攤（沿用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legacy_v0.2/company.json</t>
    </r>
    <r>
      <rPr>
        <sz val="11"/>
        <color theme="1"/>
        <rFont val="Noto Sans CJK SC"/>
        <family val="2"/>
      </rPr>
      <t xml:space="preserve">）；替代＝依使用量，雲端占比更高）</t>
    </r>
  </si>
  <si>
    <r>
      <rPr>
        <sz val="11"/>
        <color theme="1"/>
        <rFont val="Noto Sans CJK SC"/>
        <family val="2"/>
      </rPr>
      <t xml:space="preserve">折舊分攤比例：</t>
    </r>
    <r>
      <rPr>
        <sz val="11"/>
        <color theme="1"/>
        <rFont val="Calibri"/>
        <family val="2"/>
        <charset val="1"/>
      </rPr>
      <t xml:space="preserve">Google Cloud</t>
    </r>
  </si>
  <si>
    <r>
      <rPr>
        <sz val="11"/>
        <color theme="1"/>
        <rFont val="Noto Sans CJK SC"/>
        <family val="2"/>
      </rPr>
      <t xml:space="preserve">折舊分攤比例：</t>
    </r>
    <r>
      <rPr>
        <sz val="11"/>
        <color theme="1"/>
        <rFont val="Calibri"/>
        <family val="2"/>
        <charset val="1"/>
      </rPr>
      <t xml:space="preserve">Other Bets</t>
    </r>
  </si>
  <si>
    <t xml:space="preserve">近四季折舊</t>
  </si>
  <si>
    <r>
      <rPr>
        <sz val="11"/>
        <color theme="1"/>
        <rFont val="Calibri"/>
        <family val="2"/>
        <charset val="1"/>
      </rPr>
      <t xml:space="preserve">Google Services EBITDA </t>
    </r>
    <r>
      <rPr>
        <sz val="11"/>
        <color theme="1"/>
        <rFont val="Noto Sans CJK SC"/>
        <family val="2"/>
      </rPr>
      <t xml:space="preserve">率（近四季；營業利益＋分攤折舊）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</si>
  <si>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mb_ttm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時採用）</t>
    </r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</si>
  <si>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折舊分攤比例：</t>
    </r>
    <r>
      <rPr>
        <sz val="11"/>
        <color theme="1"/>
        <rFont val="Calibri"/>
        <family val="2"/>
        <charset val="1"/>
      </rPr>
      <t xml:space="preserve">Google Services</t>
    </r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</si>
  <si>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折舊分攤比例：</t>
    </r>
    <r>
      <rPr>
        <sz val="11"/>
        <color theme="1"/>
        <rFont val="Calibri"/>
        <family val="2"/>
        <charset val="1"/>
      </rPr>
      <t xml:space="preserve">Google Cloud</t>
    </r>
  </si>
  <si>
    <r>
      <rPr>
        <sz val="11"/>
        <color theme="1"/>
        <rFont val="Calibri"/>
        <family val="2"/>
        <charset val="1"/>
      </rPr>
      <t xml:space="preserve">Google Services 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；營業利益＋分攤折舊）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</si>
  <si>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：由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滾為 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（最新已申報的年初至今）</t>
    </r>
  </si>
  <si>
    <r>
      <rPr>
        <sz val="11"/>
        <color theme="1"/>
        <rFont val="Calibri"/>
        <family val="2"/>
        <charset val="1"/>
      </rPr>
      <t xml:space="preserve">Google Services EBITDA </t>
    </r>
    <r>
      <rPr>
        <sz val="11"/>
        <color theme="1"/>
        <rFont val="Noto Sans CJK SC"/>
        <family val="2"/>
      </rPr>
      <t xml:space="preserve">率（預測期採用）</t>
    </r>
  </si>
  <si>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（利潤率仍在擴張；近四季口徑列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）；自用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增量成本另計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</si>
  <si>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Google Cloud EBITDA</t>
    </r>
    <r>
      <rPr>
        <sz val="11"/>
        <color theme="1"/>
        <rFont val="Noto Sans CJK SC"/>
        <family val="2"/>
      </rPr>
      <t xml:space="preserve">（營業利益＋分攤折舊）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</si>
  <si>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</si>
  <si>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前四季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</si>
  <si>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</si>
  <si>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Alphabet-level activities</t>
    </r>
  </si>
  <si>
    <r>
      <rPr>
        <sz val="11"/>
        <color theme="1"/>
        <rFont val="Calibri"/>
        <family val="2"/>
        <charset val="1"/>
      </rPr>
      <t xml:space="preserve">TAC ÷ (Search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Network) </t>
    </r>
    <r>
      <rPr>
        <sz val="11"/>
        <color theme="1"/>
        <rFont val="Noto Sans CJK SC"/>
        <family val="2"/>
      </rPr>
      <t xml:space="preserve">近四季</t>
    </r>
  </si>
  <si>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 </t>
    </r>
    <r>
      <rPr>
        <sz val="11"/>
        <color theme="1"/>
        <rFont val="Calibri"/>
        <family val="2"/>
        <charset val="1"/>
      </rPr>
      <t xml:space="preserve">im </t>
    </r>
    <r>
      <rPr>
        <sz val="11"/>
        <color theme="1"/>
        <rFont val="Noto Sans CJK SC"/>
        <family val="2"/>
      </rPr>
      <t xml:space="preserve">的參考</t>
    </r>
  </si>
  <si>
    <r>
      <rPr>
        <sz val="11"/>
        <color theme="1"/>
        <rFont val="Calibri"/>
        <family val="2"/>
        <charset val="1"/>
      </rPr>
      <t xml:space="preserve">2026Q3 Google Cloud ÷ 9M26 Google Cloud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Cloud </t>
    </r>
    <r>
      <rPr>
        <sz val="11"/>
        <color theme="1"/>
        <rFont val="Noto Sans CJK SC"/>
        <family val="2"/>
      </rPr>
      <t xml:space="preserve">其他的季度基期）</t>
    </r>
  </si>
  <si>
    <r>
      <rPr>
        <sz val="11"/>
        <color theme="1"/>
        <rFont val="Calibri"/>
        <family val="2"/>
        <charset val="1"/>
      </rPr>
      <t xml:space="preserve">Q4 26 Cloud </t>
    </r>
    <r>
      <rPr>
        <sz val="11"/>
        <color theme="1"/>
        <rFont val="Noto Sans CJK SC"/>
        <family val="2"/>
      </rPr>
      <t xml:space="preserve">其他＝</t>
    </r>
    <r>
      <rPr>
        <sz val="11"/>
        <color theme="1"/>
        <rFont val="Calibri"/>
        <family val="2"/>
        <charset val="1"/>
      </rPr>
      <t xml:space="preserve">9M 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本比例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＋年增</t>
    </r>
    <r>
      <rPr>
        <sz val="11"/>
        <color theme="1"/>
        <rFont val="Calibri"/>
        <family val="2"/>
        <charset val="1"/>
      </rPr>
      <t xml:space="preserve">)^0.25</t>
    </r>
  </si>
  <si>
    <r>
      <rPr>
        <sz val="11"/>
        <color theme="1"/>
        <rFont val="Calibri"/>
        <family val="2"/>
        <charset val="1"/>
      </rPr>
      <t xml:space="preserve">Thesis — </t>
    </r>
    <r>
      <rPr>
        <sz val="11"/>
        <color theme="1"/>
        <rFont val="Noto Sans CJK SC"/>
        <family val="2"/>
      </rPr>
      <t xml:space="preserve">命題模組：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容量（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× k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子列；同一套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推出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折舊與營運成本，接到分部營業利益（對外 → </t>
    </r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；自用 → 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層級）</t>
    </r>
  </si>
  <si>
    <r>
      <rPr>
        <sz val="11"/>
        <color theme="1"/>
        <rFont val="Noto Sans CJK SC"/>
        <family val="2"/>
      </rPr>
      <t xml:space="preserve">三情境共用（本版的情境軸是 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Seg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速度、對外比例、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的區間在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頁。沿用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規格（</t>
    </r>
    <r>
      <rPr>
        <sz val="11"/>
        <color theme="1"/>
        <rFont val="Calibri"/>
        <family val="2"/>
        <charset val="1"/>
      </rPr>
      <t xml:space="preserve">kspec.py</t>
    </r>
    <r>
      <rPr>
        <sz val="11"/>
        <color theme="1"/>
        <rFont val="Noto Sans CJK SC"/>
        <family val="2"/>
      </rPr>
      <t xml:space="preserve">）、對外比例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Tokenomics v21.7 </t>
    </r>
    <r>
      <rPr>
        <sz val="11"/>
        <color theme="1"/>
        <rFont val="Noto Sans CJK SC"/>
        <family val="2"/>
      </rPr>
      <t xml:space="preserve">快照、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係數改讀 </t>
    </r>
    <r>
      <rPr>
        <sz val="11"/>
        <color theme="1"/>
        <rFont val="Calibri"/>
        <family val="2"/>
        <charset val="1"/>
      </rPr>
      <t xml:space="preserve">IF_NonNV_Hold_TPU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速度依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指引重解。不以 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RPO </t>
    </r>
    <r>
      <rPr>
        <sz val="11"/>
        <color theme="1"/>
        <rFont val="Noto Sans CJK SC"/>
        <family val="2"/>
      </rPr>
      <t xml:space="preserve">反推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或每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價格（工作單第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</si>
  <si>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價格與起始值（單一數值，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</si>
  <si>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長約＝長約證據價格 </t>
    </r>
    <r>
      <rPr>
        <sz val="11"/>
        <color theme="1"/>
        <rFont val="Calibri"/>
        <family val="2"/>
        <charset val="1"/>
      </rPr>
      <t xml:space="preserve">÷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</si>
  <si>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kspec.py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）：證據價格不變、分母隨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</si>
  <si>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現貨＝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現貨指數 </t>
    </r>
    <r>
      <rPr>
        <sz val="11"/>
        <color theme="1"/>
        <rFont val="Calibri"/>
        <family val="2"/>
        <charset val="1"/>
      </rPr>
      <t xml:space="preserve">÷ 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</si>
  <si>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三家一致</t>
    </r>
  </si>
  <si>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＝長約占比 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長約＋</t>
    </r>
    <r>
      <rPr>
        <sz val="11"/>
        <color theme="1"/>
        <rFont val="Calibri"/>
        <family val="2"/>
        <charset val="1"/>
      </rPr>
      <t xml:space="preserve">(1 − </t>
    </r>
    <r>
      <rPr>
        <sz val="11"/>
        <color theme="1"/>
        <rFont val="Noto Sans CJK SC"/>
        <family val="2"/>
      </rPr>
      <t xml:space="preserve">長約占比</t>
    </r>
    <r>
      <rPr>
        <sz val="11"/>
        <color theme="1"/>
        <rFont val="Calibri"/>
        <family val="2"/>
        <charset val="1"/>
      </rPr>
      <t xml:space="preserve">) × k_</t>
    </r>
    <r>
      <rPr>
        <sz val="11"/>
        <color theme="1"/>
        <rFont val="Noto Sans CJK SC"/>
        <family val="2"/>
      </rPr>
      <t xml:space="preserve">現貨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</si>
  <si>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1.201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</si>
  <si>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收入錨調整＝</t>
    </r>
    <r>
      <rPr>
        <sz val="11"/>
        <color theme="1"/>
        <rFont val="Calibri"/>
        <family val="2"/>
        <charset val="1"/>
      </rPr>
      <t xml:space="preserve">1 − TPU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×(1 − TPU </t>
    </r>
    <r>
      <rPr>
        <sz val="11"/>
        <color theme="1"/>
        <rFont val="Noto Sans CJK SC"/>
        <family val="2"/>
      </rPr>
      <t xml:space="preserve">係數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</si>
  <si>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 × 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</si>
  <si>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TPU IT </t>
    </r>
    <r>
      <rPr>
        <sz val="11"/>
        <color theme="1"/>
        <rFont val="Noto Sans CJK SC"/>
        <family val="2"/>
      </rPr>
      <t xml:space="preserve">資本支出調整</t>
    </r>
  </si>
  <si>
    <r>
      <rPr>
        <sz val="11"/>
        <color theme="1"/>
        <rFont val="Noto Sans CJK SC"/>
        <family val="2"/>
      </rPr>
      <t xml:space="preserve">期初機隊每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年收入（對外）</t>
    </r>
  </si>
  <si>
    <r>
      <rPr>
        <sz val="11"/>
        <color theme="1"/>
        <rFont val="Noto Sans CJK SC"/>
        <family val="2"/>
      </rPr>
      <t xml:space="preserve">期初機隊每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年營運費用（</t>
    </r>
    <r>
      <rPr>
        <sz val="11"/>
        <color theme="1"/>
        <rFont val="Calibri"/>
        <family val="2"/>
        <charset val="1"/>
      </rPr>
      <t xml:space="preserve">Tokenomics IF_OpexGW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</si>
  <si>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營收估計（近四季平均對外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期初每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收入）</t>
    </r>
  </si>
  <si>
    <r>
      <rPr>
        <sz val="11"/>
        <color theme="1"/>
        <rFont val="Noto Sans CJK SC"/>
        <family val="2"/>
      </rPr>
      <t xml:space="preserve">只用於拆 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其他的起始成長率與利潤率</t>
    </r>
  </si>
  <si>
    <r>
      <rPr>
        <sz val="11"/>
        <color theme="1"/>
        <rFont val="Noto Sans CJK SC"/>
        <family val="2"/>
      </rPr>
      <t xml:space="preserve">前四季 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營收估計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</si>
  <si>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Cloud AI EBITDA </t>
    </r>
    <r>
      <rPr>
        <sz val="11"/>
        <color theme="1"/>
        <rFont val="Noto Sans CJK SC"/>
        <family val="2"/>
      </rPr>
      <t xml:space="preserve">估計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</si>
  <si>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其他近四季年增（</t>
    </r>
    <r>
      <rPr>
        <sz val="11"/>
        <color theme="1"/>
        <rFont val="Calibri"/>
        <family val="2"/>
        <charset val="1"/>
      </rPr>
      <t xml:space="preserve">Cloud − Cloud AI </t>
    </r>
    <r>
      <rPr>
        <sz val="11"/>
        <color theme="1"/>
        <rFont val="Noto Sans CJK SC"/>
        <family val="2"/>
      </rPr>
      <t xml:space="preserve">估計）</t>
    </r>
  </si>
  <si>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其他＝</t>
    </r>
    <r>
      <rPr>
        <sz val="11"/>
        <color theme="1"/>
        <rFont val="Calibri"/>
        <family val="2"/>
        <charset val="1"/>
      </rPr>
      <t xml:space="preserve">Workspace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雲端、</t>
    </r>
    <r>
      <rPr>
        <sz val="11"/>
        <color theme="1"/>
        <rFont val="Calibri"/>
        <family val="2"/>
        <charset val="1"/>
      </rPr>
      <t xml:space="preserve">Wiz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併入）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</si>
  <si>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率（近四季：</t>
    </r>
    <r>
      <rPr>
        <sz val="11"/>
        <color theme="1"/>
        <rFont val="Calibri"/>
        <family val="2"/>
        <charset val="1"/>
      </rPr>
      <t xml:space="preserve">Cloud EBITDA − Cloud AI EBITDA </t>
    </r>
    <r>
      <rPr>
        <sz val="11"/>
        <color theme="1"/>
        <rFont val="Noto Sans CJK SC"/>
        <family val="2"/>
      </rPr>
      <t xml:space="preserve">估計）</t>
    </r>
    <r>
      <rPr>
        <sz val="11"/>
        <color theme="1"/>
        <rFont val="Calibri"/>
        <family val="2"/>
        <charset val="1"/>
      </rPr>
      <t xml:space="preserve">÷ Cloud </t>
    </r>
    <r>
      <rPr>
        <sz val="11"/>
        <color theme="1"/>
        <rFont val="Noto Sans CJK SC"/>
        <family val="2"/>
      </rPr>
      <t xml:space="preserve">其他營收</t>
    </r>
  </si>
  <si>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mb_ttm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時採用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</si>
  <si>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</si>
  <si>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(9M26 Cloud </t>
    </r>
    <r>
      <rPr>
        <sz val="11"/>
        <color theme="1"/>
        <rFont val="Noto Sans CJK SC"/>
        <family val="2"/>
      </rPr>
      <t xml:space="preserve">營業利益＋分攤折舊 − </t>
    </r>
    <r>
      <rPr>
        <sz val="11"/>
        <color theme="1"/>
        <rFont val="Calibri"/>
        <family val="2"/>
        <charset val="1"/>
      </rPr>
      <t xml:space="preserve">Cloud AI 9M EBITDA) ÷ 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9M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</si>
  <si>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率（預測期採用，固定）</t>
    </r>
  </si>
  <si>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（同 </t>
    </r>
    <r>
      <rPr>
        <sz val="11"/>
        <color theme="1"/>
        <rFont val="Calibri"/>
        <family val="2"/>
        <charset val="1"/>
      </rPr>
      <t xml:space="preserve">m_svc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</si>
  <si>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容量（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總 </t>
    </r>
    <r>
      <rPr>
        <b val="true"/>
        <sz val="11"/>
        <rFont val="Cambria"/>
        <family val="0"/>
        <charset val="1"/>
      </rPr>
      <t xml:space="preserve">IT MW</t>
    </r>
    <r>
      <rPr>
        <b val="true"/>
        <sz val="11"/>
        <rFont val="Noto Sans CJK SC"/>
        <family val="2"/>
      </rPr>
      <t xml:space="preserve">；期末）— 依 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世代錨分桶</t>
    </r>
  </si>
  <si>
    <t xml:space="preserve">FY2024A</t>
  </si>
  <si>
    <t xml:space="preserve">FY2025A</t>
  </si>
  <si>
    <t xml:space="preserve">9M26A</t>
  </si>
  <si>
    <t xml:space="preserve">Q4 26E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</si>
  <si>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</si>
  <si>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</si>
  <si>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</si>
  <si>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</si>
  <si>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</si>
  <si>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</si>
  <si>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</si>
  <si>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起收斂到 </t>
    </r>
    <r>
      <rPr>
        <sz val="11"/>
        <color theme="1"/>
        <rFont val="Calibri"/>
        <family val="2"/>
        <charset val="1"/>
      </rPr>
      <t xml:space="preserve">g × </t>
    </r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</si>
  <si>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三情境相同；修正一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FY2029–FY2032 </t>
    </r>
    <r>
      <rPr>
        <sz val="11"/>
        <color theme="1"/>
        <rFont val="Noto Sans CJK SC"/>
        <family val="2"/>
      </rPr>
      <t xml:space="preserve">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只剩與永續成長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一致的增量（另加汰換）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</si>
  <si>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</si>
  <si>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評價日（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機隊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期初占比＋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新增（</t>
    </r>
    <r>
      <rPr>
        <sz val="11"/>
        <color theme="1"/>
        <rFont val="Calibri"/>
        <family val="2"/>
        <charset val="1"/>
      </rPr>
      <t xml:space="preserve">pace × 0.25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世代組合）；新增依年度世代組合（</t>
    </r>
    <r>
      <rPr>
        <sz val="11"/>
        <color theme="1"/>
        <rFont val="Calibri"/>
        <family val="2"/>
        <charset val="1"/>
      </rPr>
      <t xml:space="preserve">2026 GB300 </t>
    </r>
    <r>
      <rPr>
        <sz val="11"/>
        <color theme="1"/>
        <rFont val="Noto Sans CJK SC"/>
        <family val="2"/>
      </rPr>
      <t xml:space="preserve">錨；</t>
    </r>
    <r>
      <rPr>
        <sz val="11"/>
        <color theme="1"/>
        <rFont val="Calibri"/>
        <family val="2"/>
        <charset val="1"/>
      </rPr>
      <t xml:space="preserve">2027 GB300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各半；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</si>
  <si>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</si>
  <si>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</si>
  <si>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</si>
  <si>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</si>
  <si>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期末對外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（＝總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對外比例）</t>
    </r>
  </si>
  <si>
    <r>
      <rPr>
        <sz val="11"/>
        <color theme="1"/>
        <rFont val="Calibri"/>
        <family val="2"/>
        <charset val="1"/>
      </rPr>
      <t xml:space="preserve">2026-06-30 1,901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 defaults.billableOpen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× 30%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</si>
  <si>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</si>
  <si>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</si>
  <si>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</si>
  <si>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</si>
  <si>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</si>
  <si>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平均在役對外 </t>
    </r>
    <r>
      <rPr>
        <sz val="11"/>
        <color theme="1"/>
        <rFont val="Calibri"/>
        <family val="2"/>
        <charset val="1"/>
      </rPr>
      <t xml:space="preserve">MW</t>
    </r>
  </si>
  <si>
    <r>
      <rPr>
        <b val="true"/>
        <sz val="11"/>
        <rFont val="Cambria"/>
        <family val="0"/>
        <charset val="1"/>
      </rPr>
      <t xml:space="preserve">C. Cloud AI</t>
    </r>
    <r>
      <rPr>
        <b val="true"/>
        <sz val="11"/>
        <rFont val="Noto Sans CJK SC"/>
        <family val="2"/>
      </rPr>
      <t xml:space="preserve">（對外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雲端；</t>
    </r>
    <r>
      <rPr>
        <b val="true"/>
        <sz val="11"/>
        <rFont val="Cambria"/>
        <family val="0"/>
        <charset val="1"/>
      </rPr>
      <t xml:space="preserve">Google Cloud </t>
    </r>
    <r>
      <rPr>
        <b val="true"/>
        <sz val="11"/>
        <rFont val="Noto Sans CJK SC"/>
        <family val="2"/>
      </rPr>
      <t xml:space="preserve">的命題子列）</t>
    </r>
  </si>
  <si>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營收＝對外比例 </t>
    </r>
    <r>
      <rPr>
        <sz val="11"/>
        <color theme="1"/>
        <rFont val="Calibri"/>
        <family val="2"/>
        <charset val="1"/>
      </rPr>
      <t xml:space="preserve">× Σ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MW × IF_HoldEcon × k × TPU </t>
    </r>
    <r>
      <rPr>
        <sz val="11"/>
        <color theme="1"/>
        <rFont val="Noto Sans CJK SC"/>
        <family val="2"/>
      </rPr>
      <t xml:space="preserve">調整</t>
    </r>
  </si>
  <si>
    <r>
      <rPr>
        <sz val="11"/>
        <color theme="1"/>
        <rFont val="Noto Sans CJK SC"/>
        <family val="2"/>
      </rPr>
      <t xml:space="preserve">收入端不乘 </t>
    </r>
    <r>
      <rPr>
        <sz val="11"/>
        <color theme="1"/>
        <rFont val="Calibri"/>
        <family val="2"/>
        <charset val="1"/>
      </rPr>
      <t xml:space="preserve">IF_Util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MW-year </t>
    </r>
    <r>
      <rPr>
        <sz val="11"/>
        <color theme="1"/>
        <rFont val="Noto Sans CJK SC"/>
        <family val="2"/>
      </rPr>
      <t xml:space="preserve">計價）；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為模型估計（公司未揭露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營收），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其他＝實際 </t>
    </r>
    <r>
      <rPr>
        <sz val="11"/>
        <color theme="1"/>
        <rFont val="Calibri"/>
        <family val="2"/>
        <charset val="1"/>
      </rPr>
      <t xml:space="preserve">Cloud − </t>
    </r>
    <r>
      <rPr>
        <sz val="11"/>
        <color theme="1"/>
        <rFont val="Noto Sans CJK SC"/>
        <family val="2"/>
      </rPr>
      <t xml:space="preserve">本列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</si>
  <si>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年收入（對外）</t>
    </r>
  </si>
  <si>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營運費用（</t>
    </r>
    <r>
      <rPr>
        <sz val="11"/>
        <color theme="1"/>
        <rFont val="Calibri"/>
        <family val="2"/>
        <charset val="1"/>
      </rPr>
      <t xml:space="preserve">Tokenomics IF_OpexGW</t>
    </r>
    <r>
      <rPr>
        <sz val="11"/>
        <color theme="1"/>
        <rFont val="Noto Sans CJK SC"/>
        <family val="2"/>
      </rPr>
      <t xml:space="preserve">，含電費）</t>
    </r>
  </si>
  <si>
    <t xml:space="preserve">Cloud AI EBITDA</t>
  </si>
  <si>
    <r>
      <rPr>
        <sz val="11"/>
        <color theme="1"/>
        <rFont val="Calibri"/>
        <family val="2"/>
        <charset val="1"/>
      </rPr>
      <t xml:space="preserve">  Cloud AI 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</si>
  <si>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上限檢查：每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在役世代加權 </t>
    </r>
    <r>
      <rPr>
        <sz val="11"/>
        <color theme="1"/>
        <rFont val="Calibri"/>
        <family val="2"/>
        <charset val="1"/>
      </rPr>
      <t xml:space="preserve">IFW_RevGWFleet_Util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 50% </t>
    </r>
    <r>
      <rPr>
        <sz val="11"/>
        <color theme="1"/>
        <rFont val="Noto Sans CJK SC"/>
        <family val="2"/>
      </rPr>
      <t xml:space="preserve">示警；不得作預測）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</si>
  <si>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基準最高 </t>
    </r>
    <r>
      <rPr>
        <sz val="11"/>
        <color theme="1"/>
        <rFont val="Calibri"/>
        <family val="2"/>
        <charset val="1"/>
      </rPr>
      <t xml:space="preserve">38.0%</t>
    </r>
  </si>
  <si>
    <r>
      <rPr>
        <b val="true"/>
        <sz val="11"/>
        <rFont val="Cambria"/>
        <family val="0"/>
        <charset val="1"/>
      </rPr>
      <t xml:space="preserve">D. AI </t>
    </r>
    <r>
      <rPr>
        <b val="true"/>
        <sz val="11"/>
        <rFont val="Noto Sans CJK SC"/>
        <family val="2"/>
      </rPr>
      <t xml:space="preserve">資本支出（新增 </t>
    </r>
    <r>
      <rPr>
        <b val="true"/>
        <sz val="11"/>
        <rFont val="Cambria"/>
        <family val="0"/>
        <charset val="1"/>
      </rPr>
      <t xml:space="preserve">MW × Tokenomics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成本；汰換只換 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</si>
  <si>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資本支出（成長）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</si>
  <si>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機房資本支出（自建比例 </t>
    </r>
    <r>
      <rPr>
        <sz val="11"/>
        <color theme="1"/>
        <rFont val="Calibri"/>
        <family val="2"/>
        <charset val="1"/>
      </rPr>
      <t xml:space="preserve">× IF_CapexFacility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</si>
  <si>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汰換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年前上線的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，換成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</si>
  <si>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壽命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年底在役 →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汰換，以此類推；汰換後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照常在役（收入不變）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</si>
  <si>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汰換資本支出（只含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</si>
  <si>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資本支出（公式）</t>
    </r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</si>
  <si>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指引下限補足（</t>
    </r>
    <r>
      <rPr>
        <sz val="11"/>
        <color theme="1"/>
        <rFont val="Calibri"/>
        <family val="2"/>
        <charset val="1"/>
      </rPr>
      <t xml:space="preserve">MAX(0, </t>
    </r>
    <r>
      <rPr>
        <sz val="11"/>
        <color theme="1"/>
        <rFont val="Noto Sans CJK SC"/>
        <family val="2"/>
      </rPr>
      <t xml:space="preserve">指引 −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 −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；歸 </t>
    </r>
    <r>
      <rPr>
        <sz val="11"/>
        <color theme="1"/>
        <rFont val="Calibri"/>
        <family val="2"/>
        <charset val="1"/>
      </rPr>
      <t xml:space="preserve">AI 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</si>
  <si>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MAX(9M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公司指引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已重解 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使本列 ≈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三情境營收相同，用情境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</si>
  <si>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資本支出（含指引下限補足）</t>
    </r>
  </si>
  <si>
    <r>
      <rPr>
        <sz val="11"/>
        <color theme="1"/>
        <rFont val="Calibri"/>
        <family val="2"/>
        <charset val="1"/>
      </rPr>
      <t xml:space="preserve">  Cloud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</si>
  <si>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Cambria"/>
        <family val="0"/>
        <charset val="1"/>
      </rPr>
      <t xml:space="preserve">E. AI </t>
    </r>
    <r>
      <rPr>
        <b val="true"/>
        <sz val="11"/>
        <rFont val="Noto Sans CJK SC"/>
        <family val="2"/>
      </rPr>
      <t xml:space="preserve">折舊（在建工程與新增資本支出依年限直線攤提；評價日在役資產的折舊在 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頁「基礎折舊」）</t>
    </r>
  </si>
  <si>
    <r>
      <rPr>
        <sz val="11"/>
        <color theme="1"/>
        <rFont val="Noto Sans CJK SC"/>
        <family val="2"/>
      </rPr>
      <t xml:space="preserve">每個資本支出年度：當期 </t>
    </r>
    <r>
      <rPr>
        <sz val="11"/>
        <color theme="1"/>
        <rFont val="Calibri"/>
        <family val="2"/>
        <charset val="1"/>
      </rPr>
      <t xml:space="preserve">× phi_0</t>
    </r>
    <r>
      <rPr>
        <sz val="11"/>
        <color theme="1"/>
        <rFont val="Noto Sans CJK SC"/>
        <family val="2"/>
      </rPr>
      <t xml:space="preserve">、之後每年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、最後一年 </t>
    </r>
    <r>
      <rPr>
        <sz val="11"/>
        <color theme="1"/>
        <rFont val="Calibri"/>
        <family val="2"/>
        <charset val="1"/>
      </rPr>
      <t xml:space="preserve">1 − phi_0</t>
    </r>
    <r>
      <rPr>
        <sz val="11"/>
        <color theme="1"/>
        <rFont val="Noto Sans CJK SC"/>
        <family val="2"/>
      </rPr>
      <t xml:space="preserve">（年限 </t>
    </r>
    <r>
      <rPr>
        <sz val="11"/>
        <color theme="1"/>
        <rFont val="Calibri"/>
        <family val="2"/>
        <charset val="1"/>
      </rPr>
      <t xml:space="preserve">life_it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life_fac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含汰換與指引補足；在建工程 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起轉入；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欄的年折舊 </t>
    </r>
    <r>
      <rPr>
        <sz val="11"/>
        <color theme="1"/>
        <rFont val="Calibri"/>
        <family val="2"/>
        <charset val="1"/>
      </rPr>
      <t xml:space="preserve">× 0.25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</si>
  <si>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在建工程轉入：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年度批次）</t>
    </r>
  </si>
  <si>
    <r>
      <rPr>
        <sz val="11"/>
        <color theme="1"/>
        <rFont val="Noto Sans CJK SC"/>
        <family val="2"/>
      </rPr>
      <t xml:space="preserve">在建工程轉入：機房（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年度批次）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</si>
  <si>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批次金額（成長＋汰換＋指引補足）</t>
    </r>
  </si>
  <si>
    <t xml:space="preserve">機房批次金額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</si>
  <si>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IT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</si>
  <si>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折舊：機房</t>
    </r>
  </si>
  <si>
    <r>
      <rPr>
        <b val="true"/>
        <sz val="11"/>
        <rFont val="Noto Sans CJK SC"/>
        <family val="2"/>
      </rPr>
      <t xml:space="preserve">新增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折舊合計</t>
    </r>
  </si>
  <si>
    <r>
      <rPr>
        <sz val="11"/>
        <color theme="1"/>
        <rFont val="Noto Sans CJK SC"/>
        <family val="2"/>
      </rPr>
      <t xml:space="preserve">  其中：對外（→ </t>
    </r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）</t>
    </r>
  </si>
  <si>
    <t xml:space="preserve">按對外比例分攤（在建工程同）</t>
  </si>
  <si>
    <r>
      <rPr>
        <sz val="11"/>
        <color theme="1"/>
        <rFont val="Noto Sans CJK SC"/>
        <family val="2"/>
      </rPr>
      <t xml:space="preserve">  其中：自用（→ 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</si>
  <si>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增量成本（相對評價日機隊；評價日機隊的成本已在近四季分部利益率內）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</si>
  <si>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增量營運費用（</t>
    </r>
    <r>
      <rPr>
        <sz val="11"/>
        <color theme="1"/>
        <rFont val="Calibri"/>
        <family val="2"/>
        <charset val="1"/>
      </rPr>
      <t xml:space="preserve">Tokenomics IF_OpexGW</t>
    </r>
    <r>
      <rPr>
        <sz val="11"/>
        <color theme="1"/>
        <rFont val="Noto Sans CJK SC"/>
        <family val="2"/>
      </rPr>
      <t xml:space="preserve">；相對評價日機隊）</t>
    </r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</si>
  <si>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算力租金（自用，營運成本）</t>
    </r>
  </si>
  <si>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增量成本合計（營運＋租金＋自用折舊）</t>
    </r>
  </si>
  <si>
    <r>
      <rPr>
        <sz val="11"/>
        <color theme="1"/>
        <rFont val="Noto Sans CJK SC"/>
        <family val="2"/>
      </rPr>
      <t xml:space="preserve">  歸 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svc_sh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</si>
  <si>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歸 </t>
    </r>
    <r>
      <rPr>
        <sz val="11"/>
        <color theme="1"/>
        <rFont val="Calibri"/>
        <family val="2"/>
        <charset val="1"/>
      </rPr>
      <t xml:space="preserve">Alphabet-level activities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(1 − svc_sh)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</si>
  <si>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評價日在役資產的基礎折舊（隨期初機隊汰換遞減；修正一 </t>
    </r>
    <r>
      <rPr>
        <b val="true"/>
        <sz val="11"/>
        <rFont val="Cambria"/>
        <family val="0"/>
        <charset val="1"/>
      </rPr>
      <t xml:space="preserve">F6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</si>
  <si>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累計已汰換的期初機隊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（當年以半年計）</t>
    </r>
  </si>
  <si>
    <r>
      <rPr>
        <sz val="11"/>
        <color theme="1"/>
        <rFont val="Noto Sans CJK SC"/>
        <family val="2"/>
      </rPr>
      <t xml:space="preserve">期初機隊每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年折舊（</t>
    </r>
    <r>
      <rPr>
        <sz val="11"/>
        <color theme="1"/>
        <rFont val="Calibri"/>
        <family val="2"/>
        <charset val="1"/>
      </rPr>
      <t xml:space="preserve">Tokenomics IF_DeprIT </t>
    </r>
    <r>
      <rPr>
        <sz val="11"/>
        <color theme="1"/>
        <rFont val="Noto Sans CJK SC"/>
        <family val="2"/>
      </rPr>
      <t xml:space="preserve">依期初占比加權）</t>
    </r>
  </si>
  <si>
    <r>
      <rPr>
        <sz val="11"/>
        <color theme="1"/>
        <rFont val="Noto Sans CJK SC"/>
        <family val="2"/>
      </rPr>
      <t xml:space="preserve">基礎折舊＝</t>
    </r>
    <r>
      <rPr>
        <sz val="11"/>
        <color theme="1"/>
        <rFont val="Calibri"/>
        <family val="2"/>
        <charset val="1"/>
      </rPr>
      <t xml:space="preserve">da_base − MIN(da_base × IT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累計汰換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折舊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</si>
  <si>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期初機隊汰換後由新購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折舊取代，避免重複計折舊；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占比沿用 </t>
    </r>
    <r>
      <rPr>
        <sz val="11"/>
        <color theme="1"/>
        <rFont val="Calibri"/>
        <family val="2"/>
        <charset val="1"/>
      </rPr>
      <t xml:space="preserve">cip_it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</si>
  <si>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影子效益（讀法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：自用增量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計，＝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持有成本；非財報營收）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</si>
  <si>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影子效益（自用增量 </t>
    </r>
    <r>
      <rPr>
        <sz val="11"/>
        <color theme="1"/>
        <rFont val="Calibri"/>
        <family val="2"/>
        <charset val="1"/>
      </rPr>
      <t xml:space="preserve">MW × IF_HoldEcon × TPU </t>
    </r>
    <r>
      <rPr>
        <sz val="11"/>
        <color theme="1"/>
        <rFont val="Noto Sans CJK SC"/>
        <family val="2"/>
      </rPr>
      <t xml:space="preserve">調整）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</si>
  <si>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：讀法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進評價口徑（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頁「營業利益（評價口徑）」、</t>
    </r>
    <r>
      <rPr>
        <sz val="11"/>
        <color theme="1"/>
        <rFont val="Calibri"/>
        <family val="2"/>
        <charset val="1"/>
      </rPr>
      <t xml:space="preserve">Val</t>
    </r>
    <r>
      <rPr>
        <sz val="11"/>
        <color theme="1"/>
        <rFont val="Noto Sans CJK SC"/>
        <family val="2"/>
      </rPr>
      <t xml:space="preserve">）；營收列與分部對帳不動</t>
    </r>
  </si>
  <si>
    <r>
      <rPr>
        <sz val="11"/>
        <color theme="1"/>
        <rFont val="Noto Sans CJK SC"/>
        <family val="2"/>
      </rPr>
      <t xml:space="preserve">  歸 </t>
    </r>
    <r>
      <rPr>
        <sz val="11"/>
        <color theme="1"/>
        <rFont val="Calibri"/>
        <family val="2"/>
        <charset val="1"/>
      </rPr>
      <t xml:space="preserve">Alphabet-level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(1 − svc_sh)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</si>
  <si>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影子效益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</si>
  <si>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＝價值中性（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持有成本以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資金成本回收資本）</t>
    </r>
  </si>
  <si>
    <r>
      <rPr>
        <sz val="11"/>
        <color theme="1"/>
        <rFont val="Calibri"/>
        <family val="2"/>
        <charset val="1"/>
      </rPr>
      <t xml:space="preserve">Seg — </t>
    </r>
    <r>
      <rPr>
        <sz val="11"/>
        <color theme="1"/>
        <rFont val="Noto Sans CJK SC"/>
        <family val="2"/>
      </rPr>
      <t xml:space="preserve">營收分部層：官方分部（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層級避險；產品線為子列。情境差異只在 </t>
    </r>
    <r>
      <rPr>
        <sz val="11"/>
        <color theme="1"/>
        <rFont val="Calibri"/>
        <family val="2"/>
        <charset val="1"/>
      </rPr>
      <t xml:space="preserve">Google Search &amp; other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擴大變現／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近四季成長收斂／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查詢分流、變現下降），其餘三情境相同</t>
    </r>
  </si>
  <si>
    <r>
      <rPr>
        <sz val="11"/>
        <color theme="1"/>
        <rFont val="Noto Sans CJK SC"/>
        <family val="2"/>
      </rPr>
      <t xml:space="preserve">成長路徑：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年增＝近四季年增（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2025Q4–2026Q3</t>
    </r>
    <r>
      <rPr>
        <sz val="11"/>
        <color theme="1"/>
        <rFont val="Noto Sans CJK SC"/>
        <family val="2"/>
      </rPr>
      <t xml:space="preserve">），之後線性收斂到長期值（</t>
    </r>
    <r>
      <rPr>
        <sz val="11"/>
        <color theme="1"/>
        <rFont val="Calibri"/>
        <family val="2"/>
        <charset val="1"/>
      </rPr>
      <t xml:space="preserve">conv_n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到達）。</t>
    </r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情境：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分流</t>
    </r>
    <r>
      <rPr>
        <sz val="11"/>
        <color theme="1"/>
        <rFont val="Calibri"/>
        <family val="2"/>
        <charset val="1"/>
      </rPr>
      <t xml:space="preserve">) ×(1</t>
    </r>
    <r>
      <rPr>
        <sz val="11"/>
        <color theme="1"/>
        <rFont val="Noto Sans CJK SC"/>
        <family val="2"/>
      </rPr>
      <t xml:space="preserve">＋每次查詢變現變動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，分流與變現變動自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線性到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頁值。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頁帶入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</si>
  <si>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搜尋擴大變現）</t>
    </r>
  </si>
  <si>
    <r>
      <rPr>
        <sz val="11"/>
        <color theme="1"/>
        <rFont val="Calibri"/>
        <family val="2"/>
        <charset val="1"/>
      </rPr>
      <t xml:space="preserve">  Search B </t>
    </r>
    <r>
      <rPr>
        <sz val="11"/>
        <color theme="1"/>
        <rFont val="Noto Sans CJK SC"/>
        <family val="2"/>
      </rPr>
      <t xml:space="preserve">路徑年增</t>
    </r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</si>
  <si>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年增＝近四季年增（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gl_search</t>
    </r>
  </si>
  <si>
    <r>
      <rPr>
        <sz val="11"/>
        <color theme="1"/>
        <rFont val="Calibri"/>
        <family val="2"/>
        <charset val="1"/>
      </rPr>
      <t xml:space="preserve">Google Search &amp; other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</si>
  <si>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  情境爬坡（</t>
    </r>
    <r>
      <rPr>
        <sz val="11"/>
        <color theme="1"/>
        <rFont val="Calibri"/>
        <family val="2"/>
        <charset val="1"/>
      </rPr>
      <t xml:space="preserve">FY2026 0 → FY2030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</si>
  <si>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查詢分流（相對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</si>
  <si>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</t>
    </r>
    <r>
      <rPr>
        <sz val="11"/>
        <color theme="1"/>
        <rFont val="Noto Sans CJK SC"/>
        <family val="2"/>
      </rPr>
      <t xml:space="preserve">（負值＝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模式吸引查詢回流）</t>
    </r>
  </si>
  <si>
    <r>
      <rPr>
        <sz val="11"/>
        <color theme="1"/>
        <rFont val="Noto Sans CJK SC"/>
        <family val="2"/>
      </rPr>
      <t xml:space="preserve">  每次查詢變現變動（相對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</si>
  <si>
    <r>
      <rPr>
        <sz val="11"/>
        <color theme="1"/>
        <rFont val="Calibri"/>
        <family val="2"/>
        <charset val="1"/>
      </rPr>
      <t xml:space="preserve">  YouTube ads </t>
    </r>
    <r>
      <rPr>
        <sz val="11"/>
        <color theme="1"/>
        <rFont val="Noto Sans CJK SC"/>
        <family val="2"/>
      </rPr>
      <t xml:space="preserve">年增</t>
    </r>
  </si>
  <si>
    <t xml:space="preserve">三情境相同</t>
  </si>
  <si>
    <r>
      <rPr>
        <sz val="11"/>
        <color theme="1"/>
        <rFont val="Calibri"/>
        <family val="2"/>
        <charset val="1"/>
      </rPr>
      <t xml:space="preserve">  Google Network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</si>
  <si>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  Google subscriptions, platforms, and devices </t>
    </r>
    <r>
      <rPr>
        <sz val="11"/>
        <color theme="1"/>
        <rFont val="Noto Sans CJK SC"/>
        <family val="2"/>
      </rPr>
      <t xml:space="preserve">年增</t>
    </r>
  </si>
  <si>
    <t xml:space="preserve">Google Services</t>
  </si>
  <si>
    <r>
      <rPr>
        <sz val="11"/>
        <color theme="1"/>
        <rFont val="Calibri"/>
        <family val="2"/>
        <charset val="1"/>
      </rPr>
      <t xml:space="preserve">Cloud AI</t>
    </r>
    <r>
      <rPr>
        <sz val="11"/>
        <color theme="1"/>
        <rFont val="Noto Sans CJK SC"/>
        <family val="2"/>
      </rPr>
      <t xml:space="preserve">（命題子列）</t>
    </r>
  </si>
  <si>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頁：對外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收入（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為模型估計）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</si>
  <si>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系統銷售（命題子列）</t>
    </r>
  </si>
  <si>
    <r>
      <rPr>
        <sz val="11"/>
        <color theme="1"/>
        <rFont val="Calibri"/>
        <family val="2"/>
        <charset val="1"/>
      </rPr>
      <t xml:space="preserve">C8 b</t>
    </r>
    <r>
      <rPr>
        <sz val="11"/>
        <color theme="1"/>
        <rFont val="Noto Sans CJK SC"/>
        <family val="2"/>
      </rPr>
      <t xml:space="preserve">：不走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已認列但金額未揭露 →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（含在 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</t>
    </r>
  </si>
  <si>
    <r>
      <rPr>
        <sz val="11"/>
        <color theme="1"/>
        <rFont val="Calibri"/>
        <family val="2"/>
        <charset val="1"/>
      </rPr>
      <t xml:space="preserve">  Cloud </t>
    </r>
    <r>
      <rPr>
        <sz val="11"/>
        <color theme="1"/>
        <rFont val="Noto Sans CJK SC"/>
        <family val="2"/>
      </rPr>
      <t xml:space="preserve">其他年增</t>
    </r>
  </si>
  <si>
    <r>
      <rPr>
        <sz val="11"/>
        <color theme="1"/>
        <rFont val="Noto Sans CJK SC"/>
        <family val="2"/>
      </rPr>
      <t xml:space="preserve">起始＝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其他近四季年增（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g0_co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gl_co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</si>
  <si>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其他（命題子列）</t>
    </r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</si>
  <si>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實績 − 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估計 −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9M26 × Q3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q3sh_cloud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＋年增</t>
    </r>
    <r>
      <rPr>
        <sz val="11"/>
        <color theme="1"/>
        <rFont val="Calibri"/>
        <family val="2"/>
        <charset val="1"/>
      </rPr>
      <t xml:space="preserve">)^0.25</t>
    </r>
  </si>
  <si>
    <t xml:space="preserve">Google Cloud</t>
  </si>
  <si>
    <t xml:space="preserve">Other Bets</t>
  </si>
  <si>
    <t xml:space="preserve">Hedging gains (losses)</t>
  </si>
  <si>
    <r>
      <rPr>
        <sz val="11"/>
        <color theme="1"/>
        <rFont val="Calibri"/>
        <family val="2"/>
        <charset val="1"/>
      </rPr>
      <t xml:space="preserve">Alphabet-level activities</t>
    </r>
    <r>
      <rPr>
        <sz val="11"/>
        <color theme="1"/>
        <rFont val="Noto Sans CJK SC"/>
        <family val="2"/>
      </rPr>
      <t xml:space="preserve">；預測期 </t>
    </r>
    <r>
      <rPr>
        <sz val="11"/>
        <color theme="1"/>
        <rFont val="Calibri"/>
        <family val="2"/>
        <charset val="1"/>
      </rPr>
      <t xml:space="preserve">0 [Assumed]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</si>
  <si>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子列合計 − </t>
    </r>
    <r>
      <rPr>
        <sz val="11"/>
        <color theme="1"/>
        <rFont val="Calibri"/>
        <family val="2"/>
        <charset val="1"/>
      </rPr>
      <t xml:space="preserve">Google Cloud</t>
    </r>
  </si>
  <si>
    <r>
      <rPr>
        <sz val="11"/>
        <color theme="1"/>
        <rFont val="Noto Sans CJK SC"/>
        <family val="2"/>
      </rPr>
      <t xml:space="preserve">檢查：實績欄合併營收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</si>
  <si>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cx_svc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</si>
  <si>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其他（營收 </t>
    </r>
    <r>
      <rPr>
        <sz val="11"/>
        <color theme="1"/>
        <rFont val="Calibri"/>
        <family val="2"/>
        <charset val="1"/>
      </rPr>
      <t xml:space="preserve">× cx_co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</si>
  <si>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cx_ob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</si>
  <si>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資本支出合計</t>
    </r>
  </si>
  <si>
    <r>
      <rPr>
        <sz val="11"/>
        <color theme="1"/>
        <rFont val="Noto Sans CJK SC"/>
        <family val="2"/>
      </rPr>
      <t xml:space="preserve">新增非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（年限 </t>
    </r>
    <r>
      <rPr>
        <sz val="11"/>
        <color theme="1"/>
        <rFont val="Calibri"/>
        <family val="2"/>
        <charset val="1"/>
      </rPr>
      <t xml:space="preserve">life_na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</si>
  <si>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其他（年限 </t>
    </r>
    <r>
      <rPr>
        <sz val="11"/>
        <color theme="1"/>
        <rFont val="Calibri"/>
        <family val="2"/>
        <charset val="1"/>
      </rPr>
      <t xml:space="preserve">life_na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</si>
  <si>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（年限 </t>
    </r>
    <r>
      <rPr>
        <sz val="11"/>
        <color theme="1"/>
        <rFont val="Calibri"/>
        <family val="2"/>
        <charset val="1"/>
      </rPr>
      <t xml:space="preserve">life_na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</si>
  <si>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新增非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折舊合計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</si>
  <si>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（近四季成長收斂；基準）</t>
    </r>
  </si>
  <si>
    <t xml:space="preserve">基準不設分流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</si>
  <si>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（查詢被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助理分流、每次查詢變現下降）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</si>
  <si>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dC</t>
    </r>
    <r>
      <rPr>
        <sz val="11"/>
        <color theme="1"/>
        <rFont val="Noto Sans CJK SC"/>
        <family val="2"/>
      </rPr>
      <t xml:space="preserve">（壓力情境）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</si>
  <si>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分部營收 → 分部營業利益 → 合併營業利益 → 業外 → 稅 → 淨利 →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（三情境；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美元）。實績欄（</t>
    </r>
    <r>
      <rPr>
        <sz val="11"/>
        <color theme="1"/>
        <rFont val="Calibri"/>
        <family val="2"/>
        <charset val="1"/>
      </rPr>
      <t xml:space="preserve">FY2024A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9M26A</t>
    </r>
    <r>
      <rPr>
        <sz val="11"/>
        <color theme="1"/>
        <rFont val="Noto Sans CJK SC"/>
        <family val="2"/>
      </rPr>
      <t xml:space="preserve">）取自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FY2026E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</si>
  <si>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分部營業利益＝分部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分攤折舊。分部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率＋</t>
    </r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情境差額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 − 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增量營運成本 </t>
    </r>
    <r>
      <rPr>
        <sz val="11"/>
        <color theme="1"/>
        <rFont val="Calibri"/>
        <family val="2"/>
        <charset val="1"/>
      </rPr>
      <t xml:space="preserve">× svc_sh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Google Cloud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Cloud AI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TPU × tpu_m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× m_co</t>
    </r>
    <r>
      <rPr>
        <sz val="11"/>
        <color theme="1"/>
        <rFont val="Noto Sans CJK SC"/>
        <family val="2"/>
      </rPr>
      <t xml:space="preserve">。折舊＝評價日在役資產基礎折舊（按近四季營收分攤）＋新增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折舊（對外→</t>
    </r>
    <r>
      <rPr>
        <sz val="11"/>
        <color theme="1"/>
        <rFont val="Calibri"/>
        <family val="2"/>
        <charset val="1"/>
      </rPr>
      <t xml:space="preserve">Cloud</t>
    </r>
    <r>
      <rPr>
        <sz val="11"/>
        <color theme="1"/>
        <rFont val="Noto Sans CJK SC"/>
        <family val="2"/>
      </rPr>
      <t xml:space="preserve">、自用→</t>
    </r>
    <r>
      <rPr>
        <sz val="11"/>
        <color theme="1"/>
        <rFont val="Calibri"/>
        <family val="2"/>
        <charset val="1"/>
      </rPr>
      <t xml:space="preserve">Services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層級）＋新增非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折舊。持股評價損益預測期設 </t>
    </r>
    <r>
      <rPr>
        <sz val="11"/>
        <color theme="1"/>
        <rFont val="Calibri"/>
        <family val="2"/>
        <charset val="1"/>
      </rPr>
      <t xml:space="preserve">0</t>
    </r>
  </si>
  <si>
    <r>
      <rPr>
        <b val="true"/>
        <sz val="11"/>
        <rFont val="Noto Sans CJK SC"/>
        <family val="2"/>
      </rPr>
      <t xml:space="preserve">分部對帳彙總（三情境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全部年度取絕對值最大者；實績欄同列）</t>
    </r>
  </si>
  <si>
    <r>
      <rPr>
        <sz val="11"/>
        <color theme="1"/>
        <rFont val="Noto Sans CJK SC"/>
        <family val="2"/>
      </rPr>
      <t xml:space="preserve">三情境各區塊同名核對列的最大絕對值；必須為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tools/segment_check </t>
    </r>
    <r>
      <rPr>
        <sz val="11"/>
        <color theme="1"/>
        <rFont val="Noto Sans CJK SC"/>
        <family val="2"/>
      </rPr>
      <t xml:space="preserve">讀本列）</t>
    </r>
  </si>
  <si>
    <t xml:space="preserve">  合併營收年增</t>
  </si>
  <si>
    <r>
      <rPr>
        <sz val="11"/>
        <color theme="1"/>
        <rFont val="Calibri"/>
        <family val="2"/>
        <charset val="1"/>
      </rPr>
      <t xml:space="preserve">  Search </t>
    </r>
    <r>
      <rPr>
        <sz val="11"/>
        <color theme="1"/>
        <rFont val="Noto Sans CJK SC"/>
        <family val="2"/>
      </rPr>
      <t xml:space="preserve">情境差額（相對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</si>
  <si>
    <t xml:space="preserve">Google Services EBITDA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</si>
  <si>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路徑營收 </t>
    </r>
    <r>
      <rPr>
        <sz val="11"/>
        <color theme="1"/>
        <rFont val="Calibri"/>
        <family val="2"/>
        <charset val="1"/>
      </rPr>
      <t xml:space="preserve">× m_svc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頁；預設 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mb_ttm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時近四季）＋</t>
    </r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差額 </t>
    </r>
    <r>
      <rPr>
        <sz val="11"/>
        <color theme="1"/>
        <rFont val="Calibri"/>
        <family val="2"/>
        <charset val="1"/>
      </rPr>
      <t xml:space="preserve">× inc_m −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增量營運與租金 </t>
    </r>
    <r>
      <rPr>
        <sz val="11"/>
        <color theme="1"/>
        <rFont val="Calibri"/>
        <family val="2"/>
        <charset val="1"/>
      </rPr>
      <t xml:space="preserve">× svc_sh</t>
    </r>
  </si>
  <si>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折舊（基礎分攤＋新增非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× svc_sh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</si>
  <si>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Google Services </t>
    </r>
    <r>
      <rPr>
        <b val="true"/>
        <sz val="11"/>
        <rFont val="Noto Sans CJK SC"/>
        <family val="2"/>
      </rPr>
      <t xml:space="preserve">營業利益</t>
    </r>
  </si>
  <si>
    <t xml:space="preserve">Google Cloud EBITDA</t>
  </si>
  <si>
    <r>
      <rPr>
        <sz val="11"/>
        <color theme="1"/>
        <rFont val="Calibri"/>
        <family val="2"/>
        <charset val="1"/>
      </rPr>
      <t xml:space="preserve">Cloud AI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營運成本）＋</t>
    </r>
    <r>
      <rPr>
        <sz val="11"/>
        <color theme="1"/>
        <rFont val="Calibri"/>
        <family val="2"/>
        <charset val="1"/>
      </rPr>
      <t xml:space="preserve">TPU × tpu_m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× m_co</t>
    </r>
  </si>
  <si>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折舊（基礎分攤＋對外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＋新增非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</si>
  <si>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Google Cloud </t>
    </r>
    <r>
      <rPr>
        <b val="true"/>
        <sz val="1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</si>
  <si>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折舊（基礎分攤＋新增非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</si>
  <si>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Other Bets </t>
    </r>
    <r>
      <rPr>
        <b val="true"/>
        <sz val="11"/>
        <rFont val="Noto Sans CJK SC"/>
        <family val="2"/>
      </rPr>
      <t xml:space="preserve">營業利益</t>
    </r>
  </si>
  <si>
    <t xml:space="preserve">Other Bets EBITDA</t>
  </si>
  <si>
    <r>
      <rPr>
        <sz val="11"/>
        <color theme="1"/>
        <rFont val="Calibri"/>
        <family val="2"/>
        <charset val="1"/>
      </rPr>
      <t xml:space="preserve">Alphabet-level </t>
    </r>
    <r>
      <rPr>
        <sz val="11"/>
        <color theme="1"/>
        <rFont val="Noto Sans CJK SC"/>
        <family val="2"/>
      </rPr>
      <t xml:space="preserve">折舊（自用 </t>
    </r>
    <r>
      <rPr>
        <sz val="11"/>
        <color theme="1"/>
        <rFont val="Calibri"/>
        <family val="2"/>
        <charset val="1"/>
      </rPr>
      <t xml:space="preserve">AI × (1 − svc_sh)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</si>
  <si>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Alphabet-level activities</t>
    </r>
    <r>
      <rPr>
        <b val="true"/>
        <sz val="11"/>
        <rFont val="Noto Sans CJK SC"/>
        <family val="2"/>
      </rPr>
      <t xml:space="preserve">（避險營收 − 未分攤費用 − 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增量成本 </t>
    </r>
    <r>
      <rPr>
        <b val="true"/>
        <sz val="11"/>
        <rFont val="Cambria"/>
        <family val="0"/>
        <charset val="1"/>
      </rPr>
      <t xml:space="preserve">× (1 − svc_sh)</t>
    </r>
    <r>
      <rPr>
        <b val="true"/>
        <sz val="11"/>
        <rFont val="Noto Sans CJK SC"/>
        <family val="2"/>
      </rPr>
      <t xml:space="preserve">）</t>
    </r>
  </si>
  <si>
    <t xml:space="preserve">Alphabet-level EBITDA</t>
  </si>
  <si>
    <t xml:space="preserve">分部營業利益合計</t>
  </si>
  <si>
    <r>
      <rPr>
        <sz val="11"/>
        <color theme="1"/>
        <rFont val="Noto Sans CJK SC"/>
        <family val="2"/>
      </rPr>
      <t xml:space="preserve">合併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（分部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合計）</t>
    </r>
  </si>
  <si>
    <r>
      <rPr>
        <sz val="11"/>
        <color theme="1"/>
        <rFont val="Noto Sans CJK SC"/>
        <family val="2"/>
      </rPr>
      <t xml:space="preserve">折舊合計（基礎＋新增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＋新增非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</si>
  <si>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與以前為現金流量表實績</t>
    </r>
  </si>
  <si>
    <r>
      <rPr>
        <sz val="11"/>
        <color theme="1"/>
        <rFont val="Noto Sans CJK SC"/>
        <family val="2"/>
      </rPr>
      <t xml:space="preserve">  其中：新增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</t>
    </r>
  </si>
  <si>
    <r>
      <rPr>
        <sz val="11"/>
        <color theme="1"/>
        <rFont val="Noto Sans CJK SC"/>
        <family val="2"/>
      </rPr>
      <t xml:space="preserve">預測期＝合併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折舊合計（與分部營業利益合計獨立計算，下一列核對折舊分攤）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</si>
  <si>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；非財報營收）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</si>
  <si>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：自用增量 </t>
    </r>
    <r>
      <rPr>
        <sz val="11"/>
        <color theme="1"/>
        <rFont val="Calibri"/>
        <family val="2"/>
        <charset val="1"/>
      </rPr>
      <t xml:space="preserve">MW × IF_HoldEcon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）；只進評價口徑，不進營收與分部對帳</t>
    </r>
  </si>
  <si>
    <r>
      <rPr>
        <b val="true"/>
        <sz val="11"/>
        <rFont val="Noto Sans CJK SC"/>
        <family val="2"/>
      </rPr>
      <t xml:space="preserve">營業利益（評價口徑；讀法 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含影子效益）</t>
    </r>
  </si>
  <si>
    <t xml:space="preserve">  營業利益率</t>
  </si>
  <si>
    <r>
      <rPr>
        <sz val="11"/>
        <color theme="1"/>
        <rFont val="Calibri"/>
        <family val="2"/>
        <charset val="1"/>
      </rPr>
      <t xml:space="preserve">  Google Services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</si>
  <si>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Calibri"/>
        <family val="2"/>
        <charset val="1"/>
      </rPr>
      <t xml:space="preserve">  Google Cloud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</si>
  <si>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Noto Sans CJK SC"/>
        <family val="2"/>
      </rPr>
      <t xml:space="preserve">利息收入（期初現金 </t>
    </r>
    <r>
      <rPr>
        <sz val="11"/>
        <color theme="1"/>
        <rFont val="Calibri"/>
        <family val="2"/>
        <charset val="1"/>
      </rPr>
      <t xml:space="preserve">× r_cash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</si>
  <si>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利息費用（期初債務 </t>
    </r>
    <r>
      <rPr>
        <sz val="11"/>
        <color theme="1"/>
        <rFont val="Calibri"/>
        <family val="2"/>
        <charset val="1"/>
      </rPr>
      <t xml:space="preserve">× r_debt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</si>
  <si>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權益證券淨損益（預測期設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</si>
  <si>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127.3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 135.9 </t>
    </r>
    <r>
      <rPr>
        <sz val="11"/>
        <color theme="1"/>
        <rFont val="Noto Sans CJK SC"/>
        <family val="2"/>
      </rPr>
      <t xml:space="preserve">主要為 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上市與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重估；</t>
    </r>
    <r>
      <rPr>
        <sz val="11"/>
        <color theme="1"/>
        <rFont val="Calibri"/>
        <family val="2"/>
        <charset val="1"/>
      </rPr>
      <t xml:space="preserve">Q3 −8.7 </t>
    </r>
    <r>
      <rPr>
        <sz val="11"/>
        <color theme="1"/>
        <rFont val="Noto Sans CJK SC"/>
        <family val="2"/>
      </rPr>
      <t xml:space="preserve">主要為 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未實現損失）；預測期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PL</t>
    </r>
    <r>
      <rPr>
        <sz val="11"/>
        <color theme="1"/>
        <rFont val="Noto Sans CJK SC"/>
        <family val="2"/>
      </rPr>
      <t xml:space="preserve">）</t>
    </r>
  </si>
  <si>
    <t xml:space="preserve">業外收益合計</t>
  </si>
  <si>
    <r>
      <rPr>
        <sz val="11"/>
        <color theme="1"/>
        <rFont val="Noto Sans CJK SC"/>
        <family val="2"/>
      </rPr>
      <t xml:space="preserve">檢查：實績淨利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</si>
  <si>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特別股股利</t>
  </si>
  <si>
    <t xml:space="preserve">歸屬普通股淨利</t>
  </si>
  <si>
    <t xml:space="preserve">期末稀釋股數（十億股）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</si>
  <si>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期末＝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稀釋加權＋</t>
    </r>
    <r>
      <rPr>
        <sz val="11"/>
        <color theme="1"/>
        <rFont val="Calibri"/>
        <family val="2"/>
        <charset val="1"/>
      </rPr>
      <t xml:space="preserve">(9/30 </t>
    </r>
    <r>
      <rPr>
        <sz val="11"/>
        <color theme="1"/>
        <rFont val="Noto Sans CJK SC"/>
        <family val="2"/>
      </rPr>
      <t xml:space="preserve">流通股 −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基本加權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；之後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dil × </t>
    </r>
    <r>
      <rPr>
        <sz val="11"/>
        <color theme="1"/>
        <rFont val="Noto Sans CJK SC"/>
        <family val="2"/>
      </rPr>
      <t xml:space="preserve">期間長度</t>
    </r>
    <r>
      <rPr>
        <sz val="11"/>
        <color theme="1"/>
        <rFont val="Calibri"/>
        <family val="2"/>
        <charset val="1"/>
      </rPr>
      <t xml:space="preserve">) −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回購均價；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強制轉換特別股 </t>
    </r>
    <r>
      <rPr>
        <sz val="11"/>
        <color theme="1"/>
        <rFont val="Calibri"/>
        <family val="2"/>
        <charset val="1"/>
      </rPr>
      <t xml:space="preserve">+conv_sh</t>
    </r>
  </si>
  <si>
    <t xml:space="preserve">平均稀釋股數（十億股）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</si>
  <si>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稀釋，美元）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</si>
  <si>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（不含權益證券損益，美元）</t>
    </r>
  </si>
  <si>
    <r>
      <rPr>
        <sz val="11"/>
        <color theme="1"/>
        <rFont val="Noto Sans CJK SC"/>
        <family val="2"/>
      </rPr>
      <t xml:space="preserve">權益證券損益以 </t>
    </r>
    <r>
      <rPr>
        <sz val="11"/>
        <color theme="1"/>
        <rFont val="Calibri"/>
        <family val="2"/>
        <charset val="1"/>
      </rPr>
      <t xml:space="preserve">tax_eq 21% </t>
    </r>
    <r>
      <rPr>
        <sz val="11"/>
        <color theme="1"/>
        <rFont val="Noto Sans CJK SC"/>
        <family val="2"/>
      </rPr>
      <t xml:space="preserve">稅後扣除；可與共識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比較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</si>
  <si>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（評價口徑；讀法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含稅後影子效益，美元）</t>
    </r>
  </si>
  <si>
    <t xml:space="preserve">評價口徑；財報口徑見上兩列</t>
  </si>
  <si>
    <t xml:space="preserve">股權報酬（已含在分部營業利益內）</t>
  </si>
  <si>
    <r>
      <rPr>
        <sz val="11"/>
        <color theme="1"/>
        <rFont val="Calibri"/>
        <family val="2"/>
        <charset val="1"/>
      </rPr>
      <t xml:space="preserve">CF — </t>
    </r>
    <r>
      <rPr>
        <sz val="11"/>
        <color theme="1"/>
        <rFont val="Noto Sans CJK SC"/>
        <family val="2"/>
      </rPr>
      <t xml:space="preserve">現金流（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）。營運現金＝淨利＋折舊＋股權報酬＋營運資金；資本支出＝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Seg</t>
    </r>
    <r>
      <rPr>
        <sz val="11"/>
        <color theme="1"/>
        <rFont val="Noto Sans CJK SC"/>
        <family val="2"/>
      </rPr>
      <t xml:space="preserve">）；自由現金流＝營運現金 − 資本支出 − 融資租賃本金。融資順序：現金 → 減少回購 → 新債（最低現金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</si>
  <si>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年：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發行普通股 </t>
    </r>
    <r>
      <rPr>
        <sz val="11"/>
        <color theme="1"/>
        <rFont val="Calibri"/>
        <family val="2"/>
        <charset val="1"/>
      </rPr>
      <t xml:space="preserve">42.9B</t>
    </r>
    <r>
      <rPr>
        <sz val="11"/>
        <color theme="1"/>
        <rFont val="Noto Sans CJK SC"/>
        <family val="2"/>
      </rPr>
      <t xml:space="preserve">（承銷＋</t>
    </r>
    <r>
      <rPr>
        <sz val="11"/>
        <color theme="1"/>
        <rFont val="Calibri"/>
        <family val="2"/>
        <charset val="1"/>
      </rPr>
      <t xml:space="preserve">Berkshire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 ATM 12.4</t>
    </r>
    <r>
      <rPr>
        <sz val="11"/>
        <color theme="1"/>
        <rFont val="Noto Sans CJK SC"/>
        <family val="2"/>
      </rPr>
      <t xml:space="preserve">）與強制轉換特別股 </t>
    </r>
    <r>
      <rPr>
        <sz val="11"/>
        <color theme="1"/>
        <rFont val="Calibri"/>
        <family val="2"/>
        <charset val="1"/>
      </rPr>
      <t xml:space="preserve">19.1B</t>
    </r>
    <r>
      <rPr>
        <sz val="11"/>
        <color theme="1"/>
        <rFont val="Noto Sans CJK SC"/>
        <family val="2"/>
      </rPr>
      <t xml:space="preserve">、發債 </t>
    </r>
    <r>
      <rPr>
        <sz val="11"/>
        <color theme="1"/>
        <rFont val="Calibri"/>
        <family val="2"/>
        <charset val="1"/>
      </rPr>
      <t xml:space="preserve">85.2B</t>
    </r>
    <r>
      <rPr>
        <sz val="11"/>
        <color theme="1"/>
        <rFont val="Noto Sans CJK SC"/>
        <family val="2"/>
      </rPr>
      <t xml:space="preserve">、暫停回購（</t>
    </r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：現金牛最強，但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已轉向外部融資）；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起回購目標 </t>
    </r>
    <r>
      <rPr>
        <sz val="11"/>
        <color theme="1"/>
        <rFont val="Calibri"/>
        <family val="2"/>
        <charset val="1"/>
      </rPr>
      <t xml:space="preserve">17.0</t>
    </r>
    <r>
      <rPr>
        <sz val="11"/>
        <color theme="1"/>
        <rFont val="Noto Sans CJK SC"/>
        <family val="2"/>
      </rPr>
      <t xml:space="preserve">／年（現金不足時先減回購）</t>
    </r>
  </si>
  <si>
    <r>
      <rPr>
        <b val="true"/>
        <sz val="11"/>
        <rFont val="Noto Sans CJK SC"/>
        <family val="2"/>
      </rPr>
      <t xml:space="preserve">收支關卡（地圖讀這兩列；模型期間 </t>
    </r>
    <r>
      <rPr>
        <b val="true"/>
        <sz val="11"/>
        <rFont val="Cambria"/>
        <family val="0"/>
        <charset val="1"/>
      </rPr>
      <t xml:space="preserve">FY2026–FY2030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含 </t>
    </r>
    <r>
      <rPr>
        <b val="true"/>
        <sz val="11"/>
        <rFont val="Cambria"/>
        <family val="0"/>
        <charset val="1"/>
      </rPr>
      <t xml:space="preserve">9M </t>
    </r>
    <r>
      <rPr>
        <b val="true"/>
        <sz val="11"/>
        <rFont val="Noto Sans CJK SC"/>
        <family val="2"/>
      </rPr>
      <t xml:space="preserve">實績）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</si>
  <si>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</si>
  <si>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</si>
  <si>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</si>
  <si>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t xml:space="preserve">收支關卡：自由現金流扣股利（五年合計）</t>
  </si>
  <si>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自由現金流（扣融資租賃本金）− 普通股與特別股股利；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實績。負值＝入不敷出</t>
    </r>
  </si>
  <si>
    <t xml:space="preserve">  其中：五年新增舉債</t>
  </si>
  <si>
    <r>
      <rPr>
        <sz val="11"/>
        <color theme="1"/>
        <rFont val="Noto Sans CJK SC"/>
        <family val="2"/>
      </rPr>
      <t xml:space="preserve">  其中：五年回購合計（</t>
    </r>
    <r>
      <rPr>
        <sz val="11"/>
        <color theme="1"/>
        <rFont val="Calibri"/>
        <family val="2"/>
        <charset val="1"/>
      </rPr>
      <t xml:space="preserve">FY2027–FY2030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4 × bb_t</t>
    </r>
    <r>
      <rPr>
        <sz val="11"/>
        <color theme="1"/>
        <rFont val="Noto Sans CJK SC"/>
        <family val="2"/>
      </rPr>
      <t xml:space="preserve">）</t>
    </r>
  </si>
  <si>
    <t xml:space="preserve">是否需要舉債或停止回購</t>
  </si>
  <si>
    <r>
      <rPr>
        <sz val="11"/>
        <color theme="1"/>
        <rFont val="Noto Sans CJK SC"/>
        <family val="2"/>
      </rPr>
      <t xml:space="preserve">依現金瀑布：現金 → 減少回購 → 新債（最低現金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已發行股權 </t>
    </r>
    <r>
      <rPr>
        <sz val="11"/>
        <color theme="1"/>
        <rFont val="Calibri"/>
        <family val="2"/>
        <charset val="1"/>
      </rPr>
      <t xml:space="preserve">61.9</t>
    </r>
    <r>
      <rPr>
        <sz val="11"/>
        <color theme="1"/>
        <rFont val="Noto Sans CJK SC"/>
        <family val="2"/>
      </rPr>
      <t xml:space="preserve">、新債 </t>
    </r>
    <r>
      <rPr>
        <sz val="11"/>
        <color theme="1"/>
        <rFont val="Calibri"/>
        <family val="2"/>
        <charset val="1"/>
      </rPr>
      <t xml:space="preserve">85.2 </t>
    </r>
    <r>
      <rPr>
        <sz val="11"/>
        <color theme="1"/>
        <rFont val="Noto Sans CJK SC"/>
        <family val="2"/>
      </rPr>
      <t xml:space="preserve">為已發生事件</t>
    </r>
  </si>
  <si>
    <r>
      <rPr>
        <sz val="11"/>
        <color theme="1"/>
        <rFont val="Noto Sans CJK SC"/>
        <family val="2"/>
      </rPr>
      <t xml:space="preserve">檢查：收支關卡 − 首年起五年逐欄加總（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＋…＋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</t>
    </r>
  </si>
  <si>
    <t xml:space="preserve">折舊</t>
  </si>
  <si>
    <t xml:space="preserve">股權報酬（非現金）</t>
  </si>
  <si>
    <t xml:space="preserve">營運資金變動（流入＋）</t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</si>
  <si>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＝上一年度同期實際（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C14</t>
    </r>
    <r>
      <rPr>
        <sz val="11"/>
        <color theme="1"/>
        <rFont val="Noto Sans CJK SC"/>
        <family val="2"/>
      </rPr>
      <t xml:space="preserve">）；之後＝營收增量 </t>
    </r>
    <r>
      <rPr>
        <sz val="11"/>
        <color theme="1"/>
        <rFont val="Calibri"/>
        <family val="2"/>
        <charset val="1"/>
      </rPr>
      <t xml:space="preserve">× wc_k</t>
    </r>
  </si>
  <si>
    <t xml:space="preserve">其他非現金調整（實績差額：權益證券利益迴轉、遞延稅等）</t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</si>
  <si>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；首期含指引下限補足）</t>
    </r>
  </si>
  <si>
    <r>
      <rPr>
        <sz val="11"/>
        <color theme="1"/>
        <rFont val="Noto Sans CJK SC"/>
        <family val="2"/>
      </rPr>
      <t xml:space="preserve">資本支出：非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Seg</t>
    </r>
    <r>
      <rPr>
        <sz val="11"/>
        <color theme="1"/>
        <rFont val="Noto Sans CJK SC"/>
        <family val="2"/>
      </rPr>
      <t xml:space="preserve">）</t>
    </r>
  </si>
  <si>
    <t xml:space="preserve">資本支出合計</t>
  </si>
  <si>
    <t xml:space="preserve">融資租賃本金</t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</si>
  <si>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 0.840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推估 </t>
    </r>
    <r>
      <rPr>
        <sz val="11"/>
        <color theme="1"/>
        <rFont val="Calibri"/>
        <family val="2"/>
        <charset val="1"/>
      </rPr>
      <t xml:space="preserve">0.103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FY2024–25 </t>
    </r>
    <r>
      <rPr>
        <sz val="11"/>
        <color theme="1"/>
        <rFont val="Noto Sans CJK SC"/>
        <family val="2"/>
      </rPr>
      <t xml:space="preserve">未列（公司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定義不扣）</t>
    </r>
  </si>
  <si>
    <t xml:space="preserve">自由現金流（營運現金 − 資本支出 − 融資租賃本金）</t>
  </si>
  <si>
    <t xml:space="preserve">普通股股利</t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</si>
  <si>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＝新聞稿股利支付 − 已付特別股股利 </t>
    </r>
    <r>
      <rPr>
        <sz val="11"/>
        <color theme="1"/>
        <rFont val="Calibri"/>
        <family val="2"/>
        <charset val="1"/>
      </rPr>
      <t xml:space="preserve">0.301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0.22 × </t>
    </r>
    <r>
      <rPr>
        <sz val="11"/>
        <color theme="1"/>
        <rFont val="Noto Sans CJK SC"/>
        <family val="2"/>
      </rPr>
      <t xml:space="preserve">流通股；之後每股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／年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期初稀釋股數（避免與回購循環）</t>
    </r>
  </si>
  <si>
    <t xml:space="preserve">自由現金流扣股利</t>
  </si>
  <si>
    <r>
      <rPr>
        <sz val="11"/>
        <color theme="1"/>
        <rFont val="Noto Sans CJK SC"/>
        <family val="2"/>
      </rPr>
      <t xml:space="preserve">策略投資（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出資；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Wiz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Intersect </t>
    </r>
    <r>
      <rPr>
        <sz val="11"/>
        <color theme="1"/>
        <rFont val="Noto Sans CJK SC"/>
        <family val="2"/>
      </rPr>
      <t xml:space="preserve">收購）</t>
    </r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</si>
  <si>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：非上市證券 − 出售＋收購＋其他投資（新聞稿年初至今）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；投資活動，不在自由現金流</t>
    </r>
  </si>
  <si>
    <t xml:space="preserve">債務到期償還</t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</si>
  <si>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：新聞稿償還債務 </t>
    </r>
    <r>
      <rPr>
        <sz val="11"/>
        <color theme="1"/>
        <rFont val="Calibri"/>
        <family val="2"/>
        <charset val="1"/>
      </rPr>
      <t xml:space="preserve">[Interested-party]</t>
    </r>
  </si>
  <si>
    <t xml:space="preserve">已發行新債</t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</si>
  <si>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：發債淨額 </t>
    </r>
    <r>
      <rPr>
        <sz val="11"/>
        <color theme="1"/>
        <rFont val="Calibri"/>
        <family val="2"/>
        <charset val="1"/>
      </rPr>
      <t xml:space="preserve">85.2</t>
    </r>
    <r>
      <rPr>
        <sz val="11"/>
        <color theme="1"/>
        <rFont val="Noto Sans CJK SC"/>
        <family val="2"/>
      </rPr>
      <t xml:space="preserve">（新聞稿；含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票據 </t>
    </r>
    <r>
      <rPr>
        <sz val="11"/>
        <color theme="1"/>
        <rFont val="Calibri"/>
        <family val="2"/>
        <charset val="1"/>
      </rPr>
      <t xml:space="preserve">28.7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：尚無公告</t>
    </r>
  </si>
  <si>
    <t xml:space="preserve">股權發行（普通股＋強制轉換特別股，淨額）</t>
  </si>
  <si>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普通股 </t>
    </r>
    <r>
      <rPr>
        <sz val="11"/>
        <color theme="1"/>
        <rFont val="Calibri"/>
        <family val="2"/>
        <charset val="1"/>
      </rPr>
      <t xml:space="preserve">42.9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Q3 ATM 12.4</t>
    </r>
    <r>
      <rPr>
        <sz val="11"/>
        <color theme="1"/>
        <rFont val="Noto Sans CJK SC"/>
        <family val="2"/>
      </rPr>
      <t xml:space="preserve">）＋特別股 </t>
    </r>
    <r>
      <rPr>
        <sz val="11"/>
        <color theme="1"/>
        <rFont val="Calibri"/>
        <family val="2"/>
        <charset val="1"/>
      </rPr>
      <t xml:space="preserve">19.1 [Interested-party]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剩餘 </t>
    </r>
    <r>
      <rPr>
        <sz val="11"/>
        <color theme="1"/>
        <rFont val="Calibri"/>
        <family val="2"/>
        <charset val="1"/>
      </rPr>
      <t xml:space="preserve">27.6 </t>
    </r>
    <r>
      <rPr>
        <sz val="11"/>
        <color theme="1"/>
        <rFont val="Noto Sans CJK SC"/>
        <family val="2"/>
      </rPr>
      <t xml:space="preserve">與代扣稅不建模</t>
    </r>
  </si>
  <si>
    <t xml:space="preserve">期初現金（現金＋債權類有價證券）</t>
  </si>
  <si>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實績差額：代扣稅、出售合併個體權益、匯率、有價證券權益部分；預測期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</si>
  <si>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回購前現金</t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</si>
  <si>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（暫停，</t>
    </r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）；之後＝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回購目標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回購前現金 − 最低現金</t>
    </r>
    <r>
      <rPr>
        <sz val="11"/>
        <color theme="1"/>
        <rFont val="Calibri"/>
        <family val="2"/>
        <charset val="1"/>
      </rPr>
      <t xml:space="preserve">)</t>
    </r>
  </si>
  <si>
    <t xml:space="preserve">新增舉債（現金低於最低現金時）</t>
  </si>
  <si>
    <t xml:space="preserve">期末現金（現金＋債權類有價證券）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</si>
  <si>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期末現金 −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（新聞稿推導；應為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</si>
  <si>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期初債務</t>
  </si>
  <si>
    <r>
      <rPr>
        <sz val="11"/>
        <color theme="1"/>
        <rFont val="Calibri"/>
        <family val="2"/>
        <charset val="1"/>
      </rPr>
      <t xml:space="preserve">2025-12-31 </t>
    </r>
    <r>
      <rPr>
        <sz val="11"/>
        <color theme="1"/>
        <rFont val="Noto Sans CJK SC"/>
        <family val="2"/>
      </rPr>
      <t xml:space="preserve">面額 </t>
    </r>
    <r>
      <rPr>
        <sz val="11"/>
        <color theme="1"/>
        <rFont val="Calibri"/>
        <family val="2"/>
        <charset val="1"/>
      </rPr>
      <t xml:space="preserve">49.085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debt.face.fy2025</t>
    </r>
    <r>
      <rPr>
        <sz val="11"/>
        <color theme="1"/>
        <rFont val="Noto Sans CJK SC"/>
        <family val="2"/>
      </rPr>
      <t xml:space="preserve">）</t>
    </r>
  </si>
  <si>
    <t xml:space="preserve">期末債務</t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</si>
  <si>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面額＋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發債 −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償還（推導；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尚未提供）</t>
    </r>
  </si>
  <si>
    <t xml:space="preserve">淨現金（現金 − 債務）</t>
  </si>
  <si>
    <r>
      <rPr>
        <sz val="11"/>
        <color theme="1"/>
        <rFont val="Noto Sans CJK SC"/>
        <family val="2"/>
      </rPr>
      <t xml:space="preserve">回購均價（評價日股價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ke)^</t>
    </r>
    <r>
      <rPr>
        <sz val="11"/>
        <color theme="1"/>
        <rFont val="Noto Sans CJK SC"/>
        <family val="2"/>
      </rPr>
      <t xml:space="preserve">年數）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</si>
  <si>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目標價（約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個月後，</t>
    </r>
    <r>
      <rPr>
        <sz val="11"/>
        <color theme="1"/>
        <rFont val="Calibri"/>
        <family val="2"/>
        <charset val="1"/>
      </rPr>
      <t xml:space="preserve">2027-10-29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；情境權重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頁，黃底＝判斷題）。分部加總即本模型的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（在分部層做）。主值＝自用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internal_ai_reading</t>
    </r>
    <r>
      <rPr>
        <sz val="11"/>
        <color theme="1"/>
        <rFont val="Noto Sans CJK SC"/>
        <family val="2"/>
      </rPr>
      <t xml:space="preserve">），讀法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並列</t>
    </r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</si>
  <si>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：無槓桿自由現金流（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＋折舊 − 資本支出＋營運資金；股權報酬視為現金成本、不加回）以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折現到評價日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（期中慣例），終值＝</t>
    </r>
    <r>
      <rPr>
        <sz val="11"/>
        <color theme="1"/>
        <rFont val="Calibri"/>
        <family val="2"/>
        <charset val="1"/>
      </rPr>
      <t xml:space="preserve">NOPAT(FY2033) ×(1 − g ÷ RONIC) ÷ (WACC − g)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ke </t>
    </r>
    <r>
      <rPr>
        <sz val="11"/>
        <color theme="1"/>
        <rFont val="Noto Sans CJK SC"/>
        <family val="2"/>
      </rPr>
      <t xml:space="preserve">推到目標時點並扣期間股利。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：目標時點 </t>
    </r>
    <r>
      <rPr>
        <sz val="11"/>
        <color theme="1"/>
        <rFont val="Calibri"/>
        <family val="2"/>
        <charset val="1"/>
      </rPr>
      <t xml:space="preserve">NTM EBITDA</t>
    </r>
    <r>
      <rPr>
        <sz val="11"/>
        <color theme="1"/>
        <rFont val="Noto Sans CJK SC"/>
        <family val="2"/>
      </rPr>
      <t xml:space="preserve">（股權報酬加回，與同業倍數同口徑）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用自身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</si>
  <si>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</si>
  <si>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對照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</si>
  <si>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</si>
  <si>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</si>
  <si>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＝分部加總（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）情境加權；各分部用各自同業倍數，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用自身 </t>
    </r>
    <r>
      <rPr>
        <sz val="11"/>
        <color theme="1"/>
        <rFont val="Calibri"/>
        <family val="2"/>
        <charset val="1"/>
      </rPr>
      <t xml:space="preserve">DCF</t>
    </r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</si>
  <si>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</si>
  <si>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BigGo Finance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）；財報後盤後約 </t>
    </r>
    <r>
      <rPr>
        <sz val="11"/>
        <color theme="1"/>
        <rFont val="Calibri"/>
        <family val="2"/>
        <charset val="1"/>
      </rPr>
      <t xml:space="preserve">288–294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</si>
  <si>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</si>
  <si>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 61 </t>
    </r>
    <r>
      <rPr>
        <sz val="11"/>
        <color theme="1"/>
        <rFont val="Noto Sans CJK SC"/>
        <family val="2"/>
      </rPr>
      <t xml:space="preserve">位分析師平均（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更新，財報前）；只作對照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</si>
  <si>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</si>
  <si>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</si>
  <si>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</si>
  <si>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</si>
  <si>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</si>
  <si>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五級固定規則：≥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放空、≤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</si>
  <si>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</si>
  <si>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</si>
  <si>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悲觀情境價（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</si>
  <si>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地圖「悲觀情境空間」＝本列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</si>
  <si>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與分部加總加權）</t>
    </r>
  </si>
  <si>
    <r>
      <rPr>
        <sz val="11"/>
        <color theme="1"/>
        <rFont val="Noto Sans CJK SC"/>
        <family val="2"/>
      </rPr>
      <t xml:space="preserve">情境上檔空間（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</si>
  <si>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終值占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</si>
  <si>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價值中性）：目標價／上檔空間／投資建議</t>
    </r>
  </si>
  <si>
    <r>
      <rPr>
        <sz val="11"/>
        <color theme="1"/>
        <rFont val="Noto Sans CJK SC"/>
        <family val="2"/>
      </rPr>
      <t xml:space="preserve">活公式（修正一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；主值）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</si>
  <si>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只計成本）：目標價／上檔空間／投資建議</t>
    </r>
  </si>
  <si>
    <r>
      <rPr>
        <sz val="11"/>
        <color theme="1"/>
        <rFont val="Noto Sans CJK SC"/>
        <family val="2"/>
      </rPr>
      <t xml:space="preserve">活公式（敏感度；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修正前的主值）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</si>
  <si>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</si>
  <si>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的分部加總目標價（情境加權）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</si>
  <si>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</si>
  <si>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（無槓桿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＋分部加總（各分部同業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；自用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</si>
  <si>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Noto Sans CJK SC"/>
        <family val="2"/>
      </rPr>
      <t xml:space="preserve">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</si>
  <si>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檢查：主值目標價 − 所選讀法的目標價（應為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</si>
  <si>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0.0 </t>
    </r>
    <r>
      <rPr>
        <b val="true"/>
        <sz val="11"/>
        <rFont val="Noto Sans CJK SC"/>
        <family val="2"/>
      </rPr>
      <t xml:space="preserve">折現率（</t>
    </r>
    <r>
      <rPr>
        <b val="true"/>
        <sz val="11"/>
        <rFont val="Cambria"/>
        <family val="0"/>
        <charset val="1"/>
      </rPr>
      <t xml:space="preserve">CAPM</t>
    </r>
    <r>
      <rPr>
        <b val="true"/>
        <sz val="11"/>
        <rFont val="Noto Sans CJK SC"/>
        <family val="2"/>
      </rPr>
      <t xml:space="preserve">；修正一 </t>
    </r>
    <r>
      <rPr>
        <b val="true"/>
        <sz val="11"/>
        <rFont val="Cambria"/>
        <family val="0"/>
        <charset val="1"/>
      </rPr>
      <t xml:space="preserve">F4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Blume β</t>
    </r>
    <r>
      <rPr>
        <b val="true"/>
        <sz val="11"/>
        <rFont val="Noto Sans CJK SC"/>
        <family val="2"/>
      </rPr>
      <t xml:space="preserve">、約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年期 </t>
    </r>
    <r>
      <rPr>
        <b val="true"/>
        <sz val="11"/>
        <rFont val="Cambria"/>
        <family val="0"/>
        <charset val="1"/>
      </rPr>
      <t xml:space="preserve">kd</t>
    </r>
    <r>
      <rPr>
        <b val="true"/>
        <sz val="11"/>
        <rFont val="Noto Sans CJK SC"/>
        <family val="2"/>
      </rPr>
      <t xml:space="preserve">、負債含融資租賃）</t>
    </r>
  </si>
  <si>
    <r>
      <rPr>
        <sz val="11"/>
        <color theme="1"/>
        <rFont val="Noto Sans CJK SC"/>
        <family val="2"/>
      </rPr>
      <t xml:space="preserve">股權市值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＝評價日股價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流通股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</si>
  <si>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：評價日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344.08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用現價）</t>
    </r>
  </si>
  <si>
    <r>
      <rPr>
        <sz val="11"/>
        <color theme="1"/>
        <rFont val="Noto Sans CJK SC"/>
        <family val="2"/>
      </rPr>
      <t xml:space="preserve">負債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（債務面額＋融資租賃）</t>
    </r>
  </si>
  <si>
    <r>
      <rPr>
        <sz val="11"/>
        <color theme="1"/>
        <rFont val="Noto Sans CJK SC"/>
        <family val="2"/>
      </rPr>
      <t xml:space="preserve">股東權益成本 </t>
    </r>
    <r>
      <rPr>
        <sz val="11"/>
        <color theme="1"/>
        <rFont val="Calibri"/>
        <family val="2"/>
        <charset val="1"/>
      </rPr>
      <t xml:space="preserve">ke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β × ERP</t>
    </r>
  </si>
  <si>
    <r>
      <rPr>
        <sz val="11"/>
        <color theme="1"/>
        <rFont val="Noto Sans CJK SC"/>
        <family val="2"/>
      </rPr>
      <t xml:space="preserve">稅後債務成本（約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年期）</t>
    </r>
  </si>
  <si>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（＋</t>
    </r>
    <r>
      <rPr>
        <b val="true"/>
        <sz val="11"/>
        <rFont val="Cambria"/>
        <family val="0"/>
        <charset val="1"/>
      </rPr>
      <t xml:space="preserve">wacc_adj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</si>
  <si>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修正前 </t>
    </r>
    <r>
      <rPr>
        <sz val="11"/>
        <color theme="1"/>
        <rFont val="Calibri"/>
        <family val="2"/>
        <charset val="1"/>
      </rPr>
      <t xml:space="preserve">11.56%</t>
    </r>
    <r>
      <rPr>
        <sz val="11"/>
        <color theme="1"/>
        <rFont val="Noto Sans CJK SC"/>
        <family val="2"/>
      </rPr>
      <t xml:space="preserve">（原始 </t>
    </r>
    <r>
      <rPr>
        <sz val="11"/>
        <color theme="1"/>
        <rFont val="Calibri"/>
        <family val="2"/>
        <charset val="1"/>
      </rPr>
      <t xml:space="preserve">β 1.288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kd 6.527%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</si>
  <si>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永續期新投資報酬 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ronic_sp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</si>
  <si>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：＋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</si>
  <si>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（無槓桿自由現金流；三情境各一區塊；欄 </t>
    </r>
    <r>
      <rPr>
        <b val="true"/>
        <sz val="11"/>
        <rFont val="Cambria"/>
        <family val="0"/>
        <charset val="1"/>
      </rPr>
      <t xml:space="preserve">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Q4 26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H–M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FY2027–FY2032</t>
    </r>
    <r>
      <rPr>
        <b val="true"/>
        <sz val="11"/>
        <rFont val="Noto Sans CJK SC"/>
        <family val="2"/>
      </rPr>
      <t xml:space="preserve">；不含影子效益的「財報口徑」與影子效益分開列）</t>
    </r>
  </si>
  <si>
    <r>
      <rPr>
        <sz val="11"/>
        <color theme="1"/>
        <rFont val="Noto Sans CJK SC"/>
        <family val="2"/>
      </rPr>
      <t xml:space="preserve">營業利益（財報口徑 </t>
    </r>
    <r>
      <rPr>
        <sz val="11"/>
        <color theme="1"/>
        <rFont val="Calibri"/>
        <family val="2"/>
        <charset val="1"/>
      </rPr>
      <t xml:space="preserve">EBIT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</si>
  <si>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(EBIT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sbc_add × </t>
    </r>
    <r>
      <rPr>
        <sz val="11"/>
        <color theme="1"/>
        <rFont val="Noto Sans CJK SC"/>
        <family val="2"/>
      </rPr>
      <t xml:space="preserve">股權報酬</t>
    </r>
    <r>
      <rPr>
        <sz val="11"/>
        <color theme="1"/>
        <rFont val="Calibri"/>
        <family val="2"/>
        <charset val="1"/>
      </rPr>
      <t xml:space="preserve">) ×(1 −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</si>
  <si>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＋折舊</t>
  </si>
  <si>
    <t xml:space="preserve">− 資本支出</t>
  </si>
  <si>
    <t xml:space="preserve">＋營運資金變動</t>
  </si>
  <si>
    <r>
      <rPr>
        <sz val="11"/>
        <color theme="1"/>
        <rFont val="Calibri"/>
        <family val="2"/>
        <charset val="1"/>
      </rPr>
      <t xml:space="preserve">− Other Bets </t>
    </r>
    <r>
      <rPr>
        <sz val="11"/>
        <color theme="1"/>
        <rFont val="Noto Sans CJK SC"/>
        <family val="2"/>
      </rPr>
      <t xml:space="preserve">自由現金流（營業利益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 − 資本支出；改以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估值計）</t>
    </r>
  </si>
  <si>
    <r>
      <rPr>
        <sz val="11"/>
        <color theme="1"/>
        <rFont val="Noto Sans CJK SC"/>
        <family val="2"/>
      </rPr>
      <t xml:space="preserve">修正二：與分部加總一致，</t>
    </r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ob_val </t>
    </r>
    <r>
      <rPr>
        <sz val="11"/>
        <color theme="1"/>
        <rFont val="Noto Sans CJK SC"/>
        <family val="2"/>
      </rPr>
      <t xml:space="preserve">計，不在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現金流內</t>
    </r>
  </si>
  <si>
    <r>
      <rPr>
        <sz val="11"/>
        <color theme="1"/>
        <rFont val="Noto Sans CJK SC"/>
        <family val="2"/>
      </rPr>
      <t xml:space="preserve">無槓桿自由現金流（財報口徑，不含 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</si>
  <si>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股權報酬視為現金成本（修正一 </t>
    </r>
    <r>
      <rPr>
        <sz val="11"/>
        <color theme="1"/>
        <rFont val="Calibri"/>
        <family val="2"/>
        <charset val="1"/>
      </rPr>
      <t xml:space="preserve">F2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</si>
  <si>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終值用 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（排除 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</si>
  <si>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修正三：基礎折舊在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仍約 </t>
    </r>
    <r>
      <rPr>
        <sz val="11"/>
        <color theme="1"/>
        <rFont val="Calibri"/>
        <family val="2"/>
        <charset val="1"/>
      </rPr>
      <t xml:space="preserve">11.4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54.5 </t>
    </r>
    <r>
      <rPr>
        <sz val="11"/>
        <color theme="1"/>
        <rFont val="Noto Sans CJK SC"/>
        <family val="2"/>
      </rPr>
      <t xml:space="preserve">未攤完）→ 保留在終值 </t>
    </r>
    <r>
      <rPr>
        <sz val="11"/>
        <color theme="1"/>
        <rFont val="Calibri"/>
        <family val="2"/>
        <charset val="1"/>
      </rPr>
      <t xml:space="preserve">NOPAT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</si>
  <si>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影子效益＋算力租金加回（稅後；讀法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加入）</t>
    </r>
  </si>
  <si>
    <r>
      <rPr>
        <sz val="11"/>
        <color theme="1"/>
        <rFont val="Noto Sans CJK SC"/>
        <family val="2"/>
      </rPr>
      <t xml:space="preserve">修正三：租用算力（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）與自有自用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同樣以價值中性計，與分部加總一致</t>
    </r>
  </si>
  <si>
    <r>
      <rPr>
        <sz val="11"/>
        <color theme="1"/>
        <rFont val="Noto Sans CJK SC"/>
        <family val="2"/>
      </rPr>
      <t xml:space="preserve">折現年數（評價日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起，期中）</t>
    </r>
  </si>
  <si>
    <r>
      <rPr>
        <sz val="11"/>
        <color theme="1"/>
        <rFont val="Noto Sans CJK SC"/>
        <family val="2"/>
      </rPr>
      <t xml:space="preserve">折現因子 </t>
    </r>
    <r>
      <rPr>
        <sz val="11"/>
        <color theme="1"/>
        <rFont val="Calibri"/>
        <family val="2"/>
        <charset val="1"/>
      </rPr>
      <t xml:space="preserve">1 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WACC)^</t>
    </r>
    <r>
      <rPr>
        <sz val="11"/>
        <color theme="1"/>
        <rFont val="Noto Sans CJK SC"/>
        <family val="2"/>
      </rPr>
      <t xml:space="preserve">年數</t>
    </r>
  </si>
  <si>
    <t xml:space="preserve">現值（財報口徑）</t>
  </si>
  <si>
    <t xml:space="preserve">現值（影子效益）</t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</si>
  <si>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彙總</t>
    </r>
  </si>
  <si>
    <t xml:space="preserve">明確期現值合計（財報口徑）</t>
  </si>
  <si>
    <r>
      <rPr>
        <sz val="11"/>
        <color theme="1"/>
        <rFont val="Noto Sans CJK SC"/>
        <family val="2"/>
      </rPr>
      <t xml:space="preserve">終值（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年底，財報口徑）</t>
    </r>
  </si>
  <si>
    <r>
      <rPr>
        <sz val="11"/>
        <color theme="1"/>
        <rFont val="Noto Sans CJK SC"/>
        <family val="2"/>
      </rPr>
      <t xml:space="preserve">價值驅動：</t>
    </r>
    <r>
      <rPr>
        <sz val="11"/>
        <color theme="1"/>
        <rFont val="Calibri"/>
        <family val="2"/>
        <charset val="1"/>
      </rPr>
      <t xml:space="preserve">NOPAT(FY2033) ×(1 − g ÷ RONIC) ÷ (WACC − g)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tv_alt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無槓桿自由現金流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</t>
    </r>
  </si>
  <si>
    <r>
      <rPr>
        <sz val="11"/>
        <color theme="1"/>
        <rFont val="Noto Sans CJK SC"/>
        <family val="2"/>
      </rPr>
      <t xml:space="preserve">終值現值（折現年數＝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期中＋</t>
    </r>
    <r>
      <rPr>
        <sz val="11"/>
        <color theme="1"/>
        <rFont val="Calibri"/>
        <family val="2"/>
        <charset val="1"/>
      </rPr>
      <t xml:space="preserve">mid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</si>
  <si>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企業價值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：只計自用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成本）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</si>
  <si>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影子效益現值：明確期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</si>
  <si>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影子效益現值：終值</t>
    </r>
  </si>
  <si>
    <r>
      <rPr>
        <sz val="11"/>
        <color theme="1"/>
        <rFont val="Noto Sans CJK SC"/>
        <family val="2"/>
      </rPr>
      <t xml:space="preserve">企業價值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</t>
    </r>
  </si>
  <si>
    <r>
      <rPr>
        <b val="true"/>
        <sz val="11"/>
        <rFont val="Noto Sans CJK SC"/>
        <family val="2"/>
      </rPr>
      <t xml:space="preserve">企業價值 </t>
    </r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（主值，依 </t>
    </r>
    <r>
      <rPr>
        <b val="true"/>
        <sz val="11"/>
        <rFont val="Cambria"/>
        <family val="0"/>
        <charset val="1"/>
      </rPr>
      <t xml:space="preserve">internal_ai_reading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</si>
  <si>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其中：終值占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（主值）</t>
    </r>
  </si>
  <si>
    <t xml:space="preserve">＋淨現金（評價日：現金 − 債務 − 融資租賃）</t>
  </si>
  <si>
    <r>
      <rPr>
        <sz val="11"/>
        <color theme="1"/>
        <rFont val="Noto Sans CJK SC"/>
        <family val="2"/>
      </rPr>
      <t xml:space="preserve">＋持股（</t>
    </r>
    <r>
      <rPr>
        <sz val="11"/>
        <color theme="1"/>
        <rFont val="Calibri"/>
        <family val="2"/>
        <charset val="1"/>
      </rPr>
      <t xml:space="preserve">Anthropic × </t>
    </r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折價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＋其他上市權益證券）</t>
    </r>
  </si>
  <si>
    <t xml:space="preserve">− 類債（應計罰款）</t>
  </si>
  <si>
    <r>
      <rPr>
        <sz val="11"/>
        <color theme="1"/>
        <rFont val="Noto Sans CJK SC"/>
        <family val="2"/>
      </rPr>
      <t xml:space="preserve">修正三：非控制權益 </t>
    </r>
    <r>
      <rPr>
        <sz val="11"/>
        <color theme="1"/>
        <rFont val="Calibri"/>
        <family val="2"/>
        <charset val="1"/>
      </rPr>
      <t xml:space="preserve">7.1</t>
    </r>
    <r>
      <rPr>
        <sz val="11"/>
        <color theme="1"/>
        <rFont val="Noto Sans CJK SC"/>
        <family val="2"/>
      </rPr>
      <t xml:space="preserve">（主要為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少數股東）不再扣除——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已以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投後估值計（投後估值含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自身現金）</t>
    </r>
  </si>
  <si>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折價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</si>
  <si>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現金流排除全部 </t>
    </r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以價值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、虧損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</t>
    </r>
  </si>
  <si>
    <r>
      <rPr>
        <sz val="11"/>
        <color theme="1"/>
        <rFont val="Noto Sans CJK SC"/>
        <family val="2"/>
      </rPr>
      <t xml:space="preserve">− 特別股股利現值（轉換前，以 </t>
    </r>
    <r>
      <rPr>
        <sz val="11"/>
        <color theme="1"/>
        <rFont val="Calibri"/>
        <family val="2"/>
        <charset val="1"/>
      </rPr>
      <t xml:space="preserve">ke </t>
    </r>
    <r>
      <rPr>
        <sz val="11"/>
        <color theme="1"/>
        <rFont val="Noto Sans CJK SC"/>
        <family val="2"/>
      </rPr>
      <t xml:space="preserve">折現）</t>
    </r>
  </si>
  <si>
    <r>
      <rPr>
        <sz val="11"/>
        <color theme="1"/>
        <rFont val="Noto Sans CJK SC"/>
        <family val="2"/>
      </rPr>
      <t xml:space="preserve">修正一：強制轉換特別股 </t>
    </r>
    <r>
      <rPr>
        <sz val="11"/>
        <color theme="1"/>
        <rFont val="Calibri"/>
        <family val="2"/>
        <charset val="1"/>
      </rPr>
      <t xml:space="preserve">2029-05 </t>
    </r>
    <r>
      <rPr>
        <sz val="11"/>
        <color theme="1"/>
        <rFont val="Noto Sans CJK SC"/>
        <family val="2"/>
      </rPr>
      <t xml:space="preserve">轉股前的股利屬特別股股東</t>
    </r>
  </si>
  <si>
    <t xml:space="preserve">股數（評價日期末稀釋＋強制轉換特別股）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</si>
  <si>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每股價值推到目標時點（讀法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</si>
  <si>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(EV</t>
    </r>
    <r>
      <rPr>
        <sz val="11"/>
        <color theme="1"/>
        <rFont val="Noto Sans CJK SC"/>
        <family val="2"/>
      </rPr>
      <t xml:space="preserve">＋淨現金＋持股 − 類債 − 特別股股利</t>
    </r>
    <r>
      <rPr>
        <sz val="11"/>
        <color theme="1"/>
        <rFont val="Calibri"/>
        <family val="2"/>
        <charset val="1"/>
      </rPr>
      <t xml:space="preserve">) ÷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ke)^t_tgt − </t>
    </r>
    <r>
      <rPr>
        <sz val="11"/>
        <color theme="1"/>
        <rFont val="Noto Sans CJK SC"/>
        <family val="2"/>
      </rPr>
      <t xml:space="preserve">期間每股股利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</si>
  <si>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每股價值推到目標時點（讀法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</si>
  <si>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情境價值推到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個月後（主值）</t>
    </r>
  </si>
  <si>
    <r>
      <rPr>
        <b val="true"/>
        <sz val="11"/>
        <rFont val="Cambria"/>
        <family val="0"/>
        <charset val="1"/>
      </rPr>
      <t xml:space="preserve">0.15 Cloud AI </t>
    </r>
    <r>
      <rPr>
        <b val="true"/>
        <sz val="11"/>
        <rFont val="Noto Sans CJK SC"/>
        <family val="2"/>
      </rPr>
      <t xml:space="preserve">模組自身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（修正一 </t>
    </r>
    <r>
      <rPr>
        <b val="true"/>
        <sz val="11"/>
        <rFont val="Cambria"/>
        <family val="0"/>
        <charset val="1"/>
      </rPr>
      <t xml:space="preserve">F3</t>
    </r>
    <r>
      <rPr>
        <b val="true"/>
        <sz val="11"/>
        <rFont val="Noto Sans CJK SC"/>
        <family val="2"/>
      </rPr>
      <t xml:space="preserve">：分部加總的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腿；</t>
    </r>
    <r>
      <rPr>
        <b val="true"/>
        <sz val="11"/>
        <rFont val="Cambria"/>
        <family val="0"/>
        <charset val="1"/>
      </rPr>
      <t xml:space="preserve">FCF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AI EBITDA − </t>
    </r>
    <r>
      <rPr>
        <b val="true"/>
        <sz val="11"/>
        <rFont val="Noto Sans CJK SC"/>
        <family val="2"/>
      </rPr>
      <t xml:space="preserve">稅 − 對外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資本支出〔含汰換〕；三情境相同）</t>
    </r>
  </si>
  <si>
    <r>
      <rPr>
        <sz val="11"/>
        <color theme="1"/>
        <rFont val="Calibri"/>
        <family val="2"/>
        <charset val="1"/>
      </rPr>
      <t xml:space="preserve">Cloud AI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</si>
  <si>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新增折舊（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</si>
  <si>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NOPAT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(EBITDA − </t>
    </r>
    <r>
      <rPr>
        <sz val="11"/>
        <color theme="1"/>
        <rFont val="Noto Sans CJK SC"/>
        <family val="2"/>
      </rPr>
      <t xml:space="preserve">折舊</t>
    </r>
    <r>
      <rPr>
        <sz val="11"/>
        <color theme="1"/>
        <rFont val="Calibri"/>
        <family val="2"/>
        <charset val="1"/>
      </rPr>
      <t xml:space="preserve">) ×(1 −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</si>
  <si>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對外比例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</si>
  <si>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自由現金流＝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＋折舊 − 資本支出</t>
    </r>
  </si>
  <si>
    <t xml:space="preserve">現值</t>
  </si>
  <si>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明確期現值（</t>
    </r>
    <r>
      <rPr>
        <sz val="11"/>
        <color theme="1"/>
        <rFont val="Calibri"/>
        <family val="2"/>
        <charset val="1"/>
      </rPr>
      <t xml:space="preserve">FY2028–FY2032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26–FY2027 </t>
    </r>
    <r>
      <rPr>
        <sz val="11"/>
        <color theme="1"/>
        <rFont val="Noto Sans CJK SC"/>
        <family val="2"/>
      </rPr>
      <t xml:space="preserve">已反映在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年底淨現金）</t>
    </r>
  </si>
  <si>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終值現值</t>
    </r>
  </si>
  <si>
    <r>
      <rPr>
        <b val="true"/>
        <sz val="11"/>
        <rFont val="Cambria"/>
        <family val="0"/>
        <charset val="1"/>
      </rPr>
      <t xml:space="preserve">Cloud AI </t>
    </r>
    <r>
      <rPr>
        <b val="true"/>
        <sz val="11"/>
        <rFont val="Noto Sans CJK SC"/>
        <family val="2"/>
      </rPr>
      <t xml:space="preserve">價值（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年底＝與分部加總淨現金同時點）</t>
    </r>
  </si>
  <si>
    <r>
      <rPr>
        <sz val="11"/>
        <color theme="1"/>
        <rFont val="Noto Sans CJK SC"/>
        <family val="2"/>
      </rPr>
      <t xml:space="preserve">期初對外機隊（</t>
    </r>
    <r>
      <rPr>
        <sz val="11"/>
        <color theme="1"/>
        <rFont val="Calibri"/>
        <family val="2"/>
        <charset val="1"/>
      </rPr>
      <t xml:space="preserve">1,901 MW</t>
    </r>
    <r>
      <rPr>
        <sz val="11"/>
        <color theme="1"/>
        <rFont val="Noto Sans CJK SC"/>
        <family val="2"/>
      </rPr>
      <t xml:space="preserve">）的資本已投入（不再扣），其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計入；之後新增與汰換的對外資本支出全數扣除</t>
    </r>
  </si>
  <si>
    <r>
      <rPr>
        <b val="true"/>
        <sz val="11"/>
        <rFont val="Cambria"/>
        <family val="0"/>
        <charset val="1"/>
      </rPr>
      <t xml:space="preserve">0.2 </t>
    </r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；目標時點 </t>
    </r>
    <r>
      <rPr>
        <b val="true"/>
        <sz val="11"/>
        <rFont val="Cambria"/>
        <family val="0"/>
        <charset val="1"/>
      </rPr>
      <t xml:space="preserve">NTM EBITDA</t>
    </r>
    <r>
      <rPr>
        <b val="true"/>
        <sz val="11"/>
        <rFont val="Noto Sans CJK SC"/>
        <family val="2"/>
      </rPr>
      <t xml:space="preserve">，股權報酬加回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同業 </t>
    </r>
    <r>
      <rPr>
        <b val="true"/>
        <sz val="11"/>
        <rFont val="Cambria"/>
        <family val="0"/>
        <charset val="1"/>
      </rPr>
      <t xml:space="preserve">NTM EV/EBITDA</t>
    </r>
    <r>
      <rPr>
        <b val="true"/>
        <sz val="11"/>
        <rFont val="Noto Sans CJK SC"/>
        <family val="2"/>
      </rPr>
      <t xml:space="preserve">；＝本模型的 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</t>
    </r>
  </si>
  <si>
    <t xml:space="preserve">同業組／倍數</t>
  </si>
  <si>
    <t xml:space="preserve">倍數</t>
  </si>
  <si>
    <t xml:space="preserve">家數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</si>
  <si>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層級費用） </t>
    </r>
    <r>
      <rPr>
        <sz val="11"/>
        <color theme="1"/>
        <rFont val="Calibri"/>
        <family val="2"/>
        <charset val="1"/>
      </rPr>
      <t xml:space="preserve">NTM EV/EBITDA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</si>
  <si>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data/peers_ads_20261009.json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三家共用）：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PINS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TTD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APP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RDDT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SNAP</t>
    </r>
  </si>
  <si>
    <r>
      <rPr>
        <sz val="11"/>
        <color theme="1"/>
        <rFont val="Noto Sans CJK SC"/>
        <family val="2"/>
      </rPr>
      <t xml:space="preserve">訂閱影音（</t>
    </r>
    <r>
      <rPr>
        <sz val="11"/>
        <color theme="1"/>
        <rFont val="Calibri"/>
        <family val="2"/>
        <charset val="1"/>
      </rPr>
      <t xml:space="preserve">Subscriptions, platforms, and devices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NTM EV/EBITDA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</si>
  <si>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legacy_v0.2/company.json valuation.segmentMultiples.subs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NFLX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SPOT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amazon/data </t>
    </r>
    <r>
      <rPr>
        <sz val="11"/>
        <color theme="1"/>
        <rFont val="Noto Sans CJK SC"/>
        <family val="2"/>
      </rPr>
      <t xml:space="preserve">事實總帳）：</t>
    </r>
    <r>
      <rPr>
        <sz val="11"/>
        <color theme="1"/>
        <rFont val="Calibri"/>
        <family val="2"/>
        <charset val="1"/>
      </rPr>
      <t xml:space="preserve">NFLX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SPOT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</si>
  <si>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雲端／軟體（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其他） </t>
    </r>
    <r>
      <rPr>
        <sz val="11"/>
        <color theme="1"/>
        <rFont val="Calibri"/>
        <family val="2"/>
        <charset val="1"/>
      </rPr>
      <t xml:space="preserve">NTM EV/EBITDA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</si>
  <si>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data/peers_cloud_20261008.json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三家共用）：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AKAM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EQIX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DOCN</t>
    </r>
  </si>
  <si>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層級採用倍數（</t>
    </r>
    <r>
      <rPr>
        <sz val="11"/>
        <color theme="1"/>
        <rFont val="Calibri"/>
        <family val="2"/>
        <charset val="1"/>
      </rPr>
      <t xml:space="preserve">ads_mode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 META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六家中位數／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自身）</t>
    </r>
  </si>
  <si>
    <r>
      <rPr>
        <sz val="11"/>
        <color theme="1"/>
        <rFont val="Noto Sans CJK SC"/>
        <family val="2"/>
      </rPr>
      <t xml:space="preserve">修正一：預設 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（小型廣告科技不可比）；</t>
    </r>
    <r>
      <rPr>
        <sz val="11"/>
        <color theme="1"/>
        <rFont val="Calibri"/>
        <family val="2"/>
        <charset val="1"/>
      </rPr>
      <t xml:space="preserve">Google Network </t>
    </r>
    <r>
      <rPr>
        <sz val="11"/>
        <color theme="1"/>
        <rFont val="Noto Sans CJK SC"/>
        <family val="2"/>
      </rPr>
      <t xml:space="preserve">用六家中位數</t>
    </r>
  </si>
  <si>
    <r>
      <rPr>
        <b val="true"/>
        <sz val="11"/>
        <rFont val="Noto Sans CJK SC"/>
        <family val="2"/>
      </rPr>
      <t xml:space="preserve">分部／產品線（</t>
    </r>
    <r>
      <rPr>
        <b val="true"/>
        <sz val="11"/>
        <rFont val="Cambria"/>
        <family val="0"/>
        <charset val="1"/>
      </rPr>
      <t xml:space="preserve">NTM EBITDA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SBC </t>
    </r>
    <r>
      <rPr>
        <b val="true"/>
        <sz val="11"/>
        <rFont val="Noto Sans CJK SC"/>
        <family val="2"/>
      </rPr>
      <t xml:space="preserve">加回）</t>
    </r>
  </si>
  <si>
    <t xml:space="preserve">倍數與說明</t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</si>
  <si>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</si>
  <si>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</si>
  <si>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</si>
  <si>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YouTube ads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m_yt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</si>
  <si>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Network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m_net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</si>
  <si>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subscriptions, platforms, and devices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m_subs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</si>
  <si>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Search &amp; other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Services EBITDA − </t>
    </r>
    <r>
      <rPr>
        <sz val="11"/>
        <color theme="1"/>
        <rFont val="Noto Sans CJK SC"/>
        <family val="2"/>
      </rPr>
      <t xml:space="preserve">其他三線＋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</si>
  <si>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系統銷售（營收 </t>
    </r>
    <r>
      <rPr>
        <sz val="11"/>
        <color theme="1"/>
        <rFont val="Calibri"/>
        <family val="2"/>
        <charset val="1"/>
      </rPr>
      <t xml:space="preserve">× tpu_m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</si>
  <si>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其他（營收 </t>
    </r>
    <r>
      <rPr>
        <sz val="11"/>
        <color theme="1"/>
        <rFont val="Calibri"/>
        <family val="2"/>
        <charset val="1"/>
      </rPr>
      <t xml:space="preserve">× m_co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</si>
  <si>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Alphabet-level activities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，負值）</t>
    </r>
  </si>
  <si>
    <r>
      <rPr>
        <sz val="11"/>
        <color theme="1"/>
        <rFont val="Calibri"/>
        <family val="2"/>
        <charset val="1"/>
      </rPr>
      <t xml:space="preserve">Cloud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節自身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只供參考）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</si>
  <si>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（修正一 </t>
    </r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</si>
  <si>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Other Bets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×(1 − </t>
    </r>
    <r>
      <rPr>
        <sz val="11"/>
        <color theme="1"/>
        <rFont val="Noto Sans CJK SC"/>
        <family val="2"/>
      </rPr>
      <t xml:space="preserve">折價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只供參考）</t>
    </r>
  </si>
  <si>
    <r>
      <rPr>
        <sz val="11"/>
        <color theme="1"/>
        <rFont val="Calibri"/>
        <family val="2"/>
        <charset val="1"/>
      </rPr>
      <t xml:space="preserve">Waymo Series D 2026-02-02 </t>
    </r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126</t>
    </r>
    <r>
      <rPr>
        <sz val="11"/>
        <color theme="1"/>
        <rFont val="Noto Sans CJK SC"/>
        <family val="2"/>
      </rPr>
      <t xml:space="preserve">；持股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（假設）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</si>
  <si>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</si>
  <si>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增量營運成本與租金加回（讀法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；價值中性，不計影子效益倍數）</t>
    </r>
  </si>
  <si>
    <r>
      <rPr>
        <sz val="11"/>
        <color theme="1"/>
        <rFont val="Noto Sans CJK SC"/>
        <family val="2"/>
      </rPr>
      <t xml:space="preserve">修正二：與 </t>
    </r>
    <r>
      <rPr>
        <sz val="11"/>
        <color theme="1"/>
        <rFont val="Calibri"/>
        <family val="2"/>
        <charset val="1"/>
      </rPr>
      <t xml:space="preserve">Amazon v0.3 </t>
    </r>
    <r>
      <rPr>
        <sz val="11"/>
        <color theme="1"/>
        <rFont val="Noto Sans CJK SC"/>
        <family val="2"/>
      </rPr>
      <t xml:space="preserve">同法（自用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的資本成本不在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，故不加影子效益）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</si>
  <si>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新增資產帳面淨值（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價值中性＝按帳面）</t>
    </r>
  </si>
  <si>
    <r>
      <rPr>
        <sz val="11"/>
        <color theme="1"/>
        <rFont val="Noto Sans CJK SC"/>
        <family val="2"/>
      </rPr>
      <t xml:space="preserve">修正三：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年底淨現金已扣 </t>
    </r>
    <r>
      <rPr>
        <sz val="11"/>
        <color theme="1"/>
        <rFont val="Calibri"/>
        <family val="2"/>
        <charset val="1"/>
      </rPr>
      <t xml:space="preserve">Q4 26–FY2027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資本支出與在建工程自用部分，讀法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下這些資產按帳面計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</si>
  <si>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</si>
  <si>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分部加總 </t>
    </r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（主值）</t>
    </r>
  </si>
  <si>
    <r>
      <rPr>
        <sz val="11"/>
        <color theme="1"/>
        <rFont val="Noto Sans CJK SC"/>
        <family val="2"/>
      </rPr>
      <t xml:space="preserve">  分部 </t>
    </r>
    <r>
      <rPr>
        <sz val="11"/>
        <color theme="1"/>
        <rFont val="Calibri"/>
        <family val="2"/>
        <charset val="1"/>
      </rPr>
      <t xml:space="preserve">NTM EBITDA </t>
    </r>
    <r>
      <rPr>
        <sz val="11"/>
        <color theme="1"/>
        <rFont val="Noto Sans CJK SC"/>
        <family val="2"/>
      </rPr>
      <t xml:space="preserve">合計（含 </t>
    </r>
    <r>
      <rPr>
        <sz val="11"/>
        <color theme="1"/>
        <rFont val="Calibri"/>
        <family val="2"/>
        <charset val="1"/>
      </rPr>
      <t xml:space="preserve">Cloud AI</t>
    </r>
    <r>
      <rPr>
        <sz val="11"/>
        <color theme="1"/>
        <rFont val="Noto Sans CJK SC"/>
        <family val="2"/>
      </rPr>
      <t xml:space="preserve">；主值）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</si>
  <si>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Cloud AI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mult_ai </t>
    </r>
    <r>
      <rPr>
        <sz val="11"/>
        <color theme="1"/>
        <rFont val="Noto Sans CJK SC"/>
        <family val="2"/>
      </rPr>
      <t xml:space="preserve">倍數計的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（不進加總）</t>
    </r>
  </si>
  <si>
    <r>
      <rPr>
        <sz val="11"/>
        <color theme="1"/>
        <rFont val="Noto Sans CJK SC"/>
        <family val="2"/>
      </rPr>
      <t xml:space="preserve">＋淨現金（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頁；減融資租賃；加回 </t>
    </r>
    <r>
      <rPr>
        <sz val="11"/>
        <color theme="1"/>
        <rFont val="Calibri"/>
        <family val="2"/>
        <charset val="1"/>
      </rPr>
      <t xml:space="preserve">Q4 26–FY2027 Other Bets </t>
    </r>
    <r>
      <rPr>
        <sz val="11"/>
        <color theme="1"/>
        <rFont val="Noto Sans CJK SC"/>
        <family val="2"/>
      </rPr>
      <t xml:space="preserve">現金流）</t>
    </r>
  </si>
  <si>
    <r>
      <rPr>
        <sz val="11"/>
        <color theme="1"/>
        <rFont val="Noto Sans CJK SC"/>
        <family val="2"/>
      </rPr>
      <t xml:space="preserve">修正三：</t>
    </r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估值計，期間虧損不再從淨現金扣（與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</si>
  <si>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Noto Sans CJK SC"/>
        <family val="2"/>
      </rPr>
      <t xml:space="preserve">＋持股（同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 26–FY2027 </t>
    </r>
    <r>
      <rPr>
        <sz val="11"/>
        <color theme="1"/>
        <rFont val="Noto Sans CJK SC"/>
        <family val="2"/>
      </rPr>
      <t xml:space="preserve">已付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出資，按成本）</t>
    </r>
  </si>
  <si>
    <t xml:space="preserve">修正一：出資已自淨現金扣除，持股價值同步增加</t>
  </si>
  <si>
    <t xml:space="preserve">− 類債</t>
  </si>
  <si>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年底稀釋＋強制轉換特別股）</t>
    </r>
  </si>
  <si>
    <r>
      <rPr>
        <sz val="11"/>
        <color theme="1"/>
        <rFont val="Noto Sans CJK SC"/>
        <family val="2"/>
      </rPr>
      <t xml:space="preserve">分部加總每股價值（讀法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</si>
  <si>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分部加總每股價值（讀法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</si>
  <si>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t xml:space="preserve">分部加總每股價值（主值；目標時點）</t>
  </si>
  <si>
    <r>
      <rPr>
        <sz val="11"/>
        <color theme="1"/>
        <rFont val="Noto Sans CJK SC"/>
        <family val="2"/>
      </rPr>
      <t xml:space="preserve">  隱含 </t>
    </r>
    <r>
      <rPr>
        <sz val="11"/>
        <color theme="1"/>
        <rFont val="Calibri"/>
        <family val="2"/>
        <charset val="1"/>
      </rPr>
      <t xml:space="preserve">EV ÷ NTM EBITDA</t>
    </r>
    <r>
      <rPr>
        <sz val="11"/>
        <color theme="1"/>
        <rFont val="Noto Sans CJK SC"/>
        <family val="2"/>
      </rPr>
      <t xml:space="preserve">（主值）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</si>
  <si>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口徑對照：合併層對市場共識（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頁面，財報前；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重讀未更新）、逐分部對共識與公司指引、</t>
    </r>
    <r>
      <rPr>
        <sz val="11"/>
        <color theme="1"/>
        <rFont val="Calibri"/>
        <family val="2"/>
        <charset val="1"/>
      </rPr>
      <t xml:space="preserve">v0.3 → v0.3.1 </t>
    </r>
    <r>
      <rPr>
        <sz val="11"/>
        <color theme="1"/>
        <rFont val="Noto Sans CJK SC"/>
        <family val="2"/>
      </rPr>
      <t xml:space="preserve">目標價變動拆解。只作對照，不作校準（工作單第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</si>
  <si>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合併層：本模型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市場共識</t>
    </r>
  </si>
  <si>
    <t xml:space="preserve">年度</t>
  </si>
  <si>
    <t xml:space="preserve">共識</t>
  </si>
  <si>
    <r>
      <rPr>
        <b val="true"/>
        <sz val="11"/>
        <rFont val="Cambria"/>
        <family val="0"/>
        <charset val="1"/>
      </rPr>
      <t xml:space="preserve">B ÷ </t>
    </r>
    <r>
      <rPr>
        <b val="true"/>
        <sz val="11"/>
        <rFont val="Noto Sans CJK SC"/>
        <family val="2"/>
      </rPr>
      <t xml:space="preserve">共識 − </t>
    </r>
    <r>
      <rPr>
        <b val="true"/>
        <sz val="11"/>
        <rFont val="Cambria"/>
        <family val="0"/>
        <charset val="1"/>
      </rPr>
      <t xml:space="preserve">1</t>
    </r>
  </si>
  <si>
    <t xml:space="preserve">營收</t>
  </si>
  <si>
    <t xml:space="preserve">FY2026</t>
  </si>
  <si>
    <t xml:space="preserve">FY2027</t>
  </si>
  <si>
    <t xml:space="preserve">FY2028</t>
  </si>
  <si>
    <t xml:space="preserve">營業利益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</si>
  <si>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，含權益證券損益）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</si>
  <si>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權益證券利益 </t>
    </r>
    <r>
      <rPr>
        <sz val="11"/>
        <color theme="1"/>
        <rFont val="Calibri"/>
        <family val="2"/>
        <charset val="1"/>
      </rPr>
      <t xml:space="preserve">127.3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排除後的共識 </t>
    </r>
    <r>
      <rPr>
        <sz val="11"/>
        <color theme="1"/>
        <rFont val="Calibri"/>
        <family val="2"/>
        <charset val="1"/>
      </rPr>
      <t xml:space="preserve">11.89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c_eps26_sa</t>
    </r>
    <r>
      <rPr>
        <sz val="11"/>
        <color theme="1"/>
        <rFont val="Noto Sans CJK SC"/>
        <family val="2"/>
      </rPr>
      <t xml:space="preserve">）</t>
    </r>
  </si>
  <si>
    <t xml:space="preserve">資本支出</t>
  </si>
  <si>
    <t xml:space="preserve">自由現金流</t>
  </si>
  <si>
    <t xml:space="preserve">本模型扣融資租賃本金；共識＝營運現金 − 資本支出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</si>
  <si>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（不含權益證券損益）</t>
    </r>
    <r>
      <rPr>
        <sz val="11"/>
        <color theme="1"/>
        <rFont val="Calibri"/>
        <family val="2"/>
        <charset val="1"/>
      </rPr>
      <t xml:space="preserve">FY2026 vs StockAnalysis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</si>
  <si>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逐分部、逐產品線：本模型（情境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共識與公司指引</t>
    </r>
  </si>
  <si>
    <t xml:space="preserve">分部／產品線</t>
  </si>
  <si>
    <t xml:space="preserve">公司指引</t>
  </si>
  <si>
    <t xml:space="preserve">未找到</t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</si>
  <si>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將面對約 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Noto Sans CJK SC"/>
        <family val="2"/>
      </rPr>
      <t xml:space="preserve">個百分點的高基期（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</si>
  <si>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免費頁只有合併層；分部共識需付費資料（資料缺口：未找到）</t>
    </r>
  </si>
  <si>
    <t xml:space="preserve">無（公司不給營收指引）</t>
  </si>
  <si>
    <r>
      <rPr>
        <sz val="11"/>
        <color theme="1"/>
        <rFont val="Noto Sans CJK SC"/>
        <family val="2"/>
      </rPr>
      <t xml:space="preserve">供不應求；積壓 </t>
    </r>
    <r>
      <rPr>
        <sz val="11"/>
        <color theme="1"/>
        <rFont val="Calibri"/>
        <family val="2"/>
        <charset val="1"/>
      </rPr>
      <t xml:space="preserve">561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法說）；無營收指引</t>
    </r>
  </si>
  <si>
    <r>
      <rPr>
        <sz val="11"/>
        <color theme="1"/>
        <rFont val="Calibri"/>
        <family val="2"/>
        <charset val="1"/>
      </rPr>
      <t xml:space="preserve">  Cloud AI</t>
    </r>
    <r>
      <rPr>
        <sz val="11"/>
        <color theme="1"/>
        <rFont val="Noto Sans CJK SC"/>
        <family val="2"/>
      </rPr>
      <t xml:space="preserve">（命題子列）</t>
    </r>
  </si>
  <si>
    <r>
      <rPr>
        <sz val="11"/>
        <color theme="1"/>
        <rFont val="Calibri"/>
        <family val="2"/>
        <charset val="1"/>
      </rPr>
      <t xml:space="preserve">  TPU </t>
    </r>
    <r>
      <rPr>
        <sz val="11"/>
        <color theme="1"/>
        <rFont val="Noto Sans CJK SC"/>
        <family val="2"/>
      </rPr>
      <t xml:space="preserve">系統銷售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</si>
  <si>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已認列一部分、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擴大、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更明顯；不揭露金額（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</si>
  <si>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  Cloud </t>
    </r>
    <r>
      <rPr>
        <sz val="11"/>
        <color theme="1"/>
        <rFont val="Noto Sans CJK SC"/>
        <family val="2"/>
      </rPr>
      <t xml:space="preserve">其他</t>
    </r>
  </si>
  <si>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積壓（</t>
    </r>
    <r>
      <rPr>
        <sz val="11"/>
        <color theme="1"/>
        <rFont val="Calibri"/>
        <family val="2"/>
        <charset val="1"/>
      </rPr>
      <t xml:space="preserve">backlog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個月內認列 → </t>
    </r>
    <r>
      <rPr>
        <sz val="11"/>
        <color theme="1"/>
        <rFont val="Calibri"/>
        <family val="2"/>
        <charset val="1"/>
      </rPr>
      <t xml:space="preserve">2026Q4–2028Q3 </t>
    </r>
    <r>
      <rPr>
        <sz val="11"/>
        <color theme="1"/>
        <rFont val="Noto Sans CJK SC"/>
        <family val="2"/>
      </rPr>
      <t xml:space="preserve">至少可認列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</si>
  <si>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Cloud backlog 561</t>
    </r>
    <r>
      <rPr>
        <sz val="11"/>
        <color theme="1"/>
        <rFont val="Noto Sans CJK SC"/>
        <family val="2"/>
      </rPr>
      <t xml:space="preserve">、略高於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個月內（事實總帳 </t>
    </r>
    <r>
      <rPr>
        <sz val="11"/>
        <color theme="1"/>
        <rFont val="Calibri"/>
        <family val="2"/>
        <charset val="1"/>
      </rPr>
      <t xml:space="preserve">rpo.cloud.2026q3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rpo.share24m.2026q3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；只作驗證列，不反推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</si>
  <si>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2026Q4–2028Q3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</si>
  <si>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欄＝本模型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積壓可認列（</t>
    </r>
    <r>
      <rPr>
        <sz val="11"/>
        <color theme="1"/>
        <rFont val="Calibri"/>
        <family val="2"/>
        <charset val="1"/>
      </rPr>
      <t xml:space="preserve">&gt; 1 </t>
    </r>
    <r>
      <rPr>
        <sz val="11"/>
        <color theme="1"/>
        <rFont val="Noto Sans CJK SC"/>
        <family val="2"/>
      </rPr>
      <t xml:space="preserve">表示模型營收高於積壓可支撐的下限，差額需新簽約）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</si>
  <si>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資本支出：本模型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195–205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維持）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</si>
  <si>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重解使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公式＝指引中點；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頁指引下限補足 ≈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</si>
  <si>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資本支出：本模型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公司「顯著增加」（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法說給數字）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</si>
  <si>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路徑推導（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重解速度延續）；共識為財報前（</t>
    </r>
    <r>
      <rPr>
        <sz val="11"/>
        <color theme="1"/>
        <rFont val="Calibri"/>
        <family val="2"/>
        <charset val="1"/>
      </rPr>
      <t xml:space="preserve">MarketScreener 2026-10-26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</si>
  <si>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3. v0.3 → v0.3.1</t>
    </r>
    <r>
      <rPr>
        <b val="true"/>
        <sz val="11"/>
        <rFont val="Noto Sans CJK SC"/>
        <family val="2"/>
      </rPr>
      <t xml:space="preserve">：目標價變動拆解（依序重算 </t>
    </r>
    <r>
      <rPr>
        <b val="true"/>
        <sz val="11"/>
        <rFont val="Cambria"/>
        <family val="0"/>
        <charset val="1"/>
      </rPr>
      <t xml:space="preserve">(a)–(f)</t>
    </r>
    <r>
      <rPr>
        <b val="true"/>
        <sz val="11"/>
        <rFont val="Noto Sans CJK SC"/>
        <family val="2"/>
      </rPr>
      <t xml:space="preserve">；各項加總＝總變動）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</si>
  <si>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加權目標價（修正三，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</si>
  <si>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147.54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檔案移至 </t>
    </r>
    <r>
      <rPr>
        <sz val="11"/>
        <color theme="1"/>
        <rFont val="Calibri"/>
        <family val="2"/>
        <charset val="1"/>
      </rPr>
      <t xml:space="preserve">dist/_</t>
    </r>
    <r>
      <rPr>
        <sz val="11"/>
        <color theme="1"/>
        <rFont val="Noto Sans CJK SC"/>
        <family val="2"/>
      </rPr>
      <t xml:space="preserve">待刪除</t>
    </r>
    <r>
      <rPr>
        <sz val="11"/>
        <color theme="1"/>
        <rFont val="Calibri"/>
        <family val="2"/>
        <charset val="1"/>
      </rPr>
      <t xml:space="preserve">/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</si>
  <si>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加權目標價</t>
    </r>
  </si>
  <si>
    <t xml:space="preserve">差額</t>
  </si>
  <si>
    <r>
      <rPr>
        <b val="true"/>
        <sz val="11"/>
        <rFont val="Noto Sans CJK SC"/>
        <family val="2"/>
      </rPr>
      <t xml:space="preserve">拆解（</t>
    </r>
    <r>
      <rPr>
        <b val="true"/>
        <sz val="11"/>
        <rFont val="Cambria"/>
        <family val="0"/>
        <charset val="1"/>
      </rPr>
      <t xml:space="preserve">(a)–(d) </t>
    </r>
    <r>
      <rPr>
        <b val="true"/>
        <sz val="11"/>
        <rFont val="Noto Sans CJK SC"/>
        <family val="2"/>
      </rPr>
      <t xml:space="preserve">為重算快照：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頁「基準差」＝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時有效；</t>
    </r>
    <r>
      <rPr>
        <b val="true"/>
        <sz val="11"/>
        <rFont val="Cambria"/>
        <family val="0"/>
        <charset val="1"/>
      </rPr>
      <t xml:space="preserve">(e) </t>
    </r>
    <r>
      <rPr>
        <b val="true"/>
        <sz val="11"/>
        <rFont val="Noto Sans CJK SC"/>
        <family val="2"/>
      </rPr>
      <t xml:space="preserve">不影響目標價；</t>
    </r>
    <r>
      <rPr>
        <b val="true"/>
        <sz val="11"/>
        <rFont val="Cambria"/>
        <family val="0"/>
        <charset val="1"/>
      </rPr>
      <t xml:space="preserve">(f) </t>
    </r>
    <r>
      <rPr>
        <b val="true"/>
        <sz val="11"/>
        <rFont val="Noto Sans CJK SC"/>
        <family val="2"/>
      </rPr>
      <t xml:space="preserve">為活公式）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</si>
  <si>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時間推移：評價日 </t>
    </r>
    <r>
      <rPr>
        <sz val="11"/>
        <color theme="1"/>
        <rFont val="Calibri"/>
        <family val="2"/>
        <charset val="1"/>
      </rPr>
      <t xml:space="preserve">2026-06-30 → 09-30</t>
    </r>
    <r>
      <rPr>
        <sz val="11"/>
        <color theme="1"/>
        <rFont val="Noto Sans CJK SC"/>
        <family val="2"/>
      </rPr>
      <t xml:space="preserve">、目標日 </t>
    </r>
    <r>
      <rPr>
        <sz val="11"/>
        <color theme="1"/>
        <rFont val="Calibri"/>
        <family val="2"/>
        <charset val="1"/>
      </rPr>
      <t xml:space="preserve">2027-10-27 → 10-29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的模型值）</t>
    </r>
  </si>
  <si>
    <r>
      <rPr>
        <sz val="11"/>
        <color theme="1"/>
        <rFont val="Noto Sans CJK SC"/>
        <family val="2"/>
      </rPr>
      <t xml:space="preserve">重算快照：</t>
    </r>
    <r>
      <rPr>
        <sz val="11"/>
        <color theme="1"/>
        <rFont val="Calibri"/>
        <family val="2"/>
        <charset val="1"/>
      </rPr>
      <t xml:space="preserve">S1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261.1767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rf=0.05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px_val=316.8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tpu_f=1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tpu_cf=1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pace=4159.67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cip_it=0.6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__q3cf=1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cash_0=174.4103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debt_0=125.085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sh_out=12.23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sh_basic_q2=12.151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sh_dil_q2=12.33997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</si>
  <si>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新季實績：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實績取代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模型值（分部營收與利益、折舊、現金、債務、股數、在建工程、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、未分攤費用率、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率）</t>
    </r>
  </si>
  <si>
    <r>
      <rPr>
        <sz val="11"/>
        <color theme="1"/>
        <rFont val="Noto Sans CJK SC"/>
        <family val="2"/>
      </rPr>
      <t xml:space="preserve">重算快照：</t>
    </r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254.3217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rf=0.05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px_val=316.8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tpu_f=1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tpu_cf=1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pace=4159.67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cip_it=0.6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</si>
  <si>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(c) </t>
    </r>
    <r>
      <rPr>
        <sz val="11"/>
        <color theme="1"/>
        <rFont val="Noto Sans CJK SC"/>
        <family val="2"/>
      </rPr>
      <t xml:space="preserve">公司指引與 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資本支出指引維持 </t>
    </r>
    <r>
      <rPr>
        <sz val="11"/>
        <color theme="1"/>
        <rFont val="Calibri"/>
        <family val="2"/>
        <charset val="1"/>
      </rPr>
      <t xml:space="preserve">195–205 → pace </t>
    </r>
    <r>
      <rPr>
        <sz val="11"/>
        <color theme="1"/>
        <rFont val="Noto Sans CJK SC"/>
        <family val="2"/>
      </rPr>
      <t xml:space="preserve">重解（舊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口徑）、伺服器與網通占比 </t>
    </r>
    <r>
      <rPr>
        <sz val="11"/>
        <color theme="1"/>
        <rFont val="Calibri"/>
        <family val="2"/>
        <charset val="1"/>
      </rPr>
      <t xml:space="preserve">60% → 65%</t>
    </r>
  </si>
  <si>
    <r>
      <rPr>
        <sz val="11"/>
        <color theme="1"/>
        <rFont val="Noto Sans CJK SC"/>
        <family val="2"/>
      </rPr>
      <t xml:space="preserve">重算快照：</t>
    </r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255.5430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rf=0.05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px_val=316.8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tpu_f=1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tpu_cf=1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pace=5208.6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</si>
  <si>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(d) Tokenomics v21.4 → v21.7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係數 </t>
    </r>
    <r>
      <rPr>
        <sz val="11"/>
        <color theme="1"/>
        <rFont val="Calibri"/>
        <family val="2"/>
        <charset val="1"/>
      </rPr>
      <t xml:space="preserve">1.0 → IF_NonNV_Hold_TPU 0.70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隨之重解）</t>
    </r>
  </si>
  <si>
    <r>
      <rPr>
        <sz val="11"/>
        <color theme="1"/>
        <rFont val="Noto Sans CJK SC"/>
        <family val="2"/>
      </rPr>
      <t xml:space="preserve">重算快照：</t>
    </r>
    <r>
      <rPr>
        <sz val="11"/>
        <color theme="1"/>
        <rFont val="Calibri"/>
        <family val="2"/>
        <charset val="1"/>
      </rPr>
      <t xml:space="preserve">S4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258.3345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rf=0.05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px_val=316.8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</si>
  <si>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(e) </t>
    </r>
    <r>
      <rPr>
        <sz val="11"/>
        <color theme="1"/>
        <rFont val="Noto Sans CJK SC"/>
        <family val="2"/>
      </rPr>
      <t xml:space="preserve">現價與共識：現價 </t>
    </r>
    <r>
      <rPr>
        <sz val="11"/>
        <color theme="1"/>
        <rFont val="Calibri"/>
        <family val="2"/>
        <charset val="1"/>
      </rPr>
      <t xml:space="preserve">316.80 → 324.89</t>
    </r>
    <r>
      <rPr>
        <sz val="11"/>
        <color theme="1"/>
        <rFont val="Noto Sans CJK SC"/>
        <family val="2"/>
      </rPr>
      <t xml:space="preserve">、共識 </t>
    </r>
    <r>
      <rPr>
        <sz val="11"/>
        <color theme="1"/>
        <rFont val="Calibri"/>
        <family val="2"/>
        <charset val="1"/>
      </rPr>
      <t xml:space="preserve">429.12 </t>
    </r>
    <r>
      <rPr>
        <sz val="11"/>
        <color theme="1"/>
        <rFont val="Noto Sans CJK SC"/>
        <family val="2"/>
      </rPr>
      <t xml:space="preserve">不變（只影響上檔空間與評等，不影響目標價）</t>
    </r>
  </si>
  <si>
    <r>
      <rPr>
        <sz val="11"/>
        <color theme="1"/>
        <rFont val="Calibri"/>
        <family val="2"/>
        <charset val="1"/>
      </rPr>
      <t xml:space="preserve">(f) </t>
    </r>
    <r>
      <rPr>
        <sz val="11"/>
        <color theme="1"/>
        <rFont val="Noto Sans CJK SC"/>
        <family val="2"/>
      </rPr>
      <t xml:space="preserve">其他：無風險利率 </t>
    </r>
    <r>
      <rPr>
        <sz val="11"/>
        <color theme="1"/>
        <rFont val="Calibri"/>
        <family val="2"/>
        <charset val="1"/>
      </rPr>
      <t xml:space="preserve">5.00% → 4.99%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權益權重改用評價日股價 </t>
    </r>
    <r>
      <rPr>
        <sz val="11"/>
        <color theme="1"/>
        <rFont val="Calibri"/>
        <family val="2"/>
        <charset val="1"/>
      </rPr>
      <t xml:space="preserve">344.08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用現價 </t>
    </r>
    <r>
      <rPr>
        <sz val="11"/>
        <color theme="1"/>
        <rFont val="Calibri"/>
        <family val="2"/>
        <charset val="1"/>
      </rPr>
      <t xml:space="preserve">316.80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</si>
  <si>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活公式：本版目標價 − </t>
    </r>
    <r>
      <rPr>
        <sz val="11"/>
        <color theme="1"/>
        <rFont val="Calibri"/>
        <family val="2"/>
        <charset val="1"/>
      </rPr>
      <t xml:space="preserve">S4 </t>
    </r>
    <r>
      <rPr>
        <sz val="11"/>
        <color theme="1"/>
        <rFont val="Noto Sans CJK SC"/>
        <family val="2"/>
      </rPr>
      <t xml:space="preserve">快照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</si>
  <si>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＋…＋</t>
    </r>
    <r>
      <rPr>
        <sz val="11"/>
        <color theme="1"/>
        <rFont val="Calibri"/>
        <family val="2"/>
        <charset val="1"/>
      </rPr>
      <t xml:space="preserve">(f) − </t>
    </r>
    <r>
      <rPr>
        <sz val="11"/>
        <color theme="1"/>
        <rFont val="Noto Sans CJK SC"/>
        <family val="2"/>
      </rPr>
      <t xml:space="preserve">差額（應為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</si>
  <si>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一次改一個輸入（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頁低／高值），整本活頁簿以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CJK SC"/>
        <family val="2"/>
      </rPr>
      <t xml:space="preserve">重算後的加權目標價（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頁「目標價（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加權）」）；由 </t>
    </r>
    <r>
      <rPr>
        <sz val="11"/>
        <color theme="1"/>
        <rFont val="Calibri"/>
        <family val="2"/>
        <charset val="1"/>
      </rPr>
      <t xml:space="preserve">alphabet/make_v03.sh </t>
    </r>
    <r>
      <rPr>
        <sz val="11"/>
        <color theme="1"/>
        <rFont val="Noto Sans CJK SC"/>
        <family val="2"/>
      </rPr>
      <t xml:space="preserve">產生，建置時寫入（數值）</t>
    </r>
  </si>
  <si>
    <r>
      <rPr>
        <sz val="11"/>
        <color theme="1"/>
        <rFont val="Noto Sans CJK SC"/>
        <family val="2"/>
      </rPr>
      <t xml:space="preserve">相對基準＝情境目標價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基準加權目標價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；龍捲風依絕對值排序（</t>
    </r>
    <r>
      <rPr>
        <sz val="11"/>
        <color theme="1"/>
        <rFont val="Calibri"/>
        <family val="2"/>
        <charset val="1"/>
      </rPr>
      <t xml:space="preserve">HTML</t>
    </r>
    <r>
      <rPr>
        <sz val="11"/>
        <color theme="1"/>
        <rFont val="Noto Sans CJK SC"/>
        <family val="2"/>
      </rPr>
      <t xml:space="preserve">）。基準與各案例的其他輸入相同。</t>
    </r>
    <r>
      <rPr>
        <sz val="11"/>
        <color theme="1"/>
        <rFont val="Calibri"/>
        <family val="2"/>
        <charset val="1"/>
      </rPr>
      <t xml:space="preserve">v0.3.3 </t>
    </r>
    <r>
      <rPr>
        <sz val="11"/>
        <color theme="1"/>
        <rFont val="Noto Sans CJK SC"/>
        <family val="2"/>
      </rPr>
      <t xml:space="preserve">起依個股模型原則第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頁每個有低／高的鍵都有案例（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欄「鍵」），</t>
    </r>
    <r>
      <rPr>
        <sz val="11"/>
        <color theme="1"/>
        <rFont val="Calibri"/>
        <family val="2"/>
        <charset val="1"/>
      </rPr>
      <t xml:space="preserve">IF_HoldEcon </t>
    </r>
    <r>
      <rPr>
        <sz val="11"/>
        <color theme="1"/>
        <rFont val="Noto Sans CJK SC"/>
        <family val="2"/>
      </rPr>
      <t xml:space="preserve">四世代同時一案（</t>
    </r>
    <r>
      <rPr>
        <sz val="11"/>
        <color theme="1"/>
        <rFont val="Calibri"/>
        <family val="2"/>
        <charset val="1"/>
      </rPr>
      <t xml:space="preserve">he_all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c_eps26_sa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）只作對照，不進模型（只被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引用），故無案例。</t>
    </r>
    <r>
      <rPr>
        <sz val="11"/>
        <color theme="1"/>
        <rFont val="Calibri"/>
        <family val="2"/>
        <charset val="1"/>
      </rPr>
      <t xml:space="preserve">svc_sh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增量成本歸 </t>
    </r>
    <r>
      <rPr>
        <sz val="11"/>
        <color theme="1"/>
        <rFont val="Calibri"/>
        <family val="2"/>
        <charset val="1"/>
      </rPr>
      <t xml:space="preserve">Google Services </t>
    </r>
    <r>
      <rPr>
        <sz val="11"/>
        <color theme="1"/>
        <rFont val="Noto Sans CJK SC"/>
        <family val="2"/>
      </rPr>
      <t xml:space="preserve">的比例）不列：只在 </t>
    </r>
    <r>
      <rPr>
        <sz val="11"/>
        <color theme="1"/>
        <rFont val="Calibri"/>
        <family val="2"/>
        <charset val="1"/>
      </rPr>
      <t xml:space="preserve">Services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層級之間分配，合併損益與評價都用合計，重算變動為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258.2100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258.2100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m_yt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YouTube ads EBITDA </t>
    </r>
    <r>
      <rPr>
        <sz val="11"/>
        <color theme="1"/>
        <rFont val="Noto Sans CJK SC"/>
        <family val="2"/>
      </rPr>
      <t xml:space="preserve">率）不列：只在 </t>
    </r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之間拆分 </t>
    </r>
    <r>
      <rPr>
        <sz val="11"/>
        <color theme="1"/>
        <rFont val="Calibri"/>
        <family val="2"/>
        <charset val="1"/>
      </rPr>
      <t xml:space="preserve">Services </t>
    </r>
    <r>
      <rPr>
        <sz val="11"/>
        <color theme="1"/>
        <rFont val="Noto Sans CJK SC"/>
        <family val="2"/>
      </rPr>
      <t xml:space="preserve">分部利益（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Noto Sans CJK SC"/>
        <family val="2"/>
      </rPr>
      <t xml:space="preserve">＝殘差），兩者同用廣告倍數，重算變動為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258.2100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258.2100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ob_oi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Other Bets </t>
    </r>
    <r>
      <rPr>
        <sz val="11"/>
        <color theme="1"/>
        <rFont val="Noto Sans CJK SC"/>
        <family val="2"/>
      </rPr>
      <t xml:space="preserve">營業利益）不列：重算變動 </t>
    </r>
    <r>
      <rPr>
        <sz val="11"/>
        <color theme="1"/>
        <rFont val="Calibri"/>
        <family val="2"/>
        <charset val="1"/>
      </rPr>
      <t xml:space="preserve">±0.0002%</t>
    </r>
    <r>
      <rPr>
        <sz val="11"/>
        <color theme="1"/>
        <rFont val="Noto Sans CJK SC"/>
        <family val="2"/>
      </rPr>
      <t xml:space="preserve">，小於 </t>
    </r>
    <r>
      <rPr>
        <sz val="11"/>
        <color theme="1"/>
        <rFont val="Calibri"/>
        <family val="2"/>
        <charset val="1"/>
      </rPr>
      <t xml:space="preserve">0.001%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258.2095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258.2105</t>
    </r>
    <r>
      <rPr>
        <sz val="11"/>
        <color theme="1"/>
        <rFont val="Noto Sans CJK SC"/>
        <family val="2"/>
      </rPr>
      <t xml:space="preserve">）</t>
    </r>
  </si>
  <si>
    <t xml:space="preserve">驅動</t>
  </si>
  <si>
    <t xml:space="preserve">設定</t>
  </si>
  <si>
    <t xml:space="preserve">方向</t>
  </si>
  <si>
    <t xml:space="preserve">加權目標價</t>
  </si>
  <si>
    <t xml:space="preserve">相對基準</t>
  </si>
  <si>
    <r>
      <rPr>
        <b val="true"/>
        <sz val="11"/>
        <rFont val="Noto Sans CJK SC"/>
        <family val="2"/>
      </rPr>
      <t xml:space="preserve">收支關卡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（五年）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</si>
  <si>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資本支出（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</si>
  <si>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（只計成本；</t>
    </r>
    <r>
      <rPr>
        <sz val="11"/>
        <color theme="1"/>
        <rFont val="Calibri"/>
        <family val="2"/>
        <charset val="1"/>
      </rPr>
      <t xml:space="preserve">C16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</si>
  <si>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→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</si>
  <si>
    <t xml:space="preserve">低</t>
  </si>
  <si>
    <r>
      <rPr>
        <sz val="11"/>
        <color theme="1"/>
        <rFont val="Noto Sans CJK SC"/>
        <family val="2"/>
      </rPr>
      <t xml:space="preserve">重算值（</t>
    </r>
    <r>
      <rPr>
        <sz val="11"/>
        <color theme="1"/>
        <rFont val="Calibri"/>
        <family val="2"/>
        <charset val="1"/>
      </rPr>
      <t xml:space="preserve">make_v03.sh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</si>
  <si>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對外比例（</t>
    </r>
    <r>
      <rPr>
        <sz val="11"/>
        <color theme="1"/>
        <rFont val="Calibri"/>
        <family val="2"/>
        <charset val="1"/>
      </rPr>
      <t xml:space="preserve">C23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</si>
  <si>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±20pt</t>
    </r>
    <r>
      <rPr>
        <sz val="11"/>
        <color theme="1"/>
        <rFont val="Noto Sans CJK SC"/>
        <family val="2"/>
      </rPr>
      <t xml:space="preserve">；總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不變）</t>
    </r>
  </si>
  <si>
    <r>
      <rPr>
        <sz val="11"/>
        <color theme="1"/>
        <rFont val="Noto Sans CJK SC"/>
        <family val="2"/>
      </rPr>
      <t xml:space="preserve">對外比例（</t>
    </r>
    <r>
      <rPr>
        <sz val="11"/>
        <color theme="1"/>
        <rFont val="Calibri"/>
        <family val="2"/>
        <charset val="1"/>
      </rPr>
      <t xml:space="preserve">C23</t>
    </r>
    <r>
      <rPr>
        <sz val="11"/>
        <color theme="1"/>
        <rFont val="Noto Sans CJK SC"/>
        <family val="2"/>
      </rPr>
      <t xml:space="preserve">）：高</t>
    </r>
  </si>
  <si>
    <t xml:space="preserve">高</t>
  </si>
  <si>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新增速度：低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</si>
  <si>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× 2/3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 1.5</t>
    </r>
  </si>
  <si>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新增速度：高</t>
    </r>
  </si>
  <si>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校準視窗改用下半年（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 </t>
    </r>
    <r>
      <rPr>
        <sz val="11"/>
        <color theme="1"/>
        <rFont val="Calibri"/>
        <family val="2"/>
        <charset val="1"/>
      </rPr>
      <t xml:space="preserve">× 2</t>
    </r>
    <r>
      <rPr>
        <sz val="11"/>
        <color theme="1"/>
        <rFont val="Noto Sans CJK SC"/>
        <family val="2"/>
      </rPr>
      <t xml:space="preserve">＝指引 − 上半年）：高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</si>
  <si>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 →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平均季速：速度 </t>
    </r>
    <r>
      <rPr>
        <sz val="11"/>
        <color theme="1"/>
        <rFont val="Calibri"/>
        <family val="2"/>
        <charset val="1"/>
      </rPr>
      <t xml:space="preserve">6,228.3 → 5,291.7</t>
    </r>
  </si>
  <si>
    <t xml:space="preserve">c10_win</t>
  </si>
  <si>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指引取區間兩端（</t>
    </r>
    <r>
      <rPr>
        <sz val="11"/>
        <color theme="1"/>
        <rFont val="Calibri"/>
        <family val="2"/>
        <charset val="1"/>
      </rPr>
      <t xml:space="preserve">195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205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</si>
  <si>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200 → 195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205</t>
    </r>
    <r>
      <rPr>
        <sz val="11"/>
        <color theme="1"/>
        <rFont val="Noto Sans CJK SC"/>
        <family val="2"/>
      </rPr>
      <t xml:space="preserve">：速度 </t>
    </r>
    <r>
      <rPr>
        <sz val="11"/>
        <color theme="1"/>
        <rFont val="Calibri"/>
        <family val="2"/>
        <charset val="1"/>
      </rPr>
      <t xml:space="preserve">5,667.2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6,789.5</t>
    </r>
  </si>
  <si>
    <t xml:space="preserve">c10_g capex_g</t>
  </si>
  <si>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指引取區間兩端（</t>
    </r>
    <r>
      <rPr>
        <sz val="11"/>
        <color theme="1"/>
        <rFont val="Calibri"/>
        <family val="2"/>
        <charset val="1"/>
      </rPr>
      <t xml:space="preserve">195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205</t>
    </r>
    <r>
      <rPr>
        <sz val="11"/>
        <color theme="1"/>
        <rFont val="Noto Sans CJK SC"/>
        <family val="2"/>
      </rPr>
      <t xml:space="preserve">）：高</t>
    </r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</si>
  <si>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：長約價格（低＝判斷倍數 </t>
    </r>
    <r>
      <rPr>
        <sz val="11"/>
        <color theme="1"/>
        <rFont val="Calibri"/>
        <family val="2"/>
        <charset val="1"/>
      </rPr>
      <t xml:space="preserve">0.60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</si>
  <si>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Noto Sans CJK SC"/>
        <family val="2"/>
      </rPr>
      <t xml:space="preserve">長約 </t>
    </r>
    <r>
      <rPr>
        <sz val="11"/>
        <color theme="1"/>
        <rFont val="Calibri"/>
        <family val="2"/>
        <charset val="1"/>
      </rPr>
      <t xml:space="preserve">0.75 → 0.60</t>
    </r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</si>
  <si>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：現貨價格（高＝</t>
    </r>
    <r>
      <rPr>
        <sz val="11"/>
        <color theme="1"/>
        <rFont val="Calibri"/>
        <family val="2"/>
        <charset val="1"/>
      </rPr>
      <t xml:space="preserve">GCP </t>
    </r>
    <r>
      <rPr>
        <sz val="11"/>
        <color theme="1"/>
        <rFont val="Noto Sans CJK SC"/>
        <family val="2"/>
      </rPr>
      <t xml:space="preserve">牌價）：高</t>
    </r>
  </si>
  <si>
    <t xml:space="preserve">2.82 → 4.858 US$/GPU-hr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</si>
  <si>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係數（收入與資本支出雙邊；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低端／舊 </t>
    </r>
    <r>
      <rPr>
        <sz val="11"/>
        <color theme="1"/>
        <rFont val="Calibri"/>
        <family val="2"/>
        <charset val="1"/>
      </rPr>
      <t xml:space="preserve">C2 </t>
    </r>
    <r>
      <rPr>
        <sz val="11"/>
        <color theme="1"/>
        <rFont val="Noto Sans CJK SC"/>
        <family val="2"/>
      </rPr>
      <t xml:space="preserve">口徑）：低</t>
    </r>
  </si>
  <si>
    <r>
      <rPr>
        <sz val="11"/>
        <color theme="1"/>
        <rFont val="Calibri"/>
        <family val="2"/>
        <charset val="1"/>
      </rPr>
      <t xml:space="preserve">0.70 → 0.65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（同時改 </t>
    </r>
    <r>
      <rPr>
        <sz val="11"/>
        <color theme="1"/>
        <rFont val="Calibri"/>
        <family val="2"/>
        <charset val="1"/>
      </rPr>
      <t xml:space="preserve">tpu_cf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不重解）</t>
    </r>
  </si>
  <si>
    <t xml:space="preserve">tpu_f tpu_cf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</si>
  <si>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係數（收入與資本支出雙邊；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低端／舊 </t>
    </r>
    <r>
      <rPr>
        <sz val="11"/>
        <color theme="1"/>
        <rFont val="Calibri"/>
        <family val="2"/>
        <charset val="1"/>
      </rPr>
      <t xml:space="preserve">C2 </t>
    </r>
    <r>
      <rPr>
        <sz val="11"/>
        <color theme="1"/>
        <rFont val="Noto Sans CJK SC"/>
        <family val="2"/>
      </rPr>
      <t xml:space="preserve">口徑）：高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</si>
  <si>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收入係數改用產出比（資本支出仍用持有比）：高</t>
    </r>
  </si>
  <si>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0.70 → IF_NonNV_Out_TPU 0.80</t>
    </r>
  </si>
  <si>
    <t xml:space="preserve">tpu_fo</t>
  </si>
  <si>
    <t xml:space="preserve">評價日在建工程推估：低</t>
  </si>
  <si>
    <r>
      <rPr>
        <sz val="11"/>
        <color theme="1"/>
        <rFont val="Calibri"/>
        <family val="2"/>
        <charset val="1"/>
      </rPr>
      <t xml:space="preserve">142.6 → 122.8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值）／</t>
    </r>
    <r>
      <rPr>
        <sz val="11"/>
        <color theme="1"/>
        <rFont val="Calibri"/>
        <family val="2"/>
        <charset val="1"/>
      </rPr>
      <t xml:space="preserve">160</t>
    </r>
  </si>
  <si>
    <t xml:space="preserve">評價日在建工程推估：高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</si>
  <si>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層級未分攤費用率：低</t>
    </r>
  </si>
  <si>
    <r>
      <rPr>
        <sz val="11"/>
        <color theme="1"/>
        <rFont val="Calibri"/>
        <family val="2"/>
        <charset val="1"/>
      </rPr>
      <t xml:space="preserve">6.0% → 4.83%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6.5%</t>
    </r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</si>
  <si>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層級未分攤費用率：高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</si>
  <si>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折舊年限：低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</si>
  <si>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</si>
  <si>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折舊年限：高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</si>
  <si>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分流幅度：低</t>
    </r>
  </si>
  <si>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（只影響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情境）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</si>
  <si>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分流幅度：高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</si>
  <si>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長期成長：低</t>
    </r>
  </si>
  <si>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11%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</si>
  <si>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長期成長：高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</si>
  <si>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起始年增改用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單季：高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</si>
  <si>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+16.1% →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+12.0%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</si>
  <si>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差額增量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率：低</t>
    </r>
  </si>
  <si>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</si>
  <si>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Search </t>
    </r>
    <r>
      <rPr>
        <sz val="11"/>
        <color theme="1"/>
        <rFont val="Noto Sans CJK SC"/>
        <family val="2"/>
      </rPr>
      <t xml:space="preserve">差額增量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率：高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</si>
  <si>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其他長期成長：低</t>
    </r>
  </si>
  <si>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</si>
  <si>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其他長期成長：高</t>
    </r>
  </si>
  <si>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長期成長：低</t>
    </r>
  </si>
  <si>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長期成長：高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</si>
  <si>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</si>
  <si>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−1pt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</si>
  <si>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</si>
  <si>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調整後的單一來源）：低</t>
    </r>
  </si>
  <si>
    <r>
      <rPr>
        <sz val="11"/>
        <color theme="1"/>
        <rFont val="Calibri"/>
        <family val="2"/>
        <charset val="1"/>
      </rPr>
      <t xml:space="preserve">1.141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1.246</t>
    </r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</si>
  <si>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調整後的單一來源）：高</t>
    </r>
  </si>
  <si>
    <t xml:space="preserve">股權風險溢酬：低</t>
  </si>
  <si>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6%</t>
    </r>
  </si>
  <si>
    <t xml:space="preserve">股權風險溢酬：高</t>
  </si>
  <si>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</si>
  <si>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</si>
  <si>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</si>
  <si>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</si>
  <si>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 → 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</si>
  <si>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終值改用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自由現金流：高</t>
    </r>
  </si>
  <si>
    <r>
      <rPr>
        <sz val="11"/>
        <color theme="1"/>
        <rFont val="Noto Sans CJK SC"/>
        <family val="2"/>
      </rPr>
      <t xml:space="preserve">價值驅動 → </t>
    </r>
    <r>
      <rPr>
        <sz val="11"/>
        <color theme="1"/>
        <rFont val="Calibri"/>
        <family val="2"/>
        <charset val="1"/>
      </rPr>
      <t xml:space="preserve">UFCF 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</si>
  <si>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系統銷售倍數：低</t>
    </r>
  </si>
  <si>
    <r>
      <rPr>
        <sz val="11"/>
        <color theme="1"/>
        <rFont val="Calibri"/>
        <family val="2"/>
        <charset val="1"/>
      </rPr>
      <t xml:space="preserve">4×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10×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</si>
  <si>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系統銷售倍數：高</t>
    </r>
  </si>
  <si>
    <r>
      <rPr>
        <sz val="11"/>
        <color theme="1"/>
        <rFont val="Noto Sans CJK SC"/>
        <family val="2"/>
      </rPr>
      <t xml:space="preserve">搜尋／</t>
    </r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倍數：六家中位數 </t>
    </r>
    <r>
      <rPr>
        <sz val="11"/>
        <color theme="1"/>
        <rFont val="Calibri"/>
        <family val="2"/>
        <charset val="1"/>
      </rPr>
      <t xml:space="preserve">9.11×</t>
    </r>
    <r>
      <rPr>
        <sz val="11"/>
        <color theme="1"/>
        <rFont val="Noto Sans CJK SC"/>
        <family val="2"/>
      </rPr>
      <t xml:space="preserve">：低</t>
    </r>
  </si>
  <si>
    <t xml:space="preserve">META 10.79× → 9.11×</t>
  </si>
  <si>
    <r>
      <rPr>
        <sz val="11"/>
        <color theme="1"/>
        <rFont val="Noto Sans CJK SC"/>
        <family val="2"/>
      </rPr>
      <t xml:space="preserve">搜尋／</t>
    </r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14.68×</t>
    </r>
    <r>
      <rPr>
        <sz val="11"/>
        <color theme="1"/>
        <rFont val="Noto Sans CJK SC"/>
        <family val="2"/>
      </rPr>
      <t xml:space="preserve">：高</t>
    </r>
  </si>
  <si>
    <t xml:space="preserve">META 10.79× → 14.68×</t>
  </si>
  <si>
    <t xml:space="preserve">非上市持股折價：低</t>
  </si>
  <si>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40%</t>
    </r>
  </si>
  <si>
    <t xml:space="preserve">非上市持股折價：高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</si>
  <si>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權重：低</t>
    </r>
  </si>
  <si>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</si>
  <si>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權重：高</t>
    </r>
  </si>
  <si>
    <t xml:space="preserve">回購目標：低</t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</si>
  <si>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45.7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全年）</t>
    </r>
  </si>
  <si>
    <t xml:space="preserve">回購目標：高</t>
  </si>
  <si>
    <t xml:space="preserve">分部利益率起點改用近四季：高</t>
  </si>
  <si>
    <r>
      <rPr>
        <sz val="11"/>
        <color theme="1"/>
        <rFont val="Calibri"/>
        <family val="2"/>
        <charset val="1"/>
      </rPr>
      <t xml:space="preserve">9M26 → </t>
    </r>
    <r>
      <rPr>
        <sz val="11"/>
        <color theme="1"/>
        <rFont val="Noto Sans CJK SC"/>
        <family val="2"/>
      </rPr>
      <t xml:space="preserve">近四季（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</si>
  <si>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加回股權報酬：高</t>
    </r>
  </si>
  <si>
    <t xml:space="preserve">不加回 → 加回（稅後）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</si>
  <si>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持有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比例：低</t>
    </r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</si>
  <si>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持有 </t>
    </r>
    <r>
      <rPr>
        <sz val="11"/>
        <color theme="1"/>
        <rFont val="Calibri"/>
        <family val="2"/>
        <charset val="1"/>
      </rPr>
      <t xml:space="preserve">Waymo </t>
    </r>
    <r>
      <rPr>
        <sz val="11"/>
        <color theme="1"/>
        <rFont val="Noto Sans CJK SC"/>
        <family val="2"/>
      </rPr>
      <t xml:space="preserve">比例：高</t>
    </r>
  </si>
  <si>
    <t xml:space="preserve">資本支出延後一年折舊（修正二口徑）：高</t>
  </si>
  <si>
    <r>
      <rPr>
        <sz val="11"/>
        <color theme="1"/>
        <rFont val="Noto Sans CJK SC"/>
        <family val="2"/>
      </rPr>
      <t xml:space="preserve">時間差 </t>
    </r>
    <r>
      <rPr>
        <sz val="11"/>
        <color theme="1"/>
        <rFont val="Calibri"/>
        <family val="2"/>
        <charset val="1"/>
      </rPr>
      <t xml:space="preserve">0 → 1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</si>
  <si>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IF_HoldEcon </t>
    </r>
    <r>
      <rPr>
        <sz val="11"/>
        <color theme="1"/>
        <rFont val="Noto Sans CJK SC"/>
        <family val="2"/>
      </rPr>
      <t xml:space="preserve">四世代同時取低／高（每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的分母同步變動）：低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</si>
  <si>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低成本／高成本欄（</t>
    </r>
    <r>
      <rPr>
        <sz val="11"/>
        <color theme="1"/>
        <rFont val="Calibri"/>
        <family val="2"/>
        <charset val="1"/>
      </rPr>
      <t xml:space="preserve">he_h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he_b2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he_b3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he_vr </t>
    </r>
    <r>
      <rPr>
        <sz val="11"/>
        <color theme="1"/>
        <rFont val="Noto Sans CJK SC"/>
        <family val="2"/>
      </rPr>
      <t xml:space="preserve">同時；</t>
    </r>
    <r>
      <rPr>
        <sz val="11"/>
        <color theme="1"/>
        <rFont val="Calibri"/>
        <family val="2"/>
        <charset val="1"/>
      </rPr>
      <t xml:space="preserve">GB300 10.89 → 8.43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18.53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不重解）</t>
    </r>
  </si>
  <si>
    <t xml:space="preserve">he_all</t>
  </si>
  <si>
    <r>
      <rPr>
        <sz val="11"/>
        <color theme="1"/>
        <rFont val="Calibri"/>
        <family val="2"/>
        <charset val="1"/>
      </rPr>
      <t xml:space="preserve">IF_HoldEcon </t>
    </r>
    <r>
      <rPr>
        <sz val="11"/>
        <color theme="1"/>
        <rFont val="Noto Sans CJK SC"/>
        <family val="2"/>
      </rPr>
      <t xml:space="preserve">四世代同時取低／高（每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的分母同步變動）：高</t>
    </r>
  </si>
  <si>
    <r>
      <rPr>
        <sz val="11"/>
        <color theme="1"/>
        <rFont val="Calibri"/>
        <family val="2"/>
        <charset val="1"/>
      </rPr>
      <t xml:space="preserve">Tokenomics IF_NonNV_Hold_TPU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tpu_f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tpu_cf </t>
    </r>
    <r>
      <rPr>
        <sz val="11"/>
        <color theme="1"/>
        <rFont val="Noto Sans CJK SC"/>
        <family val="2"/>
      </rPr>
      <t xml:space="preserve">同時跟隨）：低</t>
    </r>
  </si>
  <si>
    <r>
      <rPr>
        <sz val="11"/>
        <color theme="1"/>
        <rFont val="Calibri"/>
        <family val="2"/>
        <charset val="1"/>
      </rPr>
      <t xml:space="preserve">0.7 → 0.65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不重解）</t>
    </r>
  </si>
  <si>
    <r>
      <rPr>
        <sz val="11"/>
        <color theme="1"/>
        <rFont val="Calibri"/>
        <family val="2"/>
        <charset val="1"/>
      </rPr>
      <t xml:space="preserve">Tokenomics IF_NonNV_Hold_TPU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tpu_f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tpu_cf </t>
    </r>
    <r>
      <rPr>
        <sz val="11"/>
        <color theme="1"/>
        <rFont val="Noto Sans CJK SC"/>
        <family val="2"/>
      </rPr>
      <t xml:space="preserve">同時跟隨）：高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</si>
  <si>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收入係數改用產出比低／高端（資本支出仍用持有比）：低</t>
    </r>
  </si>
  <si>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tpu_f 0.70 → IF_NonNV_Out_TPU 0.6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1.1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</si>
  <si>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收入係數改用產出比低／高端（資本支出仍用持有比）：高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</si>
  <si>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</si>
  <si>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Calibri"/>
        <family val="2"/>
        <charset val="1"/>
      </rPr>
      <t xml:space="preserve">6,337 → 5,012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7,891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不重解）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</si>
  <si>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）：高</t>
    </r>
  </si>
  <si>
    <t xml:space="preserve">長約占比：低</t>
  </si>
  <si>
    <r>
      <rPr>
        <sz val="11"/>
        <color theme="1"/>
        <rFont val="Calibri"/>
        <family val="2"/>
        <charset val="1"/>
      </rPr>
      <t xml:space="preserve">60% → 40%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80%</t>
    </r>
  </si>
  <si>
    <t xml:space="preserve">長約占比：高</t>
  </si>
  <si>
    <t xml:space="preserve">自建機房比例：低</t>
  </si>
  <si>
    <r>
      <rPr>
        <sz val="11"/>
        <color theme="1"/>
        <rFont val="Calibri"/>
        <family val="2"/>
        <charset val="1"/>
      </rPr>
      <t xml:space="preserve">85% → 75%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95%</t>
    </r>
  </si>
  <si>
    <t xml:space="preserve">自建機房比例：高</t>
  </si>
  <si>
    <t xml:space="preserve">機房折舊年限：低</t>
  </si>
  <si>
    <r>
      <rPr>
        <sz val="11"/>
        <color theme="1"/>
        <rFont val="Calibri"/>
        <family val="2"/>
        <charset val="1"/>
      </rPr>
      <t xml:space="preserve">20 → 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</si>
  <si>
    <t xml:space="preserve">機房折舊年限：高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</si>
  <si>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資本支出折舊年限：低</t>
    </r>
  </si>
  <si>
    <r>
      <rPr>
        <sz val="11"/>
        <color theme="1"/>
        <rFont val="Calibri"/>
        <family val="2"/>
        <charset val="1"/>
      </rPr>
      <t xml:space="preserve">10 → 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</si>
  <si>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資本支出折舊年限：高</t>
    </r>
  </si>
  <si>
    <t xml:space="preserve">資本支出當期折舊比例：低</t>
  </si>
  <si>
    <r>
      <rPr>
        <sz val="11"/>
        <color theme="1"/>
        <rFont val="Calibri"/>
        <family val="2"/>
        <charset val="1"/>
      </rPr>
      <t xml:space="preserve">0.25 →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</si>
  <si>
    <t xml:space="preserve">資本支出當期折舊比例：高</t>
  </si>
  <si>
    <r>
      <rPr>
        <sz val="11"/>
        <color theme="1"/>
        <rFont val="Noto Sans CJK SC"/>
        <family val="2"/>
      </rPr>
      <t xml:space="preserve">在建工程與資本支出中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占比：低</t>
    </r>
  </si>
  <si>
    <r>
      <rPr>
        <sz val="11"/>
        <color theme="1"/>
        <rFont val="Calibri"/>
        <family val="2"/>
        <charset val="1"/>
      </rPr>
      <t xml:space="preserve">65% → 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</si>
  <si>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在建工程與資本支出中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占比：高</t>
    </r>
  </si>
  <si>
    <r>
      <rPr>
        <sz val="11"/>
        <color theme="1"/>
        <rFont val="Calibri"/>
        <family val="2"/>
        <charset val="1"/>
      </rPr>
      <t xml:space="preserve">Google Network </t>
    </r>
    <r>
      <rPr>
        <sz val="11"/>
        <color theme="1"/>
        <rFont val="Noto Sans CJK SC"/>
        <family val="2"/>
      </rPr>
      <t xml:space="preserve">長期成長：低</t>
    </r>
  </si>
  <si>
    <r>
      <rPr>
        <sz val="11"/>
        <color theme="1"/>
        <rFont val="Calibri"/>
        <family val="2"/>
        <charset val="1"/>
      </rPr>
      <t xml:space="preserve">0% → -3%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3%</t>
    </r>
  </si>
  <si>
    <r>
      <rPr>
        <sz val="11"/>
        <color theme="1"/>
        <rFont val="Calibri"/>
        <family val="2"/>
        <charset val="1"/>
      </rPr>
      <t xml:space="preserve">Google Network </t>
    </r>
    <r>
      <rPr>
        <sz val="11"/>
        <color theme="1"/>
        <rFont val="Noto Sans CJK SC"/>
        <family val="2"/>
      </rPr>
      <t xml:space="preserve">長期成長：高</t>
    </r>
  </si>
  <si>
    <r>
      <rPr>
        <sz val="11"/>
        <color theme="1"/>
        <rFont val="Calibri"/>
        <family val="2"/>
        <charset val="1"/>
      </rPr>
      <t xml:space="preserve">Subscriptions, platforms, and devices </t>
    </r>
    <r>
      <rPr>
        <sz val="11"/>
        <color theme="1"/>
        <rFont val="Noto Sans CJK SC"/>
        <family val="2"/>
      </rPr>
      <t xml:space="preserve">長期成長：低</t>
    </r>
  </si>
  <si>
    <r>
      <rPr>
        <sz val="11"/>
        <color theme="1"/>
        <rFont val="Calibri"/>
        <family val="2"/>
        <charset val="1"/>
      </rPr>
      <t xml:space="preserve">10% → 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</si>
  <si>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Calibri"/>
        <family val="2"/>
        <charset val="1"/>
      </rPr>
      <t xml:space="preserve">Subscriptions, platforms, and devices </t>
    </r>
    <r>
      <rPr>
        <sz val="11"/>
        <color theme="1"/>
        <rFont val="Noto Sans CJK SC"/>
        <family val="2"/>
      </rPr>
      <t xml:space="preserve">長期成長：高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</si>
  <si>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查詢分流幅度（只影響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情境）：低</t>
    </r>
  </si>
  <si>
    <r>
      <rPr>
        <sz val="11"/>
        <color theme="1"/>
        <rFont val="Calibri"/>
        <family val="2"/>
        <charset val="1"/>
      </rPr>
      <t xml:space="preserve">-5% → -10%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</si>
  <si>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查詢分流幅度（只影響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情境）：高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</si>
  <si>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每次查詢變現變動（只影響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情境）：低</t>
    </r>
  </si>
  <si>
    <r>
      <rPr>
        <sz val="11"/>
        <color theme="1"/>
        <rFont val="Calibri"/>
        <family val="2"/>
        <charset val="1"/>
      </rPr>
      <t xml:space="preserve">10% → 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</si>
  <si>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每次查詢變現變動（只影響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情境）：高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</si>
  <si>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每次查詢變現變動（只影響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情境）：低</t>
    </r>
  </si>
  <si>
    <r>
      <rPr>
        <sz val="11"/>
        <color theme="1"/>
        <rFont val="Calibri"/>
        <family val="2"/>
        <charset val="1"/>
      </rPr>
      <t xml:space="preserve">-10% → -15%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-5%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</si>
  <si>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每次查詢變現變動（只影響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情境）：高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</si>
  <si>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 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</si>
  <si>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1 →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</si>
  <si>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 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</si>
  <si>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起每年：低</t>
    </r>
  </si>
  <si>
    <r>
      <rPr>
        <sz val="11"/>
        <color theme="1"/>
        <rFont val="Calibri"/>
        <family val="2"/>
        <charset val="1"/>
      </rPr>
      <t xml:space="preserve">13 → 6.5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19.5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</si>
  <si>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起每年：高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</si>
  <si>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率：低</t>
    </r>
  </si>
  <si>
    <r>
      <rPr>
        <sz val="11"/>
        <color theme="1"/>
        <rFont val="Calibri"/>
        <family val="2"/>
        <charset val="1"/>
      </rPr>
      <t xml:space="preserve">25% → 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</si>
  <si>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率：高</t>
    </r>
  </si>
  <si>
    <r>
      <rPr>
        <sz val="11"/>
        <color theme="1"/>
        <rFont val="Calibri"/>
        <family val="2"/>
        <charset val="1"/>
      </rPr>
      <t xml:space="preserve">Google Network EBITDA </t>
    </r>
    <r>
      <rPr>
        <sz val="11"/>
        <color theme="1"/>
        <rFont val="Noto Sans CJK SC"/>
        <family val="2"/>
      </rPr>
      <t xml:space="preserve">率：低</t>
    </r>
  </si>
  <si>
    <r>
      <rPr>
        <sz val="11"/>
        <color theme="1"/>
        <rFont val="Calibri"/>
        <family val="2"/>
        <charset val="1"/>
      </rPr>
      <t xml:space="preserve">15% → 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</si>
  <si>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Calibri"/>
        <family val="2"/>
        <charset val="1"/>
      </rPr>
      <t xml:space="preserve">Google Network EBITDA </t>
    </r>
    <r>
      <rPr>
        <sz val="11"/>
        <color theme="1"/>
        <rFont val="Noto Sans CJK SC"/>
        <family val="2"/>
      </rPr>
      <t xml:space="preserve">率：高</t>
    </r>
  </si>
  <si>
    <r>
      <rPr>
        <sz val="11"/>
        <color theme="1"/>
        <rFont val="Calibri"/>
        <family val="2"/>
        <charset val="1"/>
      </rPr>
      <t xml:space="preserve">Subscriptions, platforms, and devices EBITDA </t>
    </r>
    <r>
      <rPr>
        <sz val="11"/>
        <color theme="1"/>
        <rFont val="Noto Sans CJK SC"/>
        <family val="2"/>
      </rPr>
      <t xml:space="preserve">率：低</t>
    </r>
  </si>
  <si>
    <r>
      <rPr>
        <sz val="11"/>
        <color theme="1"/>
        <rFont val="Calibri"/>
        <family val="2"/>
        <charset val="1"/>
      </rPr>
      <t xml:space="preserve">20% → 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</si>
  <si>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Subscriptions, platforms, and devices EBITDA </t>
    </r>
    <r>
      <rPr>
        <sz val="11"/>
        <color theme="1"/>
        <rFont val="Noto Sans CJK SC"/>
        <family val="2"/>
      </rPr>
      <t xml:space="preserve">率：高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</si>
  <si>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資本支出占營收：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</si>
  <si>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6% → 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10.5%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</si>
  <si>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資本支出占營收：</t>
    </r>
    <r>
      <rPr>
        <sz val="11"/>
        <color theme="1"/>
        <rFont val="Calibri"/>
        <family val="2"/>
        <charset val="1"/>
      </rPr>
      <t xml:space="preserve">Google Services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</si>
  <si>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資本支出占營收：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其他：低</t>
    </r>
  </si>
  <si>
    <r>
      <rPr>
        <sz val="11"/>
        <color theme="1"/>
        <rFont val="Calibri"/>
        <family val="2"/>
        <charset val="1"/>
      </rPr>
      <t xml:space="preserve">20% → 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</si>
  <si>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資本支出占營收：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Noto Sans CJK SC"/>
        <family val="2"/>
      </rPr>
      <t xml:space="preserve">其他：高</t>
    </r>
  </si>
  <si>
    <t xml:space="preserve">有效稅率（預測期）：低</t>
  </si>
  <si>
    <r>
      <rPr>
        <sz val="11"/>
        <color theme="1"/>
        <rFont val="Calibri"/>
        <family val="2"/>
        <charset val="1"/>
      </rPr>
      <t xml:space="preserve">16.8% → 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19%</t>
    </r>
  </si>
  <si>
    <t xml:space="preserve">有效稅率（預測期）：高</t>
  </si>
  <si>
    <t xml:space="preserve">股數年稀釋：低</t>
  </si>
  <si>
    <r>
      <rPr>
        <sz val="11"/>
        <color theme="1"/>
        <rFont val="Calibri"/>
        <family val="2"/>
        <charset val="1"/>
      </rPr>
      <t xml:space="preserve">1% → 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1.5%</t>
    </r>
  </si>
  <si>
    <t xml:space="preserve">股數年稀釋：高</t>
  </si>
  <si>
    <r>
      <rPr>
        <sz val="11"/>
        <color theme="1"/>
        <rFont val="Noto Sans CJK SC"/>
        <family val="2"/>
      </rPr>
      <t xml:space="preserve">營運資金變動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營收增量：低</t>
    </r>
  </si>
  <si>
    <r>
      <rPr>
        <sz val="11"/>
        <color theme="1"/>
        <rFont val="Calibri"/>
        <family val="2"/>
        <charset val="1"/>
      </rPr>
      <t xml:space="preserve">1.17% → 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</si>
  <si>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Noto Sans CJK SC"/>
        <family val="2"/>
      </rPr>
      <t xml:space="preserve">營運資金變動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營收增量：高</t>
    </r>
  </si>
  <si>
    <r>
      <rPr>
        <sz val="11"/>
        <color theme="1"/>
        <rFont val="Calibri"/>
        <family val="2"/>
        <charset val="1"/>
      </rPr>
      <t xml:space="preserve">AA </t>
    </r>
    <r>
      <rPr>
        <sz val="11"/>
        <color theme="1"/>
        <rFont val="Noto Sans CJK SC"/>
        <family val="2"/>
      </rPr>
      <t xml:space="preserve">公司債利差（債務成本）：低</t>
    </r>
  </si>
  <si>
    <r>
      <rPr>
        <sz val="11"/>
        <color theme="1"/>
        <rFont val="Calibri"/>
        <family val="2"/>
        <charset val="1"/>
      </rPr>
      <t xml:space="preserve">0.6% → 0.4%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0.9%</t>
    </r>
  </si>
  <si>
    <r>
      <rPr>
        <sz val="11"/>
        <color theme="1"/>
        <rFont val="Calibri"/>
        <family val="2"/>
        <charset val="1"/>
      </rPr>
      <t xml:space="preserve">AA </t>
    </r>
    <r>
      <rPr>
        <sz val="11"/>
        <color theme="1"/>
        <rFont val="Noto Sans CJK SC"/>
        <family val="2"/>
      </rPr>
      <t xml:space="preserve">公司債利差（債務成本）：高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</si>
  <si>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持股比例：低</t>
    </r>
  </si>
  <si>
    <r>
      <rPr>
        <sz val="11"/>
        <color theme="1"/>
        <rFont val="Calibri"/>
        <family val="2"/>
        <charset val="1"/>
      </rPr>
      <t xml:space="preserve">12.5% → 11%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14%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</si>
  <si>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持股比例：高</t>
    </r>
  </si>
  <si>
    <t xml:space="preserve">強制轉換特別股轉換股數：低</t>
  </si>
  <si>
    <t xml:space="preserve">0.0546 → 0.0436</t>
  </si>
  <si>
    <r>
      <rPr>
        <sz val="11"/>
        <color theme="1"/>
        <rFont val="Noto Sans CJK SC"/>
        <family val="2"/>
      </rPr>
      <t xml:space="preserve">基準加權目標價（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頁）</t>
    </r>
  </si>
  <si>
    <t xml:space="preserve">敏感度重算時的基準值（應與上一列相同；不同表示敏感度已過期）</t>
  </si>
  <si>
    <r>
      <rPr>
        <sz val="11"/>
        <color theme="1"/>
        <rFont val="Calibri"/>
        <family val="2"/>
        <charset val="1"/>
      </rPr>
      <t xml:space="preserve">Sources — </t>
    </r>
    <r>
      <rPr>
        <sz val="11"/>
        <color theme="1"/>
        <rFont val="Noto Sans CJK SC"/>
        <family val="2"/>
      </rPr>
      <t xml:space="preserve">來源（編號、文件、日期、網址、標記）</t>
    </r>
  </si>
  <si>
    <t xml:space="preserve">編號</t>
  </si>
  <si>
    <t xml:space="preserve">文件</t>
  </si>
  <si>
    <t xml:space="preserve">日期</t>
  </si>
  <si>
    <t xml:space="preserve">網址</t>
  </si>
  <si>
    <t xml:space="preserve">用途</t>
  </si>
  <si>
    <t xml:space="preserve">S01</t>
  </si>
  <si>
    <r>
      <rPr>
        <sz val="11"/>
        <color theme="1"/>
        <rFont val="Calibri"/>
        <family val="2"/>
        <charset val="1"/>
      </rPr>
      <t xml:space="preserve">Alphabet Form 10-K FY2025</t>
    </r>
    <r>
      <rPr>
        <sz val="11"/>
        <color theme="1"/>
        <rFont val="Noto Sans CJK SC"/>
        <family val="2"/>
      </rPr>
      <t xml:space="preserve">（經查核）</t>
    </r>
  </si>
  <si>
    <t xml:space="preserve">2026-02-05</t>
  </si>
  <si>
    <t xml:space="preserve">https://www.sec.gov/Archives/edgar/data/1652044/000165204426000018/goog-20251231.htm</t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</si>
  <si>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分部與產品線、合併損益、現金流（經事實總帳）</t>
    </r>
  </si>
  <si>
    <t xml:space="preserve">S02</t>
  </si>
  <si>
    <r>
      <rPr>
        <sz val="11"/>
        <color theme="1"/>
        <rFont val="Calibri"/>
        <family val="2"/>
        <charset val="1"/>
      </rPr>
      <t xml:space="preserve">Alphabet 2026Q3 </t>
    </r>
    <r>
      <rPr>
        <sz val="11"/>
        <color theme="1"/>
        <rFont val="Noto Sans CJK SC"/>
        <family val="2"/>
      </rPr>
      <t xml:space="preserve">財報新聞稿與簡報（</t>
    </r>
    <r>
      <rPr>
        <sz val="11"/>
        <color theme="1"/>
        <rFont val="Calibri"/>
        <family val="2"/>
        <charset val="1"/>
      </rPr>
      <t xml:space="preserve">Andy 2026-10-29 </t>
    </r>
    <r>
      <rPr>
        <sz val="11"/>
        <color theme="1"/>
        <rFont val="Noto Sans CJK SC"/>
        <family val="2"/>
      </rPr>
      <t xml:space="preserve">提供原檔：</t>
    </r>
    <r>
      <rPr>
        <sz val="11"/>
        <color theme="1"/>
        <rFont val="Calibri"/>
        <family val="2"/>
        <charset val="1"/>
      </rPr>
      <t xml:space="preserve">mag/extract/docs/2026Q3/alphabet_2026Q3_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簡報</t>
    </r>
    <r>
      <rPr>
        <sz val="11"/>
        <color theme="1"/>
        <rFont val="Calibri"/>
        <family val="2"/>
        <charset val="1"/>
      </rPr>
      <t xml:space="preserve">.pdf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data/alphabet_facts_2026q3.json</t>
    </r>
    <r>
      <rPr>
        <sz val="11"/>
        <color theme="1"/>
        <rFont val="Noto Sans CJK SC"/>
        <family val="2"/>
      </rPr>
      <t xml:space="preserve">）</t>
    </r>
  </si>
  <si>
    <t xml:space="preserve">2026-10-28</t>
  </si>
  <si>
    <t xml:space="preserve">https://abc.xyz/investor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</si>
  <si>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實績、資產負債表、現金流量表</t>
    </r>
  </si>
  <si>
    <t xml:space="preserve">S03</t>
  </si>
  <si>
    <r>
      <rPr>
        <sz val="11"/>
        <color theme="1"/>
        <rFont val="Calibri"/>
        <family val="2"/>
        <charset val="1"/>
      </rPr>
      <t xml:space="preserve">Alphabet 2026Q2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</si>
  <si>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2026-07-22</t>
  </si>
  <si>
    <t xml:space="preserve">https://www.sec.gov/Archives/edgar/data/1652044/000165204426000066/googexhibit991q22026.htm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</si>
  <si>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與比較季</t>
    </r>
  </si>
  <si>
    <t xml:space="preserve">S04</t>
  </si>
  <si>
    <r>
      <rPr>
        <sz val="11"/>
        <color theme="1"/>
        <rFont val="Calibri"/>
        <family val="2"/>
        <charset val="1"/>
      </rPr>
      <t xml:space="preserve">Alphabet 2026Q1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</si>
  <si>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2026-04</t>
  </si>
  <si>
    <t xml:space="preserve">https://www.sec.gov/Archives/edgar/data/1652044/000165204426000043/googexhibit991q12026.htm</t>
  </si>
  <si>
    <t xml:space="preserve">S05</t>
  </si>
  <si>
    <r>
      <rPr>
        <sz val="11"/>
        <color theme="1"/>
        <rFont val="Calibri"/>
        <family val="2"/>
        <charset val="1"/>
      </rPr>
      <t xml:space="preserve">Alphabet 2025Q3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</si>
  <si>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2025-10-29</t>
  </si>
  <si>
    <t xml:space="preserve">https://www.sec.gov/Archives/edgar/data/1652044/000165204425000087/googexhibit991q32025.htm</t>
  </si>
  <si>
    <r>
      <rPr>
        <sz val="11"/>
        <color theme="1"/>
        <rFont val="Calibri"/>
        <family val="2"/>
        <charset val="1"/>
      </rPr>
      <t xml:space="preserve">2024Q3 </t>
    </r>
    <r>
      <rPr>
        <sz val="11"/>
        <color theme="1"/>
        <rFont val="Noto Sans CJK SC"/>
        <family val="2"/>
      </rPr>
      <t xml:space="preserve">比較季</t>
    </r>
  </si>
  <si>
    <t xml:space="preserve">S06</t>
  </si>
  <si>
    <t xml:space="preserve">Alphabet 2026Q2 10-Q</t>
  </si>
  <si>
    <t xml:space="preserve">2026-07-23</t>
  </si>
  <si>
    <t xml:space="preserve">https://www.sec.gov/cgi-bin/browse-edgar?action=getcompany&amp;CIK=1652044&amp;type=10-Q</t>
  </si>
  <si>
    <t xml:space="preserve">資產負債、在建工程、租賃、債務、股數</t>
  </si>
  <si>
    <t xml:space="preserve">S07</t>
  </si>
  <si>
    <r>
      <rPr>
        <sz val="11"/>
        <color theme="1"/>
        <rFont val="Calibri"/>
        <family val="2"/>
        <charset val="1"/>
      </rPr>
      <t xml:space="preserve">Alphabet 2026Q2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轉錄，二手）</t>
    </r>
  </si>
  <si>
    <t xml:space="preserve">https://www.benzinga.com/news/26/09/61834150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</si>
  <si>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 </t>
    </r>
    <r>
      <rPr>
        <sz val="11"/>
        <color theme="1"/>
        <rFont val="Calibri"/>
        <family val="2"/>
        <charset val="1"/>
      </rPr>
      <t xml:space="preserve">195–205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營收時點、供不應求</t>
    </r>
  </si>
  <si>
    <t xml:space="preserve">S08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</si>
  <si>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alphabet/data/alphabet_facts_20261008.json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MAG v0.1a</t>
    </r>
    <r>
      <rPr>
        <sz val="11"/>
        <color theme="1"/>
        <rFont val="Noto Sans CJK SC"/>
        <family val="2"/>
      </rPr>
      <t xml:space="preserve">）</t>
    </r>
  </si>
  <si>
    <t xml:space="preserve">2026-10-08</t>
  </si>
  <si>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內</t>
    </r>
  </si>
  <si>
    <t xml:space="preserve">各筆標記</t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</si>
  <si>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頁全部實績與多數輸入</t>
    </r>
  </si>
  <si>
    <t xml:space="preserve">S09</t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</si>
  <si>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alphabet/data/tokenomics_snapshot_v21.7.json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6621bc5</t>
    </r>
    <r>
      <rPr>
        <sz val="11"/>
        <color theme="1"/>
        <rFont val="Noto Sans CJK SC"/>
        <family val="2"/>
      </rPr>
      <t xml:space="preserve">）</t>
    </r>
  </si>
  <si>
    <t xml:space="preserve">2026-10-29</t>
  </si>
  <si>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內（</t>
    </r>
    <r>
      <rPr>
        <sz val="11"/>
        <color theme="1"/>
        <rFont val="Calibri"/>
        <family val="2"/>
        <charset val="1"/>
      </rPr>
      <t xml:space="preserve">YinchenChang/Tokenomics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</si>
  <si>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IF_GPUhrEcon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IF_NonNV_Hold_TPU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Out_TPU</t>
    </r>
    <r>
      <rPr>
        <sz val="11"/>
        <color theme="1"/>
        <rFont val="Noto Sans CJK SC"/>
        <family val="2"/>
      </rPr>
      <t xml:space="preserve">、上限檢查</t>
    </r>
  </si>
  <si>
    <t xml:space="preserve">S10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</si>
  <si>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證據 </t>
    </r>
    <r>
      <rPr>
        <sz val="11"/>
        <color theme="1"/>
        <rFont val="Calibri"/>
        <family val="2"/>
        <charset val="1"/>
      </rPr>
      <t xml:space="preserve">alphabet/data/kevidence_alphabet_20261008.json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legacy_v0.2/kspec.py</t>
    </r>
  </si>
  <si>
    <t xml:space="preserve">2026-10-22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</si>
  <si>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</si>
  <si>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長約、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</t>
    </r>
  </si>
  <si>
    <t xml:space="preserve">S11</t>
  </si>
  <si>
    <r>
      <rPr>
        <sz val="11"/>
        <color theme="1"/>
        <rFont val="Calibri"/>
        <family val="2"/>
        <charset val="1"/>
      </rPr>
      <t xml:space="preserve">Epoch AI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AI Chip Owners</t>
    </r>
    <r>
      <rPr>
        <sz val="11"/>
        <color theme="1"/>
        <rFont val="Noto Sans CJK SC"/>
        <family val="2"/>
      </rPr>
      <t xml:space="preserve">〉</t>
    </r>
    <r>
      <rPr>
        <sz val="11"/>
        <color theme="1"/>
        <rFont val="Calibri"/>
        <family val="2"/>
        <charset val="1"/>
      </rPr>
      <t xml:space="preserve">cumulative by designer</t>
    </r>
  </si>
  <si>
    <t xml:space="preserve">2026-05-12</t>
  </si>
  <si>
    <t xml:space="preserve">https://epoch.ai/data/ai_chip_owners_cumulative_by_designer.csv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</si>
  <si>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（期初、歷史）</t>
    </r>
  </si>
  <si>
    <t xml:space="preserve">S12</t>
  </si>
  <si>
    <t xml:space="preserve">Silicon Data H100 Index</t>
  </si>
  <si>
    <t xml:space="preserve">2026-10-06</t>
  </si>
  <si>
    <t xml:space="preserve">https://www.silicondata.com/products/silicon-index/h100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</si>
  <si>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</t>
    </r>
  </si>
  <si>
    <t xml:space="preserve">S13</t>
  </si>
  <si>
    <r>
      <rPr>
        <sz val="11"/>
        <color theme="1"/>
        <rFont val="Calibri"/>
        <family val="2"/>
        <charset val="1"/>
      </rPr>
      <t xml:space="preserve">Alphabet 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轉錄，二手）</t>
    </r>
  </si>
  <si>
    <t xml:space="preserve">https://www.investing.com/news/transcripts/earnings-call-transcript-alphabet-q3-2026-profit-miss-sparks-10-afterhours-drop-93CH-4981037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</si>
  <si>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資本支出指引維持 </t>
    </r>
    <r>
      <rPr>
        <sz val="11"/>
        <color theme="1"/>
        <rFont val="Calibri"/>
        <family val="2"/>
        <charset val="1"/>
      </rPr>
      <t xml:space="preserve">195–205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顯著增加、</t>
    </r>
    <r>
      <rPr>
        <sz val="11"/>
        <color theme="1"/>
        <rFont val="Calibri"/>
        <family val="2"/>
        <charset val="1"/>
      </rPr>
      <t xml:space="preserve">Cloud backlog 561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月、伺服器與網通 </t>
    </r>
    <r>
      <rPr>
        <sz val="11"/>
        <color theme="1"/>
        <rFont val="Calibri"/>
        <family val="2"/>
        <charset val="1"/>
      </rPr>
      <t xml:space="preserve">65%</t>
    </r>
    <r>
      <rPr>
        <sz val="11"/>
        <color theme="1"/>
        <rFont val="Noto Sans CJK SC"/>
        <family val="2"/>
      </rPr>
      <t xml:space="preserve">、權益證券 </t>
    </r>
    <r>
      <rPr>
        <sz val="11"/>
        <color theme="1"/>
        <rFont val="Calibri"/>
        <family val="2"/>
        <charset val="1"/>
      </rPr>
      <t xml:space="preserve">90.4</t>
    </r>
  </si>
  <si>
    <t xml:space="preserve">S14</t>
  </si>
  <si>
    <r>
      <rPr>
        <sz val="11"/>
        <color theme="1"/>
        <rFont val="Calibri"/>
        <family val="2"/>
        <charset val="1"/>
      </rPr>
      <t xml:space="preserve">BigGo Finance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Alphabet Q3 </t>
    </r>
    <r>
      <rPr>
        <sz val="11"/>
        <color theme="1"/>
        <rFont val="Noto Sans CJK SC"/>
        <family val="2"/>
      </rPr>
      <t xml:space="preserve">財報與股價</t>
    </r>
  </si>
  <si>
    <t xml:space="preserve">https://finance.biggo.com/news/747b8ed4-8d02-4fc5-84ac-f68ab61a7d20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</si>
  <si>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324.89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10-28 </t>
    </r>
    <r>
      <rPr>
        <sz val="11"/>
        <color theme="1"/>
        <rFont val="Noto Sans CJK SC"/>
        <family val="2"/>
      </rPr>
      <t xml:space="preserve">收盤）、資本支出指引第二來源</t>
    </r>
  </si>
  <si>
    <t xml:space="preserve">S15</t>
  </si>
  <si>
    <r>
      <rPr>
        <sz val="11"/>
        <color theme="1"/>
        <rFont val="Calibri"/>
        <family val="2"/>
        <charset val="1"/>
      </rPr>
      <t xml:space="preserve">FinancialContent GOOGL </t>
    </r>
    <r>
      <rPr>
        <sz val="11"/>
        <color theme="1"/>
        <rFont val="Noto Sans CJK SC"/>
        <family val="2"/>
      </rPr>
      <t xml:space="preserve">歷史股價</t>
    </r>
  </si>
  <si>
    <t xml:space="preserve">https://www.financialcontent.com/quote/NQ%3AGOOGL/historical</t>
  </si>
  <si>
    <r>
      <rPr>
        <sz val="11"/>
        <color theme="1"/>
        <rFont val="Noto Sans CJK SC"/>
        <family val="2"/>
      </rPr>
      <t xml:space="preserve">評價日股價 </t>
    </r>
    <r>
      <rPr>
        <sz val="11"/>
        <color theme="1"/>
        <rFont val="Calibri"/>
        <family val="2"/>
        <charset val="1"/>
      </rPr>
      <t xml:space="preserve">344.08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收盤）</t>
    </r>
  </si>
  <si>
    <t xml:space="preserve">S16</t>
  </si>
  <si>
    <r>
      <rPr>
        <sz val="11"/>
        <color theme="1"/>
        <rFont val="Calibri"/>
        <family val="2"/>
        <charset val="1"/>
      </rPr>
      <t xml:space="preserve">StockAnalysis GOOGL </t>
    </r>
    <r>
      <rPr>
        <sz val="11"/>
        <color theme="1"/>
        <rFont val="Noto Sans CJK SC"/>
        <family val="2"/>
      </rPr>
      <t xml:space="preserve">預測頁（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</si>
  <si>
    <t xml:space="preserve">2026-10-26</t>
  </si>
  <si>
    <t xml:space="preserve">https://stockanalysis.com/stocks/googl/forecast/</t>
  </si>
  <si>
    <r>
      <rPr>
        <sz val="11"/>
        <color theme="1"/>
        <rFont val="Noto Sans CJK SC"/>
        <family val="2"/>
      </rPr>
      <t xml:space="preserve">共識目標價 </t>
    </r>
    <r>
      <rPr>
        <sz val="11"/>
        <color theme="1"/>
        <rFont val="Calibri"/>
        <family val="2"/>
        <charset val="1"/>
      </rPr>
      <t xml:space="preserve">429.12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non-GAAP EPS 11.89</t>
    </r>
  </si>
  <si>
    <t xml:space="preserve">S17</t>
  </si>
  <si>
    <r>
      <rPr>
        <sz val="11"/>
        <color theme="1"/>
        <rFont val="Calibri"/>
        <family val="2"/>
        <charset val="1"/>
      </rPr>
      <t xml:space="preserve">MarketScreener Alphabet </t>
    </r>
    <r>
      <rPr>
        <sz val="11"/>
        <color theme="1"/>
        <rFont val="Noto Sans CJK SC"/>
        <family val="2"/>
      </rPr>
      <t xml:space="preserve">財務預估（</t>
    </r>
    <r>
      <rPr>
        <sz val="11"/>
        <color theme="1"/>
        <rFont val="Calibri"/>
        <family val="2"/>
        <charset val="1"/>
      </rPr>
      <t xml:space="preserve">S&amp;P Capital IQ </t>
    </r>
    <r>
      <rPr>
        <sz val="11"/>
        <color theme="1"/>
        <rFont val="Noto Sans CJK SC"/>
        <family val="2"/>
      </rPr>
      <t xml:space="preserve">系）</t>
    </r>
  </si>
  <si>
    <t xml:space="preserve">https://www.marketscreener.com/quote/stock/ALPHABET-INC-24203373/finances/</t>
  </si>
  <si>
    <r>
      <rPr>
        <sz val="11"/>
        <color theme="1"/>
        <rFont val="Calibri"/>
        <family val="2"/>
        <charset val="1"/>
      </rPr>
      <t xml:space="preserve">FY2026–2028 </t>
    </r>
    <r>
      <rPr>
        <sz val="11"/>
        <color theme="1"/>
        <rFont val="Noto Sans CJK SC"/>
        <family val="2"/>
      </rPr>
      <t xml:space="preserve">合併共識</t>
    </r>
  </si>
  <si>
    <t xml:space="preserve">S18</t>
  </si>
  <si>
    <r>
      <rPr>
        <sz val="11"/>
        <color theme="1"/>
        <rFont val="Noto Sans CJK SC"/>
        <family val="2"/>
      </rPr>
      <t xml:space="preserve">共用同業檔 </t>
    </r>
    <r>
      <rPr>
        <sz val="11"/>
        <color theme="1"/>
        <rFont val="Calibri"/>
        <family val="2"/>
        <charset val="1"/>
      </rPr>
      <t xml:space="preserve">alphabet/data/peers_ads_20261009.json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peers_cloud_20261008.json</t>
    </r>
  </si>
  <si>
    <t xml:space="preserve">2026-10-07</t>
  </si>
  <si>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內（</t>
    </r>
    <r>
      <rPr>
        <sz val="11"/>
        <color theme="1"/>
        <rFont val="Calibri"/>
        <family val="2"/>
        <charset val="1"/>
      </rPr>
      <t xml:space="preserve">StockAnalysis EV ÷ MarketScreener NTM EBITDA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</si>
  <si>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倍數</t>
    </r>
  </si>
  <si>
    <t xml:space="preserve">S19</t>
  </si>
  <si>
    <r>
      <rPr>
        <sz val="11"/>
        <color theme="1"/>
        <rFont val="Noto Sans CJK SC"/>
        <family val="2"/>
      </rPr>
      <t xml:space="preserve">共識檔 </t>
    </r>
    <r>
      <rPr>
        <sz val="11"/>
        <color theme="1"/>
        <rFont val="Calibri"/>
        <family val="2"/>
        <charset val="1"/>
      </rPr>
      <t xml:space="preserve">alphabet/data/consensus_googl_20261008.json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</si>
  <si>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時的共識（對照）</t>
    </r>
  </si>
  <si>
    <t xml:space="preserve">S20</t>
  </si>
  <si>
    <r>
      <rPr>
        <sz val="11"/>
        <color theme="1"/>
        <rFont val="Calibri"/>
        <family val="2"/>
        <charset val="1"/>
      </rPr>
      <t xml:space="preserve">MAG v0.2.2 </t>
    </r>
    <r>
      <rPr>
        <sz val="11"/>
        <color theme="1"/>
        <rFont val="Noto Sans CJK SC"/>
        <family val="2"/>
      </rPr>
      <t xml:space="preserve">成品與交接檔（</t>
    </r>
    <r>
      <rPr>
        <sz val="11"/>
        <color theme="1"/>
        <rFont val="Calibri"/>
        <family val="2"/>
        <charset val="1"/>
      </rPr>
      <t xml:space="preserve">legacy_v0.2/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dist/_</t>
    </r>
    <r>
      <rPr>
        <sz val="11"/>
        <color theme="1"/>
        <rFont val="Noto Sans CJK SC"/>
        <family val="2"/>
      </rPr>
      <t xml:space="preserve">待刪除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docs/handoff/</t>
    </r>
    <r>
      <rPr>
        <sz val="11"/>
        <color theme="1"/>
        <rFont val="Noto Sans CJK SC"/>
        <family val="2"/>
      </rPr>
      <t xml:space="preserve">）</t>
    </r>
  </si>
  <si>
    <t xml:space="preserve">2026-10-25</t>
  </si>
  <si>
    <r>
      <rPr>
        <sz val="11"/>
        <color theme="1"/>
        <rFont val="Noto Sans CJK SC"/>
        <family val="2"/>
      </rPr>
      <t xml:space="preserve">沿用參數與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目標價</t>
    </r>
  </si>
  <si>
    <t xml:space="preserve">S21</t>
  </si>
  <si>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命題與驅動對照表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C1–C23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</si>
  <si>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mag/docs/plan/20261008_MAG_</t>
    </r>
    <r>
      <rPr>
        <sz val="11"/>
        <color theme="1"/>
        <rFont val="Noto Sans CJK SC"/>
        <family val="2"/>
      </rPr>
      <t xml:space="preserve">命題與驅動對照表</t>
    </r>
    <r>
      <rPr>
        <sz val="11"/>
        <color theme="1"/>
        <rFont val="Calibri"/>
        <family val="2"/>
        <charset val="1"/>
      </rPr>
      <t xml:space="preserve">_r1.md</t>
    </r>
  </si>
  <si>
    <t xml:space="preserve">已決定的口徑</t>
  </si>
  <si>
    <t xml:space="preserve">S22</t>
  </si>
  <si>
    <r>
      <rPr>
        <sz val="11"/>
        <color theme="1"/>
        <rFont val="Calibri"/>
        <family val="2"/>
        <charset val="1"/>
      </rPr>
      <t xml:space="preserve">Gartner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年搜尋引擎查詢量因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聊天機器人減少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（預測）</t>
    </r>
  </si>
  <si>
    <t xml:space="preserve">2024-02-19</t>
  </si>
  <si>
    <r>
      <rPr>
        <sz val="11"/>
        <color theme="1"/>
        <rFont val="Calibri"/>
        <family val="2"/>
        <charset val="1"/>
      </rPr>
      <t xml:space="preserve">https://www.gartner.com/en/newsroom</t>
    </r>
    <r>
      <rPr>
        <sz val="11"/>
        <color theme="1"/>
        <rFont val="Noto Sans CJK SC"/>
        <family val="2"/>
      </rPr>
      <t xml:space="preserve">（本次未重新查核）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</si>
  <si>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分流幅度的參考（第三方預測）</t>
    </r>
  </si>
  <si>
    <t xml:space="preserve">S23</t>
  </si>
  <si>
    <r>
      <rPr>
        <sz val="11"/>
        <color theme="1"/>
        <rFont val="Calibri"/>
        <family val="2"/>
        <charset val="1"/>
      </rPr>
      <t xml:space="preserve">Apple Eddy Cue </t>
    </r>
    <r>
      <rPr>
        <sz val="11"/>
        <color theme="1"/>
        <rFont val="Noto Sans CJK SC"/>
        <family val="2"/>
      </rPr>
      <t xml:space="preserve">美國司法部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案證詞（媒體轉述）</t>
    </r>
  </si>
  <si>
    <t xml:space="preserve">2025-05-07</t>
  </si>
  <si>
    <t xml:space="preserve">（媒體轉述；本次未重新查核）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</si>
  <si>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Safari </t>
    </r>
    <r>
      <rPr>
        <sz val="11"/>
        <color theme="1"/>
        <rFont val="Noto Sans CJK SC"/>
        <family val="2"/>
      </rPr>
      <t xml:space="preserve">搜尋 </t>
    </r>
    <r>
      <rPr>
        <sz val="11"/>
        <color theme="1"/>
        <rFont val="Calibri"/>
        <family val="2"/>
        <charset val="1"/>
      </rPr>
      <t xml:space="preserve">2025-04 </t>
    </r>
    <r>
      <rPr>
        <sz val="11"/>
        <color theme="1"/>
        <rFont val="Noto Sans CJK SC"/>
        <family val="2"/>
      </rPr>
      <t xml:space="preserve">首次下滑</t>
    </r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</si>
</sst>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0"/>
    <numFmt numFmtId="166" formatCode="0.0%"/>
    <numFmt numFmtId="167" formatCode="0.0000"/>
    <numFmt numFmtId="168" formatCode="0%"/>
    <numFmt numFmtId="169" formatCode="0.000"/>
    <numFmt numFmtId="170" formatCode="0.00"/>
    <numFmt numFmtId="171" formatCode="#,##0.0"/>
    <numFmt numFmtId="172" formatCode="#,##0.00"/>
    <numFmt numFmtId="173" formatCode="@"/>
    <numFmt numFmtId="174" formatCode="0.00%"/>
    <numFmt numFmtId="175" formatCode="0"/>
    <numFmt numFmtId="176" formatCode="\+0.0%;\-0.0%;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4" min="2" style="0" width="60"/>
  </cols>
  <sheetData>
    <row r="1" customFormat="false" ht="17.15" hidden="false" customHeight="false" outlineLevel="0" collapsed="false">
      <c r="A1" s="0" t="s">
        <v>0</v>
      </c>
    </row>
    <row r="3" customFormat="false" ht="32.8" hidden="false" customHeight="false" outlineLevel="0" collapsed="false">
      <c r="A3" s="1" t="s">
        <v>1</v>
      </c>
    </row>
    <row r="4" customFormat="false" ht="32.8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1" t="str">
        <f aca="false">"投資建議："&amp;Val!B14&amp;"（加權目標價 US$"&amp;TEXT(Val!B8,"0.00")&amp;"，上檔空間 "&amp;TEXT(Val!B11,"+0.0%;-0.0%")&amp;"；現價 "&amp;TEXT(px,"0.00")&amp;"，2026-10-28 收盤）"</f>
        <v>投資建議：中立（加權目標價 US$258.21，上檔空間 -20.5%；現價 324.89，2026-10-28 收盤）</v>
      </c>
    </row>
    <row r="6" customFormat="false" ht="32.8" hidden="false" customHeight="false" outlineLevel="0" collapsed="false">
      <c r="A6" s="1" t="str">
        <f aca="false">"重點觀察 1：目標價 "&amp;TEXT(Val!B8,"0")&amp;"＝DCF "&amp;TEXT(Val!B6,"0")&amp;"、分部加總 "&amp;TEXT(Val!B7,"0")&amp;" 各半；情境 A／B／C 為 "&amp;TEXT(Val!B17,"0")&amp;"／"&amp;TEXT(Val!C17,"0")&amp;"／"&amp;TEXT(Val!D17,"0")&amp;"，DCF 終值占 EV "&amp;TEXT(Val!C19,"0%")&amp;"（B）。市場共識目標價 "&amp;TEXT(cons_tp,"0")&amp;"。"</f>
        <v>重點觀察 1：目標價 258＝DCF 189、分部加總 327 各半；情境 A／B／C 為 282／262／226，DCF 終值占 EV 79%（B）。市場共識目標價 429。</v>
      </c>
    </row>
    <row r="7" customFormat="false" ht="48.5" hidden="false" customHeight="false" outlineLevel="0" collapsed="false">
      <c r="A7" s="1" t="str">
        <f aca="false">"重點觀察 2：C 情境 FY2028 Search &amp; other "&amp;TEXT(PL!I131,"0.0")&amp;"（比 B 少 "&amp;TEXT(1-PL!I131/PL!I72,"0.0%")&amp;"），Google Services 營業利益率 "&amp;TEXT(PL!I169,"0.0%")&amp;"（B "&amp;TEXT(PL!I110,"0.0%")&amp;"）；同年 Cloud AI 營收 "&amp;TEXT(PL!I77,"0.0")&amp;"、Google Cloud 營業利益 "&amp;TEXT(PL!I94,"0.0")&amp;"，Cloud 營業利益比 FY2025 增加 "&amp;TEXT(PL!I94-PL!D94,"0.0")&amp;"，是 C 情境 Services 營業利益損失 "&amp;TEXT(PL!I91-PL!I150,"0.0")&amp;" 的 "&amp;TEXT((PL!I94-PL!D94)/(PL!I91-PL!I150),"0%")&amp;"（Cloud 的成長足以抵銷搜尋被侵蝕的利潤）。"</f>
        <v>重點觀察 2：C 情境 FY2028 Search &amp; other 284.2（比 B 少 14.5%），Google Services 營業利益率 30.4%（B 34.3%）；同年 Cloud AI 營收 57.3、Google Cloud 營業利益 85.8，Cloud 營業利益比 FY2025 增加 71.9，是 C 情境 Services 營業利益損失 33.5 的 214%（Cloud 的成長足以抵銷搜尋被侵蝕的利潤）。</v>
      </c>
    </row>
    <row r="8" customFormat="false" ht="32.8" hidden="false" customHeight="false" outlineLevel="0" collapsed="false">
      <c r="A8" s="1" t="str">
        <f aca="false">"重點觀察 3：AI 折舊進損益——情境 B 新增 AI 折舊 FY2028 "&amp;TEXT(PL!I104,"0.0")&amp;"，合併營業利益率由 FY2025 "&amp;TEXT(PL!D109,"0.0%")&amp;" 變為 FY2028 "&amp;TEXT(PL!I109,"0.0%")&amp;"；收支關卡（FY2026–2030 自由現金流扣股利合計）B "&amp;TEXT(CF!C6,"0.0")&amp;"，"&amp;CF!C9&amp;"。"</f>
        <v>重點觀察 3：AI 折舊進損益——情境 B 新增 AI 折舊 FY2028 65.1，合併營業利益率由 FY2025 32.0% 變為 FY2028 22.4%；收支關卡（FY2026–2030 自由現金流扣股利合計）B -0.6，需要舉債且減少回購。</v>
      </c>
    </row>
    <row r="10" customFormat="false" ht="15" hidden="false" customHeight="false" outlineLevel="0" collapsed="false">
      <c r="A10" s="2" t="s">
        <v>3</v>
      </c>
    </row>
    <row r="11" customFormat="false" ht="17.15" hidden="false" customHeight="false" outlineLevel="0" collapsed="false">
      <c r="A11" s="3" t="s">
        <v>4</v>
      </c>
      <c r="B11" s="3" t="s">
        <v>5</v>
      </c>
      <c r="C11" s="3" t="s">
        <v>6</v>
      </c>
      <c r="D11" s="3" t="s">
        <v>7</v>
      </c>
    </row>
    <row r="12" customFormat="false" ht="17.15" hidden="false" customHeight="false" outlineLevel="0" collapsed="false">
      <c r="A12" s="0" t="s">
        <v>8</v>
      </c>
      <c r="B12" s="0" t="s">
        <v>9</v>
      </c>
      <c r="C12" s="0" t="s">
        <v>10</v>
      </c>
      <c r="D12" s="0" t="s">
        <v>11</v>
      </c>
    </row>
    <row r="13" customFormat="false" ht="17.15" hidden="false" customHeight="false" outlineLevel="0" collapsed="false">
      <c r="A13" s="0" t="s">
        <v>12</v>
      </c>
      <c r="B13" s="0" t="s">
        <v>13</v>
      </c>
      <c r="C13" s="4" t="s">
        <v>14</v>
      </c>
      <c r="D13" s="4" t="s">
        <v>15</v>
      </c>
    </row>
    <row r="14" customFormat="false" ht="17.15" hidden="false" customHeight="false" outlineLevel="0" collapsed="false">
      <c r="A14" s="0" t="s">
        <v>16</v>
      </c>
      <c r="B14" s="0" t="s">
        <v>17</v>
      </c>
      <c r="C14" s="4" t="s">
        <v>18</v>
      </c>
      <c r="D14" s="4" t="s">
        <v>19</v>
      </c>
    </row>
    <row r="15" customFormat="false" ht="17.15" hidden="false" customHeight="false" outlineLevel="0" collapsed="false">
      <c r="A15" s="0" t="s">
        <v>20</v>
      </c>
      <c r="B15" s="0" t="s">
        <v>21</v>
      </c>
      <c r="C15" s="4" t="s">
        <v>22</v>
      </c>
      <c r="D15" s="4" t="s">
        <v>23</v>
      </c>
    </row>
    <row r="16" customFormat="false" ht="17.15" hidden="false" customHeight="false" outlineLevel="0" collapsed="false">
      <c r="A16" s="0" t="s">
        <v>24</v>
      </c>
      <c r="B16" s="0" t="s">
        <v>25</v>
      </c>
      <c r="C16" s="0" t="s">
        <v>26</v>
      </c>
      <c r="D16" s="4" t="s">
        <v>27</v>
      </c>
    </row>
    <row r="17" customFormat="false" ht="17.15" hidden="false" customHeight="false" outlineLevel="0" collapsed="false">
      <c r="A17" s="0" t="s">
        <v>28</v>
      </c>
      <c r="B17" s="0" t="s">
        <v>29</v>
      </c>
      <c r="C17" s="4" t="s">
        <v>30</v>
      </c>
      <c r="D17" s="4" t="s">
        <v>31</v>
      </c>
    </row>
    <row r="19" customFormat="false" ht="17.15" hidden="false" customHeight="false" outlineLevel="0" collapsed="false">
      <c r="A19" s="2" t="s">
        <v>32</v>
      </c>
    </row>
    <row r="20" customFormat="false" ht="17.15" hidden="false" customHeight="false" outlineLevel="0" collapsed="false">
      <c r="A20" s="0" t="s">
        <v>33</v>
      </c>
    </row>
    <row r="21" customFormat="false" ht="17.15" hidden="false" customHeight="false" outlineLevel="0" collapsed="false">
      <c r="A21" s="0" t="s">
        <v>34</v>
      </c>
    </row>
    <row r="22" customFormat="false" ht="17.15" hidden="false" customHeight="false" outlineLevel="0" collapsed="false">
      <c r="A22" s="0" t="s">
        <v>35</v>
      </c>
    </row>
    <row r="23" customFormat="false" ht="17.15" hidden="false" customHeight="false" outlineLevel="0" collapsed="false">
      <c r="A23" s="0" t="s">
        <v>36</v>
      </c>
    </row>
    <row r="24" customFormat="false" ht="17.15" hidden="false" customHeight="false" outlineLevel="0" collapsed="false">
      <c r="A24" s="4" t="s">
        <v>37</v>
      </c>
    </row>
    <row r="26" customFormat="false" ht="17.15" hidden="false" customHeight="false" outlineLevel="0" collapsed="false">
      <c r="A26" s="2" t="s">
        <v>38</v>
      </c>
    </row>
    <row r="27" customFormat="false" ht="17.15" hidden="false" customHeight="false" outlineLevel="0" collapsed="false">
      <c r="A27" s="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90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40</v>
      </c>
    </row>
    <row r="2" customFormat="false" ht="17.15" hidden="false" customHeight="false" outlineLevel="0" collapsed="false">
      <c r="A2" s="4" t="s">
        <v>41</v>
      </c>
    </row>
    <row r="3" customFormat="false" ht="15" hidden="false" customHeight="false" outlineLevel="0" collapsed="false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</row>
    <row r="4" customFormat="false" ht="17.15" hidden="false" customHeight="false" outlineLevel="0" collapsed="false">
      <c r="A4" s="5" t="s">
        <v>51</v>
      </c>
    </row>
    <row r="5" customFormat="false" ht="17.15" hidden="false" customHeight="false" outlineLevel="0" collapsed="false">
      <c r="A5" s="0" t="s">
        <v>52</v>
      </c>
      <c r="B5" s="4" t="s">
        <v>53</v>
      </c>
      <c r="C5" s="0" t="s">
        <v>54</v>
      </c>
      <c r="E5" s="6" t="n">
        <v>324.89</v>
      </c>
      <c r="G5" s="7" t="s">
        <v>55</v>
      </c>
      <c r="H5" s="7" t="s">
        <v>56</v>
      </c>
      <c r="I5" s="4" t="s">
        <v>57</v>
      </c>
    </row>
    <row r="6" customFormat="false" ht="17.15" hidden="false" customHeight="false" outlineLevel="0" collapsed="false">
      <c r="A6" s="0" t="s">
        <v>58</v>
      </c>
      <c r="B6" s="4" t="s">
        <v>59</v>
      </c>
      <c r="C6" s="0" t="s">
        <v>54</v>
      </c>
      <c r="E6" s="6" t="n">
        <v>344.08</v>
      </c>
      <c r="G6" s="7" t="s">
        <v>55</v>
      </c>
      <c r="H6" s="7" t="s">
        <v>60</v>
      </c>
      <c r="I6" s="7" t="s">
        <v>61</v>
      </c>
    </row>
    <row r="7" customFormat="false" ht="17.15" hidden="false" customHeight="false" outlineLevel="0" collapsed="false">
      <c r="A7" s="0" t="s">
        <v>62</v>
      </c>
      <c r="B7" s="4" t="s">
        <v>63</v>
      </c>
      <c r="C7" s="4" t="s">
        <v>64</v>
      </c>
      <c r="E7" s="6" t="n">
        <v>12.294</v>
      </c>
      <c r="G7" s="7" t="s">
        <v>65</v>
      </c>
      <c r="H7" s="7" t="s">
        <v>66</v>
      </c>
      <c r="I7" s="7" t="s">
        <v>67</v>
      </c>
    </row>
    <row r="8" customFormat="false" ht="17.15" hidden="false" customHeight="false" outlineLevel="0" collapsed="false">
      <c r="A8" s="0" t="s">
        <v>68</v>
      </c>
      <c r="B8" s="0" t="s">
        <v>69</v>
      </c>
      <c r="C8" s="4" t="s">
        <v>64</v>
      </c>
      <c r="E8" s="6" t="n">
        <v>12.368</v>
      </c>
      <c r="G8" s="7" t="s">
        <v>65</v>
      </c>
      <c r="H8" s="7" t="s">
        <v>70</v>
      </c>
    </row>
    <row r="9" customFormat="false" ht="17.15" hidden="false" customHeight="false" outlineLevel="0" collapsed="false">
      <c r="A9" s="0" t="s">
        <v>71</v>
      </c>
      <c r="B9" s="0" t="s">
        <v>72</v>
      </c>
      <c r="C9" s="4" t="s">
        <v>64</v>
      </c>
      <c r="E9" s="6" t="n">
        <v>12.256</v>
      </c>
      <c r="G9" s="7" t="s">
        <v>65</v>
      </c>
      <c r="H9" s="7" t="s">
        <v>73</v>
      </c>
      <c r="I9" s="7" t="s">
        <v>74</v>
      </c>
    </row>
    <row r="10" customFormat="false" ht="17.15" hidden="false" customHeight="false" outlineLevel="0" collapsed="false">
      <c r="A10" s="0" t="s">
        <v>75</v>
      </c>
      <c r="B10" s="4" t="s">
        <v>76</v>
      </c>
      <c r="C10" s="4" t="s">
        <v>64</v>
      </c>
      <c r="D10" s="6" t="n">
        <v>0.0436</v>
      </c>
      <c r="E10" s="6" t="n">
        <v>0.0546</v>
      </c>
      <c r="F10" s="6" t="n">
        <v>0.0546</v>
      </c>
      <c r="G10" s="7" t="s">
        <v>65</v>
      </c>
      <c r="H10" s="7" t="s">
        <v>77</v>
      </c>
      <c r="I10" s="4" t="s">
        <v>78</v>
      </c>
    </row>
    <row r="11" customFormat="false" ht="17.15" hidden="false" customHeight="false" outlineLevel="0" collapsed="false">
      <c r="A11" s="0" t="s">
        <v>79</v>
      </c>
      <c r="B11" s="4" t="s">
        <v>80</v>
      </c>
      <c r="C11" s="0" t="s">
        <v>81</v>
      </c>
      <c r="E11" s="6" t="n">
        <v>174.698</v>
      </c>
      <c r="G11" s="7" t="s">
        <v>82</v>
      </c>
      <c r="H11" s="4" t="s">
        <v>83</v>
      </c>
      <c r="I11" s="7" t="s">
        <v>84</v>
      </c>
    </row>
    <row r="12" customFormat="false" ht="17.15" hidden="false" customHeight="false" outlineLevel="0" collapsed="false">
      <c r="A12" s="0" t="s">
        <v>85</v>
      </c>
      <c r="B12" s="4" t="s">
        <v>86</v>
      </c>
      <c r="C12" s="0" t="s">
        <v>81</v>
      </c>
      <c r="E12" s="6" t="n">
        <v>120.53</v>
      </c>
      <c r="G12" s="7" t="s">
        <v>82</v>
      </c>
      <c r="H12" s="7" t="s">
        <v>87</v>
      </c>
    </row>
    <row r="13" customFormat="false" ht="17.15" hidden="false" customHeight="false" outlineLevel="0" collapsed="false">
      <c r="A13" s="0" t="s">
        <v>88</v>
      </c>
      <c r="B13" s="4" t="s">
        <v>89</v>
      </c>
      <c r="C13" s="0" t="s">
        <v>81</v>
      </c>
      <c r="E13" s="6" t="n">
        <v>126.455</v>
      </c>
      <c r="G13" s="7" t="s">
        <v>82</v>
      </c>
      <c r="H13" s="7" t="s">
        <v>90</v>
      </c>
      <c r="I13" s="7" t="s">
        <v>91</v>
      </c>
    </row>
    <row r="14" customFormat="false" ht="17.15" hidden="false" customHeight="false" outlineLevel="0" collapsed="false">
      <c r="A14" s="0" t="s">
        <v>92</v>
      </c>
      <c r="B14" s="4" t="s">
        <v>93</v>
      </c>
      <c r="C14" s="0" t="s">
        <v>81</v>
      </c>
      <c r="E14" s="6" t="n">
        <v>12.156</v>
      </c>
      <c r="G14" s="7" t="s">
        <v>82</v>
      </c>
      <c r="H14" s="7" t="s">
        <v>94</v>
      </c>
      <c r="I14" s="7" t="s">
        <v>95</v>
      </c>
    </row>
    <row r="15" customFormat="false" ht="17.15" hidden="false" customHeight="false" outlineLevel="0" collapsed="false">
      <c r="A15" s="0" t="s">
        <v>96</v>
      </c>
      <c r="B15" s="4" t="s">
        <v>97</v>
      </c>
      <c r="C15" s="0" t="s">
        <v>81</v>
      </c>
      <c r="E15" s="6" t="n">
        <v>7.1</v>
      </c>
      <c r="G15" s="7" t="s">
        <v>65</v>
      </c>
      <c r="H15" s="7" t="s">
        <v>98</v>
      </c>
      <c r="I15" s="4" t="s">
        <v>99</v>
      </c>
    </row>
    <row r="16" customFormat="false" ht="17.15" hidden="false" customHeight="false" outlineLevel="0" collapsed="false">
      <c r="A16" s="5" t="s">
        <v>100</v>
      </c>
    </row>
    <row r="17" customFormat="false" ht="17.15" hidden="false" customHeight="false" outlineLevel="0" collapsed="false">
      <c r="A17" s="0" t="s">
        <v>101</v>
      </c>
      <c r="B17" s="0" t="s">
        <v>102</v>
      </c>
      <c r="C17" s="0" t="s">
        <v>81</v>
      </c>
      <c r="E17" s="6" t="n">
        <v>965</v>
      </c>
      <c r="G17" s="7" t="s">
        <v>65</v>
      </c>
      <c r="H17" s="7" t="s">
        <v>103</v>
      </c>
    </row>
    <row r="18" customFormat="false" ht="17.15" hidden="false" customHeight="false" outlineLevel="0" collapsed="false">
      <c r="A18" s="0" t="s">
        <v>104</v>
      </c>
      <c r="B18" s="0" t="s">
        <v>105</v>
      </c>
      <c r="C18" s="0" t="s">
        <v>106</v>
      </c>
      <c r="D18" s="8" t="n">
        <v>0.11</v>
      </c>
      <c r="E18" s="8" t="n">
        <v>0.125</v>
      </c>
      <c r="F18" s="8" t="n">
        <v>0.14</v>
      </c>
      <c r="G18" s="7" t="s">
        <v>107</v>
      </c>
      <c r="H18" s="4" t="s">
        <v>108</v>
      </c>
    </row>
    <row r="19" customFormat="false" ht="17.15" hidden="false" customHeight="false" outlineLevel="0" collapsed="false">
      <c r="A19" s="9" t="s">
        <v>109</v>
      </c>
      <c r="B19" s="10" t="s">
        <v>110</v>
      </c>
      <c r="C19" s="9" t="s">
        <v>106</v>
      </c>
      <c r="D19" s="11" t="n">
        <v>0</v>
      </c>
      <c r="E19" s="11" t="n">
        <v>0.2</v>
      </c>
      <c r="F19" s="11" t="n">
        <v>0.4</v>
      </c>
      <c r="G19" s="9" t="s">
        <v>107</v>
      </c>
      <c r="H19" s="10" t="s">
        <v>111</v>
      </c>
      <c r="I19" s="9"/>
    </row>
    <row r="20" customFormat="false" ht="17.15" hidden="false" customHeight="false" outlineLevel="0" collapsed="false">
      <c r="A20" s="0" t="s">
        <v>112</v>
      </c>
      <c r="B20" s="0" t="s">
        <v>113</v>
      </c>
      <c r="C20" s="0" t="s">
        <v>81</v>
      </c>
      <c r="E20" s="6" t="n">
        <v>85.436</v>
      </c>
      <c r="G20" s="7" t="s">
        <v>82</v>
      </c>
      <c r="H20" s="7" t="s">
        <v>114</v>
      </c>
      <c r="I20" s="4" t="s">
        <v>115</v>
      </c>
    </row>
    <row r="21" customFormat="false" ht="17.15" hidden="false" customHeight="false" outlineLevel="0" collapsed="false">
      <c r="A21" s="0" t="s">
        <v>116</v>
      </c>
      <c r="B21" s="4" t="s">
        <v>117</v>
      </c>
      <c r="C21" s="0" t="s">
        <v>81</v>
      </c>
      <c r="E21" s="6" t="n">
        <v>7.089</v>
      </c>
      <c r="G21" s="7" t="s">
        <v>82</v>
      </c>
      <c r="H21" s="4" t="s">
        <v>118</v>
      </c>
    </row>
    <row r="22" customFormat="false" ht="17.15" hidden="false" customHeight="false" outlineLevel="0" collapsed="false">
      <c r="A22" s="5" t="s">
        <v>119</v>
      </c>
    </row>
    <row r="23" customFormat="false" ht="17.15" hidden="false" customHeight="false" outlineLevel="0" collapsed="false">
      <c r="A23" s="0" t="s">
        <v>120</v>
      </c>
      <c r="B23" s="4" t="s">
        <v>121</v>
      </c>
      <c r="C23" s="0" t="s">
        <v>106</v>
      </c>
      <c r="E23" s="8" t="n">
        <v>0.0499</v>
      </c>
      <c r="G23" s="7" t="s">
        <v>55</v>
      </c>
      <c r="H23" s="4" t="s">
        <v>122</v>
      </c>
      <c r="I23" s="7" t="s">
        <v>123</v>
      </c>
    </row>
    <row r="24" customFormat="false" ht="17.15" hidden="false" customHeight="false" outlineLevel="0" collapsed="false">
      <c r="A24" s="0" t="s">
        <v>124</v>
      </c>
      <c r="B24" s="4" t="s">
        <v>125</v>
      </c>
      <c r="C24" s="0" t="s">
        <v>126</v>
      </c>
      <c r="E24" s="12" t="n">
        <v>1.21</v>
      </c>
      <c r="G24" s="7" t="s">
        <v>55</v>
      </c>
      <c r="H24" s="7" t="s">
        <v>127</v>
      </c>
      <c r="I24" s="4" t="s">
        <v>128</v>
      </c>
    </row>
    <row r="25" customFormat="false" ht="17.15" hidden="false" customHeight="false" outlineLevel="0" collapsed="false">
      <c r="A25" s="0" t="s">
        <v>129</v>
      </c>
      <c r="B25" s="4" t="s">
        <v>130</v>
      </c>
      <c r="C25" s="0" t="s">
        <v>126</v>
      </c>
      <c r="E25" s="12" t="n">
        <v>1.3669</v>
      </c>
      <c r="G25" s="7" t="s">
        <v>55</v>
      </c>
      <c r="H25" s="7" t="s">
        <v>131</v>
      </c>
      <c r="I25" s="4" t="s">
        <v>132</v>
      </c>
    </row>
    <row r="26" customFormat="false" ht="17.15" hidden="false" customHeight="false" outlineLevel="0" collapsed="false">
      <c r="A26" s="0" t="s">
        <v>133</v>
      </c>
      <c r="B26" s="0" t="s">
        <v>134</v>
      </c>
      <c r="C26" s="0" t="s">
        <v>126</v>
      </c>
      <c r="E26" s="12" t="n">
        <v>0.67</v>
      </c>
      <c r="G26" s="7" t="s">
        <v>82</v>
      </c>
      <c r="H26" s="7" t="s">
        <v>135</v>
      </c>
    </row>
    <row r="27" customFormat="false" ht="17.15" hidden="false" customHeight="false" outlineLevel="0" collapsed="false">
      <c r="A27" s="0" t="s">
        <v>136</v>
      </c>
      <c r="B27" s="0" t="s">
        <v>137</v>
      </c>
      <c r="C27" s="0" t="s">
        <v>126</v>
      </c>
      <c r="D27" s="12" t="n">
        <v>1.1407</v>
      </c>
      <c r="E27" s="13" t="n">
        <f aca="false">MEDIAN(blume_a*beta_sa+1-blume_a,blume_a*beta_gf+1-blume_a)</f>
        <v>1.1932615</v>
      </c>
      <c r="F27" s="12" t="n">
        <v>1.2458</v>
      </c>
      <c r="G27" s="7" t="s">
        <v>82</v>
      </c>
      <c r="H27" s="4" t="s">
        <v>138</v>
      </c>
      <c r="I27" s="4" t="s">
        <v>139</v>
      </c>
    </row>
    <row r="28" customFormat="false" ht="17.15" hidden="false" customHeight="false" outlineLevel="0" collapsed="false">
      <c r="A28" s="0" t="s">
        <v>140</v>
      </c>
      <c r="B28" s="4" t="s">
        <v>141</v>
      </c>
      <c r="C28" s="0" t="s">
        <v>106</v>
      </c>
      <c r="D28" s="8" t="n">
        <v>0.04</v>
      </c>
      <c r="E28" s="8" t="n">
        <v>0.05</v>
      </c>
      <c r="F28" s="8" t="n">
        <v>0.06</v>
      </c>
      <c r="G28" s="7" t="s">
        <v>107</v>
      </c>
      <c r="H28" s="4" t="s">
        <v>142</v>
      </c>
    </row>
    <row r="29" customFormat="false" ht="17.15" hidden="false" customHeight="false" outlineLevel="0" collapsed="false">
      <c r="A29" s="0" t="s">
        <v>143</v>
      </c>
      <c r="B29" s="4" t="s">
        <v>144</v>
      </c>
      <c r="C29" s="0" t="s">
        <v>106</v>
      </c>
      <c r="D29" s="8" t="n">
        <v>0.004</v>
      </c>
      <c r="E29" s="8" t="n">
        <v>0.006</v>
      </c>
      <c r="F29" s="8" t="n">
        <v>0.009</v>
      </c>
      <c r="G29" s="7" t="s">
        <v>107</v>
      </c>
      <c r="H29" s="4" t="s">
        <v>145</v>
      </c>
    </row>
    <row r="30" customFormat="false" ht="17.15" hidden="false" customHeight="false" outlineLevel="0" collapsed="false">
      <c r="A30" s="0" t="s">
        <v>146</v>
      </c>
      <c r="B30" s="4" t="s">
        <v>147</v>
      </c>
      <c r="C30" s="0" t="s">
        <v>106</v>
      </c>
      <c r="E30" s="14" t="n">
        <f aca="false">rf+kd_sp</f>
        <v>0.0559</v>
      </c>
      <c r="G30" s="7" t="s">
        <v>82</v>
      </c>
      <c r="H30" s="4" t="s">
        <v>148</v>
      </c>
      <c r="I30" s="7" t="s">
        <v>149</v>
      </c>
    </row>
    <row r="31" customFormat="false" ht="17.15" hidden="false" customHeight="false" outlineLevel="0" collapsed="false">
      <c r="A31" s="0" t="s">
        <v>150</v>
      </c>
      <c r="B31" s="4" t="s">
        <v>151</v>
      </c>
      <c r="C31" s="0" t="s">
        <v>81</v>
      </c>
      <c r="E31" s="6" t="n">
        <v>2.59</v>
      </c>
      <c r="G31" s="7" t="s">
        <v>65</v>
      </c>
      <c r="H31" s="7" t="s">
        <v>152</v>
      </c>
      <c r="I31" s="4" t="s">
        <v>153</v>
      </c>
    </row>
    <row r="32" customFormat="false" ht="17.15" hidden="false" customHeight="false" outlineLevel="0" collapsed="false">
      <c r="A32" s="0" t="s">
        <v>154</v>
      </c>
      <c r="B32" s="0" t="s">
        <v>155</v>
      </c>
      <c r="C32" s="0" t="s">
        <v>106</v>
      </c>
      <c r="D32" s="8" t="n">
        <v>-0.01</v>
      </c>
      <c r="E32" s="8" t="n">
        <v>0</v>
      </c>
      <c r="F32" s="8" t="n">
        <v>0.01</v>
      </c>
      <c r="G32" s="7" t="s">
        <v>107</v>
      </c>
      <c r="H32" s="4" t="s">
        <v>156</v>
      </c>
    </row>
    <row r="33" customFormat="false" ht="17.15" hidden="false" customHeight="false" outlineLevel="0" collapsed="false">
      <c r="A33" s="0" t="s">
        <v>157</v>
      </c>
      <c r="B33" s="0" t="s">
        <v>158</v>
      </c>
      <c r="C33" s="0" t="s">
        <v>106</v>
      </c>
      <c r="E33" s="8" t="n">
        <v>0.168</v>
      </c>
      <c r="G33" s="7" t="s">
        <v>82</v>
      </c>
      <c r="H33" s="7" t="s">
        <v>159</v>
      </c>
      <c r="I33" s="4" t="s">
        <v>128</v>
      </c>
    </row>
    <row r="34" customFormat="false" ht="17.15" hidden="false" customHeight="false" outlineLevel="0" collapsed="false">
      <c r="A34" s="9" t="s">
        <v>160</v>
      </c>
      <c r="B34" s="10" t="s">
        <v>161</v>
      </c>
      <c r="C34" s="9" t="s">
        <v>106</v>
      </c>
      <c r="D34" s="11" t="n">
        <v>0.02</v>
      </c>
      <c r="E34" s="11" t="n">
        <v>0.03</v>
      </c>
      <c r="F34" s="11" t="n">
        <v>0.04</v>
      </c>
      <c r="G34" s="9" t="s">
        <v>107</v>
      </c>
      <c r="H34" s="10" t="s">
        <v>162</v>
      </c>
      <c r="I34" s="9"/>
    </row>
    <row r="35" customFormat="false" ht="17.15" hidden="false" customHeight="false" outlineLevel="0" collapsed="false">
      <c r="A35" s="9" t="s">
        <v>163</v>
      </c>
      <c r="B35" s="10" t="s">
        <v>164</v>
      </c>
      <c r="C35" s="9" t="s">
        <v>106</v>
      </c>
      <c r="D35" s="9"/>
      <c r="E35" s="11" t="n">
        <v>0</v>
      </c>
      <c r="F35" s="11" t="n">
        <v>0.05</v>
      </c>
      <c r="G35" s="9" t="s">
        <v>107</v>
      </c>
      <c r="H35" s="10" t="s">
        <v>165</v>
      </c>
      <c r="I35" s="9" t="s">
        <v>166</v>
      </c>
    </row>
    <row r="36" customFormat="false" ht="17.15" hidden="false" customHeight="false" outlineLevel="0" collapsed="false">
      <c r="A36" s="0" t="s">
        <v>167</v>
      </c>
      <c r="B36" s="4" t="s">
        <v>168</v>
      </c>
      <c r="C36" s="4" t="s">
        <v>169</v>
      </c>
      <c r="E36" s="6" t="n">
        <v>0.5</v>
      </c>
      <c r="G36" s="7" t="s">
        <v>82</v>
      </c>
      <c r="H36" s="4" t="s">
        <v>170</v>
      </c>
    </row>
    <row r="37" customFormat="false" ht="17.15" hidden="false" customHeight="false" outlineLevel="0" collapsed="false">
      <c r="A37" s="0" t="s">
        <v>171</v>
      </c>
      <c r="B37" s="4" t="s">
        <v>172</v>
      </c>
      <c r="C37" s="4" t="s">
        <v>169</v>
      </c>
      <c r="E37" s="6" t="n">
        <v>2026.75</v>
      </c>
      <c r="G37" s="7" t="s">
        <v>82</v>
      </c>
      <c r="H37" s="7" t="s">
        <v>173</v>
      </c>
    </row>
    <row r="38" customFormat="false" ht="17.15" hidden="false" customHeight="false" outlineLevel="0" collapsed="false">
      <c r="A38" s="0" t="s">
        <v>174</v>
      </c>
      <c r="B38" s="0" t="s">
        <v>175</v>
      </c>
      <c r="C38" s="4" t="s">
        <v>169</v>
      </c>
      <c r="E38" s="6" t="n">
        <v>0.125</v>
      </c>
      <c r="G38" s="7" t="s">
        <v>82</v>
      </c>
      <c r="H38" s="7" t="s">
        <v>176</v>
      </c>
    </row>
    <row r="39" customFormat="false" ht="17.15" hidden="false" customHeight="false" outlineLevel="0" collapsed="false">
      <c r="A39" s="9" t="s">
        <v>177</v>
      </c>
      <c r="B39" s="10" t="s">
        <v>178</v>
      </c>
      <c r="C39" s="9" t="s">
        <v>106</v>
      </c>
      <c r="D39" s="9"/>
      <c r="E39" s="11" t="n">
        <v>0.25</v>
      </c>
      <c r="F39" s="9"/>
      <c r="G39" s="9" t="s">
        <v>107</v>
      </c>
      <c r="H39" s="10" t="s">
        <v>179</v>
      </c>
      <c r="I39" s="9"/>
    </row>
    <row r="40" customFormat="false" ht="17.15" hidden="false" customHeight="false" outlineLevel="0" collapsed="false">
      <c r="A40" s="9" t="s">
        <v>180</v>
      </c>
      <c r="B40" s="10" t="s">
        <v>181</v>
      </c>
      <c r="C40" s="9" t="s">
        <v>106</v>
      </c>
      <c r="D40" s="9"/>
      <c r="E40" s="11" t="n">
        <v>0.5</v>
      </c>
      <c r="F40" s="9"/>
      <c r="G40" s="9" t="s">
        <v>107</v>
      </c>
      <c r="H40" s="10" t="s">
        <v>182</v>
      </c>
      <c r="I40" s="9"/>
    </row>
    <row r="41" customFormat="false" ht="17.15" hidden="false" customHeight="false" outlineLevel="0" collapsed="false">
      <c r="A41" s="9" t="s">
        <v>183</v>
      </c>
      <c r="B41" s="10" t="s">
        <v>184</v>
      </c>
      <c r="C41" s="9" t="s">
        <v>106</v>
      </c>
      <c r="D41" s="9"/>
      <c r="E41" s="11" t="n">
        <v>0.25</v>
      </c>
      <c r="F41" s="9"/>
      <c r="G41" s="9" t="s">
        <v>107</v>
      </c>
      <c r="H41" s="10" t="s">
        <v>182</v>
      </c>
      <c r="I41" s="9"/>
    </row>
    <row r="42" customFormat="false" ht="17.15" hidden="false" customHeight="false" outlineLevel="0" collapsed="false">
      <c r="A42" s="9" t="s">
        <v>185</v>
      </c>
      <c r="B42" s="10" t="s">
        <v>186</v>
      </c>
      <c r="C42" s="9" t="s">
        <v>106</v>
      </c>
      <c r="D42" s="11" t="n">
        <v>0.3</v>
      </c>
      <c r="E42" s="11" t="n">
        <v>0.5</v>
      </c>
      <c r="F42" s="11" t="n">
        <v>0.7</v>
      </c>
      <c r="G42" s="9" t="s">
        <v>107</v>
      </c>
      <c r="H42" s="10" t="s">
        <v>187</v>
      </c>
      <c r="I42" s="9"/>
    </row>
    <row r="43" customFormat="false" ht="17.15" hidden="false" customHeight="false" outlineLevel="0" collapsed="false">
      <c r="A43" s="0" t="s">
        <v>188</v>
      </c>
      <c r="B43" s="4" t="s">
        <v>189</v>
      </c>
      <c r="C43" s="4" t="s">
        <v>169</v>
      </c>
      <c r="E43" s="6" t="n">
        <v>1.0795</v>
      </c>
      <c r="G43" s="7" t="s">
        <v>82</v>
      </c>
      <c r="H43" s="7" t="s">
        <v>190</v>
      </c>
      <c r="I43" s="4" t="s">
        <v>191</v>
      </c>
    </row>
    <row r="44" customFormat="false" ht="17.15" hidden="false" customHeight="false" outlineLevel="0" collapsed="false">
      <c r="A44" s="0" t="s">
        <v>192</v>
      </c>
      <c r="B44" s="4" t="s">
        <v>193</v>
      </c>
      <c r="C44" s="0" t="s">
        <v>106</v>
      </c>
      <c r="E44" s="8" t="n">
        <v>0.1726</v>
      </c>
      <c r="G44" s="7" t="s">
        <v>82</v>
      </c>
      <c r="H44" s="7" t="s">
        <v>194</v>
      </c>
      <c r="I44" s="4" t="s">
        <v>195</v>
      </c>
    </row>
    <row r="45" customFormat="false" ht="17.15" hidden="false" customHeight="false" outlineLevel="0" collapsed="false">
      <c r="A45" s="0" t="s">
        <v>196</v>
      </c>
      <c r="B45" s="4" t="s">
        <v>197</v>
      </c>
      <c r="C45" s="0" t="s">
        <v>54</v>
      </c>
      <c r="E45" s="6" t="n">
        <v>429.12</v>
      </c>
      <c r="G45" s="7" t="s">
        <v>65</v>
      </c>
      <c r="H45" s="7" t="s">
        <v>198</v>
      </c>
      <c r="I45" s="4" t="s">
        <v>199</v>
      </c>
    </row>
    <row r="46" customFormat="false" ht="17.15" hidden="false" customHeight="false" outlineLevel="0" collapsed="false">
      <c r="A46" s="0" t="s">
        <v>200</v>
      </c>
      <c r="B46" s="4" t="s">
        <v>201</v>
      </c>
      <c r="C46" s="0" t="s">
        <v>54</v>
      </c>
      <c r="E46" s="15" t="n">
        <f aca="false">dps/4+dps*(1+dps_g)*(1-w_ntm27)</f>
        <v>0.9845176</v>
      </c>
      <c r="G46" s="7" t="s">
        <v>82</v>
      </c>
      <c r="H46" s="7" t="s">
        <v>202</v>
      </c>
    </row>
    <row r="47" customFormat="false" ht="17.15" hidden="false" customHeight="false" outlineLevel="0" collapsed="false">
      <c r="A47" s="0" t="s">
        <v>203</v>
      </c>
      <c r="B47" s="4" t="s">
        <v>204</v>
      </c>
      <c r="C47" s="4" t="s">
        <v>169</v>
      </c>
      <c r="E47" s="6" t="n">
        <v>2026.82</v>
      </c>
      <c r="G47" s="7" t="s">
        <v>82</v>
      </c>
      <c r="H47" s="4" t="s">
        <v>205</v>
      </c>
    </row>
    <row r="48" customFormat="false" ht="17.15" hidden="false" customHeight="false" outlineLevel="0" collapsed="false">
      <c r="A48" s="9" t="s">
        <v>206</v>
      </c>
      <c r="B48" s="10" t="s">
        <v>207</v>
      </c>
      <c r="C48" s="9" t="s">
        <v>126</v>
      </c>
      <c r="D48" s="9"/>
      <c r="E48" s="16" t="n">
        <v>0</v>
      </c>
      <c r="F48" s="16" t="n">
        <v>1</v>
      </c>
      <c r="G48" s="9" t="s">
        <v>107</v>
      </c>
      <c r="H48" s="10" t="s">
        <v>208</v>
      </c>
      <c r="I48" s="9"/>
    </row>
    <row r="49" customFormat="false" ht="17.15" hidden="false" customHeight="false" outlineLevel="0" collapsed="false">
      <c r="A49" s="9" t="s">
        <v>209</v>
      </c>
      <c r="B49" s="10" t="s">
        <v>210</v>
      </c>
      <c r="C49" s="9" t="s">
        <v>126</v>
      </c>
      <c r="D49" s="16" t="n">
        <v>1</v>
      </c>
      <c r="E49" s="16" t="n">
        <v>2</v>
      </c>
      <c r="F49" s="9"/>
      <c r="G49" s="9" t="s">
        <v>107</v>
      </c>
      <c r="H49" s="10" t="s">
        <v>211</v>
      </c>
      <c r="I49" s="10" t="s">
        <v>212</v>
      </c>
    </row>
    <row r="50" customFormat="false" ht="17.15" hidden="false" customHeight="false" outlineLevel="0" collapsed="false">
      <c r="A50" s="9" t="s">
        <v>213</v>
      </c>
      <c r="B50" s="9" t="s">
        <v>214</v>
      </c>
      <c r="C50" s="9" t="s">
        <v>126</v>
      </c>
      <c r="D50" s="9"/>
      <c r="E50" s="16" t="n">
        <v>0</v>
      </c>
      <c r="F50" s="16" t="n">
        <v>1</v>
      </c>
      <c r="G50" s="9" t="s">
        <v>107</v>
      </c>
      <c r="H50" s="10" t="s">
        <v>215</v>
      </c>
      <c r="I50" s="9"/>
    </row>
    <row r="51" customFormat="false" ht="17.15" hidden="false" customHeight="false" outlineLevel="0" collapsed="false">
      <c r="A51" s="9" t="s">
        <v>216</v>
      </c>
      <c r="B51" s="10" t="s">
        <v>217</v>
      </c>
      <c r="C51" s="9" t="s">
        <v>126</v>
      </c>
      <c r="D51" s="9"/>
      <c r="E51" s="16" t="n">
        <v>0</v>
      </c>
      <c r="F51" s="16" t="n">
        <v>1</v>
      </c>
      <c r="G51" s="9" t="s">
        <v>107</v>
      </c>
      <c r="H51" s="10" t="s">
        <v>218</v>
      </c>
      <c r="I51" s="9"/>
    </row>
    <row r="52" customFormat="false" ht="17.15" hidden="false" customHeight="false" outlineLevel="0" collapsed="false">
      <c r="A52" s="5" t="s">
        <v>219</v>
      </c>
    </row>
    <row r="53" customFormat="false" ht="17.15" hidden="false" customHeight="false" outlineLevel="0" collapsed="false">
      <c r="A53" s="0" t="s">
        <v>220</v>
      </c>
      <c r="B53" s="4" t="s">
        <v>221</v>
      </c>
      <c r="C53" s="0" t="s">
        <v>126</v>
      </c>
      <c r="E53" s="12" t="n">
        <v>10.79</v>
      </c>
      <c r="G53" s="7" t="s">
        <v>82</v>
      </c>
      <c r="H53" s="7" t="s">
        <v>222</v>
      </c>
      <c r="I53" s="7" t="s">
        <v>223</v>
      </c>
    </row>
    <row r="54" customFormat="false" ht="17.15" hidden="false" customHeight="false" outlineLevel="0" collapsed="false">
      <c r="A54" s="0" t="s">
        <v>224</v>
      </c>
      <c r="B54" s="4" t="s">
        <v>225</v>
      </c>
      <c r="C54" s="0" t="s">
        <v>126</v>
      </c>
      <c r="E54" s="12" t="n">
        <v>6.91</v>
      </c>
      <c r="G54" s="7" t="s">
        <v>82</v>
      </c>
      <c r="H54" s="7" t="s">
        <v>222</v>
      </c>
      <c r="I54" s="7" t="s">
        <v>223</v>
      </c>
    </row>
    <row r="55" customFormat="false" ht="17.15" hidden="false" customHeight="false" outlineLevel="0" collapsed="false">
      <c r="A55" s="0" t="s">
        <v>226</v>
      </c>
      <c r="B55" s="4" t="s">
        <v>227</v>
      </c>
      <c r="C55" s="0" t="s">
        <v>126</v>
      </c>
      <c r="E55" s="12" t="n">
        <v>6.53</v>
      </c>
      <c r="G55" s="7" t="s">
        <v>82</v>
      </c>
      <c r="H55" s="7" t="s">
        <v>222</v>
      </c>
      <c r="I55" s="7" t="s">
        <v>223</v>
      </c>
    </row>
    <row r="56" customFormat="false" ht="17.15" hidden="false" customHeight="false" outlineLevel="0" collapsed="false">
      <c r="A56" s="0" t="s">
        <v>228</v>
      </c>
      <c r="B56" s="4" t="s">
        <v>229</v>
      </c>
      <c r="C56" s="0" t="s">
        <v>126</v>
      </c>
      <c r="E56" s="12" t="n">
        <v>11.38</v>
      </c>
      <c r="G56" s="7" t="s">
        <v>82</v>
      </c>
      <c r="H56" s="7" t="s">
        <v>222</v>
      </c>
      <c r="I56" s="7" t="s">
        <v>223</v>
      </c>
    </row>
    <row r="57" customFormat="false" ht="17.15" hidden="false" customHeight="false" outlineLevel="0" collapsed="false">
      <c r="A57" s="0" t="s">
        <v>230</v>
      </c>
      <c r="B57" s="4" t="s">
        <v>231</v>
      </c>
      <c r="C57" s="0" t="s">
        <v>126</v>
      </c>
      <c r="E57" s="12" t="n">
        <v>13.63</v>
      </c>
      <c r="G57" s="7" t="s">
        <v>82</v>
      </c>
      <c r="H57" s="7" t="s">
        <v>222</v>
      </c>
      <c r="I57" s="7" t="s">
        <v>223</v>
      </c>
    </row>
    <row r="58" customFormat="false" ht="17.15" hidden="false" customHeight="false" outlineLevel="0" collapsed="false">
      <c r="A58" s="0" t="s">
        <v>232</v>
      </c>
      <c r="B58" s="4" t="s">
        <v>233</v>
      </c>
      <c r="C58" s="0" t="s">
        <v>126</v>
      </c>
      <c r="E58" s="12" t="n">
        <v>7.43</v>
      </c>
      <c r="G58" s="7" t="s">
        <v>82</v>
      </c>
      <c r="H58" s="7" t="s">
        <v>222</v>
      </c>
      <c r="I58" s="7" t="s">
        <v>223</v>
      </c>
    </row>
    <row r="59" customFormat="false" ht="17.15" hidden="false" customHeight="false" outlineLevel="0" collapsed="false">
      <c r="A59" s="0" t="s">
        <v>234</v>
      </c>
      <c r="B59" s="4" t="s">
        <v>235</v>
      </c>
      <c r="C59" s="0" t="s">
        <v>126</v>
      </c>
      <c r="E59" s="12" t="n">
        <v>15.41</v>
      </c>
      <c r="G59" s="7" t="s">
        <v>82</v>
      </c>
      <c r="H59" s="7" t="s">
        <v>236</v>
      </c>
      <c r="I59" s="7" t="s">
        <v>223</v>
      </c>
    </row>
    <row r="60" customFormat="false" ht="17.15" hidden="false" customHeight="false" outlineLevel="0" collapsed="false">
      <c r="A60" s="0" t="s">
        <v>237</v>
      </c>
      <c r="B60" s="4" t="s">
        <v>238</v>
      </c>
      <c r="C60" s="0" t="s">
        <v>126</v>
      </c>
      <c r="E60" s="12" t="n">
        <v>31.97</v>
      </c>
      <c r="G60" s="7" t="s">
        <v>82</v>
      </c>
      <c r="H60" s="7" t="s">
        <v>236</v>
      </c>
      <c r="I60" s="7" t="s">
        <v>223</v>
      </c>
    </row>
    <row r="61" customFormat="false" ht="17.15" hidden="false" customHeight="false" outlineLevel="0" collapsed="false">
      <c r="A61" s="0" t="s">
        <v>239</v>
      </c>
      <c r="B61" s="4" t="s">
        <v>240</v>
      </c>
      <c r="C61" s="0" t="s">
        <v>126</v>
      </c>
      <c r="E61" s="12" t="n">
        <v>10.58</v>
      </c>
      <c r="G61" s="7" t="s">
        <v>82</v>
      </c>
      <c r="H61" s="7" t="s">
        <v>236</v>
      </c>
      <c r="I61" s="7" t="s">
        <v>223</v>
      </c>
    </row>
    <row r="62" customFormat="false" ht="17.15" hidden="false" customHeight="false" outlineLevel="0" collapsed="false">
      <c r="A62" s="0" t="s">
        <v>241</v>
      </c>
      <c r="B62" s="4" t="s">
        <v>242</v>
      </c>
      <c r="C62" s="0" t="s">
        <v>126</v>
      </c>
      <c r="E62" s="12" t="n">
        <v>9.49</v>
      </c>
      <c r="G62" s="7" t="s">
        <v>82</v>
      </c>
      <c r="H62" s="7" t="s">
        <v>243</v>
      </c>
      <c r="I62" s="7" t="s">
        <v>223</v>
      </c>
    </row>
    <row r="63" customFormat="false" ht="17.15" hidden="false" customHeight="false" outlineLevel="0" collapsed="false">
      <c r="A63" s="0" t="s">
        <v>244</v>
      </c>
      <c r="B63" s="4" t="s">
        <v>245</v>
      </c>
      <c r="C63" s="0" t="s">
        <v>126</v>
      </c>
      <c r="E63" s="12" t="n">
        <v>12.51</v>
      </c>
      <c r="G63" s="7" t="s">
        <v>82</v>
      </c>
      <c r="H63" s="7" t="s">
        <v>243</v>
      </c>
      <c r="I63" s="7" t="s">
        <v>223</v>
      </c>
    </row>
    <row r="64" customFormat="false" ht="17.15" hidden="false" customHeight="false" outlineLevel="0" collapsed="false">
      <c r="A64" s="0" t="s">
        <v>246</v>
      </c>
      <c r="B64" s="4" t="s">
        <v>247</v>
      </c>
      <c r="C64" s="0" t="s">
        <v>126</v>
      </c>
      <c r="E64" s="12" t="n">
        <v>15.13</v>
      </c>
      <c r="G64" s="7" t="s">
        <v>82</v>
      </c>
      <c r="H64" s="7" t="s">
        <v>243</v>
      </c>
      <c r="I64" s="7" t="s">
        <v>223</v>
      </c>
    </row>
    <row r="65" customFormat="false" ht="17.15" hidden="false" customHeight="false" outlineLevel="0" collapsed="false">
      <c r="A65" s="0" t="s">
        <v>248</v>
      </c>
      <c r="B65" s="4" t="s">
        <v>249</v>
      </c>
      <c r="C65" s="0" t="s">
        <v>126</v>
      </c>
      <c r="E65" s="12" t="n">
        <v>10.81</v>
      </c>
      <c r="G65" s="7" t="s">
        <v>82</v>
      </c>
      <c r="H65" s="7" t="s">
        <v>243</v>
      </c>
      <c r="I65" s="7" t="s">
        <v>223</v>
      </c>
    </row>
    <row r="66" customFormat="false" ht="17.15" hidden="false" customHeight="false" outlineLevel="0" collapsed="false">
      <c r="A66" s="0" t="s">
        <v>250</v>
      </c>
      <c r="B66" s="4" t="s">
        <v>251</v>
      </c>
      <c r="C66" s="0" t="s">
        <v>126</v>
      </c>
      <c r="E66" s="12" t="n">
        <v>20.63</v>
      </c>
      <c r="G66" s="7" t="s">
        <v>82</v>
      </c>
      <c r="H66" s="7" t="s">
        <v>243</v>
      </c>
      <c r="I66" s="7" t="s">
        <v>223</v>
      </c>
    </row>
    <row r="67" customFormat="false" ht="17.15" hidden="false" customHeight="false" outlineLevel="0" collapsed="false">
      <c r="A67" s="0" t="s">
        <v>252</v>
      </c>
      <c r="B67" s="4" t="s">
        <v>253</v>
      </c>
      <c r="C67" s="0" t="s">
        <v>126</v>
      </c>
      <c r="E67" s="12" t="n">
        <v>9.7</v>
      </c>
      <c r="G67" s="7" t="s">
        <v>82</v>
      </c>
      <c r="H67" s="7" t="s">
        <v>243</v>
      </c>
      <c r="I67" s="7" t="s">
        <v>223</v>
      </c>
    </row>
    <row r="68" customFormat="false" ht="17.15" hidden="false" customHeight="false" outlineLevel="0" collapsed="false">
      <c r="A68" s="0" t="s">
        <v>254</v>
      </c>
      <c r="B68" s="4" t="s">
        <v>255</v>
      </c>
      <c r="C68" s="0" t="s">
        <v>126</v>
      </c>
      <c r="E68" s="12" t="n">
        <v>21.2</v>
      </c>
      <c r="G68" s="7" t="s">
        <v>82</v>
      </c>
      <c r="H68" s="7" t="s">
        <v>243</v>
      </c>
      <c r="I68" s="7" t="s">
        <v>223</v>
      </c>
    </row>
    <row r="69" customFormat="false" ht="17.15" hidden="false" customHeight="false" outlineLevel="0" collapsed="false">
      <c r="A69" s="0" t="s">
        <v>256</v>
      </c>
      <c r="B69" s="4" t="s">
        <v>257</v>
      </c>
      <c r="C69" s="0" t="s">
        <v>126</v>
      </c>
      <c r="E69" s="12" t="n">
        <v>24.49</v>
      </c>
      <c r="G69" s="7" t="s">
        <v>82</v>
      </c>
      <c r="H69" s="7" t="s">
        <v>243</v>
      </c>
      <c r="I69" s="7" t="s">
        <v>223</v>
      </c>
    </row>
    <row r="70" customFormat="false" ht="17.15" hidden="false" customHeight="false" outlineLevel="0" collapsed="false">
      <c r="A70" s="9" t="s">
        <v>258</v>
      </c>
      <c r="B70" s="9" t="s">
        <v>259</v>
      </c>
      <c r="C70" s="9" t="s">
        <v>126</v>
      </c>
      <c r="D70" s="16" t="n">
        <v>4</v>
      </c>
      <c r="E70" s="16" t="n">
        <v>6</v>
      </c>
      <c r="F70" s="16" t="n">
        <v>10</v>
      </c>
      <c r="G70" s="9" t="s">
        <v>107</v>
      </c>
      <c r="H70" s="10" t="s">
        <v>260</v>
      </c>
      <c r="I70" s="10" t="s">
        <v>261</v>
      </c>
    </row>
    <row r="71" customFormat="false" ht="17.15" hidden="false" customHeight="false" outlineLevel="0" collapsed="false">
      <c r="A71" s="0" t="s">
        <v>262</v>
      </c>
      <c r="B71" s="0" t="s">
        <v>263</v>
      </c>
      <c r="C71" s="0" t="s">
        <v>126</v>
      </c>
      <c r="E71" s="12" t="n">
        <v>14.68</v>
      </c>
      <c r="G71" s="7" t="s">
        <v>82</v>
      </c>
      <c r="H71" s="4" t="s">
        <v>264</v>
      </c>
    </row>
    <row r="72" customFormat="false" ht="17.15" hidden="false" customHeight="false" outlineLevel="0" collapsed="false">
      <c r="A72" s="9" t="s">
        <v>265</v>
      </c>
      <c r="B72" s="9" t="s">
        <v>266</v>
      </c>
      <c r="C72" s="9" t="s">
        <v>126</v>
      </c>
      <c r="D72" s="16" t="n">
        <v>1</v>
      </c>
      <c r="E72" s="16" t="n">
        <v>0</v>
      </c>
      <c r="F72" s="16" t="n">
        <v>2</v>
      </c>
      <c r="G72" s="9" t="s">
        <v>107</v>
      </c>
      <c r="H72" s="10" t="s">
        <v>267</v>
      </c>
      <c r="I72" s="9" t="s">
        <v>268</v>
      </c>
    </row>
    <row r="73" customFormat="false" ht="17.15" hidden="false" customHeight="false" outlineLevel="0" collapsed="false">
      <c r="A73" s="0" t="s">
        <v>269</v>
      </c>
      <c r="B73" s="0" t="s">
        <v>270</v>
      </c>
      <c r="C73" s="0" t="s">
        <v>81</v>
      </c>
      <c r="E73" s="6" t="n">
        <v>126</v>
      </c>
      <c r="G73" s="7" t="s">
        <v>65</v>
      </c>
      <c r="H73" s="7" t="s">
        <v>271</v>
      </c>
      <c r="I73" s="7" t="s">
        <v>272</v>
      </c>
    </row>
    <row r="74" customFormat="false" ht="17.15" hidden="false" customHeight="false" outlineLevel="0" collapsed="false">
      <c r="A74" s="9" t="s">
        <v>273</v>
      </c>
      <c r="B74" s="9" t="s">
        <v>274</v>
      </c>
      <c r="C74" s="9" t="s">
        <v>106</v>
      </c>
      <c r="D74" s="11" t="n">
        <v>0.6</v>
      </c>
      <c r="E74" s="11" t="n">
        <v>0.7</v>
      </c>
      <c r="F74" s="11" t="n">
        <v>0.8</v>
      </c>
      <c r="G74" s="9" t="s">
        <v>107</v>
      </c>
      <c r="H74" s="10" t="s">
        <v>275</v>
      </c>
      <c r="I74" s="10" t="s">
        <v>276</v>
      </c>
    </row>
    <row r="75" customFormat="false" ht="17.15" hidden="false" customHeight="false" outlineLevel="0" collapsed="false">
      <c r="A75" s="9" t="s">
        <v>277</v>
      </c>
      <c r="B75" s="9" t="s">
        <v>278</v>
      </c>
      <c r="C75" s="9" t="s">
        <v>81</v>
      </c>
      <c r="D75" s="9"/>
      <c r="E75" s="17" t="n">
        <f aca="false">waymo_val*waymo_stake*(1-illiq)</f>
        <v>70.56</v>
      </c>
      <c r="F75" s="9"/>
      <c r="G75" s="9" t="s">
        <v>82</v>
      </c>
      <c r="H75" s="10" t="s">
        <v>279</v>
      </c>
      <c r="I75" s="10" t="s">
        <v>280</v>
      </c>
    </row>
    <row r="76" customFormat="false" ht="17.15" hidden="false" customHeight="false" outlineLevel="0" collapsed="false">
      <c r="A76" s="5" t="s">
        <v>281</v>
      </c>
    </row>
    <row r="77" customFormat="false" ht="17.15" hidden="false" customHeight="false" outlineLevel="0" collapsed="false">
      <c r="A77" s="0" t="s">
        <v>282</v>
      </c>
      <c r="B77" s="4" t="s">
        <v>283</v>
      </c>
      <c r="C77" s="0" t="s">
        <v>106</v>
      </c>
      <c r="D77" s="8" t="n">
        <v>0.25</v>
      </c>
      <c r="E77" s="8" t="n">
        <v>0.3</v>
      </c>
      <c r="F77" s="8" t="n">
        <v>0.4</v>
      </c>
      <c r="G77" s="7" t="s">
        <v>107</v>
      </c>
      <c r="H77" s="4" t="s">
        <v>284</v>
      </c>
      <c r="I77" s="4" t="s">
        <v>285</v>
      </c>
    </row>
    <row r="78" customFormat="false" ht="17.15" hidden="false" customHeight="false" outlineLevel="0" collapsed="false">
      <c r="A78" s="9" t="s">
        <v>286</v>
      </c>
      <c r="B78" s="9" t="s">
        <v>287</v>
      </c>
      <c r="C78" s="9" t="s">
        <v>288</v>
      </c>
      <c r="D78" s="18" t="n">
        <v>5012</v>
      </c>
      <c r="E78" s="18" t="n">
        <v>6337</v>
      </c>
      <c r="F78" s="18" t="n">
        <v>7891</v>
      </c>
      <c r="G78" s="9" t="s">
        <v>82</v>
      </c>
      <c r="H78" s="9" t="s">
        <v>289</v>
      </c>
      <c r="I78" s="9" t="s">
        <v>290</v>
      </c>
    </row>
    <row r="79" customFormat="false" ht="17.15" hidden="false" customHeight="false" outlineLevel="0" collapsed="false">
      <c r="A79" s="0" t="s">
        <v>291</v>
      </c>
      <c r="B79" s="0" t="s">
        <v>292</v>
      </c>
      <c r="C79" s="0" t="s">
        <v>288</v>
      </c>
      <c r="E79" s="15" t="n">
        <f aca="false">mw_q2+pace*0.25</f>
        <v>7894.075</v>
      </c>
      <c r="G79" s="7" t="s">
        <v>82</v>
      </c>
      <c r="H79" s="7" t="s">
        <v>293</v>
      </c>
      <c r="I79" s="4" t="s">
        <v>294</v>
      </c>
    </row>
    <row r="80" customFormat="false" ht="17.15" hidden="false" customHeight="false" outlineLevel="0" collapsed="false">
      <c r="A80" s="0" t="s">
        <v>295</v>
      </c>
      <c r="B80" s="0" t="s">
        <v>296</v>
      </c>
      <c r="C80" s="0" t="s">
        <v>288</v>
      </c>
      <c r="E80" s="6" t="n">
        <v>4873</v>
      </c>
      <c r="G80" s="7" t="s">
        <v>82</v>
      </c>
      <c r="H80" s="7" t="s">
        <v>297</v>
      </c>
      <c r="I80" s="4" t="s">
        <v>298</v>
      </c>
    </row>
    <row r="81" customFormat="false" ht="17.15" hidden="false" customHeight="false" outlineLevel="0" collapsed="false">
      <c r="A81" s="0" t="s">
        <v>299</v>
      </c>
      <c r="B81" s="0" t="s">
        <v>300</v>
      </c>
      <c r="C81" s="0" t="s">
        <v>288</v>
      </c>
      <c r="E81" s="6" t="n">
        <v>2143.3</v>
      </c>
      <c r="G81" s="7" t="s">
        <v>82</v>
      </c>
      <c r="H81" s="4" t="s">
        <v>301</v>
      </c>
    </row>
    <row r="82" customFormat="false" ht="17.15" hidden="false" customHeight="false" outlineLevel="0" collapsed="false">
      <c r="A82" s="0" t="s">
        <v>302</v>
      </c>
      <c r="B82" s="0" t="s">
        <v>303</v>
      </c>
      <c r="C82" s="0" t="s">
        <v>288</v>
      </c>
      <c r="E82" s="6" t="n">
        <v>636.7</v>
      </c>
      <c r="G82" s="7" t="s">
        <v>82</v>
      </c>
      <c r="H82" s="4" t="s">
        <v>304</v>
      </c>
    </row>
    <row r="83" customFormat="false" ht="17.15" hidden="false" customHeight="false" outlineLevel="0" collapsed="false">
      <c r="A83" s="0" t="s">
        <v>305</v>
      </c>
      <c r="B83" s="0" t="s">
        <v>306</v>
      </c>
      <c r="C83" s="0" t="s">
        <v>307</v>
      </c>
      <c r="D83" s="6" t="n">
        <v>4152.4</v>
      </c>
      <c r="E83" s="6" t="n">
        <v>6228.3</v>
      </c>
      <c r="F83" s="6" t="n">
        <v>9342.5</v>
      </c>
      <c r="G83" s="7" t="s">
        <v>82</v>
      </c>
      <c r="H83" s="7" t="s">
        <v>308</v>
      </c>
      <c r="I83" s="4" t="s">
        <v>309</v>
      </c>
    </row>
    <row r="84" customFormat="false" ht="17.15" hidden="false" customHeight="false" outlineLevel="0" collapsed="false">
      <c r="A84" s="0" t="s">
        <v>310</v>
      </c>
      <c r="B84" s="0" t="s">
        <v>311</v>
      </c>
      <c r="C84" s="0" t="s">
        <v>307</v>
      </c>
      <c r="E84" s="6" t="n">
        <v>5208.6</v>
      </c>
      <c r="G84" s="7" t="s">
        <v>82</v>
      </c>
      <c r="H84" s="4" t="s">
        <v>312</v>
      </c>
    </row>
    <row r="85" customFormat="false" ht="17.15" hidden="false" customHeight="false" outlineLevel="0" collapsed="false">
      <c r="A85" s="0" t="s">
        <v>313</v>
      </c>
      <c r="B85" s="4" t="s">
        <v>314</v>
      </c>
      <c r="C85" s="0" t="s">
        <v>106</v>
      </c>
      <c r="E85" s="8" t="n">
        <v>0.25</v>
      </c>
      <c r="G85" s="7" t="s">
        <v>107</v>
      </c>
      <c r="H85" s="4" t="s">
        <v>315</v>
      </c>
      <c r="I85" s="7" t="s">
        <v>316</v>
      </c>
    </row>
    <row r="86" customFormat="false" ht="17.15" hidden="false" customHeight="false" outlineLevel="0" collapsed="false">
      <c r="A86" s="0" t="s">
        <v>317</v>
      </c>
      <c r="B86" s="4" t="s">
        <v>318</v>
      </c>
      <c r="C86" s="0" t="s">
        <v>106</v>
      </c>
      <c r="E86" s="8" t="n">
        <v>0.45</v>
      </c>
      <c r="G86" s="7" t="s">
        <v>107</v>
      </c>
      <c r="H86" s="4" t="s">
        <v>319</v>
      </c>
      <c r="I86" s="7" t="s">
        <v>320</v>
      </c>
    </row>
    <row r="87" customFormat="false" ht="17.15" hidden="false" customHeight="false" outlineLevel="0" collapsed="false">
      <c r="A87" s="0" t="s">
        <v>321</v>
      </c>
      <c r="B87" s="4" t="s">
        <v>322</v>
      </c>
      <c r="C87" s="0" t="s">
        <v>106</v>
      </c>
      <c r="E87" s="8" t="n">
        <v>0.3</v>
      </c>
      <c r="G87" s="7" t="s">
        <v>107</v>
      </c>
      <c r="H87" s="4" t="s">
        <v>323</v>
      </c>
      <c r="I87" s="7" t="s">
        <v>320</v>
      </c>
    </row>
    <row r="88" customFormat="false" ht="17.15" hidden="false" customHeight="false" outlineLevel="0" collapsed="false">
      <c r="A88" s="0" t="s">
        <v>324</v>
      </c>
      <c r="B88" s="0" t="s">
        <v>325</v>
      </c>
      <c r="C88" s="0" t="s">
        <v>106</v>
      </c>
      <c r="E88" s="8" t="n">
        <v>1</v>
      </c>
      <c r="G88" s="7" t="s">
        <v>107</v>
      </c>
      <c r="H88" s="4" t="s">
        <v>326</v>
      </c>
    </row>
    <row r="89" customFormat="false" ht="17.15" hidden="false" customHeight="false" outlineLevel="0" collapsed="false">
      <c r="A89" s="0" t="s">
        <v>327</v>
      </c>
      <c r="B89" s="0" t="s">
        <v>328</v>
      </c>
      <c r="C89" s="0" t="s">
        <v>106</v>
      </c>
      <c r="E89" s="8" t="n">
        <v>1</v>
      </c>
      <c r="G89" s="7" t="s">
        <v>107</v>
      </c>
      <c r="H89" s="4" t="s">
        <v>329</v>
      </c>
    </row>
    <row r="90" customFormat="false" ht="17.15" hidden="false" customHeight="false" outlineLevel="0" collapsed="false">
      <c r="A90" s="9" t="s">
        <v>330</v>
      </c>
      <c r="B90" s="9" t="s">
        <v>331</v>
      </c>
      <c r="C90" s="10" t="s">
        <v>169</v>
      </c>
      <c r="D90" s="9"/>
      <c r="E90" s="18" t="n">
        <v>0</v>
      </c>
      <c r="F90" s="18" t="n">
        <v>1</v>
      </c>
      <c r="G90" s="9" t="s">
        <v>107</v>
      </c>
      <c r="H90" s="10" t="s">
        <v>332</v>
      </c>
      <c r="I90" s="9" t="s">
        <v>333</v>
      </c>
    </row>
    <row r="91" customFormat="false" ht="17.15" hidden="false" customHeight="false" outlineLevel="0" collapsed="false">
      <c r="A91" s="9" t="s">
        <v>334</v>
      </c>
      <c r="B91" s="9" t="s">
        <v>335</v>
      </c>
      <c r="C91" s="10" t="s">
        <v>169</v>
      </c>
      <c r="D91" s="9"/>
      <c r="E91" s="18" t="n">
        <v>4</v>
      </c>
      <c r="F91" s="9"/>
      <c r="G91" s="9" t="s">
        <v>107</v>
      </c>
      <c r="H91" s="10" t="s">
        <v>336</v>
      </c>
      <c r="I91" s="9"/>
    </row>
    <row r="92" customFormat="false" ht="17.15" hidden="false" customHeight="false" outlineLevel="0" collapsed="false">
      <c r="A92" s="0" t="s">
        <v>337</v>
      </c>
      <c r="B92" s="0" t="s">
        <v>338</v>
      </c>
      <c r="C92" s="0" t="s">
        <v>106</v>
      </c>
      <c r="E92" s="8" t="n">
        <v>0.5</v>
      </c>
      <c r="G92" s="7" t="s">
        <v>107</v>
      </c>
      <c r="H92" s="4" t="s">
        <v>339</v>
      </c>
      <c r="I92" s="7" t="s">
        <v>340</v>
      </c>
    </row>
    <row r="93" customFormat="false" ht="17.15" hidden="false" customHeight="false" outlineLevel="0" collapsed="false">
      <c r="A93" s="0" t="s">
        <v>341</v>
      </c>
      <c r="B93" s="0" t="s">
        <v>342</v>
      </c>
      <c r="C93" s="0" t="s">
        <v>106</v>
      </c>
      <c r="E93" s="8" t="n">
        <v>0.75</v>
      </c>
      <c r="G93" s="7" t="s">
        <v>82</v>
      </c>
      <c r="H93" s="7" t="s">
        <v>343</v>
      </c>
      <c r="I93" s="4" t="s">
        <v>344</v>
      </c>
    </row>
    <row r="94" customFormat="false" ht="17.15" hidden="false" customHeight="false" outlineLevel="0" collapsed="false">
      <c r="A94" s="0" t="s">
        <v>345</v>
      </c>
      <c r="B94" s="0" t="s">
        <v>346</v>
      </c>
      <c r="C94" s="0" t="s">
        <v>126</v>
      </c>
      <c r="D94" s="12" t="n">
        <v>0.65</v>
      </c>
      <c r="E94" s="12" t="n">
        <v>0.7</v>
      </c>
      <c r="F94" s="12" t="n">
        <v>0.9</v>
      </c>
      <c r="G94" s="7" t="s">
        <v>107</v>
      </c>
      <c r="H94" s="7" t="s">
        <v>347</v>
      </c>
      <c r="I94" s="4" t="s">
        <v>348</v>
      </c>
    </row>
    <row r="95" customFormat="false" ht="17.15" hidden="false" customHeight="false" outlineLevel="0" collapsed="false">
      <c r="A95" s="0" t="s">
        <v>349</v>
      </c>
      <c r="B95" s="0" t="s">
        <v>350</v>
      </c>
      <c r="C95" s="0" t="s">
        <v>126</v>
      </c>
      <c r="D95" s="12" t="n">
        <v>0.6</v>
      </c>
      <c r="E95" s="12" t="n">
        <v>0.8</v>
      </c>
      <c r="F95" s="12" t="n">
        <v>1.1</v>
      </c>
      <c r="G95" s="7" t="s">
        <v>107</v>
      </c>
      <c r="H95" s="7" t="s">
        <v>351</v>
      </c>
      <c r="I95" s="4" t="s">
        <v>352</v>
      </c>
    </row>
    <row r="96" customFormat="false" ht="17.15" hidden="false" customHeight="false" outlineLevel="0" collapsed="false">
      <c r="A96" s="0" t="s">
        <v>353</v>
      </c>
      <c r="B96" s="0" t="s">
        <v>354</v>
      </c>
      <c r="C96" s="0" t="s">
        <v>126</v>
      </c>
      <c r="D96" s="12" t="n">
        <v>0.65</v>
      </c>
      <c r="E96" s="13" t="n">
        <f aca="false">tpu_hold</f>
        <v>0.7</v>
      </c>
      <c r="F96" s="12" t="n">
        <v>1</v>
      </c>
      <c r="G96" s="7" t="s">
        <v>82</v>
      </c>
      <c r="H96" s="7" t="s">
        <v>355</v>
      </c>
      <c r="I96" s="4" t="s">
        <v>356</v>
      </c>
    </row>
    <row r="97" customFormat="false" ht="17.15" hidden="false" customHeight="false" outlineLevel="0" collapsed="false">
      <c r="A97" s="0" t="s">
        <v>357</v>
      </c>
      <c r="B97" s="0" t="s">
        <v>358</v>
      </c>
      <c r="C97" s="0" t="s">
        <v>126</v>
      </c>
      <c r="D97" s="12" t="n">
        <v>0.65</v>
      </c>
      <c r="E97" s="13" t="n">
        <f aca="false">tpu_hold</f>
        <v>0.7</v>
      </c>
      <c r="F97" s="12" t="n">
        <v>1</v>
      </c>
      <c r="G97" s="7" t="s">
        <v>82</v>
      </c>
      <c r="H97" s="7" t="s">
        <v>359</v>
      </c>
      <c r="I97" s="4" t="s">
        <v>360</v>
      </c>
    </row>
    <row r="98" customFormat="false" ht="17.15" hidden="false" customHeight="false" outlineLevel="0" collapsed="false">
      <c r="A98" s="5" t="s">
        <v>361</v>
      </c>
    </row>
    <row r="99" customFormat="false" ht="17.15" hidden="false" customHeight="false" outlineLevel="0" collapsed="false">
      <c r="A99" s="0" t="s">
        <v>362</v>
      </c>
      <c r="B99" s="4" t="s">
        <v>363</v>
      </c>
      <c r="C99" s="0" t="s">
        <v>364</v>
      </c>
      <c r="D99" s="6" t="n">
        <v>7.6572</v>
      </c>
      <c r="E99" s="6" t="n">
        <v>9.5715</v>
      </c>
      <c r="G99" s="7" t="s">
        <v>107</v>
      </c>
      <c r="H99" s="7" t="s">
        <v>365</v>
      </c>
      <c r="I99" s="4" t="s">
        <v>366</v>
      </c>
    </row>
    <row r="100" customFormat="false" ht="17.15" hidden="false" customHeight="false" outlineLevel="0" collapsed="false">
      <c r="A100" s="0" t="s">
        <v>367</v>
      </c>
      <c r="B100" s="4" t="s">
        <v>368</v>
      </c>
      <c r="C100" s="0" t="s">
        <v>369</v>
      </c>
      <c r="E100" s="6" t="n">
        <v>2.82</v>
      </c>
      <c r="F100" s="6" t="n">
        <v>4.858</v>
      </c>
      <c r="G100" s="7" t="s">
        <v>55</v>
      </c>
      <c r="H100" s="7" t="s">
        <v>370</v>
      </c>
      <c r="I100" s="4" t="s">
        <v>371</v>
      </c>
    </row>
    <row r="101" customFormat="false" ht="17.15" hidden="false" customHeight="false" outlineLevel="0" collapsed="false">
      <c r="A101" s="0" t="s">
        <v>372</v>
      </c>
      <c r="B101" s="4" t="s">
        <v>373</v>
      </c>
      <c r="C101" s="0" t="s">
        <v>106</v>
      </c>
      <c r="D101" s="8" t="n">
        <v>0.4</v>
      </c>
      <c r="E101" s="8" t="n">
        <v>0.6</v>
      </c>
      <c r="F101" s="8" t="n">
        <v>0.8</v>
      </c>
      <c r="G101" s="7" t="s">
        <v>107</v>
      </c>
      <c r="H101" s="4" t="s">
        <v>374</v>
      </c>
    </row>
    <row r="102" customFormat="false" ht="17.15" hidden="false" customHeight="false" outlineLevel="0" collapsed="false">
      <c r="A102" s="0" t="s">
        <v>375</v>
      </c>
      <c r="B102" s="0" t="s">
        <v>376</v>
      </c>
      <c r="C102" s="0" t="s">
        <v>364</v>
      </c>
      <c r="D102" s="6" t="n">
        <v>6.79107465326444</v>
      </c>
      <c r="E102" s="6" t="n">
        <v>9.70308728611469</v>
      </c>
      <c r="F102" s="6" t="n">
        <v>16.6637697337026</v>
      </c>
      <c r="G102" s="7" t="s">
        <v>82</v>
      </c>
      <c r="H102" s="7" t="s">
        <v>377</v>
      </c>
      <c r="I102" s="7" t="s">
        <v>378</v>
      </c>
    </row>
    <row r="103" customFormat="false" ht="17.15" hidden="false" customHeight="false" outlineLevel="0" collapsed="false">
      <c r="A103" s="0" t="s">
        <v>379</v>
      </c>
      <c r="B103" s="0" t="s">
        <v>380</v>
      </c>
      <c r="C103" s="0" t="s">
        <v>364</v>
      </c>
      <c r="D103" s="6" t="n">
        <v>6.6118162762144</v>
      </c>
      <c r="E103" s="6" t="n">
        <v>8.82816556596761</v>
      </c>
      <c r="F103" s="6" t="n">
        <v>14.3185748619737</v>
      </c>
      <c r="G103" s="7" t="s">
        <v>82</v>
      </c>
      <c r="H103" s="7" t="s">
        <v>377</v>
      </c>
      <c r="I103" s="7" t="s">
        <v>378</v>
      </c>
    </row>
    <row r="104" customFormat="false" ht="17.15" hidden="false" customHeight="false" outlineLevel="0" collapsed="false">
      <c r="A104" s="0" t="s">
        <v>381</v>
      </c>
      <c r="B104" s="0" t="s">
        <v>382</v>
      </c>
      <c r="C104" s="0" t="s">
        <v>364</v>
      </c>
      <c r="D104" s="6" t="n">
        <v>8.42889912085495</v>
      </c>
      <c r="E104" s="6" t="n">
        <v>10.8864110021101</v>
      </c>
      <c r="F104" s="6" t="n">
        <v>18.5346455040469</v>
      </c>
      <c r="G104" s="7" t="s">
        <v>82</v>
      </c>
      <c r="H104" s="7" t="s">
        <v>377</v>
      </c>
      <c r="I104" s="7" t="s">
        <v>378</v>
      </c>
    </row>
    <row r="105" customFormat="false" ht="17.15" hidden="false" customHeight="false" outlineLevel="0" collapsed="false">
      <c r="A105" s="0" t="s">
        <v>383</v>
      </c>
      <c r="B105" s="0" t="s">
        <v>384</v>
      </c>
      <c r="C105" s="0" t="s">
        <v>364</v>
      </c>
      <c r="D105" s="6" t="n">
        <v>9.21907146281596</v>
      </c>
      <c r="E105" s="6" t="n">
        <v>12.2254710045841</v>
      </c>
      <c r="F105" s="6" t="n">
        <v>19.7506269894487</v>
      </c>
      <c r="G105" s="7" t="s">
        <v>82</v>
      </c>
      <c r="H105" s="7" t="s">
        <v>377</v>
      </c>
      <c r="I105" s="7" t="s">
        <v>378</v>
      </c>
    </row>
    <row r="106" customFormat="false" ht="17.15" hidden="false" customHeight="false" outlineLevel="0" collapsed="false">
      <c r="A106" s="0" t="s">
        <v>385</v>
      </c>
      <c r="B106" s="0" t="s">
        <v>386</v>
      </c>
      <c r="C106" s="0" t="s">
        <v>369</v>
      </c>
      <c r="E106" s="6" t="n">
        <v>1.54259654785589</v>
      </c>
      <c r="G106" s="7" t="s">
        <v>82</v>
      </c>
      <c r="H106" s="7" t="s">
        <v>387</v>
      </c>
    </row>
    <row r="107" customFormat="false" ht="17.15" hidden="false" customHeight="false" outlineLevel="0" collapsed="false">
      <c r="A107" s="0" t="s">
        <v>388</v>
      </c>
      <c r="B107" s="0" t="s">
        <v>389</v>
      </c>
      <c r="C107" s="0" t="s">
        <v>364</v>
      </c>
      <c r="E107" s="6" t="n">
        <v>1.88466748019734</v>
      </c>
      <c r="G107" s="7" t="s">
        <v>82</v>
      </c>
      <c r="H107" s="7" t="s">
        <v>387</v>
      </c>
    </row>
    <row r="108" customFormat="false" ht="17.15" hidden="false" customHeight="false" outlineLevel="0" collapsed="false">
      <c r="A108" s="0" t="s">
        <v>390</v>
      </c>
      <c r="B108" s="0" t="s">
        <v>391</v>
      </c>
      <c r="C108" s="0" t="s">
        <v>364</v>
      </c>
      <c r="E108" s="6" t="n">
        <v>1.812232738713</v>
      </c>
      <c r="G108" s="7" t="s">
        <v>82</v>
      </c>
      <c r="H108" s="7" t="s">
        <v>387</v>
      </c>
    </row>
    <row r="109" customFormat="false" ht="17.15" hidden="false" customHeight="false" outlineLevel="0" collapsed="false">
      <c r="A109" s="0" t="s">
        <v>392</v>
      </c>
      <c r="B109" s="0" t="s">
        <v>393</v>
      </c>
      <c r="C109" s="0" t="s">
        <v>364</v>
      </c>
      <c r="E109" s="6" t="n">
        <v>1.98263481314457</v>
      </c>
      <c r="G109" s="7" t="s">
        <v>82</v>
      </c>
      <c r="H109" s="7" t="s">
        <v>387</v>
      </c>
    </row>
    <row r="110" customFormat="false" ht="17.15" hidden="false" customHeight="false" outlineLevel="0" collapsed="false">
      <c r="A110" s="0" t="s">
        <v>394</v>
      </c>
      <c r="B110" s="0" t="s">
        <v>395</v>
      </c>
      <c r="C110" s="0" t="s">
        <v>364</v>
      </c>
      <c r="E110" s="6" t="n">
        <v>2.09349554831403</v>
      </c>
      <c r="G110" s="7" t="s">
        <v>82</v>
      </c>
      <c r="H110" s="7" t="s">
        <v>387</v>
      </c>
    </row>
    <row r="111" customFormat="false" ht="17.15" hidden="false" customHeight="false" outlineLevel="0" collapsed="false">
      <c r="A111" s="0" t="s">
        <v>396</v>
      </c>
      <c r="B111" s="0" t="s">
        <v>397</v>
      </c>
      <c r="C111" s="0" t="s">
        <v>398</v>
      </c>
      <c r="E111" s="6" t="n">
        <v>27.510214</v>
      </c>
      <c r="G111" s="7" t="s">
        <v>82</v>
      </c>
      <c r="H111" s="7" t="s">
        <v>387</v>
      </c>
    </row>
    <row r="112" customFormat="false" ht="17.15" hidden="false" customHeight="false" outlineLevel="0" collapsed="false">
      <c r="A112" s="0" t="s">
        <v>399</v>
      </c>
      <c r="B112" s="0" t="s">
        <v>400</v>
      </c>
      <c r="C112" s="0" t="s">
        <v>398</v>
      </c>
      <c r="E112" s="6" t="n">
        <v>24.015174</v>
      </c>
      <c r="G112" s="7" t="s">
        <v>82</v>
      </c>
      <c r="H112" s="7" t="s">
        <v>387</v>
      </c>
    </row>
    <row r="113" customFormat="false" ht="17.15" hidden="false" customHeight="false" outlineLevel="0" collapsed="false">
      <c r="A113" s="0" t="s">
        <v>401</v>
      </c>
      <c r="B113" s="0" t="s">
        <v>402</v>
      </c>
      <c r="C113" s="0" t="s">
        <v>398</v>
      </c>
      <c r="E113" s="6" t="n">
        <v>32.237224</v>
      </c>
      <c r="G113" s="7" t="s">
        <v>82</v>
      </c>
      <c r="H113" s="7" t="s">
        <v>387</v>
      </c>
    </row>
    <row r="114" customFormat="false" ht="17.15" hidden="false" customHeight="false" outlineLevel="0" collapsed="false">
      <c r="A114" s="0" t="s">
        <v>403</v>
      </c>
      <c r="B114" s="0" t="s">
        <v>404</v>
      </c>
      <c r="C114" s="0" t="s">
        <v>398</v>
      </c>
      <c r="E114" s="6" t="n">
        <v>37.586352</v>
      </c>
      <c r="G114" s="7" t="s">
        <v>82</v>
      </c>
      <c r="H114" s="7" t="s">
        <v>387</v>
      </c>
    </row>
    <row r="115" customFormat="false" ht="17.15" hidden="false" customHeight="false" outlineLevel="0" collapsed="false">
      <c r="A115" s="0" t="s">
        <v>405</v>
      </c>
      <c r="B115" s="0" t="s">
        <v>406</v>
      </c>
      <c r="C115" s="0" t="s">
        <v>364</v>
      </c>
      <c r="E115" s="6" t="n">
        <v>4.58503566666667</v>
      </c>
      <c r="G115" s="7" t="s">
        <v>82</v>
      </c>
      <c r="H115" s="7" t="s">
        <v>387</v>
      </c>
      <c r="I115" s="4" t="s">
        <v>407</v>
      </c>
    </row>
    <row r="116" customFormat="false" ht="17.15" hidden="false" customHeight="false" outlineLevel="0" collapsed="false">
      <c r="A116" s="0" t="s">
        <v>408</v>
      </c>
      <c r="B116" s="0" t="s">
        <v>409</v>
      </c>
      <c r="C116" s="0" t="s">
        <v>364</v>
      </c>
      <c r="E116" s="6" t="n">
        <v>4.002529</v>
      </c>
      <c r="G116" s="7" t="s">
        <v>82</v>
      </c>
      <c r="H116" s="7" t="s">
        <v>387</v>
      </c>
    </row>
    <row r="117" customFormat="false" ht="17.15" hidden="false" customHeight="false" outlineLevel="0" collapsed="false">
      <c r="A117" s="0" t="s">
        <v>410</v>
      </c>
      <c r="B117" s="0" t="s">
        <v>411</v>
      </c>
      <c r="C117" s="0" t="s">
        <v>364</v>
      </c>
      <c r="E117" s="6" t="n">
        <v>5.37287066666667</v>
      </c>
      <c r="G117" s="7" t="s">
        <v>82</v>
      </c>
      <c r="H117" s="7" t="s">
        <v>387</v>
      </c>
    </row>
    <row r="118" customFormat="false" ht="17.15" hidden="false" customHeight="false" outlineLevel="0" collapsed="false">
      <c r="A118" s="0" t="s">
        <v>412</v>
      </c>
      <c r="B118" s="0" t="s">
        <v>413</v>
      </c>
      <c r="C118" s="0" t="s">
        <v>398</v>
      </c>
      <c r="E118" s="6" t="n">
        <v>12.67</v>
      </c>
      <c r="G118" s="7" t="s">
        <v>82</v>
      </c>
      <c r="H118" s="7" t="s">
        <v>387</v>
      </c>
    </row>
    <row r="119" customFormat="false" ht="17.15" hidden="false" customHeight="false" outlineLevel="0" collapsed="false">
      <c r="A119" s="0" t="s">
        <v>414</v>
      </c>
      <c r="B119" s="0" t="s">
        <v>415</v>
      </c>
      <c r="C119" s="0" t="s">
        <v>364</v>
      </c>
      <c r="E119" s="6" t="n">
        <v>6.71554695343303</v>
      </c>
      <c r="G119" s="7" t="s">
        <v>82</v>
      </c>
      <c r="H119" s="7" t="s">
        <v>387</v>
      </c>
      <c r="I119" s="4" t="s">
        <v>416</v>
      </c>
    </row>
    <row r="120" customFormat="false" ht="17.15" hidden="false" customHeight="false" outlineLevel="0" collapsed="false">
      <c r="A120" s="0" t="s">
        <v>417</v>
      </c>
      <c r="B120" s="0" t="s">
        <v>418</v>
      </c>
      <c r="C120" s="0" t="s">
        <v>364</v>
      </c>
      <c r="E120" s="6" t="n">
        <v>33.0426250546846</v>
      </c>
      <c r="G120" s="7" t="s">
        <v>82</v>
      </c>
      <c r="H120" s="7" t="s">
        <v>387</v>
      </c>
      <c r="I120" s="4" t="s">
        <v>416</v>
      </c>
    </row>
    <row r="121" customFormat="false" ht="17.15" hidden="false" customHeight="false" outlineLevel="0" collapsed="false">
      <c r="A121" s="0" t="s">
        <v>419</v>
      </c>
      <c r="B121" s="0" t="s">
        <v>420</v>
      </c>
      <c r="C121" s="0" t="s">
        <v>364</v>
      </c>
      <c r="E121" s="6" t="n">
        <v>40.2705941922573</v>
      </c>
      <c r="G121" s="7" t="s">
        <v>82</v>
      </c>
      <c r="H121" s="7" t="s">
        <v>387</v>
      </c>
      <c r="I121" s="4" t="s">
        <v>416</v>
      </c>
    </row>
    <row r="122" customFormat="false" ht="17.15" hidden="false" customHeight="false" outlineLevel="0" collapsed="false">
      <c r="A122" s="0" t="s">
        <v>421</v>
      </c>
      <c r="B122" s="0" t="s">
        <v>422</v>
      </c>
      <c r="C122" s="0" t="s">
        <v>364</v>
      </c>
      <c r="E122" s="6" t="n">
        <v>66.3455197420479</v>
      </c>
      <c r="G122" s="7" t="s">
        <v>82</v>
      </c>
      <c r="H122" s="7" t="s">
        <v>387</v>
      </c>
      <c r="I122" s="4" t="s">
        <v>416</v>
      </c>
    </row>
    <row r="123" customFormat="false" ht="17.15" hidden="false" customHeight="false" outlineLevel="0" collapsed="false">
      <c r="A123" s="0" t="s">
        <v>423</v>
      </c>
      <c r="B123" s="4" t="s">
        <v>424</v>
      </c>
      <c r="C123" s="0" t="s">
        <v>106</v>
      </c>
      <c r="D123" s="8" t="n">
        <v>0.75</v>
      </c>
      <c r="E123" s="8" t="n">
        <v>0.85</v>
      </c>
      <c r="F123" s="8" t="n">
        <v>0.95</v>
      </c>
      <c r="G123" s="7" t="s">
        <v>107</v>
      </c>
      <c r="H123" s="4" t="s">
        <v>425</v>
      </c>
    </row>
    <row r="124" customFormat="false" ht="17.15" hidden="false" customHeight="false" outlineLevel="0" collapsed="false">
      <c r="A124" s="0" t="s">
        <v>426</v>
      </c>
      <c r="B124" s="0" t="s">
        <v>427</v>
      </c>
      <c r="C124" s="4" t="s">
        <v>169</v>
      </c>
      <c r="D124" s="6" t="n">
        <v>5</v>
      </c>
      <c r="E124" s="6" t="n">
        <v>6</v>
      </c>
      <c r="F124" s="6" t="n">
        <v>7</v>
      </c>
      <c r="G124" s="7" t="s">
        <v>55</v>
      </c>
      <c r="H124" s="7" t="s">
        <v>428</v>
      </c>
    </row>
    <row r="125" customFormat="false" ht="17.15" hidden="false" customHeight="false" outlineLevel="0" collapsed="false">
      <c r="A125" s="0" t="s">
        <v>429</v>
      </c>
      <c r="B125" s="4" t="s">
        <v>430</v>
      </c>
      <c r="C125" s="4" t="s">
        <v>169</v>
      </c>
      <c r="D125" s="6" t="n">
        <v>15</v>
      </c>
      <c r="E125" s="6" t="n">
        <v>20</v>
      </c>
      <c r="F125" s="6" t="n">
        <v>25</v>
      </c>
      <c r="G125" s="7" t="s">
        <v>82</v>
      </c>
      <c r="H125" s="7" t="s">
        <v>431</v>
      </c>
    </row>
    <row r="126" customFormat="false" ht="17.15" hidden="false" customHeight="false" outlineLevel="0" collapsed="false">
      <c r="A126" s="0" t="s">
        <v>432</v>
      </c>
      <c r="B126" s="4" t="s">
        <v>433</v>
      </c>
      <c r="C126" s="4" t="s">
        <v>169</v>
      </c>
      <c r="D126" s="6" t="n">
        <v>8</v>
      </c>
      <c r="E126" s="6" t="n">
        <v>10</v>
      </c>
      <c r="F126" s="6" t="n">
        <v>15</v>
      </c>
      <c r="G126" s="7" t="s">
        <v>107</v>
      </c>
      <c r="H126" s="4" t="s">
        <v>434</v>
      </c>
    </row>
    <row r="127" customFormat="false" ht="17.15" hidden="false" customHeight="false" outlineLevel="0" collapsed="false">
      <c r="A127" s="0" t="s">
        <v>435</v>
      </c>
      <c r="B127" s="4" t="s">
        <v>436</v>
      </c>
      <c r="C127" s="0" t="s">
        <v>126</v>
      </c>
      <c r="D127" s="12" t="n">
        <v>0</v>
      </c>
      <c r="E127" s="12" t="n">
        <v>0.25</v>
      </c>
      <c r="F127" s="12" t="n">
        <v>0.5</v>
      </c>
      <c r="G127" s="7" t="s">
        <v>107</v>
      </c>
      <c r="H127" s="4" t="s">
        <v>437</v>
      </c>
      <c r="I127" s="7" t="s">
        <v>438</v>
      </c>
    </row>
    <row r="128" customFormat="false" ht="17.15" hidden="false" customHeight="false" outlineLevel="0" collapsed="false">
      <c r="A128" s="0" t="s">
        <v>439</v>
      </c>
      <c r="B128" s="4" t="s">
        <v>440</v>
      </c>
      <c r="C128" s="0" t="s">
        <v>441</v>
      </c>
      <c r="E128" s="6" t="n">
        <v>28.416</v>
      </c>
      <c r="G128" s="7" t="s">
        <v>82</v>
      </c>
      <c r="H128" s="4" t="s">
        <v>442</v>
      </c>
      <c r="I128" s="4" t="s">
        <v>443</v>
      </c>
    </row>
    <row r="129" customFormat="false" ht="17.15" hidden="false" customHeight="false" outlineLevel="0" collapsed="false">
      <c r="A129" s="0" t="s">
        <v>444</v>
      </c>
      <c r="B129" s="4" t="s">
        <v>445</v>
      </c>
      <c r="C129" s="0" t="s">
        <v>81</v>
      </c>
      <c r="D129" s="6" t="n">
        <v>122.814</v>
      </c>
      <c r="E129" s="6" t="n">
        <v>142.549</v>
      </c>
      <c r="F129" s="6" t="n">
        <v>160</v>
      </c>
      <c r="G129" s="7" t="s">
        <v>82</v>
      </c>
      <c r="H129" s="7" t="s">
        <v>446</v>
      </c>
      <c r="I129" s="7" t="s">
        <v>447</v>
      </c>
    </row>
    <row r="130" customFormat="false" ht="17.15" hidden="false" customHeight="false" outlineLevel="0" collapsed="false">
      <c r="A130" s="0" t="s">
        <v>448</v>
      </c>
      <c r="B130" s="4" t="s">
        <v>449</v>
      </c>
      <c r="C130" s="0" t="s">
        <v>106</v>
      </c>
      <c r="D130" s="8" t="n">
        <v>0.55</v>
      </c>
      <c r="E130" s="8" t="n">
        <v>0.65</v>
      </c>
      <c r="F130" s="8" t="n">
        <v>0.7</v>
      </c>
      <c r="G130" s="7" t="s">
        <v>65</v>
      </c>
      <c r="H130" s="4" t="s">
        <v>450</v>
      </c>
      <c r="I130" s="7" t="s">
        <v>451</v>
      </c>
    </row>
    <row r="131" customFormat="false" ht="17.15" hidden="false" customHeight="false" outlineLevel="0" collapsed="false">
      <c r="A131" s="0" t="s">
        <v>452</v>
      </c>
      <c r="B131" s="0" t="s">
        <v>453</v>
      </c>
      <c r="C131" s="0" t="s">
        <v>81</v>
      </c>
      <c r="D131" s="6" t="n">
        <v>195</v>
      </c>
      <c r="E131" s="6" t="n">
        <v>200</v>
      </c>
      <c r="F131" s="6" t="n">
        <v>205</v>
      </c>
      <c r="G131" s="7" t="s">
        <v>65</v>
      </c>
      <c r="H131" s="7" t="s">
        <v>454</v>
      </c>
      <c r="I131" s="7" t="s">
        <v>455</v>
      </c>
    </row>
    <row r="132" customFormat="false" ht="17.15" hidden="false" customHeight="false" outlineLevel="0" collapsed="false">
      <c r="A132" s="0" t="s">
        <v>456</v>
      </c>
      <c r="B132" s="0" t="s">
        <v>457</v>
      </c>
      <c r="C132" s="0" t="s">
        <v>81</v>
      </c>
      <c r="E132" s="6" t="n">
        <v>131.953</v>
      </c>
      <c r="G132" s="7" t="s">
        <v>65</v>
      </c>
      <c r="H132" s="4" t="s">
        <v>458</v>
      </c>
    </row>
    <row r="133" customFormat="false" ht="17.15" hidden="false" customHeight="false" outlineLevel="0" collapsed="false">
      <c r="A133" s="9" t="s">
        <v>459</v>
      </c>
      <c r="B133" s="10" t="s">
        <v>460</v>
      </c>
      <c r="C133" s="9" t="s">
        <v>106</v>
      </c>
      <c r="D133" s="11" t="n">
        <v>0.4</v>
      </c>
      <c r="E133" s="11" t="n">
        <v>0.6</v>
      </c>
      <c r="F133" s="11" t="n">
        <v>0.8</v>
      </c>
      <c r="G133" s="9" t="s">
        <v>107</v>
      </c>
      <c r="H133" s="9" t="s">
        <v>461</v>
      </c>
      <c r="I133" s="10" t="s">
        <v>462</v>
      </c>
    </row>
    <row r="134" customFormat="false" ht="17.15" hidden="false" customHeight="false" outlineLevel="0" collapsed="false">
      <c r="A134" s="0" t="s">
        <v>463</v>
      </c>
      <c r="B134" s="4" t="s">
        <v>464</v>
      </c>
      <c r="C134" s="0" t="s">
        <v>288</v>
      </c>
      <c r="E134" s="15" t="n">
        <f aca="false">1447.9+((mw_q2+mw_tot0)/2*ext_sh-1154.9)/4</f>
        <v>1692.8403125</v>
      </c>
      <c r="G134" s="7" t="s">
        <v>82</v>
      </c>
      <c r="H134" s="4" t="s">
        <v>465</v>
      </c>
      <c r="I134" s="4" t="s">
        <v>466</v>
      </c>
    </row>
    <row r="135" customFormat="false" ht="17.15" hidden="false" customHeight="false" outlineLevel="0" collapsed="false">
      <c r="A135" s="0" t="s">
        <v>467</v>
      </c>
      <c r="B135" s="4" t="s">
        <v>468</v>
      </c>
      <c r="C135" s="0" t="s">
        <v>288</v>
      </c>
      <c r="E135" s="15" t="n">
        <f aca="false">657.3+(1154.9-473.5)/4</f>
        <v>827.65</v>
      </c>
      <c r="G135" s="7" t="s">
        <v>82</v>
      </c>
      <c r="H135" s="4" t="s">
        <v>469</v>
      </c>
    </row>
    <row r="136" customFormat="false" ht="17.15" hidden="false" customHeight="false" outlineLevel="0" collapsed="false">
      <c r="A136" s="0" t="s">
        <v>470</v>
      </c>
      <c r="B136" s="0" t="s">
        <v>471</v>
      </c>
      <c r="C136" s="0" t="s">
        <v>81</v>
      </c>
      <c r="E136" s="6" t="n">
        <v>2.76</v>
      </c>
      <c r="G136" s="7" t="s">
        <v>65</v>
      </c>
      <c r="H136" s="7" t="s">
        <v>472</v>
      </c>
      <c r="I136" s="4" t="s">
        <v>473</v>
      </c>
    </row>
    <row r="137" customFormat="false" ht="17.15" hidden="false" customHeight="false" outlineLevel="0" collapsed="false">
      <c r="A137" s="0" t="s">
        <v>474</v>
      </c>
      <c r="B137" s="0" t="s">
        <v>475</v>
      </c>
      <c r="C137" s="0" t="s">
        <v>81</v>
      </c>
      <c r="E137" s="6" t="n">
        <v>11.04</v>
      </c>
      <c r="G137" s="7" t="s">
        <v>65</v>
      </c>
      <c r="H137" s="7" t="s">
        <v>472</v>
      </c>
    </row>
    <row r="138" customFormat="false" ht="17.15" hidden="false" customHeight="false" outlineLevel="0" collapsed="false">
      <c r="A138" s="0" t="s">
        <v>476</v>
      </c>
      <c r="B138" s="0" t="s">
        <v>477</v>
      </c>
      <c r="C138" s="0" t="s">
        <v>81</v>
      </c>
      <c r="E138" s="6" t="n">
        <v>11.04</v>
      </c>
      <c r="G138" s="7" t="s">
        <v>65</v>
      </c>
      <c r="H138" s="7" t="s">
        <v>472</v>
      </c>
    </row>
    <row r="139" customFormat="false" ht="17.15" hidden="false" customHeight="false" outlineLevel="0" collapsed="false">
      <c r="A139" s="0" t="s">
        <v>478</v>
      </c>
      <c r="B139" s="0" t="s">
        <v>479</v>
      </c>
      <c r="C139" s="0" t="s">
        <v>81</v>
      </c>
      <c r="E139" s="6" t="n">
        <v>5.52</v>
      </c>
      <c r="G139" s="7" t="s">
        <v>65</v>
      </c>
      <c r="H139" s="7" t="s">
        <v>472</v>
      </c>
    </row>
    <row r="140" customFormat="false" ht="17.15" hidden="false" customHeight="false" outlineLevel="0" collapsed="false">
      <c r="A140" s="5" t="s">
        <v>480</v>
      </c>
    </row>
    <row r="141" customFormat="false" ht="17.15" hidden="false" customHeight="false" outlineLevel="0" collapsed="false">
      <c r="A141" s="0" t="s">
        <v>481</v>
      </c>
      <c r="B141" s="4" t="s">
        <v>482</v>
      </c>
      <c r="C141" s="4" t="s">
        <v>169</v>
      </c>
      <c r="E141" s="6" t="n">
        <v>4</v>
      </c>
      <c r="G141" s="7" t="s">
        <v>107</v>
      </c>
      <c r="H141" s="4" t="s">
        <v>483</v>
      </c>
    </row>
    <row r="142" customFormat="false" ht="17.15" hidden="false" customHeight="false" outlineLevel="0" collapsed="false">
      <c r="A142" s="9" t="s">
        <v>484</v>
      </c>
      <c r="B142" s="9" t="s">
        <v>485</v>
      </c>
      <c r="C142" s="9" t="s">
        <v>126</v>
      </c>
      <c r="D142" s="9"/>
      <c r="E142" s="16" t="n">
        <v>0</v>
      </c>
      <c r="F142" s="16" t="n">
        <v>1</v>
      </c>
      <c r="G142" s="9" t="s">
        <v>107</v>
      </c>
      <c r="H142" s="10" t="s">
        <v>486</v>
      </c>
      <c r="I142" s="9" t="s">
        <v>487</v>
      </c>
    </row>
    <row r="143" customFormat="false" ht="17.15" hidden="false" customHeight="false" outlineLevel="0" collapsed="false">
      <c r="A143" s="0" t="s">
        <v>488</v>
      </c>
      <c r="B143" s="0" t="s">
        <v>489</v>
      </c>
      <c r="C143" s="0" t="s">
        <v>106</v>
      </c>
      <c r="D143" s="8" t="n">
        <v>0.05</v>
      </c>
      <c r="E143" s="8" t="n">
        <v>0.08</v>
      </c>
      <c r="F143" s="8" t="n">
        <v>0.11</v>
      </c>
      <c r="G143" s="7" t="s">
        <v>107</v>
      </c>
      <c r="H143" s="4" t="s">
        <v>490</v>
      </c>
      <c r="I143" s="4" t="s">
        <v>491</v>
      </c>
    </row>
    <row r="144" customFormat="false" ht="17.15" hidden="false" customHeight="false" outlineLevel="0" collapsed="false">
      <c r="A144" s="0" t="s">
        <v>492</v>
      </c>
      <c r="B144" s="0" t="s">
        <v>493</v>
      </c>
      <c r="C144" s="0" t="s">
        <v>106</v>
      </c>
      <c r="D144" s="8" t="n">
        <v>0.05</v>
      </c>
      <c r="E144" s="8" t="n">
        <v>0.08</v>
      </c>
      <c r="F144" s="8" t="n">
        <v>0.11</v>
      </c>
      <c r="G144" s="7" t="s">
        <v>107</v>
      </c>
      <c r="H144" s="4" t="s">
        <v>494</v>
      </c>
    </row>
    <row r="145" customFormat="false" ht="17.15" hidden="false" customHeight="false" outlineLevel="0" collapsed="false">
      <c r="A145" s="0" t="s">
        <v>495</v>
      </c>
      <c r="B145" s="0" t="s">
        <v>496</v>
      </c>
      <c r="C145" s="0" t="s">
        <v>106</v>
      </c>
      <c r="D145" s="8" t="n">
        <v>-0.03</v>
      </c>
      <c r="E145" s="8" t="n">
        <v>0</v>
      </c>
      <c r="F145" s="8" t="n">
        <v>0.03</v>
      </c>
      <c r="G145" s="7" t="s">
        <v>107</v>
      </c>
      <c r="H145" s="4" t="s">
        <v>497</v>
      </c>
      <c r="I145" s="4" t="s">
        <v>498</v>
      </c>
    </row>
    <row r="146" customFormat="false" ht="17.15" hidden="false" customHeight="false" outlineLevel="0" collapsed="false">
      <c r="A146" s="0" t="s">
        <v>499</v>
      </c>
      <c r="B146" s="0" t="s">
        <v>500</v>
      </c>
      <c r="C146" s="0" t="s">
        <v>106</v>
      </c>
      <c r="D146" s="8" t="n">
        <v>0.07</v>
      </c>
      <c r="E146" s="8" t="n">
        <v>0.1</v>
      </c>
      <c r="F146" s="8" t="n">
        <v>0.13</v>
      </c>
      <c r="G146" s="7" t="s">
        <v>107</v>
      </c>
      <c r="H146" s="4" t="s">
        <v>501</v>
      </c>
    </row>
    <row r="147" customFormat="false" ht="17.15" hidden="false" customHeight="false" outlineLevel="0" collapsed="false">
      <c r="A147" s="0" t="s">
        <v>502</v>
      </c>
      <c r="B147" s="0" t="s">
        <v>503</v>
      </c>
      <c r="C147" s="0" t="s">
        <v>106</v>
      </c>
      <c r="D147" s="8" t="n">
        <v>0.05</v>
      </c>
      <c r="E147" s="8" t="n">
        <v>0.08</v>
      </c>
      <c r="F147" s="8" t="n">
        <v>0.12</v>
      </c>
      <c r="G147" s="7" t="s">
        <v>107</v>
      </c>
      <c r="H147" s="4" t="s">
        <v>504</v>
      </c>
    </row>
    <row r="148" customFormat="false" ht="17.15" hidden="false" customHeight="false" outlineLevel="0" collapsed="false">
      <c r="A148" s="9" t="s">
        <v>505</v>
      </c>
      <c r="B148" s="10" t="s">
        <v>506</v>
      </c>
      <c r="C148" s="9" t="s">
        <v>106</v>
      </c>
      <c r="D148" s="11" t="n">
        <v>-0.1</v>
      </c>
      <c r="E148" s="11" t="n">
        <v>-0.05</v>
      </c>
      <c r="F148" s="11" t="n">
        <v>0</v>
      </c>
      <c r="G148" s="9" t="s">
        <v>107</v>
      </c>
      <c r="H148" s="9" t="s">
        <v>507</v>
      </c>
      <c r="I148" s="10" t="s">
        <v>508</v>
      </c>
    </row>
    <row r="149" customFormat="false" ht="17.15" hidden="false" customHeight="false" outlineLevel="0" collapsed="false">
      <c r="A149" s="9" t="s">
        <v>509</v>
      </c>
      <c r="B149" s="10" t="s">
        <v>510</v>
      </c>
      <c r="C149" s="9" t="s">
        <v>106</v>
      </c>
      <c r="D149" s="11" t="n">
        <v>0.05</v>
      </c>
      <c r="E149" s="11" t="n">
        <v>0.1</v>
      </c>
      <c r="F149" s="11" t="n">
        <v>0.15</v>
      </c>
      <c r="G149" s="9" t="s">
        <v>107</v>
      </c>
      <c r="H149" s="9" t="s">
        <v>511</v>
      </c>
      <c r="I149" s="9"/>
    </row>
    <row r="150" customFormat="false" ht="17.15" hidden="false" customHeight="false" outlineLevel="0" collapsed="false">
      <c r="A150" s="9" t="s">
        <v>512</v>
      </c>
      <c r="B150" s="10" t="s">
        <v>513</v>
      </c>
      <c r="C150" s="9" t="s">
        <v>106</v>
      </c>
      <c r="D150" s="11" t="n">
        <v>0.1</v>
      </c>
      <c r="E150" s="11" t="n">
        <v>0.2</v>
      </c>
      <c r="F150" s="11" t="n">
        <v>0.3</v>
      </c>
      <c r="G150" s="9" t="s">
        <v>107</v>
      </c>
      <c r="H150" s="9" t="s">
        <v>514</v>
      </c>
      <c r="I150" s="10" t="s">
        <v>515</v>
      </c>
    </row>
    <row r="151" customFormat="false" ht="17.15" hidden="false" customHeight="false" outlineLevel="0" collapsed="false">
      <c r="A151" s="9" t="s">
        <v>516</v>
      </c>
      <c r="B151" s="10" t="s">
        <v>517</v>
      </c>
      <c r="C151" s="9" t="s">
        <v>106</v>
      </c>
      <c r="D151" s="11" t="n">
        <v>-0.15</v>
      </c>
      <c r="E151" s="11" t="n">
        <v>-0.1</v>
      </c>
      <c r="F151" s="11" t="n">
        <v>-0.05</v>
      </c>
      <c r="G151" s="9" t="s">
        <v>107</v>
      </c>
      <c r="H151" s="9" t="s">
        <v>518</v>
      </c>
      <c r="I151" s="9"/>
    </row>
    <row r="152" customFormat="false" ht="17.15" hidden="false" customHeight="false" outlineLevel="0" collapsed="false">
      <c r="A152" s="9" t="s">
        <v>519</v>
      </c>
      <c r="B152" s="9" t="s">
        <v>520</v>
      </c>
      <c r="C152" s="9" t="s">
        <v>106</v>
      </c>
      <c r="D152" s="11" t="n">
        <v>0.6</v>
      </c>
      <c r="E152" s="11" t="n">
        <v>0.7</v>
      </c>
      <c r="F152" s="11" t="n">
        <v>0.8</v>
      </c>
      <c r="G152" s="9" t="s">
        <v>107</v>
      </c>
      <c r="H152" s="10" t="s">
        <v>521</v>
      </c>
      <c r="I152" s="10" t="s">
        <v>522</v>
      </c>
    </row>
    <row r="153" customFormat="false" ht="17.15" hidden="false" customHeight="false" outlineLevel="0" collapsed="false">
      <c r="A153" s="0" t="s">
        <v>523</v>
      </c>
      <c r="B153" s="0" t="s">
        <v>524</v>
      </c>
      <c r="C153" s="0" t="s">
        <v>81</v>
      </c>
      <c r="D153" s="6" t="n">
        <v>0</v>
      </c>
      <c r="E153" s="6" t="n">
        <v>1</v>
      </c>
      <c r="F153" s="6" t="n">
        <v>3</v>
      </c>
      <c r="G153" s="7" t="s">
        <v>107</v>
      </c>
      <c r="H153" s="4" t="s">
        <v>525</v>
      </c>
      <c r="I153" s="4" t="s">
        <v>526</v>
      </c>
    </row>
    <row r="154" customFormat="false" ht="17.15" hidden="false" customHeight="false" outlineLevel="0" collapsed="false">
      <c r="A154" s="0" t="s">
        <v>527</v>
      </c>
      <c r="B154" s="0" t="s">
        <v>528</v>
      </c>
      <c r="C154" s="0" t="s">
        <v>81</v>
      </c>
      <c r="D154" s="6" t="n">
        <v>6.5</v>
      </c>
      <c r="E154" s="6" t="n">
        <v>13</v>
      </c>
      <c r="F154" s="6" t="n">
        <v>19.5</v>
      </c>
      <c r="G154" s="7" t="s">
        <v>65</v>
      </c>
      <c r="H154" s="7" t="s">
        <v>529</v>
      </c>
      <c r="I154" s="4" t="s">
        <v>530</v>
      </c>
    </row>
    <row r="155" customFormat="false" ht="17.15" hidden="false" customHeight="false" outlineLevel="0" collapsed="false">
      <c r="A155" s="0" t="s">
        <v>531</v>
      </c>
      <c r="B155" s="0" t="s">
        <v>532</v>
      </c>
      <c r="C155" s="0" t="s">
        <v>106</v>
      </c>
      <c r="D155" s="8" t="n">
        <v>0.15</v>
      </c>
      <c r="E155" s="8" t="n">
        <v>0.25</v>
      </c>
      <c r="F155" s="8" t="n">
        <v>0.35</v>
      </c>
      <c r="G155" s="7" t="s">
        <v>107</v>
      </c>
      <c r="H155" s="4" t="s">
        <v>533</v>
      </c>
    </row>
    <row r="156" customFormat="false" ht="17.15" hidden="false" customHeight="false" outlineLevel="0" collapsed="false">
      <c r="A156" s="0" t="s">
        <v>534</v>
      </c>
      <c r="B156" s="0" t="s">
        <v>535</v>
      </c>
      <c r="C156" s="0" t="s">
        <v>81</v>
      </c>
      <c r="E156" s="6" t="n">
        <v>0.38</v>
      </c>
      <c r="G156" s="7" t="s">
        <v>107</v>
      </c>
      <c r="H156" s="4" t="s">
        <v>536</v>
      </c>
    </row>
    <row r="157" customFormat="false" ht="17.15" hidden="false" customHeight="false" outlineLevel="0" collapsed="false">
      <c r="A157" s="0" t="s">
        <v>537</v>
      </c>
      <c r="B157" s="0" t="s">
        <v>538</v>
      </c>
      <c r="C157" s="0" t="s">
        <v>81</v>
      </c>
      <c r="E157" s="6" t="n">
        <v>1.6</v>
      </c>
      <c r="G157" s="7" t="s">
        <v>107</v>
      </c>
    </row>
    <row r="158" customFormat="false" ht="17.15" hidden="false" customHeight="false" outlineLevel="0" collapsed="false">
      <c r="A158" s="0" t="s">
        <v>539</v>
      </c>
      <c r="B158" s="0" t="s">
        <v>540</v>
      </c>
      <c r="C158" s="0" t="s">
        <v>81</v>
      </c>
      <c r="E158" s="6" t="n">
        <v>1.8</v>
      </c>
      <c r="G158" s="7" t="s">
        <v>107</v>
      </c>
    </row>
    <row r="159" customFormat="false" ht="17.15" hidden="false" customHeight="false" outlineLevel="0" collapsed="false">
      <c r="A159" s="0" t="s">
        <v>541</v>
      </c>
      <c r="B159" s="0" t="s">
        <v>542</v>
      </c>
      <c r="C159" s="0" t="s">
        <v>81</v>
      </c>
      <c r="E159" s="6" t="n">
        <v>2</v>
      </c>
      <c r="G159" s="7" t="s">
        <v>107</v>
      </c>
    </row>
    <row r="160" customFormat="false" ht="17.15" hidden="false" customHeight="false" outlineLevel="0" collapsed="false">
      <c r="A160" s="0" t="s">
        <v>543</v>
      </c>
      <c r="B160" s="0" t="s">
        <v>544</v>
      </c>
      <c r="C160" s="0" t="s">
        <v>81</v>
      </c>
      <c r="E160" s="6" t="n">
        <v>2.2</v>
      </c>
      <c r="G160" s="7" t="s">
        <v>107</v>
      </c>
    </row>
    <row r="161" customFormat="false" ht="17.15" hidden="false" customHeight="false" outlineLevel="0" collapsed="false">
      <c r="A161" s="0" t="s">
        <v>545</v>
      </c>
      <c r="B161" s="0" t="s">
        <v>546</v>
      </c>
      <c r="C161" s="0" t="s">
        <v>81</v>
      </c>
      <c r="E161" s="6" t="n">
        <v>2.4</v>
      </c>
      <c r="G161" s="7" t="s">
        <v>107</v>
      </c>
    </row>
    <row r="162" customFormat="false" ht="17.15" hidden="false" customHeight="false" outlineLevel="0" collapsed="false">
      <c r="A162" s="0" t="s">
        <v>547</v>
      </c>
      <c r="B162" s="0" t="s">
        <v>548</v>
      </c>
      <c r="C162" s="0" t="s">
        <v>81</v>
      </c>
      <c r="E162" s="6" t="n">
        <v>2.6</v>
      </c>
      <c r="G162" s="7" t="s">
        <v>107</v>
      </c>
    </row>
    <row r="163" customFormat="false" ht="17.15" hidden="false" customHeight="false" outlineLevel="0" collapsed="false">
      <c r="A163" s="0" t="s">
        <v>549</v>
      </c>
      <c r="B163" s="0" t="s">
        <v>550</v>
      </c>
      <c r="C163" s="0" t="s">
        <v>81</v>
      </c>
      <c r="D163" s="6" t="n">
        <v>-11</v>
      </c>
      <c r="E163" s="6" t="n">
        <v>-9</v>
      </c>
      <c r="F163" s="6" t="n">
        <v>-7</v>
      </c>
      <c r="G163" s="7" t="s">
        <v>107</v>
      </c>
      <c r="H163" s="7" t="s">
        <v>551</v>
      </c>
    </row>
    <row r="164" customFormat="false" ht="17.15" hidden="false" customHeight="false" outlineLevel="0" collapsed="false">
      <c r="A164" s="0" t="s">
        <v>552</v>
      </c>
      <c r="B164" s="0" t="s">
        <v>553</v>
      </c>
      <c r="C164" s="0" t="s">
        <v>106</v>
      </c>
      <c r="D164" s="8" t="n">
        <v>0.0483</v>
      </c>
      <c r="E164" s="8" t="n">
        <v>0.06</v>
      </c>
      <c r="F164" s="8" t="n">
        <v>0.065</v>
      </c>
      <c r="G164" s="7" t="s">
        <v>82</v>
      </c>
      <c r="H164" s="7" t="s">
        <v>554</v>
      </c>
      <c r="I164" s="7" t="s">
        <v>555</v>
      </c>
    </row>
    <row r="165" customFormat="false" ht="17.15" hidden="false" customHeight="false" outlineLevel="0" collapsed="false">
      <c r="A165" s="0" t="s">
        <v>556</v>
      </c>
      <c r="B165" s="0" t="s">
        <v>557</v>
      </c>
      <c r="C165" s="0" t="s">
        <v>106</v>
      </c>
      <c r="D165" s="8" t="n">
        <v>0.3</v>
      </c>
      <c r="E165" s="8" t="n">
        <v>0.4</v>
      </c>
      <c r="F165" s="8" t="n">
        <v>0.5</v>
      </c>
      <c r="G165" s="7" t="s">
        <v>107</v>
      </c>
      <c r="H165" s="4" t="s">
        <v>558</v>
      </c>
      <c r="I165" s="7" t="s">
        <v>559</v>
      </c>
    </row>
    <row r="166" customFormat="false" ht="17.15" hidden="false" customHeight="false" outlineLevel="0" collapsed="false">
      <c r="A166" s="0" t="s">
        <v>560</v>
      </c>
      <c r="B166" s="0" t="s">
        <v>561</v>
      </c>
      <c r="C166" s="0" t="s">
        <v>106</v>
      </c>
      <c r="D166" s="8" t="n">
        <v>0.1</v>
      </c>
      <c r="E166" s="8" t="n">
        <v>0.15</v>
      </c>
      <c r="F166" s="8" t="n">
        <v>0.25</v>
      </c>
      <c r="G166" s="7" t="s">
        <v>107</v>
      </c>
      <c r="H166" s="4" t="s">
        <v>562</v>
      </c>
    </row>
    <row r="167" customFormat="false" ht="17.15" hidden="false" customHeight="false" outlineLevel="0" collapsed="false">
      <c r="A167" s="0" t="s">
        <v>563</v>
      </c>
      <c r="B167" s="0" t="s">
        <v>564</v>
      </c>
      <c r="C167" s="0" t="s">
        <v>106</v>
      </c>
      <c r="D167" s="8" t="n">
        <v>0.1</v>
      </c>
      <c r="E167" s="8" t="n">
        <v>0.2</v>
      </c>
      <c r="F167" s="8" t="n">
        <v>0.3</v>
      </c>
      <c r="G167" s="7" t="s">
        <v>107</v>
      </c>
      <c r="H167" s="4" t="s">
        <v>565</v>
      </c>
    </row>
    <row r="168" customFormat="false" ht="17.15" hidden="false" customHeight="false" outlineLevel="0" collapsed="false">
      <c r="A168" s="0" t="s">
        <v>566</v>
      </c>
      <c r="B168" s="4" t="s">
        <v>567</v>
      </c>
      <c r="C168" s="0" t="s">
        <v>106</v>
      </c>
      <c r="D168" s="8" t="n">
        <v>0.04</v>
      </c>
      <c r="E168" s="8" t="n">
        <v>0.06</v>
      </c>
      <c r="F168" s="8" t="n">
        <v>0.105</v>
      </c>
      <c r="G168" s="7" t="s">
        <v>107</v>
      </c>
      <c r="H168" s="4" t="s">
        <v>568</v>
      </c>
    </row>
    <row r="169" customFormat="false" ht="17.15" hidden="false" customHeight="false" outlineLevel="0" collapsed="false">
      <c r="A169" s="0" t="s">
        <v>569</v>
      </c>
      <c r="B169" s="4" t="s">
        <v>570</v>
      </c>
      <c r="C169" s="0" t="s">
        <v>106</v>
      </c>
      <c r="D169" s="8" t="n">
        <v>0.15</v>
      </c>
      <c r="E169" s="8" t="n">
        <v>0.2</v>
      </c>
      <c r="F169" s="8" t="n">
        <v>0.27</v>
      </c>
      <c r="G169" s="7" t="s">
        <v>107</v>
      </c>
      <c r="H169" s="4" t="s">
        <v>571</v>
      </c>
    </row>
    <row r="170" customFormat="false" ht="17.15" hidden="false" customHeight="false" outlineLevel="0" collapsed="false">
      <c r="A170" s="0" t="s">
        <v>572</v>
      </c>
      <c r="B170" s="4" t="s">
        <v>573</v>
      </c>
      <c r="C170" s="0" t="s">
        <v>106</v>
      </c>
      <c r="E170" s="8" t="n">
        <v>0.06</v>
      </c>
      <c r="G170" s="7" t="s">
        <v>107</v>
      </c>
      <c r="H170" s="4" t="s">
        <v>128</v>
      </c>
    </row>
    <row r="171" customFormat="false" ht="17.15" hidden="false" customHeight="false" outlineLevel="0" collapsed="false">
      <c r="A171" s="5" t="s">
        <v>574</v>
      </c>
    </row>
    <row r="172" customFormat="false" ht="17.15" hidden="false" customHeight="false" outlineLevel="0" collapsed="false">
      <c r="A172" s="0" t="s">
        <v>575</v>
      </c>
      <c r="B172" s="4" t="s">
        <v>576</v>
      </c>
      <c r="C172" s="0" t="s">
        <v>106</v>
      </c>
      <c r="D172" s="8" t="n">
        <v>0.15</v>
      </c>
      <c r="E172" s="8" t="n">
        <v>0.168</v>
      </c>
      <c r="F172" s="8" t="n">
        <v>0.19</v>
      </c>
      <c r="G172" s="7" t="s">
        <v>82</v>
      </c>
      <c r="H172" s="7" t="s">
        <v>577</v>
      </c>
      <c r="I172" s="4" t="s">
        <v>578</v>
      </c>
    </row>
    <row r="173" customFormat="false" ht="17.15" hidden="false" customHeight="false" outlineLevel="0" collapsed="false">
      <c r="A173" s="0" t="s">
        <v>579</v>
      </c>
      <c r="B173" s="4" t="s">
        <v>580</v>
      </c>
      <c r="C173" s="0" t="s">
        <v>106</v>
      </c>
      <c r="E173" s="8" t="n">
        <v>0.21</v>
      </c>
      <c r="G173" s="7" t="s">
        <v>107</v>
      </c>
      <c r="H173" s="4" t="s">
        <v>581</v>
      </c>
    </row>
    <row r="174" customFormat="false" ht="17.15" hidden="false" customHeight="false" outlineLevel="0" collapsed="false">
      <c r="A174" s="0" t="s">
        <v>582</v>
      </c>
      <c r="B174" s="4" t="s">
        <v>583</v>
      </c>
      <c r="C174" s="0" t="s">
        <v>106</v>
      </c>
      <c r="E174" s="8" t="n">
        <v>0.038</v>
      </c>
      <c r="G174" s="7" t="s">
        <v>82</v>
      </c>
      <c r="H174" s="7" t="s">
        <v>584</v>
      </c>
    </row>
    <row r="175" customFormat="false" ht="17.15" hidden="false" customHeight="false" outlineLevel="0" collapsed="false">
      <c r="A175" s="0" t="s">
        <v>585</v>
      </c>
      <c r="B175" s="4" t="s">
        <v>586</v>
      </c>
      <c r="C175" s="0" t="s">
        <v>106</v>
      </c>
      <c r="E175" s="8" t="n">
        <v>0.048</v>
      </c>
      <c r="G175" s="7" t="s">
        <v>82</v>
      </c>
      <c r="H175" s="7" t="s">
        <v>587</v>
      </c>
    </row>
    <row r="176" customFormat="false" ht="17.15" hidden="false" customHeight="false" outlineLevel="0" collapsed="false">
      <c r="A176" s="0" t="s">
        <v>588</v>
      </c>
      <c r="B176" s="4" t="s">
        <v>589</v>
      </c>
      <c r="C176" s="0" t="s">
        <v>106</v>
      </c>
      <c r="E176" s="8" t="n">
        <v>0.0645</v>
      </c>
      <c r="G176" s="7" t="s">
        <v>82</v>
      </c>
      <c r="H176" s="4" t="s">
        <v>590</v>
      </c>
      <c r="I176" s="4" t="s">
        <v>591</v>
      </c>
    </row>
    <row r="177" customFormat="false" ht="17.15" hidden="false" customHeight="false" outlineLevel="0" collapsed="false">
      <c r="A177" s="0" t="s">
        <v>592</v>
      </c>
      <c r="B177" s="4" t="s">
        <v>593</v>
      </c>
      <c r="C177" s="0" t="s">
        <v>106</v>
      </c>
      <c r="D177" s="8" t="n">
        <v>0</v>
      </c>
      <c r="E177" s="8" t="n">
        <v>0.01</v>
      </c>
      <c r="F177" s="8" t="n">
        <v>0.015</v>
      </c>
      <c r="G177" s="7" t="s">
        <v>107</v>
      </c>
      <c r="H177" s="4" t="s">
        <v>594</v>
      </c>
    </row>
    <row r="178" customFormat="false" ht="17.15" hidden="false" customHeight="false" outlineLevel="0" collapsed="false">
      <c r="A178" s="0" t="s">
        <v>595</v>
      </c>
      <c r="B178" s="0" t="s">
        <v>596</v>
      </c>
      <c r="C178" s="0" t="s">
        <v>81</v>
      </c>
      <c r="E178" s="6" t="n">
        <v>4.707</v>
      </c>
      <c r="G178" s="7" t="s">
        <v>82</v>
      </c>
      <c r="H178" s="7" t="s">
        <v>597</v>
      </c>
    </row>
    <row r="179" customFormat="false" ht="17.15" hidden="false" customHeight="false" outlineLevel="0" collapsed="false">
      <c r="A179" s="0" t="s">
        <v>598</v>
      </c>
      <c r="B179" s="0" t="s">
        <v>599</v>
      </c>
      <c r="C179" s="0" t="s">
        <v>106</v>
      </c>
      <c r="D179" s="8" t="n">
        <v>0</v>
      </c>
      <c r="E179" s="8" t="n">
        <v>0.0117</v>
      </c>
      <c r="F179" s="8" t="n">
        <v>0.02</v>
      </c>
      <c r="G179" s="7" t="s">
        <v>82</v>
      </c>
      <c r="H179" s="7" t="s">
        <v>600</v>
      </c>
    </row>
    <row r="180" customFormat="false" ht="17.15" hidden="false" customHeight="false" outlineLevel="0" collapsed="false">
      <c r="A180" s="0" t="s">
        <v>601</v>
      </c>
      <c r="B180" s="4" t="s">
        <v>602</v>
      </c>
      <c r="C180" s="0" t="s">
        <v>54</v>
      </c>
      <c r="E180" s="6" t="n">
        <v>0.88</v>
      </c>
      <c r="G180" s="7" t="s">
        <v>65</v>
      </c>
      <c r="H180" s="4" t="s">
        <v>603</v>
      </c>
    </row>
    <row r="181" customFormat="false" ht="17.15" hidden="false" customHeight="false" outlineLevel="0" collapsed="false">
      <c r="A181" s="0" t="s">
        <v>604</v>
      </c>
      <c r="B181" s="4" t="s">
        <v>605</v>
      </c>
      <c r="C181" s="0" t="s">
        <v>106</v>
      </c>
      <c r="E181" s="8" t="n">
        <v>0.05</v>
      </c>
      <c r="G181" s="7" t="s">
        <v>82</v>
      </c>
      <c r="H181" s="7" t="s">
        <v>606</v>
      </c>
    </row>
    <row r="182" customFormat="false" ht="17.15" hidden="false" customHeight="false" outlineLevel="0" collapsed="false">
      <c r="A182" s="0" t="s">
        <v>607</v>
      </c>
      <c r="B182" s="4" t="s">
        <v>608</v>
      </c>
      <c r="C182" s="0" t="s">
        <v>81</v>
      </c>
      <c r="D182" s="6" t="n">
        <v>0</v>
      </c>
      <c r="E182" s="6" t="n">
        <v>17.003</v>
      </c>
      <c r="F182" s="6" t="n">
        <v>45.709</v>
      </c>
      <c r="G182" s="7" t="s">
        <v>82</v>
      </c>
      <c r="H182" s="7" t="s">
        <v>609</v>
      </c>
      <c r="I182" s="4" t="s">
        <v>610</v>
      </c>
    </row>
    <row r="183" customFormat="false" ht="17.15" hidden="false" customHeight="false" outlineLevel="0" collapsed="false">
      <c r="A183" s="0" t="s">
        <v>611</v>
      </c>
      <c r="B183" s="4" t="s">
        <v>612</v>
      </c>
      <c r="C183" s="0" t="s">
        <v>81</v>
      </c>
      <c r="E183" s="6" t="n">
        <v>50</v>
      </c>
      <c r="G183" s="7" t="s">
        <v>107</v>
      </c>
      <c r="H183" s="4" t="s">
        <v>613</v>
      </c>
    </row>
    <row r="184" customFormat="false" ht="17.15" hidden="false" customHeight="false" outlineLevel="0" collapsed="false">
      <c r="A184" s="0" t="s">
        <v>614</v>
      </c>
      <c r="B184" s="4" t="s">
        <v>615</v>
      </c>
      <c r="C184" s="0" t="s">
        <v>81</v>
      </c>
      <c r="E184" s="6" t="n">
        <v>0.103</v>
      </c>
      <c r="G184" s="7" t="s">
        <v>65</v>
      </c>
      <c r="H184" s="7" t="s">
        <v>616</v>
      </c>
    </row>
    <row r="185" customFormat="false" ht="17.15" hidden="false" customHeight="false" outlineLevel="0" collapsed="false">
      <c r="A185" s="0" t="s">
        <v>617</v>
      </c>
      <c r="B185" s="4" t="s">
        <v>618</v>
      </c>
      <c r="C185" s="0" t="s">
        <v>81</v>
      </c>
      <c r="E185" s="6" t="n">
        <v>0.387</v>
      </c>
      <c r="G185" s="7" t="s">
        <v>65</v>
      </c>
    </row>
    <row r="186" customFormat="false" ht="17.15" hidden="false" customHeight="false" outlineLevel="0" collapsed="false">
      <c r="A186" s="0" t="s">
        <v>619</v>
      </c>
      <c r="B186" s="4" t="s">
        <v>620</v>
      </c>
      <c r="C186" s="0" t="s">
        <v>81</v>
      </c>
      <c r="E186" s="6" t="n">
        <v>0.377</v>
      </c>
      <c r="G186" s="7" t="s">
        <v>65</v>
      </c>
    </row>
    <row r="187" customFormat="false" ht="17.15" hidden="false" customHeight="false" outlineLevel="0" collapsed="false">
      <c r="A187" s="0" t="s">
        <v>621</v>
      </c>
      <c r="B187" s="4" t="s">
        <v>622</v>
      </c>
      <c r="C187" s="0" t="s">
        <v>81</v>
      </c>
      <c r="E187" s="6" t="n">
        <v>0.356</v>
      </c>
      <c r="G187" s="7" t="s">
        <v>65</v>
      </c>
    </row>
    <row r="188" customFormat="false" ht="17.15" hidden="false" customHeight="false" outlineLevel="0" collapsed="false">
      <c r="A188" s="0" t="s">
        <v>623</v>
      </c>
      <c r="B188" s="4" t="s">
        <v>624</v>
      </c>
      <c r="C188" s="0" t="s">
        <v>81</v>
      </c>
      <c r="E188" s="6" t="n">
        <v>0.285</v>
      </c>
      <c r="G188" s="7" t="s">
        <v>65</v>
      </c>
    </row>
    <row r="189" customFormat="false" ht="17.15" hidden="false" customHeight="false" outlineLevel="0" collapsed="false">
      <c r="A189" s="0" t="s">
        <v>625</v>
      </c>
      <c r="B189" s="4" t="s">
        <v>626</v>
      </c>
      <c r="C189" s="0" t="s">
        <v>81</v>
      </c>
      <c r="E189" s="6" t="n">
        <v>0.25</v>
      </c>
      <c r="G189" s="7" t="s">
        <v>107</v>
      </c>
      <c r="H189" s="7" t="s">
        <v>627</v>
      </c>
    </row>
    <row r="190" customFormat="false" ht="17.15" hidden="false" customHeight="false" outlineLevel="0" collapsed="false">
      <c r="A190" s="0" t="s">
        <v>628</v>
      </c>
      <c r="B190" s="4" t="s">
        <v>629</v>
      </c>
      <c r="C190" s="0" t="s">
        <v>81</v>
      </c>
      <c r="E190" s="6" t="n">
        <v>0.25</v>
      </c>
      <c r="G190" s="7" t="s">
        <v>107</v>
      </c>
    </row>
    <row r="191" customFormat="false" ht="17.15" hidden="false" customHeight="false" outlineLevel="0" collapsed="false">
      <c r="A191" s="0" t="s">
        <v>630</v>
      </c>
      <c r="B191" s="0" t="s">
        <v>631</v>
      </c>
      <c r="C191" s="0" t="s">
        <v>81</v>
      </c>
      <c r="E191" s="6" t="n">
        <v>1.111</v>
      </c>
      <c r="G191" s="7" t="s">
        <v>65</v>
      </c>
      <c r="H191" s="4" t="s">
        <v>632</v>
      </c>
      <c r="I191" s="4" t="s">
        <v>633</v>
      </c>
    </row>
    <row r="192" customFormat="false" ht="17.15" hidden="false" customHeight="false" outlineLevel="0" collapsed="false">
      <c r="A192" s="0" t="s">
        <v>634</v>
      </c>
      <c r="B192" s="0" t="s">
        <v>635</v>
      </c>
      <c r="C192" s="0" t="s">
        <v>81</v>
      </c>
      <c r="E192" s="6" t="n">
        <v>4.444</v>
      </c>
      <c r="G192" s="7" t="s">
        <v>65</v>
      </c>
    </row>
    <row r="193" customFormat="false" ht="17.15" hidden="false" customHeight="false" outlineLevel="0" collapsed="false">
      <c r="A193" s="0" t="s">
        <v>636</v>
      </c>
      <c r="B193" s="0" t="s">
        <v>637</v>
      </c>
      <c r="C193" s="0" t="s">
        <v>81</v>
      </c>
      <c r="E193" s="6" t="n">
        <v>4.444</v>
      </c>
      <c r="G193" s="7" t="s">
        <v>65</v>
      </c>
    </row>
    <row r="194" customFormat="false" ht="17.15" hidden="false" customHeight="false" outlineLevel="0" collapsed="false">
      <c r="A194" s="0" t="s">
        <v>638</v>
      </c>
      <c r="B194" s="0" t="s">
        <v>639</v>
      </c>
      <c r="C194" s="0" t="s">
        <v>81</v>
      </c>
      <c r="E194" s="6" t="n">
        <v>4.444</v>
      </c>
      <c r="G194" s="7" t="s">
        <v>65</v>
      </c>
    </row>
    <row r="195" customFormat="false" ht="17.15" hidden="false" customHeight="false" outlineLevel="0" collapsed="false">
      <c r="A195" s="0" t="s">
        <v>640</v>
      </c>
      <c r="B195" s="0" t="s">
        <v>641</v>
      </c>
      <c r="C195" s="0" t="s">
        <v>81</v>
      </c>
      <c r="E195" s="6" t="n">
        <v>4.444</v>
      </c>
      <c r="G195" s="7" t="s">
        <v>65</v>
      </c>
    </row>
    <row r="196" customFormat="false" ht="17.15" hidden="false" customHeight="false" outlineLevel="0" collapsed="false">
      <c r="A196" s="0" t="s">
        <v>642</v>
      </c>
      <c r="B196" s="0" t="s">
        <v>643</v>
      </c>
      <c r="C196" s="0" t="s">
        <v>81</v>
      </c>
      <c r="E196" s="6" t="n">
        <v>0</v>
      </c>
      <c r="G196" s="7" t="s">
        <v>65</v>
      </c>
    </row>
    <row r="197" customFormat="false" ht="17.15" hidden="false" customHeight="false" outlineLevel="0" collapsed="false">
      <c r="A197" s="0" t="s">
        <v>644</v>
      </c>
      <c r="B197" s="0" t="s">
        <v>645</v>
      </c>
      <c r="C197" s="0" t="s">
        <v>81</v>
      </c>
      <c r="E197" s="6" t="n">
        <v>0</v>
      </c>
      <c r="G197" s="7" t="s">
        <v>65</v>
      </c>
    </row>
    <row r="198" customFormat="false" ht="17.15" hidden="false" customHeight="false" outlineLevel="0" collapsed="false">
      <c r="A198" s="0" t="s">
        <v>646</v>
      </c>
      <c r="B198" s="4" t="s">
        <v>647</v>
      </c>
      <c r="C198" s="0" t="s">
        <v>81</v>
      </c>
      <c r="E198" s="6" t="n">
        <v>0</v>
      </c>
      <c r="G198" s="7" t="s">
        <v>65</v>
      </c>
      <c r="H198" s="7" t="s">
        <v>648</v>
      </c>
    </row>
    <row r="199" customFormat="false" ht="17.15" hidden="false" customHeight="false" outlineLevel="0" collapsed="false">
      <c r="A199" s="0" t="s">
        <v>649</v>
      </c>
      <c r="B199" s="4" t="s">
        <v>650</v>
      </c>
      <c r="C199" s="0" t="s">
        <v>81</v>
      </c>
      <c r="E199" s="6" t="n">
        <v>1</v>
      </c>
      <c r="G199" s="7" t="s">
        <v>65</v>
      </c>
    </row>
    <row r="200" customFormat="false" ht="17.15" hidden="false" customHeight="false" outlineLevel="0" collapsed="false">
      <c r="A200" s="0" t="s">
        <v>651</v>
      </c>
      <c r="B200" s="4" t="s">
        <v>652</v>
      </c>
      <c r="C200" s="0" t="s">
        <v>81</v>
      </c>
      <c r="E200" s="6" t="n">
        <v>2.676</v>
      </c>
      <c r="G200" s="7" t="s">
        <v>65</v>
      </c>
    </row>
    <row r="201" customFormat="false" ht="17.15" hidden="false" customHeight="false" outlineLevel="0" collapsed="false">
      <c r="A201" s="0" t="s">
        <v>653</v>
      </c>
      <c r="B201" s="4" t="s">
        <v>654</v>
      </c>
      <c r="C201" s="0" t="s">
        <v>81</v>
      </c>
      <c r="E201" s="6" t="n">
        <v>1.764</v>
      </c>
      <c r="G201" s="7" t="s">
        <v>65</v>
      </c>
    </row>
    <row r="202" customFormat="false" ht="17.15" hidden="false" customHeight="false" outlineLevel="0" collapsed="false">
      <c r="A202" s="0" t="s">
        <v>655</v>
      </c>
      <c r="B202" s="4" t="s">
        <v>656</v>
      </c>
      <c r="C202" s="0" t="s">
        <v>81</v>
      </c>
      <c r="E202" s="6" t="n">
        <v>7.186</v>
      </c>
      <c r="G202" s="7" t="s">
        <v>65</v>
      </c>
    </row>
    <row r="203" customFormat="false" ht="17.15" hidden="false" customHeight="false" outlineLevel="0" collapsed="false">
      <c r="A203" s="0" t="s">
        <v>657</v>
      </c>
      <c r="B203" s="4" t="s">
        <v>658</v>
      </c>
      <c r="C203" s="0" t="s">
        <v>81</v>
      </c>
      <c r="E203" s="6" t="n">
        <v>5</v>
      </c>
      <c r="G203" s="7" t="s">
        <v>107</v>
      </c>
      <c r="H203" s="7" t="s">
        <v>659</v>
      </c>
    </row>
    <row r="204" customFormat="false" ht="17.15" hidden="false" customHeight="false" outlineLevel="0" collapsed="false">
      <c r="A204" s="0" t="s">
        <v>660</v>
      </c>
      <c r="B204" s="4" t="s">
        <v>661</v>
      </c>
      <c r="C204" s="0" t="s">
        <v>81</v>
      </c>
      <c r="E204" s="6" t="n">
        <v>5</v>
      </c>
      <c r="G204" s="7" t="s">
        <v>107</v>
      </c>
    </row>
    <row r="205" customFormat="false" ht="17.15" hidden="false" customHeight="false" outlineLevel="0" collapsed="false">
      <c r="A205" s="0" t="s">
        <v>662</v>
      </c>
      <c r="B205" s="0" t="s">
        <v>663</v>
      </c>
      <c r="C205" s="0" t="s">
        <v>81</v>
      </c>
      <c r="E205" s="6" t="n">
        <v>0</v>
      </c>
      <c r="G205" s="7" t="s">
        <v>65</v>
      </c>
      <c r="H205" s="7" t="s">
        <v>664</v>
      </c>
      <c r="I205" s="7" t="s">
        <v>665</v>
      </c>
    </row>
    <row r="206" customFormat="false" ht="17.15" hidden="false" customHeight="false" outlineLevel="0" collapsed="false">
      <c r="A206" s="0" t="s">
        <v>666</v>
      </c>
      <c r="B206" s="4" t="s">
        <v>667</v>
      </c>
      <c r="C206" s="0" t="s">
        <v>81</v>
      </c>
      <c r="E206" s="6" t="n">
        <v>0.301</v>
      </c>
      <c r="G206" s="7" t="s">
        <v>82</v>
      </c>
      <c r="H206" s="7" t="s">
        <v>668</v>
      </c>
    </row>
    <row r="207" customFormat="false" ht="17.15" hidden="false" customHeight="false" outlineLevel="0" collapsed="false">
      <c r="A207" s="0" t="s">
        <v>669</v>
      </c>
      <c r="B207" s="4" t="s">
        <v>670</v>
      </c>
      <c r="C207" s="0" t="s">
        <v>81</v>
      </c>
      <c r="E207" s="6" t="n">
        <v>1.203</v>
      </c>
      <c r="G207" s="7" t="s">
        <v>82</v>
      </c>
    </row>
    <row r="208" customFormat="false" ht="17.15" hidden="false" customHeight="false" outlineLevel="0" collapsed="false">
      <c r="A208" s="0" t="s">
        <v>671</v>
      </c>
      <c r="B208" s="4" t="s">
        <v>672</v>
      </c>
      <c r="C208" s="0" t="s">
        <v>81</v>
      </c>
      <c r="E208" s="6" t="n">
        <v>1.203</v>
      </c>
      <c r="G208" s="7" t="s">
        <v>82</v>
      </c>
    </row>
    <row r="209" customFormat="false" ht="17.15" hidden="false" customHeight="false" outlineLevel="0" collapsed="false">
      <c r="A209" s="0" t="s">
        <v>673</v>
      </c>
      <c r="B209" s="4" t="s">
        <v>674</v>
      </c>
      <c r="C209" s="0" t="s">
        <v>81</v>
      </c>
      <c r="E209" s="6" t="n">
        <v>0.602</v>
      </c>
      <c r="G209" s="7" t="s">
        <v>82</v>
      </c>
    </row>
    <row r="210" customFormat="false" ht="17.15" hidden="false" customHeight="false" outlineLevel="0" collapsed="false">
      <c r="A210" s="5" t="s">
        <v>675</v>
      </c>
    </row>
    <row r="211" customFormat="false" ht="17.15" hidden="false" customHeight="false" outlineLevel="0" collapsed="false">
      <c r="A211" s="0" t="s">
        <v>676</v>
      </c>
      <c r="B211" s="0" t="s">
        <v>677</v>
      </c>
      <c r="C211" s="0" t="s">
        <v>81</v>
      </c>
      <c r="E211" s="6" t="n">
        <v>0.943</v>
      </c>
      <c r="G211" s="7" t="s">
        <v>82</v>
      </c>
      <c r="H211" s="7" t="s">
        <v>678</v>
      </c>
      <c r="I211" s="7" t="s">
        <v>679</v>
      </c>
    </row>
    <row r="212" customFormat="false" ht="17.15" hidden="false" customHeight="false" outlineLevel="0" collapsed="false">
      <c r="A212" s="0" t="s">
        <v>680</v>
      </c>
      <c r="B212" s="0" t="s">
        <v>681</v>
      </c>
      <c r="C212" s="0" t="s">
        <v>81</v>
      </c>
      <c r="E212" s="6" t="n">
        <v>57.267</v>
      </c>
      <c r="G212" s="7" t="s">
        <v>82</v>
      </c>
      <c r="H212" s="4" t="s">
        <v>682</v>
      </c>
      <c r="I212" s="7" t="s">
        <v>683</v>
      </c>
    </row>
    <row r="213" customFormat="false" ht="17.15" hidden="false" customHeight="false" outlineLevel="0" collapsed="false">
      <c r="A213" s="0" t="s">
        <v>684</v>
      </c>
      <c r="B213" s="0" t="s">
        <v>685</v>
      </c>
      <c r="C213" s="0" t="s">
        <v>81</v>
      </c>
      <c r="E213" s="6" t="n">
        <v>8.879</v>
      </c>
      <c r="G213" s="7" t="s">
        <v>65</v>
      </c>
      <c r="H213" s="7" t="s">
        <v>686</v>
      </c>
    </row>
    <row r="214" customFormat="false" ht="17.15" hidden="false" customHeight="false" outlineLevel="0" collapsed="false">
      <c r="A214" s="0" t="s">
        <v>687</v>
      </c>
      <c r="B214" s="0" t="s">
        <v>688</v>
      </c>
      <c r="C214" s="0" t="s">
        <v>81</v>
      </c>
      <c r="E214" s="6" t="n">
        <v>85.222</v>
      </c>
      <c r="G214" s="7" t="s">
        <v>65</v>
      </c>
      <c r="H214" s="7" t="s">
        <v>689</v>
      </c>
    </row>
    <row r="215" customFormat="false" ht="17.15" hidden="false" customHeight="false" outlineLevel="0" collapsed="false">
      <c r="A215" s="0" t="s">
        <v>690</v>
      </c>
      <c r="B215" s="0" t="s">
        <v>691</v>
      </c>
      <c r="C215" s="0" t="s">
        <v>81</v>
      </c>
      <c r="E215" s="6" t="n">
        <v>61.933</v>
      </c>
      <c r="G215" s="7" t="s">
        <v>65</v>
      </c>
      <c r="H215" s="4" t="s">
        <v>692</v>
      </c>
    </row>
    <row r="216" customFormat="false" ht="17.15" hidden="false" customHeight="false" outlineLevel="0" collapsed="false">
      <c r="A216" s="0" t="s">
        <v>693</v>
      </c>
      <c r="B216" s="0" t="s">
        <v>694</v>
      </c>
      <c r="C216" s="0" t="s">
        <v>81</v>
      </c>
      <c r="E216" s="6" t="n">
        <v>0.301</v>
      </c>
      <c r="G216" s="7" t="s">
        <v>82</v>
      </c>
      <c r="H216" s="7" t="s">
        <v>695</v>
      </c>
    </row>
    <row r="217" customFormat="false" ht="17.15" hidden="false" customHeight="false" outlineLevel="0" collapsed="false">
      <c r="A217" s="0" t="s">
        <v>696</v>
      </c>
      <c r="B217" s="0" t="s">
        <v>697</v>
      </c>
      <c r="C217" s="0" t="s">
        <v>81</v>
      </c>
      <c r="E217" s="6" t="n">
        <v>0.384</v>
      </c>
      <c r="G217" s="7" t="s">
        <v>65</v>
      </c>
      <c r="H217" s="7" t="s">
        <v>698</v>
      </c>
    </row>
    <row r="218" customFormat="false" ht="17.15" hidden="false" customHeight="false" outlineLevel="0" collapsed="false">
      <c r="A218" s="0" t="s">
        <v>699</v>
      </c>
      <c r="B218" s="4" t="s">
        <v>700</v>
      </c>
      <c r="C218" s="0" t="s">
        <v>81</v>
      </c>
      <c r="E218" s="6" t="n">
        <v>49.085</v>
      </c>
      <c r="G218" s="7" t="s">
        <v>55</v>
      </c>
      <c r="H218" s="7" t="s">
        <v>701</v>
      </c>
    </row>
    <row r="219" customFormat="false" ht="17.15" hidden="false" customHeight="false" outlineLevel="0" collapsed="false">
      <c r="A219" s="0" t="s">
        <v>702</v>
      </c>
      <c r="B219" s="0" t="s">
        <v>703</v>
      </c>
      <c r="C219" s="0" t="s">
        <v>81</v>
      </c>
      <c r="E219" s="6" t="n">
        <v>561</v>
      </c>
      <c r="G219" s="7" t="s">
        <v>65</v>
      </c>
      <c r="H219" s="4" t="s">
        <v>704</v>
      </c>
      <c r="I219" s="7" t="s">
        <v>705</v>
      </c>
    </row>
    <row r="220" customFormat="false" ht="17.15" hidden="false" customHeight="false" outlineLevel="0" collapsed="false">
      <c r="A220" s="0" t="s">
        <v>706</v>
      </c>
      <c r="B220" s="4" t="s">
        <v>707</v>
      </c>
      <c r="C220" s="0" t="s">
        <v>106</v>
      </c>
      <c r="E220" s="8" t="n">
        <v>0.55</v>
      </c>
      <c r="G220" s="7" t="s">
        <v>65</v>
      </c>
      <c r="H220" s="4" t="s">
        <v>708</v>
      </c>
      <c r="I220" s="7" t="s">
        <v>709</v>
      </c>
    </row>
    <row r="221" customFormat="false" ht="17.15" hidden="false" customHeight="false" outlineLevel="0" collapsed="false">
      <c r="A221" s="5" t="s">
        <v>710</v>
      </c>
    </row>
    <row r="222" customFormat="false" ht="17.15" hidden="false" customHeight="false" outlineLevel="0" collapsed="false">
      <c r="A222" s="0" t="s">
        <v>711</v>
      </c>
      <c r="B222" s="0" t="s">
        <v>712</v>
      </c>
      <c r="C222" s="0" t="s">
        <v>54</v>
      </c>
      <c r="E222" s="6" t="n">
        <v>258.700923</v>
      </c>
      <c r="G222" s="7" t="s">
        <v>82</v>
      </c>
      <c r="H222" s="7" t="s">
        <v>713</v>
      </c>
      <c r="I222" s="4" t="s">
        <v>714</v>
      </c>
    </row>
    <row r="223" customFormat="false" ht="17.15" hidden="false" customHeight="false" outlineLevel="0" collapsed="false">
      <c r="A223" s="0" t="s">
        <v>715</v>
      </c>
      <c r="B223" s="0" t="s">
        <v>716</v>
      </c>
      <c r="C223" s="0" t="s">
        <v>54</v>
      </c>
      <c r="E223" s="6" t="n">
        <v>146.09</v>
      </c>
      <c r="G223" s="7" t="s">
        <v>82</v>
      </c>
      <c r="H223" s="7" t="s">
        <v>717</v>
      </c>
      <c r="I223" s="4" t="s">
        <v>718</v>
      </c>
    </row>
    <row r="224" customFormat="false" ht="17.15" hidden="false" customHeight="false" outlineLevel="0" collapsed="false">
      <c r="A224" s="0" t="s">
        <v>719</v>
      </c>
      <c r="B224" s="0" t="s">
        <v>720</v>
      </c>
      <c r="C224" s="0" t="s">
        <v>54</v>
      </c>
      <c r="E224" s="6" t="n">
        <v>147.54</v>
      </c>
      <c r="G224" s="7" t="s">
        <v>82</v>
      </c>
      <c r="H224" s="4" t="s">
        <v>721</v>
      </c>
    </row>
    <row r="225" customFormat="false" ht="17.15" hidden="false" customHeight="false" outlineLevel="0" collapsed="false">
      <c r="A225" s="0" t="s">
        <v>722</v>
      </c>
      <c r="B225" s="0" t="s">
        <v>723</v>
      </c>
      <c r="C225" s="0" t="s">
        <v>54</v>
      </c>
      <c r="E225" s="6" t="n">
        <v>350.5</v>
      </c>
      <c r="G225" s="7" t="s">
        <v>55</v>
      </c>
      <c r="H225" s="4" t="s">
        <v>724</v>
      </c>
    </row>
    <row r="226" customFormat="false" ht="17.15" hidden="false" customHeight="false" outlineLevel="0" collapsed="false">
      <c r="A226" s="0" t="s">
        <v>725</v>
      </c>
      <c r="B226" s="4" t="s">
        <v>726</v>
      </c>
      <c r="C226" s="0" t="s">
        <v>81</v>
      </c>
      <c r="E226" s="6" t="n">
        <v>500.142</v>
      </c>
      <c r="G226" s="7" t="s">
        <v>65</v>
      </c>
      <c r="H226" s="7" t="s">
        <v>727</v>
      </c>
      <c r="I226" s="7" t="s">
        <v>728</v>
      </c>
    </row>
    <row r="227" customFormat="false" ht="17.15" hidden="false" customHeight="false" outlineLevel="0" collapsed="false">
      <c r="A227" s="0" t="s">
        <v>729</v>
      </c>
      <c r="B227" s="4" t="s">
        <v>730</v>
      </c>
      <c r="C227" s="0" t="s">
        <v>81</v>
      </c>
      <c r="E227" s="6" t="n">
        <v>626.817</v>
      </c>
      <c r="G227" s="7" t="s">
        <v>65</v>
      </c>
      <c r="H227" s="4" t="s">
        <v>182</v>
      </c>
    </row>
    <row r="228" customFormat="false" ht="17.15" hidden="false" customHeight="false" outlineLevel="0" collapsed="false">
      <c r="A228" s="0" t="s">
        <v>731</v>
      </c>
      <c r="B228" s="4" t="s">
        <v>732</v>
      </c>
      <c r="C228" s="0" t="s">
        <v>81</v>
      </c>
      <c r="E228" s="6" t="n">
        <v>754.762</v>
      </c>
      <c r="G228" s="7" t="s">
        <v>65</v>
      </c>
      <c r="H228" s="4" t="s">
        <v>182</v>
      </c>
    </row>
    <row r="229" customFormat="false" ht="17.15" hidden="false" customHeight="false" outlineLevel="0" collapsed="false">
      <c r="A229" s="0" t="s">
        <v>733</v>
      </c>
      <c r="B229" s="4" t="s">
        <v>734</v>
      </c>
      <c r="C229" s="0" t="s">
        <v>81</v>
      </c>
      <c r="E229" s="6" t="n">
        <v>172.033</v>
      </c>
      <c r="G229" s="7" t="s">
        <v>65</v>
      </c>
      <c r="H229" s="7" t="s">
        <v>727</v>
      </c>
    </row>
    <row r="230" customFormat="false" ht="17.15" hidden="false" customHeight="false" outlineLevel="0" collapsed="false">
      <c r="A230" s="0" t="s">
        <v>735</v>
      </c>
      <c r="B230" s="4" t="s">
        <v>736</v>
      </c>
      <c r="C230" s="0" t="s">
        <v>81</v>
      </c>
      <c r="E230" s="6" t="n">
        <v>220.967</v>
      </c>
      <c r="G230" s="7" t="s">
        <v>65</v>
      </c>
      <c r="H230" s="4" t="s">
        <v>182</v>
      </c>
    </row>
    <row r="231" customFormat="false" ht="17.15" hidden="false" customHeight="false" outlineLevel="0" collapsed="false">
      <c r="A231" s="0" t="s">
        <v>737</v>
      </c>
      <c r="B231" s="4" t="s">
        <v>738</v>
      </c>
      <c r="C231" s="0" t="s">
        <v>81</v>
      </c>
      <c r="E231" s="6" t="n">
        <v>268.322</v>
      </c>
      <c r="G231" s="7" t="s">
        <v>65</v>
      </c>
      <c r="H231" s="4" t="s">
        <v>182</v>
      </c>
    </row>
    <row r="232" customFormat="false" ht="17.15" hidden="false" customHeight="false" outlineLevel="0" collapsed="false">
      <c r="A232" s="0" t="s">
        <v>739</v>
      </c>
      <c r="B232" s="4" t="s">
        <v>740</v>
      </c>
      <c r="C232" s="0" t="s">
        <v>54</v>
      </c>
      <c r="E232" s="6" t="n">
        <v>20.6</v>
      </c>
      <c r="G232" s="7" t="s">
        <v>65</v>
      </c>
      <c r="H232" s="7" t="s">
        <v>727</v>
      </c>
    </row>
    <row r="233" customFormat="false" ht="17.15" hidden="false" customHeight="false" outlineLevel="0" collapsed="false">
      <c r="A233" s="0" t="s">
        <v>741</v>
      </c>
      <c r="B233" s="4" t="s">
        <v>742</v>
      </c>
      <c r="C233" s="0" t="s">
        <v>54</v>
      </c>
      <c r="E233" s="6" t="n">
        <v>15.12</v>
      </c>
      <c r="G233" s="7" t="s">
        <v>65</v>
      </c>
      <c r="H233" s="4" t="s">
        <v>182</v>
      </c>
    </row>
    <row r="234" customFormat="false" ht="17.15" hidden="false" customHeight="false" outlineLevel="0" collapsed="false">
      <c r="A234" s="0" t="s">
        <v>743</v>
      </c>
      <c r="B234" s="4" t="s">
        <v>744</v>
      </c>
      <c r="C234" s="0" t="s">
        <v>54</v>
      </c>
      <c r="E234" s="6" t="n">
        <v>18.21</v>
      </c>
      <c r="G234" s="7" t="s">
        <v>65</v>
      </c>
      <c r="H234" s="4" t="s">
        <v>182</v>
      </c>
    </row>
    <row r="235" customFormat="false" ht="17.15" hidden="false" customHeight="false" outlineLevel="0" collapsed="false">
      <c r="A235" s="0" t="s">
        <v>745</v>
      </c>
      <c r="B235" s="4" t="s">
        <v>746</v>
      </c>
      <c r="C235" s="0" t="s">
        <v>81</v>
      </c>
      <c r="E235" s="6" t="n">
        <v>202.078</v>
      </c>
      <c r="G235" s="7" t="s">
        <v>65</v>
      </c>
      <c r="H235" s="7" t="s">
        <v>727</v>
      </c>
    </row>
    <row r="236" customFormat="false" ht="17.15" hidden="false" customHeight="false" outlineLevel="0" collapsed="false">
      <c r="A236" s="0" t="s">
        <v>747</v>
      </c>
      <c r="B236" s="4" t="s">
        <v>748</v>
      </c>
      <c r="C236" s="0" t="s">
        <v>81</v>
      </c>
      <c r="E236" s="6" t="n">
        <v>308.024</v>
      </c>
      <c r="G236" s="7" t="s">
        <v>65</v>
      </c>
      <c r="H236" s="4" t="s">
        <v>182</v>
      </c>
    </row>
    <row r="237" customFormat="false" ht="17.15" hidden="false" customHeight="false" outlineLevel="0" collapsed="false">
      <c r="A237" s="0" t="s">
        <v>749</v>
      </c>
      <c r="B237" s="4" t="s">
        <v>750</v>
      </c>
      <c r="C237" s="0" t="s">
        <v>81</v>
      </c>
      <c r="E237" s="6" t="n">
        <v>352.387</v>
      </c>
      <c r="G237" s="7" t="s">
        <v>65</v>
      </c>
      <c r="H237" s="4" t="s">
        <v>182</v>
      </c>
    </row>
    <row r="238" customFormat="false" ht="17.15" hidden="false" customHeight="false" outlineLevel="0" collapsed="false">
      <c r="A238" s="0" t="s">
        <v>751</v>
      </c>
      <c r="B238" s="4" t="s">
        <v>752</v>
      </c>
      <c r="C238" s="0" t="s">
        <v>81</v>
      </c>
      <c r="E238" s="6" t="n">
        <v>7.069</v>
      </c>
      <c r="G238" s="7" t="s">
        <v>65</v>
      </c>
      <c r="H238" s="7" t="s">
        <v>727</v>
      </c>
    </row>
    <row r="239" customFormat="false" ht="17.15" hidden="false" customHeight="false" outlineLevel="0" collapsed="false">
      <c r="A239" s="0" t="s">
        <v>753</v>
      </c>
      <c r="B239" s="4" t="s">
        <v>754</v>
      </c>
      <c r="C239" s="0" t="s">
        <v>81</v>
      </c>
      <c r="E239" s="6" t="n">
        <v>-37.207</v>
      </c>
      <c r="G239" s="7" t="s">
        <v>65</v>
      </c>
      <c r="H239" s="4" t="s">
        <v>182</v>
      </c>
    </row>
    <row r="240" customFormat="false" ht="17.15" hidden="false" customHeight="false" outlineLevel="0" collapsed="false">
      <c r="A240" s="0" t="s">
        <v>755</v>
      </c>
      <c r="B240" s="4" t="s">
        <v>756</v>
      </c>
      <c r="C240" s="0" t="s">
        <v>81</v>
      </c>
      <c r="E240" s="6" t="n">
        <v>6.132</v>
      </c>
      <c r="G240" s="7" t="s">
        <v>65</v>
      </c>
      <c r="H240" s="4" t="s">
        <v>182</v>
      </c>
    </row>
    <row r="241" customFormat="false" ht="17.15" hidden="false" customHeight="false" outlineLevel="0" collapsed="false">
      <c r="A241" s="0" t="s">
        <v>757</v>
      </c>
      <c r="B241" s="4" t="s">
        <v>758</v>
      </c>
      <c r="C241" s="0" t="s">
        <v>81</v>
      </c>
      <c r="E241" s="6" t="n">
        <v>233.956</v>
      </c>
      <c r="G241" s="7" t="s">
        <v>65</v>
      </c>
      <c r="H241" s="7" t="s">
        <v>727</v>
      </c>
    </row>
    <row r="242" customFormat="false" ht="17.15" hidden="false" customHeight="false" outlineLevel="0" collapsed="false">
      <c r="A242" s="0" t="s">
        <v>759</v>
      </c>
      <c r="B242" s="4" t="s">
        <v>760</v>
      </c>
      <c r="C242" s="0" t="s">
        <v>81</v>
      </c>
      <c r="E242" s="6" t="n">
        <v>305.081</v>
      </c>
      <c r="G242" s="7" t="s">
        <v>65</v>
      </c>
      <c r="H242" s="4" t="s">
        <v>182</v>
      </c>
    </row>
    <row r="243" customFormat="false" ht="17.15" hidden="false" customHeight="false" outlineLevel="0" collapsed="false">
      <c r="A243" s="0" t="s">
        <v>761</v>
      </c>
      <c r="B243" s="4" t="s">
        <v>762</v>
      </c>
      <c r="C243" s="0" t="s">
        <v>81</v>
      </c>
      <c r="E243" s="6" t="n">
        <v>393.759</v>
      </c>
      <c r="G243" s="7" t="s">
        <v>65</v>
      </c>
      <c r="H243" s="4" t="s">
        <v>182</v>
      </c>
    </row>
    <row r="244" customFormat="false" ht="17.15" hidden="false" customHeight="false" outlineLevel="0" collapsed="false">
      <c r="A244" s="0" t="s">
        <v>763</v>
      </c>
      <c r="B244" s="4" t="s">
        <v>764</v>
      </c>
      <c r="C244" s="0" t="s">
        <v>54</v>
      </c>
      <c r="D244" s="6" t="n">
        <v>11.38</v>
      </c>
      <c r="E244" s="6" t="n">
        <v>11.89</v>
      </c>
      <c r="F244" s="6" t="n">
        <v>12.43</v>
      </c>
      <c r="G244" s="7" t="s">
        <v>65</v>
      </c>
      <c r="H244" s="7" t="s">
        <v>765</v>
      </c>
      <c r="I244" s="4" t="s">
        <v>766</v>
      </c>
    </row>
    <row r="246" customFormat="false" ht="17.15" hidden="false" customHeight="false" outlineLevel="0" collapsed="false">
      <c r="A246" s="5" t="s">
        <v>767</v>
      </c>
    </row>
    <row r="247" customFormat="false" ht="17.15" hidden="false" customHeight="false" outlineLevel="0" collapsed="false">
      <c r="A247" s="3" t="s">
        <v>42</v>
      </c>
      <c r="B247" s="3" t="s">
        <v>43</v>
      </c>
      <c r="C247" s="3" t="s">
        <v>44</v>
      </c>
      <c r="D247" s="3" t="s">
        <v>768</v>
      </c>
      <c r="E247" s="3" t="s">
        <v>769</v>
      </c>
      <c r="F247" s="3" t="s">
        <v>770</v>
      </c>
      <c r="G247" s="3" t="s">
        <v>48</v>
      </c>
      <c r="H247" s="3" t="s">
        <v>50</v>
      </c>
    </row>
    <row r="248" customFormat="false" ht="17.15" hidden="false" customHeight="false" outlineLevel="0" collapsed="false">
      <c r="A248" s="0" t="s">
        <v>771</v>
      </c>
      <c r="B248" s="0" t="s">
        <v>772</v>
      </c>
      <c r="C248" s="0" t="s">
        <v>106</v>
      </c>
      <c r="D248" s="14" t="n">
        <f aca="false">E148</f>
        <v>-0.05</v>
      </c>
      <c r="E248" s="14" t="n">
        <v>0</v>
      </c>
      <c r="F248" s="14" t="n">
        <f aca="false">E150</f>
        <v>0.2</v>
      </c>
      <c r="G248" s="7" t="s">
        <v>82</v>
      </c>
      <c r="H248" s="4" t="s">
        <v>773</v>
      </c>
    </row>
    <row r="249" customFormat="false" ht="17.15" hidden="false" customHeight="false" outlineLevel="0" collapsed="false">
      <c r="A249" s="0" t="s">
        <v>774</v>
      </c>
      <c r="B249" s="0" t="s">
        <v>775</v>
      </c>
      <c r="C249" s="0" t="s">
        <v>106</v>
      </c>
      <c r="D249" s="14" t="n">
        <f aca="false">E149</f>
        <v>0.1</v>
      </c>
      <c r="E249" s="14" t="n">
        <v>0</v>
      </c>
      <c r="F249" s="14" t="n">
        <f aca="false">E151</f>
        <v>-0.1</v>
      </c>
      <c r="G249" s="7" t="s">
        <v>82</v>
      </c>
      <c r="H249" s="4" t="s">
        <v>776</v>
      </c>
    </row>
    <row r="250" customFormat="false" ht="17.15" hidden="false" customHeight="false" outlineLevel="0" collapsed="false">
      <c r="A250" s="0" t="s">
        <v>777</v>
      </c>
      <c r="B250" s="4" t="s">
        <v>778</v>
      </c>
      <c r="C250" s="0" t="s">
        <v>106</v>
      </c>
      <c r="D250" s="19" t="n">
        <f aca="false">E39</f>
        <v>0.25</v>
      </c>
      <c r="E250" s="19" t="n">
        <f aca="false">E40</f>
        <v>0.5</v>
      </c>
      <c r="F250" s="19" t="n">
        <f aca="false">E41</f>
        <v>0.25</v>
      </c>
      <c r="G250" s="7" t="s">
        <v>82</v>
      </c>
      <c r="H250" s="4" t="s">
        <v>779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14" min="2" style="0" width="11"/>
    <col collapsed="false" customWidth="true" hidden="false" outlineLevel="0" max="15" min="15" style="0" width="22"/>
    <col collapsed="false" customWidth="true" hidden="false" outlineLevel="0" max="16" min="16" style="0" width="90"/>
  </cols>
  <sheetData>
    <row r="1" customFormat="false" ht="17.15" hidden="false" customHeight="false" outlineLevel="0" collapsed="false">
      <c r="A1" s="0" t="s">
        <v>780</v>
      </c>
    </row>
    <row r="2" customFormat="false" ht="17.15" hidden="false" customHeight="false" outlineLevel="0" collapsed="false">
      <c r="A2" s="4" t="s">
        <v>781</v>
      </c>
    </row>
    <row r="3" customFormat="false" ht="17.15" hidden="false" customHeight="false" outlineLevel="0" collapsed="false">
      <c r="A3" s="3" t="s">
        <v>43</v>
      </c>
      <c r="B3" s="20" t="s">
        <v>782</v>
      </c>
      <c r="C3" s="20" t="s">
        <v>783</v>
      </c>
      <c r="D3" s="20" t="s">
        <v>784</v>
      </c>
      <c r="E3" s="20" t="s">
        <v>785</v>
      </c>
      <c r="F3" s="20" t="s">
        <v>786</v>
      </c>
      <c r="G3" s="20" t="s">
        <v>787</v>
      </c>
      <c r="H3" s="20" t="s">
        <v>788</v>
      </c>
      <c r="I3" s="20" t="s">
        <v>789</v>
      </c>
      <c r="J3" s="20" t="s">
        <v>790</v>
      </c>
      <c r="K3" s="20" t="s">
        <v>791</v>
      </c>
      <c r="L3" s="20" t="s">
        <v>792</v>
      </c>
      <c r="M3" s="3" t="s">
        <v>793</v>
      </c>
      <c r="N3" s="3" t="s">
        <v>794</v>
      </c>
      <c r="O3" s="3" t="s">
        <v>48</v>
      </c>
      <c r="P3" s="3" t="s">
        <v>49</v>
      </c>
    </row>
    <row r="4" customFormat="false" ht="15" hidden="false" customHeight="false" outlineLevel="0" collapsed="false">
      <c r="A4" s="2" t="s">
        <v>795</v>
      </c>
    </row>
    <row r="5" customFormat="false" ht="17.15" hidden="false" customHeight="false" outlineLevel="0" collapsed="false">
      <c r="A5" s="0" t="s">
        <v>796</v>
      </c>
      <c r="B5" s="6" t="n">
        <v>54.034</v>
      </c>
      <c r="C5" s="6" t="n">
        <v>50.702</v>
      </c>
      <c r="D5" s="6" t="n">
        <v>54.19</v>
      </c>
      <c r="E5" s="6" t="n">
        <v>56.567</v>
      </c>
      <c r="F5" s="6" t="n">
        <v>63.073</v>
      </c>
      <c r="G5" s="6" t="n">
        <v>60.399</v>
      </c>
      <c r="H5" s="6" t="n">
        <v>63.271</v>
      </c>
      <c r="I5" s="6" t="n">
        <v>63.35</v>
      </c>
      <c r="J5" s="6" t="n">
        <v>198.084</v>
      </c>
      <c r="K5" s="6" t="n">
        <v>224.532</v>
      </c>
      <c r="L5" s="15" t="n">
        <f aca="false">G5+H5+I5</f>
        <v>187.02</v>
      </c>
      <c r="M5" s="15" t="n">
        <f aca="false">SUM(F5:I5)</f>
        <v>250.093</v>
      </c>
      <c r="N5" s="15" t="n">
        <f aca="false">SUM(B5:E5)</f>
        <v>215.493</v>
      </c>
      <c r="O5" s="7" t="s">
        <v>797</v>
      </c>
      <c r="P5" s="4" t="s">
        <v>798</v>
      </c>
    </row>
    <row r="6" customFormat="false" ht="17.15" hidden="false" customHeight="false" outlineLevel="0" collapsed="false">
      <c r="A6" s="0" t="s">
        <v>799</v>
      </c>
      <c r="B6" s="6" t="n">
        <v>10.473</v>
      </c>
      <c r="C6" s="6" t="n">
        <v>8.927</v>
      </c>
      <c r="D6" s="6" t="n">
        <v>9.796</v>
      </c>
      <c r="E6" s="6" t="n">
        <v>10.261</v>
      </c>
      <c r="F6" s="6" t="n">
        <v>11.383</v>
      </c>
      <c r="G6" s="6" t="n">
        <v>9.883</v>
      </c>
      <c r="H6" s="6" t="n">
        <v>11.055</v>
      </c>
      <c r="I6" s="6" t="n">
        <v>11.207</v>
      </c>
      <c r="J6" s="6" t="n">
        <v>36.147</v>
      </c>
      <c r="K6" s="6" t="n">
        <v>40.367</v>
      </c>
      <c r="L6" s="15" t="n">
        <f aca="false">G6+H6+I6</f>
        <v>32.145</v>
      </c>
      <c r="M6" s="15" t="n">
        <f aca="false">SUM(F6:I6)</f>
        <v>43.528</v>
      </c>
      <c r="N6" s="15" t="n">
        <f aca="false">SUM(B6:E6)</f>
        <v>39.457</v>
      </c>
      <c r="O6" s="7" t="s">
        <v>797</v>
      </c>
      <c r="P6" s="4" t="s">
        <v>798</v>
      </c>
    </row>
    <row r="7" customFormat="false" ht="17.15" hidden="false" customHeight="false" outlineLevel="0" collapsed="false">
      <c r="A7" s="0" t="s">
        <v>800</v>
      </c>
      <c r="B7" s="6" t="n">
        <v>7.954</v>
      </c>
      <c r="C7" s="6" t="n">
        <v>7.256</v>
      </c>
      <c r="D7" s="6" t="n">
        <v>7.354</v>
      </c>
      <c r="E7" s="6" t="n">
        <v>7.354</v>
      </c>
      <c r="F7" s="6" t="n">
        <v>7.828</v>
      </c>
      <c r="G7" s="6" t="n">
        <v>6.971</v>
      </c>
      <c r="H7" s="6" t="n">
        <v>7.303</v>
      </c>
      <c r="I7" s="6" t="n">
        <v>7.455</v>
      </c>
      <c r="J7" s="6" t="n">
        <v>30.359</v>
      </c>
      <c r="K7" s="6" t="n">
        <v>29.792</v>
      </c>
      <c r="L7" s="15" t="n">
        <f aca="false">G7+H7+I7</f>
        <v>21.729</v>
      </c>
      <c r="M7" s="15" t="n">
        <f aca="false">SUM(F7:I7)</f>
        <v>29.557</v>
      </c>
      <c r="N7" s="15" t="n">
        <f aca="false">SUM(B7:E7)</f>
        <v>29.918</v>
      </c>
      <c r="O7" s="7" t="s">
        <v>797</v>
      </c>
      <c r="P7" s="4" t="s">
        <v>798</v>
      </c>
    </row>
    <row r="8" customFormat="false" ht="17.15" hidden="false" customHeight="false" outlineLevel="0" collapsed="false">
      <c r="A8" s="0" t="s">
        <v>801</v>
      </c>
      <c r="B8" s="6" t="n">
        <v>11.633</v>
      </c>
      <c r="C8" s="6" t="n">
        <v>10.379</v>
      </c>
      <c r="D8" s="6" t="n">
        <v>11.203</v>
      </c>
      <c r="E8" s="6" t="n">
        <v>12.87</v>
      </c>
      <c r="F8" s="6" t="n">
        <v>13.578</v>
      </c>
      <c r="G8" s="6" t="n">
        <v>12.384</v>
      </c>
      <c r="H8" s="6" t="n">
        <v>12.911</v>
      </c>
      <c r="I8" s="6" t="n">
        <v>14.29</v>
      </c>
      <c r="J8" s="6" t="n">
        <v>40.34</v>
      </c>
      <c r="K8" s="6" t="n">
        <v>48.03</v>
      </c>
      <c r="L8" s="15" t="n">
        <f aca="false">G8+H8+I8</f>
        <v>39.585</v>
      </c>
      <c r="M8" s="15" t="n">
        <f aca="false">SUM(F8:I8)</f>
        <v>53.163</v>
      </c>
      <c r="N8" s="15" t="n">
        <f aca="false">SUM(B8:E8)</f>
        <v>46.085</v>
      </c>
      <c r="O8" s="7" t="s">
        <v>797</v>
      </c>
      <c r="P8" s="4" t="s">
        <v>798</v>
      </c>
    </row>
    <row r="9" customFormat="false" ht="17.15" hidden="false" customHeight="false" outlineLevel="0" collapsed="false">
      <c r="A9" s="0" t="s">
        <v>802</v>
      </c>
      <c r="B9" s="6" t="n">
        <v>84.094</v>
      </c>
      <c r="C9" s="6" t="n">
        <v>77.264</v>
      </c>
      <c r="D9" s="6" t="n">
        <v>82.543</v>
      </c>
      <c r="E9" s="6" t="n">
        <v>87.052</v>
      </c>
      <c r="F9" s="6" t="n">
        <v>95.862</v>
      </c>
      <c r="G9" s="6" t="n">
        <v>89.637</v>
      </c>
      <c r="H9" s="6" t="n">
        <v>94.54</v>
      </c>
      <c r="I9" s="6" t="n">
        <v>96.302</v>
      </c>
      <c r="J9" s="6" t="n">
        <v>304.93</v>
      </c>
      <c r="K9" s="6" t="n">
        <v>342.721</v>
      </c>
      <c r="L9" s="15" t="n">
        <f aca="false">G9+H9+I9</f>
        <v>280.479</v>
      </c>
      <c r="M9" s="15" t="n">
        <f aca="false">SUM(F9:I9)</f>
        <v>376.341</v>
      </c>
      <c r="N9" s="15" t="n">
        <f aca="false">SUM(B9:E9)</f>
        <v>330.953</v>
      </c>
      <c r="O9" s="7" t="s">
        <v>797</v>
      </c>
      <c r="P9" s="4" t="s">
        <v>798</v>
      </c>
    </row>
    <row r="10" customFormat="false" ht="17.15" hidden="false" customHeight="false" outlineLevel="0" collapsed="false">
      <c r="A10" s="4" t="s">
        <v>803</v>
      </c>
      <c r="B10" s="21" t="n">
        <f aca="false">B5+B6+B7+B8-B9</f>
        <v>0</v>
      </c>
      <c r="C10" s="21" t="n">
        <f aca="false">C5+C6+C7+C8-C9</f>
        <v>0</v>
      </c>
      <c r="D10" s="21" t="n">
        <f aca="false">D5+D6+D7+D8-D9</f>
        <v>0</v>
      </c>
      <c r="E10" s="21" t="n">
        <f aca="false">E5+E6+E7+E8-E9</f>
        <v>0</v>
      </c>
      <c r="F10" s="21" t="n">
        <f aca="false">F5+F6+F7+F8-F9</f>
        <v>0</v>
      </c>
      <c r="G10" s="21" t="n">
        <f aca="false">G5+G6+G7+G8-G9</f>
        <v>0</v>
      </c>
      <c r="H10" s="21" t="n">
        <f aca="false">H5+H6+H7+H8-H9</f>
        <v>0</v>
      </c>
      <c r="I10" s="21" t="n">
        <f aca="false">I5+I6+I7+I8-I9</f>
        <v>0</v>
      </c>
      <c r="J10" s="21" t="n">
        <f aca="false">J5+J6+J7+J8-J9</f>
        <v>0</v>
      </c>
      <c r="K10" s="21" t="n">
        <f aca="false">K5+K6+K7+K8-K9</f>
        <v>0</v>
      </c>
      <c r="L10" s="21" t="n">
        <f aca="false">G10+H10+I10</f>
        <v>0</v>
      </c>
      <c r="M10" s="21" t="n">
        <f aca="false">SUM(F10:I10)</f>
        <v>0</v>
      </c>
      <c r="N10" s="21" t="n">
        <f aca="false">SUM(B10:E10)</f>
        <v>0</v>
      </c>
      <c r="O10" s="7" t="s">
        <v>804</v>
      </c>
      <c r="P10" s="7" t="s">
        <v>804</v>
      </c>
    </row>
    <row r="11" customFormat="false" ht="17.15" hidden="false" customHeight="false" outlineLevel="0" collapsed="false">
      <c r="A11" s="0" t="s">
        <v>805</v>
      </c>
      <c r="B11" s="6" t="n">
        <v>11.955</v>
      </c>
      <c r="C11" s="6" t="n">
        <v>12.26</v>
      </c>
      <c r="D11" s="6" t="n">
        <v>13.624</v>
      </c>
      <c r="E11" s="6" t="n">
        <v>15.157</v>
      </c>
      <c r="F11" s="6" t="n">
        <v>17.664</v>
      </c>
      <c r="G11" s="6" t="n">
        <v>20.028</v>
      </c>
      <c r="H11" s="6" t="n">
        <v>24.768</v>
      </c>
      <c r="I11" s="6" t="n">
        <v>30.709</v>
      </c>
      <c r="J11" s="6" t="n">
        <v>43.229</v>
      </c>
      <c r="K11" s="6" t="n">
        <v>58.705</v>
      </c>
      <c r="L11" s="15" t="n">
        <f aca="false">G11+H11+I11</f>
        <v>75.505</v>
      </c>
      <c r="M11" s="15" t="n">
        <f aca="false">SUM(F11:I11)</f>
        <v>93.169</v>
      </c>
      <c r="N11" s="15" t="n">
        <f aca="false">SUM(B11:E11)</f>
        <v>52.996</v>
      </c>
      <c r="O11" s="7" t="s">
        <v>797</v>
      </c>
      <c r="P11" s="4" t="s">
        <v>798</v>
      </c>
    </row>
    <row r="12" customFormat="false" ht="17.15" hidden="false" customHeight="false" outlineLevel="0" collapsed="false">
      <c r="A12" s="0" t="s">
        <v>806</v>
      </c>
      <c r="B12" s="6" t="n">
        <v>0.4</v>
      </c>
      <c r="C12" s="6" t="n">
        <v>0.45</v>
      </c>
      <c r="D12" s="6" t="n">
        <v>0.373</v>
      </c>
      <c r="E12" s="6" t="n">
        <v>0.344</v>
      </c>
      <c r="F12" s="6" t="n">
        <v>0.37</v>
      </c>
      <c r="G12" s="6" t="n">
        <v>0.411</v>
      </c>
      <c r="H12" s="6" t="n">
        <v>0.382</v>
      </c>
      <c r="I12" s="6" t="n">
        <v>0.372</v>
      </c>
      <c r="J12" s="6" t="n">
        <v>1.648</v>
      </c>
      <c r="K12" s="6" t="n">
        <v>1.537</v>
      </c>
      <c r="L12" s="15" t="n">
        <f aca="false">G12+H12+I12</f>
        <v>1.165</v>
      </c>
      <c r="M12" s="15" t="n">
        <f aca="false">SUM(F12:I12)</f>
        <v>1.535</v>
      </c>
      <c r="N12" s="15" t="n">
        <f aca="false">SUM(B12:E12)</f>
        <v>1.567</v>
      </c>
      <c r="O12" s="7" t="s">
        <v>797</v>
      </c>
      <c r="P12" s="4" t="s">
        <v>798</v>
      </c>
    </row>
    <row r="13" customFormat="false" ht="17.15" hidden="false" customHeight="false" outlineLevel="0" collapsed="false">
      <c r="A13" s="0" t="s">
        <v>807</v>
      </c>
      <c r="B13" s="6" t="n">
        <v>0.02</v>
      </c>
      <c r="C13" s="6" t="n">
        <v>0.26</v>
      </c>
      <c r="D13" s="6" t="n">
        <v>-0.112</v>
      </c>
      <c r="E13" s="6" t="n">
        <v>-0.207</v>
      </c>
      <c r="F13" s="6" t="n">
        <v>-0.068</v>
      </c>
      <c r="G13" s="6" t="n">
        <v>-0.18</v>
      </c>
      <c r="H13" s="6" t="n">
        <v>0.106</v>
      </c>
      <c r="I13" s="6" t="n">
        <v>0.194</v>
      </c>
      <c r="J13" s="6" t="n">
        <v>0.211</v>
      </c>
      <c r="K13" s="6" t="n">
        <v>-0.127</v>
      </c>
      <c r="L13" s="15" t="n">
        <f aca="false">G13+H13+I13</f>
        <v>0.12</v>
      </c>
      <c r="M13" s="15" t="n">
        <f aca="false">SUM(F13:I13)</f>
        <v>0.052</v>
      </c>
      <c r="N13" s="15" t="n">
        <f aca="false">SUM(B13:E13)</f>
        <v>-0.039</v>
      </c>
      <c r="O13" s="7" t="s">
        <v>797</v>
      </c>
      <c r="P13" s="4" t="s">
        <v>798</v>
      </c>
    </row>
    <row r="14" customFormat="false" ht="17.15" hidden="false" customHeight="false" outlineLevel="0" collapsed="false">
      <c r="A14" s="4" t="s">
        <v>808</v>
      </c>
      <c r="B14" s="6" t="n">
        <v>96.469</v>
      </c>
      <c r="C14" s="6" t="n">
        <v>90.234</v>
      </c>
      <c r="D14" s="6" t="n">
        <v>96.428</v>
      </c>
      <c r="E14" s="6" t="n">
        <v>102.346</v>
      </c>
      <c r="F14" s="6" t="n">
        <v>113.828</v>
      </c>
      <c r="G14" s="6" t="n">
        <v>109.896</v>
      </c>
      <c r="H14" s="6" t="n">
        <v>119.796</v>
      </c>
      <c r="I14" s="6" t="n">
        <v>127.577</v>
      </c>
      <c r="J14" s="6" t="n">
        <v>350.018</v>
      </c>
      <c r="K14" s="6" t="n">
        <v>402.836</v>
      </c>
      <c r="L14" s="15" t="n">
        <f aca="false">G14+H14+I14</f>
        <v>357.269</v>
      </c>
      <c r="M14" s="15" t="n">
        <f aca="false">SUM(F14:I14)</f>
        <v>471.097</v>
      </c>
      <c r="N14" s="15" t="n">
        <f aca="false">SUM(B14:E14)</f>
        <v>385.477</v>
      </c>
      <c r="O14" s="7" t="s">
        <v>797</v>
      </c>
      <c r="P14" s="4" t="s">
        <v>798</v>
      </c>
    </row>
    <row r="15" customFormat="false" ht="15" hidden="false" customHeight="false" outlineLevel="0" collapsed="false">
      <c r="A15" s="4" t="s">
        <v>809</v>
      </c>
      <c r="B15" s="21" t="n">
        <f aca="false">B9+B11+B12+B13-B14</f>
        <v>0</v>
      </c>
      <c r="C15" s="21" t="n">
        <f aca="false">C9+C11+C12+C13-C14</f>
        <v>0</v>
      </c>
      <c r="D15" s="21" t="n">
        <f aca="false">D9+D11+D12+D13-D14</f>
        <v>0</v>
      </c>
      <c r="E15" s="21" t="n">
        <f aca="false">E9+E11+E12+E13-E14</f>
        <v>0</v>
      </c>
      <c r="F15" s="21" t="n">
        <f aca="false">F9+F11+F12+F13-F14</f>
        <v>0</v>
      </c>
      <c r="G15" s="21" t="n">
        <f aca="false">G9+G11+G12+G13-G14</f>
        <v>0</v>
      </c>
      <c r="H15" s="21" t="n">
        <f aca="false">H9+H11+H12+H13-H14</f>
        <v>0</v>
      </c>
      <c r="I15" s="21" t="n">
        <f aca="false">I9+I11+I12+I13-I14</f>
        <v>0</v>
      </c>
      <c r="J15" s="21" t="n">
        <f aca="false">J9+J11+J12+J13-J14</f>
        <v>0</v>
      </c>
      <c r="K15" s="21" t="n">
        <f aca="false">K9+K11+K12+K13-K14</f>
        <v>0</v>
      </c>
      <c r="L15" s="21" t="n">
        <f aca="false">G15+H15+I15</f>
        <v>0</v>
      </c>
      <c r="M15" s="21" t="n">
        <f aca="false">SUM(F15:I15)</f>
        <v>0</v>
      </c>
      <c r="N15" s="21" t="n">
        <f aca="false">SUM(B15:E15)</f>
        <v>0</v>
      </c>
      <c r="O15" s="7" t="s">
        <v>804</v>
      </c>
      <c r="P15" s="7" t="s">
        <v>804</v>
      </c>
    </row>
    <row r="17" customFormat="false" ht="15" hidden="false" customHeight="false" outlineLevel="0" collapsed="false">
      <c r="A17" s="2" t="s">
        <v>810</v>
      </c>
    </row>
    <row r="18" customFormat="false" ht="17.15" hidden="false" customHeight="false" outlineLevel="0" collapsed="false">
      <c r="A18" s="0" t="s">
        <v>811</v>
      </c>
      <c r="B18" s="6" t="n">
        <v>32.836</v>
      </c>
      <c r="C18" s="6" t="n">
        <v>32.682</v>
      </c>
      <c r="D18" s="6" t="n">
        <v>33.063</v>
      </c>
      <c r="E18" s="6" t="n">
        <v>33.527</v>
      </c>
      <c r="F18" s="6" t="n">
        <v>40.132</v>
      </c>
      <c r="G18" s="6" t="n">
        <v>40.589</v>
      </c>
      <c r="H18" s="6" t="n">
        <v>39.544</v>
      </c>
      <c r="I18" s="6" t="n">
        <v>39.157</v>
      </c>
      <c r="J18" s="6" t="n">
        <v>121.263</v>
      </c>
      <c r="K18" s="6" t="n">
        <v>139.404</v>
      </c>
      <c r="L18" s="15" t="n">
        <f aca="false">G18+H18+I18</f>
        <v>119.29</v>
      </c>
      <c r="M18" s="15" t="n">
        <f aca="false">SUM(F18:I18)</f>
        <v>159.422</v>
      </c>
      <c r="N18" s="15" t="n">
        <f aca="false">SUM(B18:E18)</f>
        <v>132.108</v>
      </c>
      <c r="O18" s="7" t="s">
        <v>797</v>
      </c>
      <c r="P18" s="4" t="s">
        <v>798</v>
      </c>
    </row>
    <row r="19" customFormat="false" ht="17.15" hidden="false" customHeight="false" outlineLevel="0" collapsed="false">
      <c r="A19" s="0" t="s">
        <v>812</v>
      </c>
      <c r="B19" s="6" t="n">
        <v>2.093</v>
      </c>
      <c r="C19" s="6" t="n">
        <v>2.177</v>
      </c>
      <c r="D19" s="6" t="n">
        <v>2.826</v>
      </c>
      <c r="E19" s="6" t="n">
        <v>3.594</v>
      </c>
      <c r="F19" s="6" t="n">
        <v>5.313</v>
      </c>
      <c r="G19" s="6" t="n">
        <v>6.598</v>
      </c>
      <c r="H19" s="6" t="n">
        <v>8.814</v>
      </c>
      <c r="I19" s="6" t="n">
        <v>11.121</v>
      </c>
      <c r="J19" s="6" t="n">
        <v>6.112</v>
      </c>
      <c r="K19" s="6" t="n">
        <v>13.91</v>
      </c>
      <c r="L19" s="15" t="n">
        <f aca="false">G19+H19+I19</f>
        <v>26.533</v>
      </c>
      <c r="M19" s="15" t="n">
        <f aca="false">SUM(F19:I19)</f>
        <v>31.846</v>
      </c>
      <c r="N19" s="15" t="n">
        <f aca="false">SUM(B19:E19)</f>
        <v>10.69</v>
      </c>
      <c r="O19" s="7" t="s">
        <v>797</v>
      </c>
      <c r="P19" s="4" t="s">
        <v>798</v>
      </c>
    </row>
    <row r="20" customFormat="false" ht="17.15" hidden="false" customHeight="false" outlineLevel="0" collapsed="false">
      <c r="A20" s="0" t="s">
        <v>813</v>
      </c>
      <c r="B20" s="6" t="n">
        <v>-1.174</v>
      </c>
      <c r="C20" s="6" t="n">
        <v>-1.226</v>
      </c>
      <c r="D20" s="6" t="n">
        <v>-1.246</v>
      </c>
      <c r="E20" s="6" t="n">
        <v>-1.426</v>
      </c>
      <c r="F20" s="6" t="n">
        <v>-3.617</v>
      </c>
      <c r="G20" s="6" t="n">
        <v>-2.1</v>
      </c>
      <c r="H20" s="6" t="n">
        <v>-1.799</v>
      </c>
      <c r="I20" s="6" t="n">
        <v>-2.047</v>
      </c>
      <c r="J20" s="6" t="n">
        <v>-4.444</v>
      </c>
      <c r="K20" s="6" t="n">
        <v>-7.515</v>
      </c>
      <c r="L20" s="15" t="n">
        <f aca="false">G20+H20+I20</f>
        <v>-5.946</v>
      </c>
      <c r="M20" s="15" t="n">
        <f aca="false">SUM(F20:I20)</f>
        <v>-9.563</v>
      </c>
      <c r="N20" s="15" t="n">
        <f aca="false">SUM(B20:E20)</f>
        <v>-5.072</v>
      </c>
      <c r="O20" s="7" t="s">
        <v>797</v>
      </c>
      <c r="P20" s="4" t="s">
        <v>798</v>
      </c>
    </row>
    <row r="21" customFormat="false" ht="17.15" hidden="false" customHeight="false" outlineLevel="0" collapsed="false">
      <c r="A21" s="0" t="s">
        <v>814</v>
      </c>
      <c r="B21" s="6" t="n">
        <v>-2.783</v>
      </c>
      <c r="C21" s="6" t="n">
        <v>-3.027</v>
      </c>
      <c r="D21" s="6" t="n">
        <v>-3.372</v>
      </c>
      <c r="E21" s="6" t="n">
        <v>-4.467</v>
      </c>
      <c r="F21" s="6" t="n">
        <v>-5.894</v>
      </c>
      <c r="G21" s="6" t="n">
        <v>-5.391</v>
      </c>
      <c r="H21" s="6" t="n">
        <v>-5.789</v>
      </c>
      <c r="I21" s="6" t="n">
        <v>-7.655</v>
      </c>
      <c r="J21" s="6" t="n">
        <v>-10.541</v>
      </c>
      <c r="K21" s="6" t="n">
        <v>-16.76</v>
      </c>
      <c r="L21" s="15" t="n">
        <f aca="false">G21+H21+I21</f>
        <v>-18.835</v>
      </c>
      <c r="M21" s="15" t="n">
        <f aca="false">SUM(F21:I21)</f>
        <v>-24.729</v>
      </c>
      <c r="N21" s="15" t="n">
        <f aca="false">SUM(B21:E21)</f>
        <v>-13.649</v>
      </c>
      <c r="O21" s="7" t="s">
        <v>797</v>
      </c>
      <c r="P21" s="4" t="s">
        <v>798</v>
      </c>
    </row>
    <row r="22" customFormat="false" ht="17.15" hidden="false" customHeight="false" outlineLevel="0" collapsed="false">
      <c r="A22" s="4" t="s">
        <v>815</v>
      </c>
      <c r="B22" s="6" t="n">
        <v>30.972</v>
      </c>
      <c r="C22" s="6" t="n">
        <v>30.606</v>
      </c>
      <c r="D22" s="6" t="n">
        <v>31.271</v>
      </c>
      <c r="E22" s="6" t="n">
        <v>31.228</v>
      </c>
      <c r="F22" s="6" t="n">
        <v>35.934</v>
      </c>
      <c r="G22" s="6" t="n">
        <v>39.696</v>
      </c>
      <c r="H22" s="6" t="n">
        <v>40.77</v>
      </c>
      <c r="I22" s="6" t="n">
        <v>40.576</v>
      </c>
      <c r="J22" s="6" t="n">
        <v>112.39</v>
      </c>
      <c r="K22" s="6" t="n">
        <v>129.039</v>
      </c>
      <c r="L22" s="15" t="n">
        <f aca="false">G22+H22+I22</f>
        <v>121.042</v>
      </c>
      <c r="M22" s="15" t="n">
        <f aca="false">SUM(F22:I22)</f>
        <v>156.976</v>
      </c>
      <c r="N22" s="15" t="n">
        <f aca="false">SUM(B22:E22)</f>
        <v>124.077</v>
      </c>
      <c r="O22" s="7" t="s">
        <v>797</v>
      </c>
      <c r="P22" s="4" t="s">
        <v>798</v>
      </c>
    </row>
    <row r="23" customFormat="false" ht="15" hidden="false" customHeight="false" outlineLevel="0" collapsed="false">
      <c r="A23" s="4" t="s">
        <v>816</v>
      </c>
      <c r="B23" s="21" t="n">
        <f aca="false">B18+B19+B20+B21-B22</f>
        <v>0</v>
      </c>
      <c r="C23" s="21" t="n">
        <f aca="false">C18+C19+C20+C21-C22</f>
        <v>0</v>
      </c>
      <c r="D23" s="21" t="n">
        <f aca="false">D18+D19+D20+D21-D22</f>
        <v>0</v>
      </c>
      <c r="E23" s="21" t="n">
        <f aca="false">E18+E19+E20+E21-E22</f>
        <v>0</v>
      </c>
      <c r="F23" s="21" t="n">
        <f aca="false">F18+F19+F20+F21-F22</f>
        <v>0</v>
      </c>
      <c r="G23" s="21" t="n">
        <f aca="false">G18+G19+G20+G21-G22</f>
        <v>0</v>
      </c>
      <c r="H23" s="21" t="n">
        <f aca="false">H18+H19+H20+H21-H22</f>
        <v>0</v>
      </c>
      <c r="I23" s="21" t="n">
        <f aca="false">I18+I19+I20+I21-I22</f>
        <v>0</v>
      </c>
      <c r="J23" s="21" t="n">
        <f aca="false">J18+J19+J20+J21-J22</f>
        <v>0</v>
      </c>
      <c r="K23" s="21" t="n">
        <f aca="false">K18+K19+K20+K21-K22</f>
        <v>0</v>
      </c>
      <c r="L23" s="21" t="n">
        <f aca="false">G23+H23+I23</f>
        <v>0</v>
      </c>
      <c r="M23" s="21" t="n">
        <f aca="false">SUM(F23:I23)</f>
        <v>0</v>
      </c>
      <c r="N23" s="21" t="n">
        <f aca="false">SUM(B23:E23)</f>
        <v>0</v>
      </c>
      <c r="O23" s="7" t="s">
        <v>804</v>
      </c>
      <c r="P23" s="7" t="s">
        <v>804</v>
      </c>
    </row>
    <row r="25" customFormat="false" ht="15" hidden="false" customHeight="false" outlineLevel="0" collapsed="false">
      <c r="A25" s="2" t="s">
        <v>817</v>
      </c>
    </row>
    <row r="26" customFormat="false" ht="17.15" hidden="false" customHeight="false" outlineLevel="0" collapsed="false">
      <c r="A26" s="4" t="s">
        <v>818</v>
      </c>
      <c r="B26" s="6" t="n">
        <v>40.613</v>
      </c>
      <c r="C26" s="6" t="n">
        <v>36.361</v>
      </c>
      <c r="D26" s="6" t="n">
        <v>39.039</v>
      </c>
      <c r="E26" s="6" t="n">
        <v>41.369</v>
      </c>
      <c r="F26" s="6" t="n">
        <v>45.766</v>
      </c>
      <c r="G26" s="6" t="n">
        <v>41.271</v>
      </c>
      <c r="H26" s="6" t="n">
        <v>45.943</v>
      </c>
      <c r="I26" s="6" t="n">
        <v>51.419</v>
      </c>
      <c r="J26" s="6" t="n">
        <v>146.306</v>
      </c>
      <c r="K26" s="6" t="n">
        <v>162.535</v>
      </c>
      <c r="L26" s="15" t="n">
        <f aca="false">G26+H26+I26</f>
        <v>138.633</v>
      </c>
      <c r="M26" s="15" t="n">
        <f aca="false">SUM(F26:I26)</f>
        <v>184.399</v>
      </c>
      <c r="N26" s="15" t="n">
        <f aca="false">SUM(B26:E26)</f>
        <v>157.382</v>
      </c>
      <c r="O26" s="7" t="s">
        <v>797</v>
      </c>
      <c r="P26" s="4" t="s">
        <v>798</v>
      </c>
    </row>
    <row r="27" customFormat="false" ht="17.15" hidden="false" customHeight="false" outlineLevel="0" collapsed="false">
      <c r="A27" s="4" t="s">
        <v>819</v>
      </c>
      <c r="B27" s="6" t="n">
        <v>14.848</v>
      </c>
      <c r="C27" s="6" t="n">
        <v>13.748</v>
      </c>
      <c r="D27" s="6" t="n">
        <v>14.705</v>
      </c>
      <c r="E27" s="6" t="n">
        <v>14.876</v>
      </c>
      <c r="F27" s="6" t="n">
        <v>16.597</v>
      </c>
      <c r="G27" s="6" t="n">
        <v>15.228</v>
      </c>
      <c r="H27" s="6" t="n">
        <v>16.179</v>
      </c>
      <c r="I27" s="6" t="n">
        <v>16.366</v>
      </c>
      <c r="L27" s="15" t="n">
        <f aca="false">G27+H27+I27</f>
        <v>47.773</v>
      </c>
      <c r="M27" s="15" t="n">
        <f aca="false">SUM(F27:I27)</f>
        <v>64.37</v>
      </c>
      <c r="N27" s="15" t="n">
        <f aca="false">SUM(B27:E27)</f>
        <v>58.177</v>
      </c>
      <c r="O27" s="7" t="s">
        <v>797</v>
      </c>
      <c r="P27" s="4" t="s">
        <v>798</v>
      </c>
    </row>
    <row r="28" customFormat="false" ht="17.15" hidden="false" customHeight="false" outlineLevel="0" collapsed="false">
      <c r="A28" s="4" t="s">
        <v>820</v>
      </c>
      <c r="B28" s="6" t="n">
        <v>13.116</v>
      </c>
      <c r="C28" s="6" t="n">
        <v>13.556</v>
      </c>
      <c r="D28" s="6" t="n">
        <v>13.808</v>
      </c>
      <c r="E28" s="6" t="n">
        <v>15.151</v>
      </c>
      <c r="F28" s="6" t="n">
        <v>18.572</v>
      </c>
      <c r="G28" s="6" t="n">
        <v>17.032</v>
      </c>
      <c r="H28" s="6" t="n">
        <v>18.219</v>
      </c>
      <c r="I28" s="6" t="n">
        <v>20.64</v>
      </c>
      <c r="J28" s="6" t="n">
        <v>49.326</v>
      </c>
      <c r="K28" s="6" t="n">
        <v>61.087</v>
      </c>
      <c r="L28" s="15" t="n">
        <f aca="false">G28+H28+I28</f>
        <v>55.891</v>
      </c>
      <c r="M28" s="15" t="n">
        <f aca="false">SUM(F28:I28)</f>
        <v>74.463</v>
      </c>
      <c r="N28" s="15" t="n">
        <f aca="false">SUM(B28:E28)</f>
        <v>55.631</v>
      </c>
      <c r="O28" s="7" t="s">
        <v>797</v>
      </c>
      <c r="P28" s="4" t="s">
        <v>798</v>
      </c>
    </row>
    <row r="29" customFormat="false" ht="17.15" hidden="false" customHeight="false" outlineLevel="0" collapsed="false">
      <c r="A29" s="4" t="s">
        <v>821</v>
      </c>
      <c r="B29" s="6" t="n">
        <v>7.363</v>
      </c>
      <c r="C29" s="6" t="n">
        <v>6.172</v>
      </c>
      <c r="D29" s="6" t="n">
        <v>7.101</v>
      </c>
      <c r="E29" s="6" t="n">
        <v>7.205</v>
      </c>
      <c r="F29" s="6" t="n">
        <v>8.215</v>
      </c>
      <c r="G29" s="6" t="n">
        <v>7.606</v>
      </c>
      <c r="H29" s="6" t="n">
        <v>8.403</v>
      </c>
      <c r="I29" s="6" t="n">
        <v>8.804</v>
      </c>
      <c r="J29" s="6" t="n">
        <v>27.808</v>
      </c>
      <c r="K29" s="6" t="n">
        <v>28.693</v>
      </c>
      <c r="L29" s="15" t="n">
        <f aca="false">G29+H29+I29</f>
        <v>24.813</v>
      </c>
      <c r="M29" s="15" t="n">
        <f aca="false">SUM(F29:I29)</f>
        <v>33.028</v>
      </c>
      <c r="N29" s="15" t="n">
        <f aca="false">SUM(B29:E29)</f>
        <v>27.841</v>
      </c>
      <c r="O29" s="7" t="s">
        <v>797</v>
      </c>
      <c r="P29" s="4" t="s">
        <v>798</v>
      </c>
    </row>
    <row r="30" customFormat="false" ht="17.15" hidden="false" customHeight="false" outlineLevel="0" collapsed="false">
      <c r="A30" s="4" t="s">
        <v>822</v>
      </c>
      <c r="B30" s="6" t="n">
        <v>4.405</v>
      </c>
      <c r="C30" s="6" t="n">
        <v>3.539</v>
      </c>
      <c r="D30" s="6" t="n">
        <v>5.209</v>
      </c>
      <c r="E30" s="6" t="n">
        <v>7.393</v>
      </c>
      <c r="F30" s="6" t="n">
        <v>5.341</v>
      </c>
      <c r="G30" s="6" t="n">
        <v>4.291</v>
      </c>
      <c r="H30" s="6" t="n">
        <v>6.461</v>
      </c>
      <c r="I30" s="6" t="n">
        <v>6.138</v>
      </c>
      <c r="J30" s="6" t="n">
        <v>14.188</v>
      </c>
      <c r="K30" s="6" t="n">
        <v>21.482</v>
      </c>
      <c r="L30" s="15" t="n">
        <f aca="false">G30+H30+I30</f>
        <v>16.89</v>
      </c>
      <c r="M30" s="15" t="n">
        <f aca="false">SUM(F30:I30)</f>
        <v>22.231</v>
      </c>
      <c r="N30" s="15" t="n">
        <f aca="false">SUM(B30:E30)</f>
        <v>20.546</v>
      </c>
      <c r="O30" s="7" t="s">
        <v>797</v>
      </c>
      <c r="P30" s="4" t="s">
        <v>798</v>
      </c>
    </row>
    <row r="31" customFormat="false" ht="15" hidden="false" customHeight="false" outlineLevel="0" collapsed="false">
      <c r="A31" s="4" t="s">
        <v>823</v>
      </c>
      <c r="B31" s="21" t="n">
        <f aca="false">B14-B26-B28-B29-B30-B22</f>
        <v>0</v>
      </c>
      <c r="C31" s="21" t="n">
        <f aca="false">C14-C26-C28-C29-C30-C22</f>
        <v>0</v>
      </c>
      <c r="D31" s="21" t="n">
        <f aca="false">D14-D26-D28-D29-D30-D22</f>
        <v>0</v>
      </c>
      <c r="E31" s="21" t="n">
        <f aca="false">E14-E26-E28-E29-E30-E22</f>
        <v>0</v>
      </c>
      <c r="F31" s="21" t="n">
        <f aca="false">F14-F26-F28-F29-F30-F22</f>
        <v>0</v>
      </c>
      <c r="G31" s="21" t="n">
        <f aca="false">G14-G26-G28-G29-G30-G22</f>
        <v>0</v>
      </c>
      <c r="H31" s="21" t="n">
        <f aca="false">H14-H26-H28-H29-H30-H22</f>
        <v>0</v>
      </c>
      <c r="I31" s="21" t="n">
        <f aca="false">I14-I26-I28-I29-I30-I22</f>
        <v>0</v>
      </c>
      <c r="J31" s="21" t="n">
        <f aca="false">J14-J26-J28-J29-J30-J22</f>
        <v>0</v>
      </c>
      <c r="K31" s="21" t="n">
        <f aca="false">K14-K26-K28-K29-K30-K22</f>
        <v>0</v>
      </c>
      <c r="L31" s="21" t="n">
        <f aca="false">G31+H31+I31</f>
        <v>0</v>
      </c>
      <c r="M31" s="21" t="n">
        <f aca="false">SUM(F31:I31)</f>
        <v>0</v>
      </c>
      <c r="N31" s="21" t="n">
        <f aca="false">SUM(B31:E31)</f>
        <v>0</v>
      </c>
      <c r="O31" s="7" t="s">
        <v>804</v>
      </c>
      <c r="P31" s="7" t="s">
        <v>804</v>
      </c>
    </row>
    <row r="32" customFormat="false" ht="17.15" hidden="false" customHeight="false" outlineLevel="0" collapsed="false">
      <c r="A32" s="4" t="s">
        <v>824</v>
      </c>
      <c r="B32" s="6" t="n">
        <v>1.271</v>
      </c>
      <c r="C32" s="6" t="n">
        <v>11.183</v>
      </c>
      <c r="D32" s="6" t="n">
        <v>2.662</v>
      </c>
      <c r="E32" s="6" t="n">
        <v>12.759</v>
      </c>
      <c r="F32" s="6" t="n">
        <v>3.183</v>
      </c>
      <c r="G32" s="6" t="n">
        <v>37.716</v>
      </c>
      <c r="H32" s="6" t="n">
        <v>97.983</v>
      </c>
      <c r="I32" s="6" t="n">
        <v>-8.221</v>
      </c>
      <c r="J32" s="6" t="n">
        <v>7.425</v>
      </c>
      <c r="K32" s="6" t="n">
        <v>29.787</v>
      </c>
      <c r="L32" s="15" t="n">
        <f aca="false">G32+H32+I32</f>
        <v>127.478</v>
      </c>
      <c r="M32" s="15" t="n">
        <f aca="false">SUM(F32:I32)</f>
        <v>130.661</v>
      </c>
      <c r="N32" s="15" t="n">
        <f aca="false">SUM(B32:E32)</f>
        <v>27.875</v>
      </c>
      <c r="O32" s="7" t="s">
        <v>797</v>
      </c>
      <c r="P32" s="4" t="s">
        <v>798</v>
      </c>
    </row>
    <row r="33" customFormat="false" ht="17.15" hidden="false" customHeight="false" outlineLevel="0" collapsed="false">
      <c r="A33" s="4" t="s">
        <v>825</v>
      </c>
      <c r="B33" s="6" t="n">
        <v>0.364</v>
      </c>
      <c r="C33" s="6" t="n">
        <v>9.758</v>
      </c>
      <c r="D33" s="6" t="n">
        <v>1.286</v>
      </c>
      <c r="E33" s="6" t="n">
        <v>10.734</v>
      </c>
      <c r="F33" s="6" t="n">
        <v>2.302</v>
      </c>
      <c r="G33" s="6" t="n">
        <v>36.915</v>
      </c>
      <c r="H33" s="6" t="n">
        <v>99.031</v>
      </c>
      <c r="I33" s="6" t="n">
        <v>-8.664</v>
      </c>
      <c r="L33" s="15" t="n">
        <f aca="false">G33+H33+I33</f>
        <v>127.282</v>
      </c>
      <c r="M33" s="15" t="n">
        <f aca="false">SUM(F33:I33)</f>
        <v>129.584</v>
      </c>
      <c r="N33" s="15" t="n">
        <f aca="false">SUM(B33:E33)</f>
        <v>22.142</v>
      </c>
      <c r="O33" s="7" t="s">
        <v>797</v>
      </c>
      <c r="P33" s="4" t="s">
        <v>798</v>
      </c>
    </row>
    <row r="34" customFormat="false" ht="17.15" hidden="false" customHeight="false" outlineLevel="0" collapsed="false">
      <c r="A34" s="4" t="s">
        <v>826</v>
      </c>
      <c r="B34" s="6" t="n">
        <v>32.243</v>
      </c>
      <c r="C34" s="6" t="n">
        <v>41.789</v>
      </c>
      <c r="D34" s="6" t="n">
        <v>33.933</v>
      </c>
      <c r="E34" s="6" t="n">
        <v>43.987</v>
      </c>
      <c r="F34" s="6" t="n">
        <v>39.117</v>
      </c>
      <c r="G34" s="6" t="n">
        <v>77.412</v>
      </c>
      <c r="H34" s="6" t="n">
        <v>138.753</v>
      </c>
      <c r="I34" s="6" t="n">
        <v>32.355</v>
      </c>
      <c r="J34" s="6" t="n">
        <v>119.815</v>
      </c>
      <c r="K34" s="6" t="n">
        <v>158.826</v>
      </c>
      <c r="L34" s="15" t="n">
        <f aca="false">G34+H34+I34</f>
        <v>248.52</v>
      </c>
      <c r="M34" s="15" t="n">
        <f aca="false">SUM(F34:I34)</f>
        <v>287.637</v>
      </c>
      <c r="N34" s="15" t="n">
        <f aca="false">SUM(B34:E34)</f>
        <v>151.952</v>
      </c>
      <c r="O34" s="7" t="s">
        <v>797</v>
      </c>
      <c r="P34" s="4" t="s">
        <v>798</v>
      </c>
    </row>
    <row r="35" customFormat="false" ht="15" hidden="false" customHeight="false" outlineLevel="0" collapsed="false">
      <c r="A35" s="4" t="s">
        <v>827</v>
      </c>
      <c r="B35" s="21" t="n">
        <f aca="false">B22+B32-B34</f>
        <v>0</v>
      </c>
      <c r="C35" s="21" t="n">
        <f aca="false">C22+C32-C34</f>
        <v>0</v>
      </c>
      <c r="D35" s="21" t="n">
        <f aca="false">D22+D32-D34</f>
        <v>0</v>
      </c>
      <c r="E35" s="21" t="n">
        <f aca="false">E22+E32-E34</f>
        <v>0</v>
      </c>
      <c r="F35" s="21" t="n">
        <f aca="false">F22+F32-F34</f>
        <v>0</v>
      </c>
      <c r="G35" s="21" t="n">
        <f aca="false">G22+G32-G34</f>
        <v>0</v>
      </c>
      <c r="H35" s="21" t="n">
        <f aca="false">H22+H32-H34</f>
        <v>0</v>
      </c>
      <c r="I35" s="21" t="n">
        <f aca="false">I22+I32-I34</f>
        <v>0</v>
      </c>
      <c r="J35" s="21" t="n">
        <f aca="false">J22+J32-J34</f>
        <v>0</v>
      </c>
      <c r="K35" s="21" t="n">
        <f aca="false">K22+K32-K34</f>
        <v>0</v>
      </c>
      <c r="L35" s="21" t="n">
        <f aca="false">G35+H35+I35</f>
        <v>0</v>
      </c>
      <c r="M35" s="21" t="n">
        <f aca="false">SUM(F35:I35)</f>
        <v>0</v>
      </c>
      <c r="N35" s="21" t="n">
        <f aca="false">SUM(B35:E35)</f>
        <v>0</v>
      </c>
      <c r="O35" s="7" t="s">
        <v>804</v>
      </c>
      <c r="P35" s="7" t="s">
        <v>804</v>
      </c>
    </row>
    <row r="36" customFormat="false" ht="17.15" hidden="false" customHeight="false" outlineLevel="0" collapsed="false">
      <c r="A36" s="4" t="s">
        <v>828</v>
      </c>
      <c r="B36" s="6" t="n">
        <v>5.707</v>
      </c>
      <c r="C36" s="6" t="n">
        <v>7.249</v>
      </c>
      <c r="D36" s="6" t="n">
        <v>5.737</v>
      </c>
      <c r="E36" s="6" t="n">
        <v>9.008</v>
      </c>
      <c r="F36" s="6" t="n">
        <v>4.662</v>
      </c>
      <c r="G36" s="6" t="n">
        <v>14.834</v>
      </c>
      <c r="H36" s="6" t="n">
        <v>26.56</v>
      </c>
      <c r="I36" s="6" t="n">
        <v>5.887</v>
      </c>
      <c r="J36" s="6" t="n">
        <v>19.697</v>
      </c>
      <c r="K36" s="6" t="n">
        <v>26.656</v>
      </c>
      <c r="L36" s="15" t="n">
        <f aca="false">G36+H36+I36</f>
        <v>47.281</v>
      </c>
      <c r="M36" s="15" t="n">
        <f aca="false">SUM(F36:I36)</f>
        <v>51.943</v>
      </c>
      <c r="N36" s="15" t="n">
        <f aca="false">SUM(B36:E36)</f>
        <v>27.701</v>
      </c>
      <c r="O36" s="7" t="s">
        <v>797</v>
      </c>
      <c r="P36" s="4" t="s">
        <v>798</v>
      </c>
    </row>
    <row r="37" customFormat="false" ht="17.15" hidden="false" customHeight="false" outlineLevel="0" collapsed="false">
      <c r="A37" s="4" t="s">
        <v>829</v>
      </c>
      <c r="B37" s="6" t="n">
        <v>26.536</v>
      </c>
      <c r="C37" s="6" t="n">
        <v>34.54</v>
      </c>
      <c r="D37" s="6" t="n">
        <v>28.196</v>
      </c>
      <c r="E37" s="6" t="n">
        <v>34.979</v>
      </c>
      <c r="F37" s="6" t="n">
        <v>34.455</v>
      </c>
      <c r="G37" s="6" t="n">
        <v>62.578</v>
      </c>
      <c r="H37" s="6" t="n">
        <v>112.193</v>
      </c>
      <c r="I37" s="6" t="n">
        <v>26.468</v>
      </c>
      <c r="J37" s="6" t="n">
        <v>100.118</v>
      </c>
      <c r="K37" s="6" t="n">
        <v>132.17</v>
      </c>
      <c r="L37" s="15" t="n">
        <f aca="false">G37+H37+I37</f>
        <v>201.239</v>
      </c>
      <c r="M37" s="15" t="n">
        <f aca="false">SUM(F37:I37)</f>
        <v>235.694</v>
      </c>
      <c r="N37" s="15" t="n">
        <f aca="false">SUM(B37:E37)</f>
        <v>124.251</v>
      </c>
      <c r="O37" s="7" t="s">
        <v>797</v>
      </c>
      <c r="P37" s="4" t="s">
        <v>798</v>
      </c>
    </row>
    <row r="38" customFormat="false" ht="15" hidden="false" customHeight="false" outlineLevel="0" collapsed="false">
      <c r="A38" s="4" t="s">
        <v>830</v>
      </c>
      <c r="B38" s="21" t="n">
        <f aca="false">B34-B36-B37</f>
        <v>0</v>
      </c>
      <c r="C38" s="21" t="n">
        <f aca="false">C34-C36-C37</f>
        <v>0</v>
      </c>
      <c r="D38" s="21" t="n">
        <f aca="false">D34-D36-D37</f>
        <v>0</v>
      </c>
      <c r="E38" s="21" t="n">
        <f aca="false">E34-E36-E37</f>
        <v>0</v>
      </c>
      <c r="F38" s="21" t="n">
        <f aca="false">F34-F36-F37</f>
        <v>0</v>
      </c>
      <c r="G38" s="21" t="n">
        <f aca="false">G34-G36-G37</f>
        <v>0</v>
      </c>
      <c r="H38" s="21" t="n">
        <f aca="false">H34-H36-H37</f>
        <v>0</v>
      </c>
      <c r="I38" s="21" t="n">
        <f aca="false">I34-I36-I37</f>
        <v>0</v>
      </c>
      <c r="J38" s="21" t="n">
        <f aca="false">J34-J36-J37</f>
        <v>0</v>
      </c>
      <c r="K38" s="21" t="n">
        <f aca="false">K34-K36-K37</f>
        <v>0</v>
      </c>
      <c r="L38" s="21" t="n">
        <f aca="false">G38+H38+I38</f>
        <v>0</v>
      </c>
      <c r="M38" s="21" t="n">
        <f aca="false">SUM(F38:I38)</f>
        <v>0</v>
      </c>
      <c r="N38" s="21" t="n">
        <f aca="false">SUM(B38:E38)</f>
        <v>0</v>
      </c>
      <c r="O38" s="7" t="s">
        <v>804</v>
      </c>
      <c r="P38" s="7" t="s">
        <v>804</v>
      </c>
    </row>
    <row r="39" customFormat="false" ht="17.15" hidden="false" customHeight="false" outlineLevel="0" collapsed="false">
      <c r="A39" s="4" t="s">
        <v>831</v>
      </c>
      <c r="B39" s="6" t="n">
        <v>12.348</v>
      </c>
      <c r="C39" s="6" t="n">
        <v>12.291</v>
      </c>
      <c r="D39" s="6" t="n">
        <v>12.198</v>
      </c>
      <c r="E39" s="6" t="n">
        <v>12.203</v>
      </c>
      <c r="F39" s="6" t="n">
        <v>12.228</v>
      </c>
      <c r="G39" s="6" t="n">
        <v>12.238</v>
      </c>
      <c r="H39" s="6" t="n">
        <v>12.309</v>
      </c>
      <c r="I39" s="6" t="n">
        <v>12.368</v>
      </c>
      <c r="J39" s="6" t="n">
        <v>12.447</v>
      </c>
      <c r="K39" s="6" t="n">
        <v>12.23</v>
      </c>
      <c r="L39" s="15" t="n">
        <f aca="false">12.324</f>
        <v>12.324</v>
      </c>
      <c r="M39" s="15"/>
      <c r="N39" s="15"/>
      <c r="O39" s="7" t="s">
        <v>797</v>
      </c>
      <c r="P39" s="4" t="s">
        <v>798</v>
      </c>
    </row>
    <row r="40" customFormat="false" ht="17.15" hidden="false" customHeight="false" outlineLevel="0" collapsed="false">
      <c r="A40" s="0" t="s">
        <v>832</v>
      </c>
      <c r="B40" s="22" t="n">
        <v>2.15</v>
      </c>
      <c r="C40" s="22" t="n">
        <v>2.81</v>
      </c>
      <c r="D40" s="22" t="n">
        <v>2.31</v>
      </c>
      <c r="E40" s="22" t="n">
        <v>2.87</v>
      </c>
      <c r="F40" s="22" t="n">
        <v>2.82</v>
      </c>
      <c r="G40" s="22" t="n">
        <v>5.11</v>
      </c>
      <c r="H40" s="22" t="n">
        <v>9.11</v>
      </c>
      <c r="I40" s="22" t="n">
        <v>2.12</v>
      </c>
      <c r="J40" s="22" t="n">
        <v>8.04</v>
      </c>
      <c r="K40" s="22" t="n">
        <v>10.81</v>
      </c>
      <c r="L40" s="23" t="n">
        <f aca="false">G40+H40+I40</f>
        <v>16.34</v>
      </c>
      <c r="M40" s="23" t="n">
        <f aca="false">SUM(F40:I40)</f>
        <v>19.16</v>
      </c>
      <c r="N40" s="23" t="n">
        <f aca="false">SUM(B40:E40)</f>
        <v>10.14</v>
      </c>
      <c r="O40" s="7" t="s">
        <v>797</v>
      </c>
      <c r="P40" s="4" t="s">
        <v>798</v>
      </c>
    </row>
    <row r="42" customFormat="false" ht="15" hidden="false" customHeight="false" outlineLevel="0" collapsed="false">
      <c r="A42" s="2" t="s">
        <v>833</v>
      </c>
    </row>
    <row r="43" customFormat="false" ht="17.15" hidden="false" customHeight="false" outlineLevel="0" collapsed="false">
      <c r="A43" s="4" t="s">
        <v>834</v>
      </c>
      <c r="B43" s="6" t="n">
        <v>4.205</v>
      </c>
      <c r="C43" s="6" t="n">
        <v>4.487</v>
      </c>
      <c r="D43" s="6" t="n">
        <v>4.998</v>
      </c>
      <c r="E43" s="6" t="n">
        <v>5.611</v>
      </c>
      <c r="F43" s="6" t="n">
        <v>6.04</v>
      </c>
      <c r="G43" s="6" t="n">
        <v>6.482</v>
      </c>
      <c r="H43" s="6" t="n">
        <v>7.104</v>
      </c>
      <c r="I43" s="6" t="n">
        <v>8.369</v>
      </c>
      <c r="J43" s="6" t="n">
        <v>15.311</v>
      </c>
      <c r="K43" s="6" t="n">
        <v>21.136</v>
      </c>
      <c r="L43" s="15" t="n">
        <f aca="false">G43+H43+I43</f>
        <v>21.955</v>
      </c>
      <c r="M43" s="15" t="n">
        <f aca="false">SUM(F43:I43)</f>
        <v>27.995</v>
      </c>
      <c r="N43" s="15" t="n">
        <f aca="false">SUM(B43:E43)</f>
        <v>19.301</v>
      </c>
      <c r="O43" s="7" t="s">
        <v>797</v>
      </c>
      <c r="P43" s="4" t="s">
        <v>798</v>
      </c>
    </row>
    <row r="44" customFormat="false" ht="17.15" hidden="false" customHeight="false" outlineLevel="0" collapsed="false">
      <c r="A44" s="4" t="s">
        <v>835</v>
      </c>
      <c r="B44" s="6" t="n">
        <v>5.81</v>
      </c>
      <c r="C44" s="6" t="n">
        <v>5.516</v>
      </c>
      <c r="D44" s="6" t="n">
        <v>5.998</v>
      </c>
      <c r="E44" s="6" t="n">
        <v>6.368</v>
      </c>
      <c r="F44" s="6" t="n">
        <v>7.071</v>
      </c>
      <c r="G44" s="6" t="n">
        <v>6.751</v>
      </c>
      <c r="H44" s="6" t="n">
        <v>7.957</v>
      </c>
      <c r="I44" s="6" t="n">
        <v>8.63</v>
      </c>
      <c r="J44" s="6" t="n">
        <v>22.785</v>
      </c>
      <c r="K44" s="6" t="n">
        <v>24.953</v>
      </c>
      <c r="L44" s="15" t="n">
        <f aca="false">G44+H44+I44</f>
        <v>23.338</v>
      </c>
      <c r="M44" s="15" t="n">
        <f aca="false">SUM(F44:I44)</f>
        <v>30.409</v>
      </c>
      <c r="N44" s="15" t="n">
        <f aca="false">SUM(B44:E44)</f>
        <v>23.692</v>
      </c>
      <c r="O44" s="7" t="s">
        <v>797</v>
      </c>
      <c r="P44" s="4" t="s">
        <v>798</v>
      </c>
    </row>
    <row r="45" customFormat="false" ht="17.15" hidden="false" customHeight="false" outlineLevel="0" collapsed="false">
      <c r="A45" s="4" t="s">
        <v>836</v>
      </c>
      <c r="B45" s="6" t="n">
        <v>39.113</v>
      </c>
      <c r="C45" s="6" t="n">
        <v>36.15</v>
      </c>
      <c r="D45" s="6" t="n">
        <v>27.747</v>
      </c>
      <c r="E45" s="6" t="n">
        <v>48.414</v>
      </c>
      <c r="F45" s="6" t="n">
        <v>52.402</v>
      </c>
      <c r="G45" s="6" t="n">
        <v>45.79</v>
      </c>
      <c r="H45" s="6" t="n">
        <v>39.069</v>
      </c>
      <c r="I45" s="6" t="n">
        <v>42.29</v>
      </c>
      <c r="J45" s="6" t="n">
        <v>125.299</v>
      </c>
      <c r="K45" s="6" t="n">
        <v>164.713</v>
      </c>
      <c r="L45" s="15" t="n">
        <f aca="false">G45+H45+I45</f>
        <v>127.149</v>
      </c>
      <c r="M45" s="15" t="n">
        <f aca="false">SUM(F45:I45)</f>
        <v>179.551</v>
      </c>
      <c r="N45" s="15" t="n">
        <f aca="false">SUM(B45:E45)</f>
        <v>151.424</v>
      </c>
      <c r="O45" s="7" t="s">
        <v>797</v>
      </c>
      <c r="P45" s="4" t="s">
        <v>798</v>
      </c>
    </row>
    <row r="46" customFormat="false" ht="17.15" hidden="false" customHeight="false" outlineLevel="0" collapsed="false">
      <c r="A46" s="4" t="s">
        <v>837</v>
      </c>
      <c r="B46" s="6" t="n">
        <v>14.276</v>
      </c>
      <c r="C46" s="6" t="n">
        <v>17.197</v>
      </c>
      <c r="D46" s="6" t="n">
        <v>22.446</v>
      </c>
      <c r="E46" s="6" t="n">
        <v>23.953</v>
      </c>
      <c r="F46" s="6" t="n">
        <v>27.851</v>
      </c>
      <c r="G46" s="6" t="n">
        <v>35.674</v>
      </c>
      <c r="H46" s="6" t="n">
        <v>44.924</v>
      </c>
      <c r="I46" s="6" t="n">
        <v>51.355</v>
      </c>
      <c r="J46" s="6" t="n">
        <v>52.535</v>
      </c>
      <c r="K46" s="6" t="n">
        <v>91.447</v>
      </c>
      <c r="L46" s="15" t="n">
        <f aca="false">G46+H46+I46</f>
        <v>131.953</v>
      </c>
      <c r="M46" s="15" t="n">
        <f aca="false">SUM(F46:I46)</f>
        <v>159.804</v>
      </c>
      <c r="N46" s="15" t="n">
        <f aca="false">SUM(B46:E46)</f>
        <v>77.872</v>
      </c>
      <c r="O46" s="7" t="s">
        <v>797</v>
      </c>
      <c r="P46" s="4" t="s">
        <v>798</v>
      </c>
    </row>
    <row r="47" customFormat="false" ht="17.15" hidden="false" customHeight="false" outlineLevel="0" collapsed="false">
      <c r="A47" s="4" t="s">
        <v>838</v>
      </c>
      <c r="B47" s="6" t="n">
        <v>24.837</v>
      </c>
      <c r="C47" s="6" t="n">
        <v>18.953</v>
      </c>
      <c r="D47" s="6" t="n">
        <v>5.301</v>
      </c>
      <c r="E47" s="6" t="n">
        <v>24.461</v>
      </c>
      <c r="F47" s="6" t="n">
        <v>24.551</v>
      </c>
      <c r="G47" s="6" t="n">
        <v>10.116</v>
      </c>
      <c r="H47" s="6" t="n">
        <v>-5.855</v>
      </c>
      <c r="I47" s="6" t="n">
        <v>-9.065</v>
      </c>
      <c r="J47" s="6" t="n">
        <v>72.764</v>
      </c>
      <c r="K47" s="6" t="n">
        <v>73.266</v>
      </c>
      <c r="L47" s="15" t="n">
        <f aca="false">G47+H47+I47</f>
        <v>-4.804</v>
      </c>
      <c r="M47" s="15" t="n">
        <f aca="false">SUM(F47:I47)</f>
        <v>19.747</v>
      </c>
      <c r="N47" s="15" t="n">
        <f aca="false">SUM(B47:E47)</f>
        <v>73.552</v>
      </c>
      <c r="O47" s="7" t="s">
        <v>797</v>
      </c>
      <c r="P47" s="4" t="s">
        <v>798</v>
      </c>
    </row>
    <row r="48" customFormat="false" ht="15" hidden="false" customHeight="false" outlineLevel="0" collapsed="false">
      <c r="A48" s="4" t="s">
        <v>839</v>
      </c>
      <c r="B48" s="21" t="n">
        <f aca="false">B45-B46-B47</f>
        <v>0</v>
      </c>
      <c r="C48" s="21" t="n">
        <f aca="false">C45-C46-C47</f>
        <v>0</v>
      </c>
      <c r="D48" s="21" t="n">
        <f aca="false">D45-D46-D47</f>
        <v>0</v>
      </c>
      <c r="E48" s="21" t="n">
        <f aca="false">E45-E46-E47</f>
        <v>0</v>
      </c>
      <c r="F48" s="21" t="n">
        <f aca="false">F45-F46-F47</f>
        <v>0</v>
      </c>
      <c r="G48" s="21" t="n">
        <f aca="false">G45-G46-G47</f>
        <v>0</v>
      </c>
      <c r="H48" s="21" t="n">
        <f aca="false">H45-H46-H47</f>
        <v>0</v>
      </c>
      <c r="I48" s="21" t="n">
        <f aca="false">I45-I46-I47</f>
        <v>0</v>
      </c>
      <c r="J48" s="21" t="n">
        <f aca="false">J45-J46-J47</f>
        <v>0</v>
      </c>
      <c r="K48" s="21" t="n">
        <f aca="false">K45-K46-K47</f>
        <v>0</v>
      </c>
      <c r="L48" s="21" t="n">
        <f aca="false">G48+H48+I48</f>
        <v>0</v>
      </c>
      <c r="M48" s="21" t="n">
        <f aca="false">SUM(F48:I48)</f>
        <v>0</v>
      </c>
      <c r="N48" s="21" t="n">
        <f aca="false">SUM(B48:E48)</f>
        <v>0</v>
      </c>
      <c r="O48" s="7" t="s">
        <v>804</v>
      </c>
      <c r="P48" s="7" t="s">
        <v>804</v>
      </c>
    </row>
    <row r="49" customFormat="false" ht="17.15" hidden="false" customHeight="false" outlineLevel="0" collapsed="false">
      <c r="A49" s="4" t="s">
        <v>840</v>
      </c>
      <c r="B49" s="6" t="n">
        <v>15.551</v>
      </c>
      <c r="C49" s="6" t="n">
        <v>15.068</v>
      </c>
      <c r="D49" s="6" t="n">
        <v>13.238</v>
      </c>
      <c r="E49" s="6" t="n">
        <v>11.504</v>
      </c>
      <c r="F49" s="6" t="n">
        <v>5.499</v>
      </c>
      <c r="G49" s="6" t="n">
        <v>0</v>
      </c>
      <c r="H49" s="6" t="n">
        <v>0</v>
      </c>
      <c r="I49" s="6" t="n">
        <v>0</v>
      </c>
      <c r="J49" s="6" t="n">
        <v>62.222</v>
      </c>
      <c r="K49" s="6" t="n">
        <v>45.709</v>
      </c>
      <c r="L49" s="15" t="n">
        <f aca="false">G49+H49+I49</f>
        <v>0</v>
      </c>
      <c r="M49" s="15" t="n">
        <f aca="false">SUM(F49:I49)</f>
        <v>5.499</v>
      </c>
      <c r="N49" s="15" t="n">
        <f aca="false">SUM(B49:E49)</f>
        <v>55.361</v>
      </c>
      <c r="O49" s="7" t="s">
        <v>797</v>
      </c>
      <c r="P49" s="4" t="s">
        <v>798</v>
      </c>
    </row>
    <row r="50" customFormat="false" ht="17.15" hidden="false" customHeight="false" outlineLevel="0" collapsed="false">
      <c r="A50" s="4" t="s">
        <v>841</v>
      </c>
      <c r="B50" s="6" t="n">
        <v>2.442</v>
      </c>
      <c r="C50" s="6" t="n">
        <v>2.434</v>
      </c>
      <c r="D50" s="6" t="n">
        <v>2.543</v>
      </c>
      <c r="E50" s="6" t="n">
        <v>2.537</v>
      </c>
      <c r="F50" s="6" t="n">
        <v>2.536</v>
      </c>
      <c r="G50" s="6" t="n">
        <v>2.542</v>
      </c>
      <c r="H50" s="6" t="n">
        <v>2.689</v>
      </c>
      <c r="I50" s="6" t="n">
        <v>2.936</v>
      </c>
      <c r="J50" s="6" t="n">
        <v>7.363</v>
      </c>
      <c r="K50" s="6" t="n">
        <v>10.049</v>
      </c>
      <c r="L50" s="15" t="n">
        <f aca="false">G50+H50+I50</f>
        <v>8.167</v>
      </c>
      <c r="M50" s="15" t="n">
        <f aca="false">SUM(F50:I50)</f>
        <v>10.703</v>
      </c>
      <c r="N50" s="15" t="n">
        <f aca="false">SUM(B50:E50)</f>
        <v>9.956</v>
      </c>
      <c r="O50" s="7" t="s">
        <v>797</v>
      </c>
      <c r="P50" s="4" t="s">
        <v>798</v>
      </c>
    </row>
    <row r="52" customFormat="false" ht="17.15" hidden="false" customHeight="false" outlineLevel="0" collapsed="false">
      <c r="A52" s="2" t="s">
        <v>842</v>
      </c>
    </row>
    <row r="53" customFormat="false" ht="17.15" hidden="false" customHeight="false" outlineLevel="0" collapsed="false">
      <c r="A53" s="4" t="s">
        <v>843</v>
      </c>
      <c r="B53" s="21" t="n">
        <f aca="false">SUMPRODUCT(ABS(B10:K10))+SUMPRODUCT(ABS(B15:K15))+SUMPRODUCT(ABS(B23:K23))+SUMPRODUCT(ABS(B31:K31))+SUMPRODUCT(ABS(B35:K35))+SUMPRODUCT(ABS(B38:K38))+SUMPRODUCT(ABS(B48:K48))</f>
        <v>0</v>
      </c>
    </row>
    <row r="54" customFormat="false" ht="17.15" hidden="false" customHeight="false" outlineLevel="0" collapsed="false">
      <c r="A54" s="4" t="s">
        <v>844</v>
      </c>
      <c r="B54" s="21" t="n">
        <f aca="false">ABS(SUM(C9:F9)-K9)+ABS(SUM(C11:F11)-K11)+ABS(SUM(C12:F12)-K12)+ABS(SUM(C13:F13)-K13)+ABS(SUM(C14:F14)-K14)+ABS(SUM(C18:F18)-K18)+ABS(SUM(C19:F19)-K19)+ABS(SUM(C20:F20)-K20)+ABS(SUM(C21:F21)-K21)+ABS(SUM(C22:F22)-K22)+ABS(SUM(C5:F5)-K5)+ABS(SUM(C6:F6)-K6)+ABS(SUM(C7:F7)-K7)+ABS(SUM(C8:F8)-K8)+ABS(SUM(C46:F46)-K46)+ABS(SUM(C45:F45)-K45)+ABS(SUM(C43:F43)-K43)</f>
        <v>0</v>
      </c>
    </row>
    <row r="55" customFormat="false" ht="17.15" hidden="false" customHeight="false" outlineLevel="0" collapsed="false">
      <c r="A55" s="4" t="s">
        <v>845</v>
      </c>
      <c r="B55" s="21" t="n">
        <f aca="false">ABS(L14-(357.269))+ABS(L22-(121.042))+ABS(L26-(138.633))+ABS(L28-(55.891))+ABS(L29-(24.813))+ABS(L30-(16.89))+ABS(L32-(127.478))+ABS(L34-(248.52))+ABS(L36-(47.281))+ABS(L37-(201.239))+ABS(L43-(21.955))+ABS(L44-(23.338))+ABS(L45-(127.149))+ABS(L46-(131.953))</f>
        <v>0</v>
      </c>
    </row>
    <row r="57" customFormat="false" ht="17.15" hidden="false" customHeight="false" outlineLevel="0" collapsed="false">
      <c r="A57" s="2" t="s">
        <v>846</v>
      </c>
    </row>
    <row r="58" customFormat="false" ht="15" hidden="false" customHeight="false" outlineLevel="0" collapsed="false">
      <c r="A58" s="3" t="s">
        <v>43</v>
      </c>
      <c r="B58" s="3" t="s">
        <v>847</v>
      </c>
      <c r="C58" s="3" t="s">
        <v>50</v>
      </c>
    </row>
    <row r="59" customFormat="false" ht="17.15" hidden="false" customHeight="false" outlineLevel="0" collapsed="false">
      <c r="A59" s="4" t="s">
        <v>848</v>
      </c>
      <c r="B59" s="14" t="n">
        <f aca="false">IF(g0s_q=1,I5/E5-1,M5/N5-1)</f>
        <v>0.160562060020511</v>
      </c>
      <c r="C59" s="7" t="s">
        <v>849</v>
      </c>
    </row>
    <row r="60" customFormat="false" ht="17.15" hidden="false" customHeight="false" outlineLevel="0" collapsed="false">
      <c r="A60" s="4" t="s">
        <v>850</v>
      </c>
      <c r="B60" s="14" t="n">
        <f aca="false">M6/N6-1</f>
        <v>0.103175608890691</v>
      </c>
      <c r="C60" s="7" t="s">
        <v>849</v>
      </c>
    </row>
    <row r="61" customFormat="false" ht="17.15" hidden="false" customHeight="false" outlineLevel="0" collapsed="false">
      <c r="A61" s="4" t="s">
        <v>851</v>
      </c>
      <c r="B61" s="14" t="n">
        <f aca="false">M7/N7-1</f>
        <v>-0.0120663145932214</v>
      </c>
      <c r="C61" s="7" t="s">
        <v>849</v>
      </c>
    </row>
    <row r="62" customFormat="false" ht="17.15" hidden="false" customHeight="false" outlineLevel="0" collapsed="false">
      <c r="A62" s="4" t="s">
        <v>852</v>
      </c>
      <c r="B62" s="14" t="n">
        <f aca="false">M8/N8-1</f>
        <v>0.153585765433438</v>
      </c>
      <c r="C62" s="7" t="s">
        <v>849</v>
      </c>
    </row>
    <row r="63" customFormat="false" ht="17.15" hidden="false" customHeight="false" outlineLevel="0" collapsed="false">
      <c r="A63" s="4" t="s">
        <v>853</v>
      </c>
      <c r="B63" s="14" t="n">
        <f aca="false">M11/N11-1</f>
        <v>0.758038342516416</v>
      </c>
      <c r="C63" s="7" t="s">
        <v>849</v>
      </c>
    </row>
    <row r="64" customFormat="false" ht="17.15" hidden="false" customHeight="false" outlineLevel="0" collapsed="false">
      <c r="A64" s="4" t="s">
        <v>854</v>
      </c>
      <c r="B64" s="15" t="n">
        <f aca="false">M9</f>
        <v>376.341</v>
      </c>
    </row>
    <row r="65" customFormat="false" ht="15" hidden="false" customHeight="false" outlineLevel="0" collapsed="false">
      <c r="A65" s="4" t="s">
        <v>855</v>
      </c>
      <c r="B65" s="15" t="n">
        <f aca="false">M9+M11+M12</f>
        <v>471.045</v>
      </c>
    </row>
    <row r="66" customFormat="false" ht="17.15" hidden="false" customHeight="false" outlineLevel="0" collapsed="false">
      <c r="A66" s="4" t="s">
        <v>856</v>
      </c>
      <c r="B66" s="14" t="n">
        <f aca="false">M9/rev3_ttm</f>
        <v>0.798949144986148</v>
      </c>
      <c r="C66" s="4" t="s">
        <v>857</v>
      </c>
    </row>
    <row r="67" customFormat="false" ht="17.15" hidden="false" customHeight="false" outlineLevel="0" collapsed="false">
      <c r="A67" s="4" t="s">
        <v>858</v>
      </c>
      <c r="B67" s="14" t="n">
        <f aca="false">M11/rev3_ttm</f>
        <v>0.197792143001199</v>
      </c>
    </row>
    <row r="68" customFormat="false" ht="17.15" hidden="false" customHeight="false" outlineLevel="0" collapsed="false">
      <c r="A68" s="4" t="s">
        <v>859</v>
      </c>
      <c r="B68" s="14" t="n">
        <f aca="false">M12/rev3_ttm</f>
        <v>0.00325871201265272</v>
      </c>
    </row>
    <row r="69" customFormat="false" ht="15" hidden="false" customHeight="false" outlineLevel="0" collapsed="false">
      <c r="A69" s="4" t="s">
        <v>860</v>
      </c>
      <c r="B69" s="15" t="n">
        <f aca="false">M43</f>
        <v>27.995</v>
      </c>
    </row>
    <row r="70" customFormat="false" ht="17.15" hidden="false" customHeight="false" outlineLevel="0" collapsed="false">
      <c r="A70" s="0" t="s">
        <v>861</v>
      </c>
      <c r="B70" s="14" t="n">
        <f aca="false">(M18+da_ttm*sh_svc)/M9</f>
        <v>0.483042191294297</v>
      </c>
      <c r="C70" s="7" t="s">
        <v>862</v>
      </c>
    </row>
    <row r="71" customFormat="false" ht="17.15" hidden="false" customHeight="false" outlineLevel="0" collapsed="false">
      <c r="A71" s="0" t="s">
        <v>863</v>
      </c>
      <c r="B71" s="14" t="n">
        <f aca="false">L9/(L9+L11+L12)</f>
        <v>0.785327692363691</v>
      </c>
    </row>
    <row r="72" customFormat="false" ht="17.15" hidden="false" customHeight="false" outlineLevel="0" collapsed="false">
      <c r="A72" s="0" t="s">
        <v>864</v>
      </c>
      <c r="B72" s="14" t="n">
        <f aca="false">L11/(L9+L11+L12)</f>
        <v>0.211410363741744</v>
      </c>
    </row>
    <row r="73" customFormat="false" ht="17.15" hidden="false" customHeight="false" outlineLevel="0" collapsed="false">
      <c r="A73" s="0" t="s">
        <v>865</v>
      </c>
      <c r="B73" s="14" t="n">
        <f aca="false">(L18+L43*sh1_svc)/L9</f>
        <v>0.486781076251145</v>
      </c>
      <c r="C73" s="7" t="s">
        <v>866</v>
      </c>
    </row>
    <row r="74" customFormat="false" ht="17.15" hidden="false" customHeight="false" outlineLevel="0" collapsed="false">
      <c r="A74" s="0" t="s">
        <v>867</v>
      </c>
      <c r="B74" s="14" t="n">
        <f aca="false">IF(mb_ttm=1,m_svc_ttm,m_svc_1h)</f>
        <v>0.486781076251145</v>
      </c>
      <c r="C74" s="4" t="s">
        <v>868</v>
      </c>
    </row>
    <row r="75" customFormat="false" ht="17.15" hidden="false" customHeight="false" outlineLevel="0" collapsed="false">
      <c r="A75" s="4" t="s">
        <v>869</v>
      </c>
      <c r="B75" s="15" t="n">
        <f aca="false">M19+da_ttm*sh_cloud</f>
        <v>37.3831910433186</v>
      </c>
    </row>
    <row r="76" customFormat="false" ht="17.15" hidden="false" customHeight="false" outlineLevel="0" collapsed="false">
      <c r="A76" s="4" t="s">
        <v>870</v>
      </c>
      <c r="B76" s="15" t="n">
        <f aca="false">M11</f>
        <v>93.169</v>
      </c>
    </row>
    <row r="77" customFormat="false" ht="17.15" hidden="false" customHeight="false" outlineLevel="0" collapsed="false">
      <c r="A77" s="4" t="s">
        <v>871</v>
      </c>
      <c r="B77" s="15" t="n">
        <f aca="false">N11</f>
        <v>52.996</v>
      </c>
    </row>
    <row r="78" customFormat="false" ht="17.15" hidden="false" customHeight="false" outlineLevel="0" collapsed="false">
      <c r="A78" s="4" t="s">
        <v>872</v>
      </c>
      <c r="B78" s="15" t="n">
        <f aca="false">M20</f>
        <v>-9.563</v>
      </c>
    </row>
    <row r="79" customFormat="false" ht="17.15" hidden="false" customHeight="false" outlineLevel="0" collapsed="false">
      <c r="A79" s="4" t="s">
        <v>873</v>
      </c>
      <c r="B79" s="15" t="n">
        <f aca="false">M21</f>
        <v>-24.729</v>
      </c>
    </row>
    <row r="80" customFormat="false" ht="17.15" hidden="false" customHeight="false" outlineLevel="0" collapsed="false">
      <c r="A80" s="0" t="s">
        <v>874</v>
      </c>
      <c r="B80" s="14" t="n">
        <f aca="false">M27/(M5+M7)</f>
        <v>0.230180582871447</v>
      </c>
      <c r="C80" s="4" t="s">
        <v>875</v>
      </c>
    </row>
    <row r="81" customFormat="false" ht="17.15" hidden="false" customHeight="false" outlineLevel="0" collapsed="false">
      <c r="A81" s="0" t="s">
        <v>876</v>
      </c>
      <c r="B81" s="14" t="n">
        <f aca="false">I11/L11</f>
        <v>0.406714787100192</v>
      </c>
      <c r="C81" s="7" t="s">
        <v>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878</v>
      </c>
    </row>
    <row r="2" customFormat="false" ht="17.15" hidden="false" customHeight="false" outlineLevel="0" collapsed="false">
      <c r="A2" s="4" t="s">
        <v>879</v>
      </c>
    </row>
    <row r="4" customFormat="false" ht="17.15" hidden="false" customHeight="false" outlineLevel="0" collapsed="false">
      <c r="A4" s="5" t="s">
        <v>880</v>
      </c>
    </row>
    <row r="5" customFormat="false" ht="15" hidden="false" customHeight="false" outlineLevel="0" collapsed="false">
      <c r="A5" s="3" t="s">
        <v>43</v>
      </c>
      <c r="B5" s="3" t="s">
        <v>44</v>
      </c>
      <c r="C5" s="3" t="s">
        <v>847</v>
      </c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50</v>
      </c>
    </row>
    <row r="6" customFormat="false" ht="17.15" hidden="false" customHeight="false" outlineLevel="0" collapsed="false">
      <c r="A6" s="0" t="s">
        <v>881</v>
      </c>
      <c r="B6" s="0" t="s">
        <v>126</v>
      </c>
      <c r="C6" s="21" t="n">
        <f aca="false">kl_px/he_vr</f>
        <v>0.782914621155376</v>
      </c>
      <c r="N6" s="7" t="s">
        <v>882</v>
      </c>
    </row>
    <row r="7" customFormat="false" ht="17.15" hidden="false" customHeight="false" outlineLevel="0" collapsed="false">
      <c r="A7" s="0" t="s">
        <v>883</v>
      </c>
      <c r="B7" s="0" t="s">
        <v>126</v>
      </c>
      <c r="C7" s="21" t="n">
        <f aca="false">ks_px/gpuhr_h</f>
        <v>1.82808654921445</v>
      </c>
      <c r="N7" s="7" t="s">
        <v>884</v>
      </c>
    </row>
    <row r="8" customFormat="false" ht="17.15" hidden="false" customHeight="false" outlineLevel="0" collapsed="false">
      <c r="A8" s="4" t="s">
        <v>885</v>
      </c>
      <c r="B8" s="0" t="s">
        <v>126</v>
      </c>
      <c r="C8" s="21" t="n">
        <f aca="false">long_sh*k_long+(1-long_sh)*k_spot</f>
        <v>1.20098339237901</v>
      </c>
      <c r="N8" s="7" t="s">
        <v>886</v>
      </c>
    </row>
    <row r="9" customFormat="false" ht="17.15" hidden="false" customHeight="false" outlineLevel="0" collapsed="false">
      <c r="A9" s="0" t="s">
        <v>887</v>
      </c>
      <c r="B9" s="0" t="s">
        <v>126</v>
      </c>
      <c r="C9" s="21" t="n">
        <f aca="false">1-tpu_sh*(1-tpu_f)</f>
        <v>0.775</v>
      </c>
      <c r="N9" s="4" t="s">
        <v>888</v>
      </c>
    </row>
    <row r="10" customFormat="false" ht="17.15" hidden="false" customHeight="false" outlineLevel="0" collapsed="false">
      <c r="A10" s="0" t="s">
        <v>889</v>
      </c>
      <c r="B10" s="0" t="s">
        <v>126</v>
      </c>
      <c r="C10" s="21" t="n">
        <f aca="false">1-tpu_sh*(1-tpu_cf)</f>
        <v>0.775</v>
      </c>
    </row>
    <row r="11" customFormat="false" ht="17.15" hidden="false" customHeight="false" outlineLevel="0" collapsed="false">
      <c r="A11" s="4" t="s">
        <v>890</v>
      </c>
      <c r="B11" s="0" t="s">
        <v>364</v>
      </c>
      <c r="C11" s="23" t="n">
        <f aca="false">k_blend*tpu_adj*(mix0_h*he_h+mix0_b2*he_b2+mix0_b3*he_b3)</f>
        <v>8.99522925023301</v>
      </c>
    </row>
    <row r="12" customFormat="false" ht="17.15" hidden="false" customHeight="false" outlineLevel="0" collapsed="false">
      <c r="A12" s="4" t="s">
        <v>891</v>
      </c>
      <c r="B12" s="0" t="s">
        <v>364</v>
      </c>
      <c r="C12" s="23" t="n">
        <f aca="false">mix0_h*opx_h+mix0_b2*opx_b2+mix0_b3*opx_b3</f>
        <v>1.88146204641356</v>
      </c>
    </row>
    <row r="13" customFormat="false" ht="17.15" hidden="false" customHeight="false" outlineLevel="0" collapsed="false">
      <c r="A13" s="4" t="s">
        <v>892</v>
      </c>
      <c r="B13" s="0" t="s">
        <v>81</v>
      </c>
      <c r="C13" s="15" t="n">
        <f aca="false">ai_mw_ttm*permw0/1000</f>
        <v>15.2274866949736</v>
      </c>
      <c r="N13" s="4" t="s">
        <v>893</v>
      </c>
    </row>
    <row r="14" customFormat="false" ht="17.15" hidden="false" customHeight="false" outlineLevel="0" collapsed="false">
      <c r="A14" s="4" t="s">
        <v>894</v>
      </c>
      <c r="B14" s="0" t="s">
        <v>81</v>
      </c>
      <c r="C14" s="15" t="n">
        <f aca="false">ai_mw_pttm*permw0/1000</f>
        <v>7.44490148895535</v>
      </c>
    </row>
    <row r="15" customFormat="false" ht="17.15" hidden="false" customHeight="false" outlineLevel="0" collapsed="false">
      <c r="A15" s="4" t="s">
        <v>895</v>
      </c>
      <c r="B15" s="0" t="s">
        <v>81</v>
      </c>
      <c r="C15" s="15" t="n">
        <f aca="false">ai_mw_ttm*(permw0-opex0)/1000</f>
        <v>12.042471896366</v>
      </c>
    </row>
    <row r="16" customFormat="false" ht="17.15" hidden="false" customHeight="false" outlineLevel="0" collapsed="false">
      <c r="A16" s="0" t="s">
        <v>896</v>
      </c>
      <c r="B16" s="0" t="s">
        <v>106</v>
      </c>
      <c r="C16" s="14" t="n">
        <f aca="false">(cloud_ttm-ai_ttm)/(cloud_pttm-ai_pttm)-1</f>
        <v>0.71107867543805</v>
      </c>
      <c r="N16" s="7" t="s">
        <v>897</v>
      </c>
    </row>
    <row r="17" customFormat="false" ht="17.15" hidden="false" customHeight="false" outlineLevel="0" collapsed="false">
      <c r="A17" s="0" t="s">
        <v>898</v>
      </c>
      <c r="B17" s="0" t="s">
        <v>106</v>
      </c>
      <c r="C17" s="14" t="n">
        <f aca="false">(cloud_ebitda_ttm-ai_ttm_e)/(cloud_ttm-ai_ttm)</f>
        <v>0.325124802847758</v>
      </c>
      <c r="N17" s="7" t="s">
        <v>899</v>
      </c>
    </row>
    <row r="18" customFormat="false" ht="17.15" hidden="false" customHeight="false" outlineLevel="0" collapsed="false">
      <c r="A18" s="0" t="s">
        <v>900</v>
      </c>
      <c r="B18" s="0" t="s">
        <v>106</v>
      </c>
      <c r="C18" s="14" t="n">
        <f aca="false">(Q!L19+Q!L43*sh1_cloud-E41)/(Q!L11-E38)</f>
        <v>0.333015998585233</v>
      </c>
      <c r="N18" s="7" t="s">
        <v>901</v>
      </c>
    </row>
    <row r="19" customFormat="false" ht="17.15" hidden="false" customHeight="false" outlineLevel="0" collapsed="false">
      <c r="A19" s="0" t="s">
        <v>902</v>
      </c>
      <c r="B19" s="0" t="s">
        <v>106</v>
      </c>
      <c r="C19" s="14" t="n">
        <f aca="false">IF(mb_ttm=1,m_co_ttm,m_co_1h)</f>
        <v>0.333015998585233</v>
      </c>
      <c r="N19" s="4" t="s">
        <v>903</v>
      </c>
    </row>
    <row r="21" customFormat="false" ht="17.15" hidden="false" customHeight="false" outlineLevel="0" collapsed="false">
      <c r="A21" s="5" t="s">
        <v>904</v>
      </c>
    </row>
    <row r="22" customFormat="false" ht="15" hidden="false" customHeight="false" outlineLevel="0" collapsed="false">
      <c r="A22" s="3" t="s">
        <v>43</v>
      </c>
      <c r="B22" s="3" t="s">
        <v>44</v>
      </c>
      <c r="C22" s="20" t="s">
        <v>905</v>
      </c>
      <c r="D22" s="20" t="s">
        <v>906</v>
      </c>
      <c r="E22" s="20" t="s">
        <v>907</v>
      </c>
      <c r="F22" s="20" t="s">
        <v>908</v>
      </c>
      <c r="G22" s="20" t="s">
        <v>909</v>
      </c>
      <c r="H22" s="20" t="s">
        <v>910</v>
      </c>
      <c r="I22" s="20" t="s">
        <v>911</v>
      </c>
      <c r="J22" s="20" t="s">
        <v>912</v>
      </c>
      <c r="K22" s="20" t="s">
        <v>913</v>
      </c>
      <c r="L22" s="20" t="s">
        <v>914</v>
      </c>
      <c r="M22" s="20" t="s">
        <v>915</v>
      </c>
      <c r="N22" s="3" t="s">
        <v>50</v>
      </c>
    </row>
    <row r="23" customFormat="false" ht="17.15" hidden="false" customHeight="false" outlineLevel="0" collapsed="false">
      <c r="A23" s="0" t="s">
        <v>916</v>
      </c>
      <c r="B23" s="0" t="s">
        <v>288</v>
      </c>
      <c r="F23" s="24" t="n">
        <f aca="false">pace*0.25</f>
        <v>1557.075</v>
      </c>
      <c r="G23" s="24" t="n">
        <f aca="false">F23</f>
        <v>1557.075</v>
      </c>
      <c r="H23" s="24" t="n">
        <f aca="false">pace</f>
        <v>6228.3</v>
      </c>
      <c r="I23" s="24" t="n">
        <f aca="false">pace</f>
        <v>6228.3</v>
      </c>
      <c r="J23" s="24" t="n">
        <f aca="false">pace+(g_tv*I28-pace)*MIN(1,(2029-2028)/conv_mw)</f>
        <v>4835.533125</v>
      </c>
      <c r="K23" s="24" t="n">
        <f aca="false">pace+(g_tv*J28-pace)*MIN(1,(2030-2028)/conv_mw)</f>
        <v>3515.299246875</v>
      </c>
      <c r="L23" s="24" t="n">
        <f aca="false">pace+(g_tv*K28-pace)*MIN(1,(2031-2028)/conv_mw)</f>
        <v>2237.89310336719</v>
      </c>
      <c r="M23" s="24" t="n">
        <f aca="false">pace+(g_tv*L28-pace)*MIN(1,(2032-2028)/conv_mw)</f>
        <v>974.894264257266</v>
      </c>
      <c r="N23" s="4" t="s">
        <v>917</v>
      </c>
    </row>
    <row r="24" customFormat="false" ht="17.15" hidden="false" customHeight="false" outlineLevel="0" collapsed="false">
      <c r="A24" s="4" t="s">
        <v>918</v>
      </c>
      <c r="B24" s="0" t="s">
        <v>288</v>
      </c>
      <c r="E24" s="24" t="n">
        <f aca="false">mw_q2*mix0_h+pace*0.25*0</f>
        <v>1584.25</v>
      </c>
      <c r="F24" s="24" t="n">
        <f aca="false">E24+F23*0</f>
        <v>1584.25</v>
      </c>
      <c r="G24" s="24" t="n">
        <f aca="false">F24</f>
        <v>1584.25</v>
      </c>
      <c r="H24" s="24" t="n">
        <f aca="false">F24+H23*0</f>
        <v>1584.25</v>
      </c>
      <c r="I24" s="24" t="n">
        <f aca="false">H24+I23*0</f>
        <v>1584.25</v>
      </c>
      <c r="J24" s="24" t="n">
        <f aca="false">I24+J23*0</f>
        <v>1584.25</v>
      </c>
      <c r="K24" s="24" t="n">
        <f aca="false">J24+K23*0</f>
        <v>1584.25</v>
      </c>
      <c r="L24" s="24" t="n">
        <f aca="false">K24+L23*0</f>
        <v>1584.25</v>
      </c>
      <c r="M24" s="24" t="n">
        <f aca="false">L24+M23*0</f>
        <v>1584.25</v>
      </c>
      <c r="N24" s="4" t="s">
        <v>919</v>
      </c>
    </row>
    <row r="25" customFormat="false" ht="17.15" hidden="false" customHeight="false" outlineLevel="0" collapsed="false">
      <c r="A25" s="4" t="s">
        <v>920</v>
      </c>
      <c r="B25" s="0" t="s">
        <v>288</v>
      </c>
      <c r="E25" s="24" t="n">
        <f aca="false">mw_q2*mix0_b2+pace*0.25*0</f>
        <v>2851.65</v>
      </c>
      <c r="F25" s="24" t="n">
        <f aca="false">E25+F23*0</f>
        <v>2851.65</v>
      </c>
      <c r="G25" s="24" t="n">
        <f aca="false">F25</f>
        <v>2851.65</v>
      </c>
      <c r="H25" s="24" t="n">
        <f aca="false">F25+H23*0</f>
        <v>2851.65</v>
      </c>
      <c r="I25" s="24" t="n">
        <f aca="false">H25+I23*0</f>
        <v>2851.65</v>
      </c>
      <c r="J25" s="24" t="n">
        <f aca="false">I25+J23*0</f>
        <v>2851.65</v>
      </c>
      <c r="K25" s="24" t="n">
        <f aca="false">J25+K23*0</f>
        <v>2851.65</v>
      </c>
      <c r="L25" s="24" t="n">
        <f aca="false">K25+L23*0</f>
        <v>2851.65</v>
      </c>
      <c r="M25" s="24" t="n">
        <f aca="false">L25+M23*0</f>
        <v>2851.65</v>
      </c>
    </row>
    <row r="26" customFormat="false" ht="17.15" hidden="false" customHeight="false" outlineLevel="0" collapsed="false">
      <c r="A26" s="4" t="s">
        <v>921</v>
      </c>
      <c r="B26" s="0" t="s">
        <v>288</v>
      </c>
      <c r="E26" s="24" t="n">
        <f aca="false">mw_q2*mix0_b3+pace*0.25*am_26</f>
        <v>3458.175</v>
      </c>
      <c r="F26" s="24" t="n">
        <f aca="false">E26+F23*am_26</f>
        <v>5015.25</v>
      </c>
      <c r="G26" s="24" t="n">
        <f aca="false">F26</f>
        <v>5015.25</v>
      </c>
      <c r="H26" s="24" t="n">
        <f aca="false">F26+H23*am_27</f>
        <v>8129.4</v>
      </c>
      <c r="I26" s="24" t="n">
        <f aca="false">H26+I23*(1-am_28)</f>
        <v>8129.4</v>
      </c>
      <c r="J26" s="24" t="n">
        <f aca="false">I26+J23*(1-am_28)</f>
        <v>8129.4</v>
      </c>
      <c r="K26" s="24" t="n">
        <f aca="false">J26+K23*(1-am_28)</f>
        <v>8129.4</v>
      </c>
      <c r="L26" s="24" t="n">
        <f aca="false">K26+L23*(1-am_28)</f>
        <v>8129.4</v>
      </c>
      <c r="M26" s="24" t="n">
        <f aca="false">L26+M23*(1-am_28)</f>
        <v>8129.4</v>
      </c>
    </row>
    <row r="27" customFormat="false" ht="17.15" hidden="false" customHeight="false" outlineLevel="0" collapsed="false">
      <c r="A27" s="4" t="s">
        <v>922</v>
      </c>
      <c r="B27" s="0" t="s">
        <v>288</v>
      </c>
      <c r="E27" s="24" t="n">
        <f aca="false">mw_q2*0+pace*0.25*(1-am_26)</f>
        <v>0</v>
      </c>
      <c r="F27" s="24" t="n">
        <f aca="false">E27+F23*(1-am_26)</f>
        <v>0</v>
      </c>
      <c r="G27" s="24" t="n">
        <f aca="false">F27</f>
        <v>0</v>
      </c>
      <c r="H27" s="24" t="n">
        <f aca="false">F27+H23*(1-am_27)</f>
        <v>3114.15</v>
      </c>
      <c r="I27" s="24" t="n">
        <f aca="false">H27+I23*am_28</f>
        <v>9342.45</v>
      </c>
      <c r="J27" s="24" t="n">
        <f aca="false">I27+J23*am_28</f>
        <v>14177.983125</v>
      </c>
      <c r="K27" s="24" t="n">
        <f aca="false">J27+K23*am_28</f>
        <v>17693.282371875</v>
      </c>
      <c r="L27" s="24" t="n">
        <f aca="false">K27+L23*am_28</f>
        <v>19931.1754752422</v>
      </c>
      <c r="M27" s="24" t="n">
        <f aca="false">L27+M23*am_28</f>
        <v>20906.0697394995</v>
      </c>
    </row>
    <row r="28" customFormat="false" ht="17.15" hidden="false" customHeight="false" outlineLevel="0" collapsed="false">
      <c r="A28" s="4" t="s">
        <v>923</v>
      </c>
      <c r="B28" s="0" t="s">
        <v>288</v>
      </c>
      <c r="E28" s="24" t="n">
        <f aca="false">E24+E25+E26+E27</f>
        <v>7894.075</v>
      </c>
      <c r="F28" s="24" t="n">
        <f aca="false">F24+F25+F26+F27</f>
        <v>9451.15</v>
      </c>
      <c r="G28" s="24" t="n">
        <f aca="false">G24+G25+G26+G27</f>
        <v>9451.15</v>
      </c>
      <c r="H28" s="24" t="n">
        <f aca="false">H24+H25+H26+H27</f>
        <v>15679.45</v>
      </c>
      <c r="I28" s="24" t="n">
        <f aca="false">I24+I25+I26+I27</f>
        <v>21907.75</v>
      </c>
      <c r="J28" s="24" t="n">
        <f aca="false">J24+J25+J26+J27</f>
        <v>26743.283125</v>
      </c>
      <c r="K28" s="24" t="n">
        <f aca="false">K24+K25+K26+K27</f>
        <v>30258.582371875</v>
      </c>
      <c r="L28" s="24" t="n">
        <f aca="false">L24+L25+L26+L27</f>
        <v>32496.4754752422</v>
      </c>
      <c r="M28" s="24" t="n">
        <f aca="false">M24+M25+M26+M27</f>
        <v>33471.3697394995</v>
      </c>
    </row>
    <row r="29" customFormat="false" ht="17.15" hidden="false" customHeight="false" outlineLevel="0" collapsed="false">
      <c r="A29" s="4" t="s">
        <v>924</v>
      </c>
      <c r="B29" s="0" t="s">
        <v>288</v>
      </c>
      <c r="E29" s="24" t="n">
        <f aca="false">E28*ext_sh</f>
        <v>2368.2225</v>
      </c>
      <c r="F29" s="24" t="n">
        <f aca="false">F28*ext_sh</f>
        <v>2835.345</v>
      </c>
      <c r="G29" s="24" t="n">
        <f aca="false">G28*ext_sh</f>
        <v>2835.345</v>
      </c>
      <c r="H29" s="24" t="n">
        <f aca="false">H28*ext_sh</f>
        <v>4703.835</v>
      </c>
      <c r="I29" s="24" t="n">
        <f aca="false">I28*ext_sh</f>
        <v>6572.325</v>
      </c>
      <c r="J29" s="24" t="n">
        <f aca="false">J28*ext_sh</f>
        <v>8022.9849375</v>
      </c>
      <c r="K29" s="24" t="n">
        <f aca="false">K28*ext_sh</f>
        <v>9077.5747115625</v>
      </c>
      <c r="L29" s="24" t="n">
        <f aca="false">L28*ext_sh</f>
        <v>9748.94264257266</v>
      </c>
      <c r="M29" s="24" t="n">
        <f aca="false">M28*ext_sh</f>
        <v>10041.4109218498</v>
      </c>
      <c r="N29" s="7" t="s">
        <v>925</v>
      </c>
    </row>
    <row r="30" customFormat="false" ht="17.15" hidden="false" customHeight="false" outlineLevel="0" collapsed="false">
      <c r="A30" s="4" t="s">
        <v>926</v>
      </c>
      <c r="B30" s="0" t="s">
        <v>288</v>
      </c>
      <c r="E30" s="24" t="n">
        <f aca="false">(mw_ye25*mix0_h+E24)/2</f>
        <v>1401.25</v>
      </c>
      <c r="F30" s="24" t="n">
        <f aca="false">(E24+F24)/2</f>
        <v>1584.25</v>
      </c>
      <c r="G30" s="24" t="n">
        <f aca="false">(E30+F30)/2</f>
        <v>1492.75</v>
      </c>
      <c r="H30" s="24" t="n">
        <f aca="false">(F24+H24)/2</f>
        <v>1584.25</v>
      </c>
      <c r="I30" s="24" t="n">
        <f aca="false">(H24+I24)/2</f>
        <v>1584.25</v>
      </c>
      <c r="J30" s="24" t="n">
        <f aca="false">(I24+J24)/2</f>
        <v>1584.25</v>
      </c>
      <c r="K30" s="24" t="n">
        <f aca="false">(J24+K24)/2</f>
        <v>1584.25</v>
      </c>
      <c r="L30" s="24" t="n">
        <f aca="false">(K24+L24)/2</f>
        <v>1584.25</v>
      </c>
      <c r="M30" s="24" t="n">
        <f aca="false">(L24+M24)/2</f>
        <v>1584.25</v>
      </c>
    </row>
    <row r="31" customFormat="false" ht="17.15" hidden="false" customHeight="false" outlineLevel="0" collapsed="false">
      <c r="A31" s="4" t="s">
        <v>927</v>
      </c>
      <c r="B31" s="0" t="s">
        <v>288</v>
      </c>
      <c r="E31" s="24" t="n">
        <f aca="false">(mw_ye25*mix0_b2+E25)/2</f>
        <v>2522.25</v>
      </c>
      <c r="F31" s="24" t="n">
        <f aca="false">(E25+F25)/2</f>
        <v>2851.65</v>
      </c>
      <c r="G31" s="24" t="n">
        <f aca="false">(E31+F31)/2</f>
        <v>2686.95</v>
      </c>
      <c r="H31" s="24" t="n">
        <f aca="false">(F25+H25)/2</f>
        <v>2851.65</v>
      </c>
      <c r="I31" s="24" t="n">
        <f aca="false">(H25+I25)/2</f>
        <v>2851.65</v>
      </c>
      <c r="J31" s="24" t="n">
        <f aca="false">(I25+J25)/2</f>
        <v>2851.65</v>
      </c>
      <c r="K31" s="24" t="n">
        <f aca="false">(J25+K25)/2</f>
        <v>2851.65</v>
      </c>
      <c r="L31" s="24" t="n">
        <f aca="false">(K25+L25)/2</f>
        <v>2851.65</v>
      </c>
      <c r="M31" s="24" t="n">
        <f aca="false">(L25+M25)/2</f>
        <v>2851.65</v>
      </c>
    </row>
    <row r="32" customFormat="false" ht="17.15" hidden="false" customHeight="false" outlineLevel="0" collapsed="false">
      <c r="A32" s="4" t="s">
        <v>928</v>
      </c>
      <c r="B32" s="0" t="s">
        <v>288</v>
      </c>
      <c r="E32" s="24" t="n">
        <f aca="false">(mw_ye25*mix0_b3+E26)/2</f>
        <v>2460.0375</v>
      </c>
      <c r="F32" s="24" t="n">
        <f aca="false">(E26+F26)/2</f>
        <v>4236.7125</v>
      </c>
      <c r="G32" s="24" t="n">
        <f aca="false">(E32+F32)/2</f>
        <v>3348.375</v>
      </c>
      <c r="H32" s="24" t="n">
        <f aca="false">(F26+H26)/2</f>
        <v>6572.325</v>
      </c>
      <c r="I32" s="24" t="n">
        <f aca="false">(H26+I26)/2</f>
        <v>8129.4</v>
      </c>
      <c r="J32" s="24" t="n">
        <f aca="false">(I26+J26)/2</f>
        <v>8129.4</v>
      </c>
      <c r="K32" s="24" t="n">
        <f aca="false">(J26+K26)/2</f>
        <v>8129.4</v>
      </c>
      <c r="L32" s="24" t="n">
        <f aca="false">(K26+L26)/2</f>
        <v>8129.4</v>
      </c>
      <c r="M32" s="24" t="n">
        <f aca="false">(L26+M26)/2</f>
        <v>8129.4</v>
      </c>
    </row>
    <row r="33" customFormat="false" ht="17.15" hidden="false" customHeight="false" outlineLevel="0" collapsed="false">
      <c r="A33" s="4" t="s">
        <v>929</v>
      </c>
      <c r="B33" s="0" t="s">
        <v>288</v>
      </c>
      <c r="E33" s="24" t="n">
        <f aca="false">(mw_ye25*0+E27)/2</f>
        <v>0</v>
      </c>
      <c r="F33" s="24" t="n">
        <f aca="false">(E27+F27)/2</f>
        <v>0</v>
      </c>
      <c r="G33" s="24" t="n">
        <f aca="false">(E33+F33)/2</f>
        <v>0</v>
      </c>
      <c r="H33" s="24" t="n">
        <f aca="false">(F27+H27)/2</f>
        <v>1557.075</v>
      </c>
      <c r="I33" s="24" t="n">
        <f aca="false">(H27+I27)/2</f>
        <v>6228.3</v>
      </c>
      <c r="J33" s="24" t="n">
        <f aca="false">(I27+J27)/2</f>
        <v>11760.2165625</v>
      </c>
      <c r="K33" s="24" t="n">
        <f aca="false">(J27+K27)/2</f>
        <v>15935.6327484375</v>
      </c>
      <c r="L33" s="24" t="n">
        <f aca="false">(K27+L27)/2</f>
        <v>18812.2289235586</v>
      </c>
      <c r="M33" s="24" t="n">
        <f aca="false">(L27+M27)/2</f>
        <v>20418.6226073708</v>
      </c>
    </row>
    <row r="34" customFormat="false" ht="17.15" hidden="false" customHeight="false" outlineLevel="0" collapsed="false">
      <c r="A34" s="4" t="s">
        <v>930</v>
      </c>
      <c r="B34" s="0" t="s">
        <v>288</v>
      </c>
      <c r="E34" s="24" t="n">
        <f aca="false">E30+E31+E32+E33</f>
        <v>6383.5375</v>
      </c>
      <c r="F34" s="24" t="n">
        <f aca="false">F30+F31+F32+F33</f>
        <v>8672.6125</v>
      </c>
      <c r="G34" s="24" t="n">
        <f aca="false">G30+G31+G32+G33</f>
        <v>7528.075</v>
      </c>
      <c r="H34" s="24" t="n">
        <f aca="false">H30+H31+H32+H33</f>
        <v>12565.3</v>
      </c>
      <c r="I34" s="24" t="n">
        <f aca="false">I30+I31+I32+I33</f>
        <v>18793.6</v>
      </c>
      <c r="J34" s="24" t="n">
        <f aca="false">J30+J31+J32+J33</f>
        <v>24325.5165625</v>
      </c>
      <c r="K34" s="24" t="n">
        <f aca="false">K30+K31+K32+K33</f>
        <v>28500.9327484375</v>
      </c>
      <c r="L34" s="24" t="n">
        <f aca="false">L30+L31+L32+L33</f>
        <v>31377.5289235586</v>
      </c>
      <c r="M34" s="24" t="n">
        <f aca="false">M30+M31+M32+M33</f>
        <v>32983.9226073708</v>
      </c>
    </row>
    <row r="35" customFormat="false" ht="17.15" hidden="false" customHeight="false" outlineLevel="0" collapsed="false">
      <c r="A35" s="4" t="s">
        <v>931</v>
      </c>
      <c r="B35" s="0" t="s">
        <v>288</v>
      </c>
      <c r="E35" s="24" t="n">
        <f aca="false">E34*ext_sh</f>
        <v>1915.06125</v>
      </c>
      <c r="F35" s="24" t="n">
        <f aca="false">F34*ext_sh</f>
        <v>2601.78375</v>
      </c>
      <c r="G35" s="24" t="n">
        <f aca="false">G34*ext_sh</f>
        <v>2258.4225</v>
      </c>
      <c r="H35" s="24" t="n">
        <f aca="false">H34*ext_sh</f>
        <v>3769.59</v>
      </c>
      <c r="I35" s="24" t="n">
        <f aca="false">I34*ext_sh</f>
        <v>5638.08</v>
      </c>
      <c r="J35" s="24" t="n">
        <f aca="false">J34*ext_sh</f>
        <v>7297.65496875</v>
      </c>
      <c r="K35" s="24" t="n">
        <f aca="false">K34*ext_sh</f>
        <v>8550.27982453125</v>
      </c>
      <c r="L35" s="24" t="n">
        <f aca="false">L34*ext_sh</f>
        <v>9413.25867706758</v>
      </c>
      <c r="M35" s="24" t="n">
        <f aca="false">M34*ext_sh</f>
        <v>9895.17678221125</v>
      </c>
    </row>
    <row r="37" customFormat="false" ht="17.15" hidden="false" customHeight="false" outlineLevel="0" collapsed="false">
      <c r="A37" s="5" t="s">
        <v>932</v>
      </c>
    </row>
    <row r="38" customFormat="false" ht="17.15" hidden="false" customHeight="false" outlineLevel="0" collapsed="false">
      <c r="A38" s="0" t="s">
        <v>933</v>
      </c>
      <c r="B38" s="0" t="s">
        <v>81</v>
      </c>
      <c r="E38" s="25" t="n">
        <f aca="false">ext_sh*k_blend*tpu_adj*(E30*he_h+E31*he_b2+E32*he_b3+E33*he_vr)/1000*0.75</f>
        <v>13.1190558790519</v>
      </c>
      <c r="F38" s="25" t="n">
        <f aca="false">ext_sh*k_blend*tpu_adj*(F30*he_h+F31*he_b2+F32*he_b3+F33*he_vr)/1000*0.25</f>
        <v>6.05015497275625</v>
      </c>
      <c r="G38" s="25" t="n">
        <f aca="false">E38+F38</f>
        <v>19.1692108518081</v>
      </c>
      <c r="H38" s="25" t="n">
        <f aca="false">ext_sh*k_blend*tpu_adj*(H30*he_h+H31*he_b2+H32*he_b3+H33*he_vr)/1000*1</f>
        <v>36.6157989143902</v>
      </c>
      <c r="I38" s="25" t="n">
        <f aca="false">ext_sh*k_blend*tpu_adj*(I30*he_h+I31*he_b2+I32*he_b3+I33*he_vr)/1000*1</f>
        <v>57.2951603365358</v>
      </c>
      <c r="J38" s="25" t="n">
        <f aca="false">ext_sh*k_blend*tpu_adj*(J30*he_h+J31*he_b2+J32*he_b3+J33*he_vr)/1000*1</f>
        <v>76.1794729031624</v>
      </c>
      <c r="K38" s="25" t="n">
        <f aca="false">ext_sh*k_blend*tpu_adj*(K30*he_h+K31*he_b2+K32*he_b3+K33*he_vr)/1000*1</f>
        <v>90.4330979280781</v>
      </c>
      <c r="L38" s="25" t="n">
        <f aca="false">ext_sh*k_blend*tpu_adj*(L30*he_h+L31*he_b2+L32*he_b3+L33*he_vr)/1000*1</f>
        <v>100.252938969643</v>
      </c>
      <c r="M38" s="25" t="n">
        <f aca="false">ext_sh*k_blend*tpu_adj*(M30*he_h+M31*he_b2+M32*he_b3+M33*he_vr)/1000*1</f>
        <v>105.736687700744</v>
      </c>
      <c r="N38" s="4" t="s">
        <v>934</v>
      </c>
    </row>
    <row r="39" customFormat="false" ht="17.15" hidden="false" customHeight="false" outlineLevel="0" collapsed="false">
      <c r="A39" s="4" t="s">
        <v>935</v>
      </c>
      <c r="B39" s="0" t="s">
        <v>364</v>
      </c>
      <c r="E39" s="23" t="n">
        <f aca="false">E38/(E35*0.75)*1000</f>
        <v>9.1339504182451</v>
      </c>
      <c r="F39" s="23" t="n">
        <f aca="false">F38/(F35*0.25)*1000</f>
        <v>9.30154932785056</v>
      </c>
      <c r="H39" s="23" t="n">
        <f aca="false">H38/(H35*1)*1000</f>
        <v>9.71346987719889</v>
      </c>
      <c r="I39" s="23" t="n">
        <f aca="false">I38/(I35*1)*1000</f>
        <v>10.1621758358405</v>
      </c>
      <c r="J39" s="23" t="n">
        <f aca="false">J38/(J35*1)*1000</f>
        <v>10.4388975951012</v>
      </c>
      <c r="K39" s="23" t="n">
        <f aca="false">K38/(K35*1)*1000</f>
        <v>10.5766243659793</v>
      </c>
      <c r="L39" s="23" t="n">
        <f aca="false">L38/(L35*1)*1000</f>
        <v>10.6501842145141</v>
      </c>
      <c r="M39" s="23" t="n">
        <f aca="false">M38/(M35*1)*1000</f>
        <v>10.6856795010301</v>
      </c>
    </row>
    <row r="40" customFormat="false" ht="17.15" hidden="false" customHeight="false" outlineLevel="0" collapsed="false">
      <c r="A40" s="0" t="s">
        <v>936</v>
      </c>
      <c r="B40" s="0" t="s">
        <v>81</v>
      </c>
      <c r="E40" s="25" t="n">
        <f aca="false">ext_sh*(E30*opx_h+E31*opx_b2+E32*opx_b3+E33*opx_vr)/1000*0.75</f>
        <v>2.72005882222197</v>
      </c>
      <c r="F40" s="25" t="n">
        <f aca="false">ext_sh*(F30*opx_h+F31*opx_b2+F32*opx_b3+F33*opx_vr)/1000*0.25</f>
        <v>1.24151187304787</v>
      </c>
      <c r="G40" s="25" t="n">
        <f aca="false">E40+F40</f>
        <v>3.96157069526984</v>
      </c>
      <c r="H40" s="25" t="n">
        <f aca="false">ext_sh*(H30*opx_h+H31*opx_b2+H32*opx_b3+H33*opx_vr)/1000*1</f>
        <v>7.3331663622135</v>
      </c>
      <c r="I40" s="25" t="n">
        <f aca="false">ext_sh*(I30*opx_h+I31*opx_b2+I32*opx_b3+I33*opx_vr)/1000*1</f>
        <v>11.1930563155186</v>
      </c>
      <c r="J40" s="25" t="n">
        <f aca="false">ext_sh*(J30*opx_h+J31*opx_b2+J32*opx_b3+J33*opx_vr)/1000*1</f>
        <v>14.6673691246901</v>
      </c>
      <c r="K40" s="25" t="n">
        <f aca="false">ext_sh*(K30*opx_h+K31*opx_b2+K32*opx_b3+K33*opx_vr)/1000*1</f>
        <v>17.2897336839757</v>
      </c>
      <c r="L40" s="25" t="n">
        <f aca="false">ext_sh*(L30*opx_h+L31*opx_b2+L32*opx_b3+L33*opx_vr)/1000*1</f>
        <v>19.0963760700496</v>
      </c>
      <c r="M40" s="25" t="n">
        <f aca="false">ext_sh*(M30*opx_h+M31*opx_b2+M32*opx_b3+M33*opx_vr)/1000*1</f>
        <v>20.1052694778198</v>
      </c>
    </row>
    <row r="41" customFormat="false" ht="15" hidden="false" customHeight="false" outlineLevel="0" collapsed="false">
      <c r="A41" s="0" t="s">
        <v>937</v>
      </c>
      <c r="B41" s="0" t="s">
        <v>81</v>
      </c>
      <c r="E41" s="25" t="n">
        <f aca="false">E38-E40</f>
        <v>10.3989970568299</v>
      </c>
      <c r="F41" s="25" t="n">
        <f aca="false">F38-F40</f>
        <v>4.80864309970838</v>
      </c>
      <c r="G41" s="25" t="n">
        <f aca="false">G38-G40</f>
        <v>15.2076401565383</v>
      </c>
      <c r="H41" s="25" t="n">
        <f aca="false">H38-H40</f>
        <v>29.2826325521767</v>
      </c>
      <c r="I41" s="25" t="n">
        <f aca="false">I38-I40</f>
        <v>46.1021040210172</v>
      </c>
      <c r="J41" s="25" t="n">
        <f aca="false">J38-J40</f>
        <v>61.5121037784723</v>
      </c>
      <c r="K41" s="25" t="n">
        <f aca="false">K38-K40</f>
        <v>73.1433642441024</v>
      </c>
      <c r="L41" s="25" t="n">
        <f aca="false">L38-L40</f>
        <v>81.1565628995932</v>
      </c>
      <c r="M41" s="25" t="n">
        <f aca="false">M38-M40</f>
        <v>85.6314182229238</v>
      </c>
    </row>
    <row r="42" customFormat="false" ht="17.15" hidden="false" customHeight="false" outlineLevel="0" collapsed="false">
      <c r="A42" s="0" t="s">
        <v>938</v>
      </c>
      <c r="B42" s="0" t="s">
        <v>106</v>
      </c>
      <c r="E42" s="14" t="n">
        <f aca="false">E41/E38</f>
        <v>0.79266352340451</v>
      </c>
      <c r="F42" s="14" t="n">
        <f aca="false">F41/F38</f>
        <v>0.794796682293531</v>
      </c>
      <c r="G42" s="14" t="n">
        <f aca="false">G41/G38</f>
        <v>0.79333678752372</v>
      </c>
      <c r="H42" s="14" t="n">
        <f aca="false">H41/H38</f>
        <v>0.799726714160768</v>
      </c>
      <c r="I42" s="14" t="n">
        <f aca="false">I41/I38</f>
        <v>0.804642202765928</v>
      </c>
      <c r="J42" s="14" t="n">
        <f aca="false">J41/J38</f>
        <v>0.80746297439817</v>
      </c>
      <c r="K42" s="14" t="n">
        <f aca="false">K41/K38</f>
        <v>0.808811883258425</v>
      </c>
      <c r="L42" s="14" t="n">
        <f aca="false">L41/L38</f>
        <v>0.809518042400412</v>
      </c>
      <c r="M42" s="14" t="n">
        <f aca="false">M41/M38</f>
        <v>0.809855312143673</v>
      </c>
    </row>
    <row r="43" customFormat="false" ht="17.15" hidden="false" customHeight="false" outlineLevel="0" collapsed="false">
      <c r="A43" s="4" t="s">
        <v>939</v>
      </c>
      <c r="B43" s="0" t="s">
        <v>106</v>
      </c>
      <c r="E43" s="14" t="n">
        <f aca="false">E39/((E30*cap_h+E31*cap_b2+E32*cap_b3+E33*cap_vr)/E34)</f>
        <v>0.303968255109232</v>
      </c>
      <c r="F43" s="14" t="n">
        <f aca="false">F39/((F30*cap_h+F31*cap_b2+F32*cap_b3+F33*cap_vr)/F34)</f>
        <v>0.292829687075051</v>
      </c>
      <c r="H43" s="14" t="n">
        <f aca="false">H39/((H30*cap_h+H31*cap_b2+H32*cap_b3+H33*cap_vr)/H34)</f>
        <v>0.258125958903615</v>
      </c>
      <c r="I43" s="14" t="n">
        <f aca="false">I39/((I30*cap_h+I31*cap_b2+I32*cap_b3+I33*cap_vr)/I34)</f>
        <v>0.225893259381764</v>
      </c>
      <c r="J43" s="14" t="n">
        <f aca="false">J39/((J30*cap_h+J31*cap_b2+J32*cap_b3+J33*cap_vr)/J34)</f>
        <v>0.209431808243564</v>
      </c>
      <c r="K43" s="14" t="n">
        <f aca="false">K39/((K30*cap_h+K31*cap_b2+K32*cap_b3+K33*cap_vr)/K34)</f>
        <v>0.202379268422853</v>
      </c>
      <c r="L43" s="14" t="n">
        <f aca="false">L39/((L30*cap_h+L31*cap_b2+L32*cap_b3+L33*cap_vr)/L34)</f>
        <v>0.198873368515133</v>
      </c>
      <c r="M43" s="14" t="n">
        <f aca="false">M39/((M30*cap_h+M31*cap_b2+M32*cap_b3+M33*cap_vr)/M34)</f>
        <v>0.197241420169675</v>
      </c>
      <c r="N43" s="7" t="s">
        <v>940</v>
      </c>
    </row>
    <row r="45" customFormat="false" ht="17.15" hidden="false" customHeight="false" outlineLevel="0" collapsed="false">
      <c r="A45" s="5" t="s">
        <v>941</v>
      </c>
    </row>
    <row r="46" customFormat="false" ht="17.15" hidden="false" customHeight="false" outlineLevel="0" collapsed="false">
      <c r="A46" s="0" t="s">
        <v>942</v>
      </c>
      <c r="B46" s="0" t="s">
        <v>81</v>
      </c>
      <c r="F46" s="25" t="n">
        <f aca="false">F23*(0*cit_h+0*cit_b2+am_26*cit_b3+(1-am_26)*cit_vr)*tpu_adjc/1000</f>
        <v>38.901726058845</v>
      </c>
      <c r="G46" s="25" t="n">
        <f aca="false">F46</f>
        <v>38.901726058845</v>
      </c>
      <c r="H46" s="25" t="n">
        <f aca="false">H23*(0*cit_h+0*cit_b2+am_27*cit_b3+(1-am_27)*cit_vr)*tpu_adjc/1000</f>
        <v>168.51684413031</v>
      </c>
      <c r="I46" s="25" t="n">
        <f aca="false">I23*(0*cit_h+0*cit_b2+(1-am_28)*cit_b3+am_28*cit_vr)*tpu_adjc/1000</f>
        <v>181.42678402524</v>
      </c>
      <c r="J46" s="25" t="n">
        <f aca="false">J23*(0*cit_h+0*cit_b2+(1-am_28)*cit_b3+am_28*cit_vr)*tpu_adjc/1000</f>
        <v>140.85628886153</v>
      </c>
      <c r="K46" s="25" t="n">
        <f aca="false">K23*(0*cit_h+0*cit_b2+(1-am_28)*cit_b3+am_28*cit_vr)*tpu_adjc/1000</f>
        <v>102.398638030743</v>
      </c>
      <c r="L46" s="25" t="n">
        <f aca="false">L23*(0*cit_h+0*cit_b2+(1-am_28)*cit_b3+am_28*cit_vr)*tpu_adjc/1000</f>
        <v>65.1885343891869</v>
      </c>
      <c r="M46" s="25" t="n">
        <f aca="false">M23*(0*cit_h+0*cit_b2+(1-am_28)*cit_b3+am_28*cit_vr)*tpu_adjc/1000</f>
        <v>28.3981072088448</v>
      </c>
    </row>
    <row r="47" customFormat="false" ht="17.15" hidden="false" customHeight="false" outlineLevel="0" collapsed="false">
      <c r="A47" s="0" t="s">
        <v>943</v>
      </c>
      <c r="B47" s="0" t="s">
        <v>81</v>
      </c>
      <c r="F47" s="25" t="n">
        <f aca="false">F23*selfb*cfac/1000</f>
        <v>16.7689192125</v>
      </c>
      <c r="G47" s="25" t="n">
        <f aca="false">F47</f>
        <v>16.7689192125</v>
      </c>
      <c r="H47" s="25" t="n">
        <f aca="false">H23*selfb*cfac/1000</f>
        <v>67.07567685</v>
      </c>
      <c r="I47" s="25" t="n">
        <f aca="false">I23*selfb*cfac/1000</f>
        <v>67.07567685</v>
      </c>
      <c r="J47" s="25" t="n">
        <f aca="false">J23*selfb*cfac/1000</f>
        <v>52.0762739896875</v>
      </c>
      <c r="K47" s="25" t="n">
        <f aca="false">K23*selfb*cfac/1000</f>
        <v>37.8580152392203</v>
      </c>
      <c r="L47" s="25" t="n">
        <f aca="false">L23*selfb*cfac/1000</f>
        <v>24.1009897767129</v>
      </c>
      <c r="M47" s="25" t="n">
        <f aca="false">M23*selfb*cfac/1000</f>
        <v>10.4991237789186</v>
      </c>
    </row>
    <row r="48" customFormat="false" ht="17.15" hidden="false" customHeight="false" outlineLevel="0" collapsed="false">
      <c r="A48" s="4" t="s">
        <v>944</v>
      </c>
      <c r="B48" s="0" t="s">
        <v>288</v>
      </c>
      <c r="F48" s="26" t="n">
        <v>0</v>
      </c>
      <c r="G48" s="24" t="n">
        <f aca="false">F48</f>
        <v>0</v>
      </c>
      <c r="H48" s="26" t="n">
        <v>0</v>
      </c>
      <c r="I48" s="26" t="n">
        <v>0</v>
      </c>
      <c r="J48" s="24" t="n">
        <f aca="false">mw_ye23</f>
        <v>636.7</v>
      </c>
      <c r="K48" s="24" t="n">
        <f aca="false">mw_ye24-mw_ye23</f>
        <v>1506.6</v>
      </c>
      <c r="L48" s="24" t="n">
        <f aca="false">mw_ye25-mw_ye24</f>
        <v>2729.7</v>
      </c>
      <c r="M48" s="24" t="n">
        <f aca="false">mw_tot0-mw_ye25+F23</f>
        <v>4578.15</v>
      </c>
      <c r="N48" s="7" t="s">
        <v>945</v>
      </c>
    </row>
    <row r="49" customFormat="false" ht="17.15" hidden="false" customHeight="false" outlineLevel="0" collapsed="false">
      <c r="A49" s="0" t="s">
        <v>946</v>
      </c>
      <c r="B49" s="0" t="s">
        <v>81</v>
      </c>
      <c r="F49" s="25" t="n">
        <f aca="false">F48*cit_vr*tpu_adjc/1000</f>
        <v>0</v>
      </c>
      <c r="G49" s="25" t="n">
        <f aca="false">F49</f>
        <v>0</v>
      </c>
      <c r="H49" s="25" t="n">
        <f aca="false">H48*cit_vr*tpu_adjc/1000</f>
        <v>0</v>
      </c>
      <c r="I49" s="25" t="n">
        <f aca="false">I48*cit_vr*tpu_adjc/1000</f>
        <v>0</v>
      </c>
      <c r="J49" s="25" t="n">
        <f aca="false">J48*cit_vr*tpu_adjc/1000</f>
        <v>18.54670349676</v>
      </c>
      <c r="K49" s="25" t="n">
        <f aca="false">K48*cit_vr*tpu_adjc/1000</f>
        <v>43.88638839048</v>
      </c>
      <c r="L49" s="25" t="n">
        <f aca="false">L48*cit_vr*tpu_adjc/1000</f>
        <v>79.51458541716</v>
      </c>
      <c r="M49" s="25" t="n">
        <f aca="false">M48*cit_vr*tpu_adjc/1000</f>
        <v>133.35886699182</v>
      </c>
    </row>
    <row r="50" customFormat="false" ht="17.15" hidden="false" customHeight="false" outlineLevel="0" collapsed="false">
      <c r="A50" s="0" t="s">
        <v>947</v>
      </c>
      <c r="B50" s="0" t="s">
        <v>81</v>
      </c>
      <c r="F50" s="25" t="n">
        <f aca="false">F46+F47+F49</f>
        <v>55.670645271345</v>
      </c>
      <c r="G50" s="25" t="n">
        <f aca="false">G46+G47+G49</f>
        <v>55.670645271345</v>
      </c>
      <c r="H50" s="25" t="n">
        <f aca="false">H46+H47+H49</f>
        <v>235.59252098031</v>
      </c>
      <c r="I50" s="25" t="n">
        <f aca="false">I46+I47+I49</f>
        <v>248.50246087524</v>
      </c>
      <c r="J50" s="25" t="n">
        <f aca="false">J46+J47+J49</f>
        <v>211.479266347978</v>
      </c>
      <c r="K50" s="25" t="n">
        <f aca="false">K46+K47+K49</f>
        <v>184.143041660444</v>
      </c>
      <c r="L50" s="25" t="n">
        <f aca="false">L46+L47+L49</f>
        <v>168.80410958306</v>
      </c>
      <c r="M50" s="25" t="n">
        <f aca="false">M46+M47+M49</f>
        <v>172.256097979583</v>
      </c>
    </row>
    <row r="51" customFormat="false" ht="17.15" hidden="false" customHeight="false" outlineLevel="0" collapsed="false">
      <c r="A51" s="0" t="s">
        <v>948</v>
      </c>
      <c r="B51" s="0" t="s">
        <v>81</v>
      </c>
      <c r="F51" s="25" t="n">
        <f aca="false">MAX(0,capex_g-capex_1h-(F50+Seg!F70))</f>
        <v>0.000326809473421008</v>
      </c>
      <c r="G51" s="25" t="n">
        <f aca="false">F51</f>
        <v>0.000326809473421008</v>
      </c>
      <c r="N51" s="7" t="s">
        <v>949</v>
      </c>
    </row>
    <row r="52" customFormat="false" ht="17.15" hidden="false" customHeight="false" outlineLevel="0" collapsed="false">
      <c r="A52" s="5" t="s">
        <v>950</v>
      </c>
      <c r="B52" s="7" t="s">
        <v>81</v>
      </c>
      <c r="F52" s="25" t="n">
        <f aca="false">F50+F51</f>
        <v>55.6709720808184</v>
      </c>
      <c r="G52" s="25" t="n">
        <f aca="false">F52</f>
        <v>55.6709720808184</v>
      </c>
      <c r="H52" s="25" t="n">
        <f aca="false">H50</f>
        <v>235.59252098031</v>
      </c>
      <c r="I52" s="25" t="n">
        <f aca="false">I50</f>
        <v>248.50246087524</v>
      </c>
      <c r="J52" s="25" t="n">
        <f aca="false">J50</f>
        <v>211.479266347978</v>
      </c>
      <c r="K52" s="25" t="n">
        <f aca="false">K50</f>
        <v>184.143041660444</v>
      </c>
      <c r="L52" s="25" t="n">
        <f aca="false">L50</f>
        <v>168.80410958306</v>
      </c>
      <c r="M52" s="25" t="n">
        <f aca="false">M50</f>
        <v>172.256097979583</v>
      </c>
    </row>
    <row r="53" customFormat="false" ht="17.15" hidden="false" customHeight="false" outlineLevel="0" collapsed="false">
      <c r="A53" s="0" t="s">
        <v>951</v>
      </c>
      <c r="B53" s="0" t="s">
        <v>126</v>
      </c>
      <c r="F53" s="23" t="n">
        <f aca="false">F38/F52</f>
        <v>0.108677013291112</v>
      </c>
      <c r="H53" s="23" t="n">
        <f aca="false">H38/H52</f>
        <v>0.155420039490347</v>
      </c>
      <c r="I53" s="23" t="n">
        <f aca="false">I38/I52</f>
        <v>0.230561742265002</v>
      </c>
      <c r="J53" s="23" t="n">
        <f aca="false">J38/J52</f>
        <v>0.360221946192177</v>
      </c>
      <c r="K53" s="23" t="n">
        <f aca="false">K38/K52</f>
        <v>0.491102444668178</v>
      </c>
      <c r="L53" s="23" t="n">
        <f aca="false">L38/L52</f>
        <v>0.593901056184379</v>
      </c>
      <c r="M53" s="23" t="n">
        <f aca="false">M38/M52</f>
        <v>0.613834220912609</v>
      </c>
    </row>
    <row r="55" customFormat="false" ht="17.15" hidden="false" customHeight="false" outlineLevel="0" collapsed="false">
      <c r="A55" s="5" t="s">
        <v>952</v>
      </c>
    </row>
    <row r="56" customFormat="false" ht="17.15" hidden="false" customHeight="false" outlineLevel="0" collapsed="false">
      <c r="A56" s="4" t="s">
        <v>953</v>
      </c>
    </row>
    <row r="57" customFormat="false" ht="17.15" hidden="false" customHeight="false" outlineLevel="0" collapsed="false">
      <c r="A57" s="4" t="s">
        <v>954</v>
      </c>
      <c r="B57" s="0" t="s">
        <v>81</v>
      </c>
      <c r="F57" s="25" t="n">
        <f aca="false">cip_0*cip_it</f>
        <v>92.65685</v>
      </c>
    </row>
    <row r="58" customFormat="false" ht="17.15" hidden="false" customHeight="false" outlineLevel="0" collapsed="false">
      <c r="A58" s="4" t="s">
        <v>955</v>
      </c>
      <c r="B58" s="0" t="s">
        <v>81</v>
      </c>
      <c r="F58" s="25" t="n">
        <f aca="false">cip_0*(1-cip_it)</f>
        <v>49.89215</v>
      </c>
    </row>
    <row r="59" customFormat="false" ht="17.15" hidden="false" customHeight="false" outlineLevel="0" collapsed="false">
      <c r="A59" s="0" t="s">
        <v>956</v>
      </c>
      <c r="B59" s="0" t="s">
        <v>81</v>
      </c>
      <c r="F59" s="25" t="n">
        <f aca="false">F46+F49+F51</f>
        <v>38.9020528683184</v>
      </c>
      <c r="H59" s="25" t="n">
        <f aca="false">H46+H49</f>
        <v>168.51684413031</v>
      </c>
      <c r="I59" s="25" t="n">
        <f aca="false">I46+I49</f>
        <v>181.42678402524</v>
      </c>
      <c r="J59" s="25" t="n">
        <f aca="false">J46+J49</f>
        <v>159.40299235829</v>
      </c>
      <c r="K59" s="25" t="n">
        <f aca="false">K46+K49</f>
        <v>146.285026421223</v>
      </c>
      <c r="L59" s="25" t="n">
        <f aca="false">L46+L49</f>
        <v>144.703119806347</v>
      </c>
      <c r="M59" s="25" t="n">
        <f aca="false">M46+M49</f>
        <v>161.756974200665</v>
      </c>
    </row>
    <row r="60" customFormat="false" ht="15" hidden="false" customHeight="false" outlineLevel="0" collapsed="false">
      <c r="A60" s="4" t="s">
        <v>957</v>
      </c>
      <c r="B60" s="0" t="s">
        <v>81</v>
      </c>
      <c r="F60" s="25" t="n">
        <f aca="false">F47</f>
        <v>16.7689192125</v>
      </c>
      <c r="H60" s="25" t="n">
        <f aca="false">H47</f>
        <v>67.07567685</v>
      </c>
      <c r="I60" s="25" t="n">
        <f aca="false">I47</f>
        <v>67.07567685</v>
      </c>
      <c r="J60" s="25" t="n">
        <f aca="false">J47</f>
        <v>52.0762739896875</v>
      </c>
      <c r="K60" s="25" t="n">
        <f aca="false">K47</f>
        <v>37.8580152392203</v>
      </c>
      <c r="L60" s="25" t="n">
        <f aca="false">L47</f>
        <v>24.1009897767129</v>
      </c>
      <c r="M60" s="25" t="n">
        <f aca="false">M47</f>
        <v>10.4991237789186</v>
      </c>
    </row>
    <row r="61" customFormat="false" ht="17.15" hidden="false" customHeight="false" outlineLevel="0" collapsed="false">
      <c r="A61" s="4" t="s">
        <v>958</v>
      </c>
      <c r="B61" s="0" t="s">
        <v>81</v>
      </c>
      <c r="F61" s="25" t="n">
        <f aca="false">$F$57/life_it*IF((0)&lt;0,0,IF((0)=0,phi_0,IF((0)&lt;life_it,1,IF((0)=life_it,1-phi_0,0))))+$F$59/life_it*IF((0-cip_lag)&lt;0,0,IF((0-cip_lag)=0,phi_0,IF((0-cip_lag)&lt;life_it,1,IF((0-cip_lag)=life_it,1-phi_0,0))))</f>
        <v>5.4816209528466</v>
      </c>
      <c r="G61" s="25" t="n">
        <f aca="false">F61</f>
        <v>5.4816209528466</v>
      </c>
      <c r="H61" s="25" t="n">
        <f aca="false">$F$57/life_it*IF((1)&lt;0,0,IF((1)=0,phi_0,IF((1)&lt;life_it,1,IF((1)=life_it,1-phi_0,0))))+$F$59/life_it*IF((1-cip_lag)&lt;0,0,IF((1-cip_lag)=0,phi_0,IF((1-cip_lag)&lt;life_it,1,IF((1-cip_lag)=life_it,1-phi_0,0))))+$H$59/life_it*IF((0-cip_lag)&lt;0,0,IF((0-cip_lag)=0,phi_0,IF((0-cip_lag)&lt;life_it,1,IF((0-cip_lag)=life_it,1-phi_0,0))))</f>
        <v>28.9480189834827</v>
      </c>
      <c r="I61" s="25" t="n">
        <f aca="false">$F$57/life_it*IF((2)&lt;0,0,IF((2)=0,phi_0,IF((2)&lt;life_it,1,IF((2)=life_it,1-phi_0,0))))+$F$59/life_it*IF((2-cip_lag)&lt;0,0,IF((2-cip_lag)=0,phi_0,IF((2-cip_lag)&lt;life_it,1,IF((2-cip_lag)=life_it,1-phi_0,0))))+$H$59/life_it*IF((1-cip_lag)&lt;0,0,IF((1-cip_lag)=0,phi_0,IF((1-cip_lag)&lt;life_it,1,IF((1-cip_lag)=life_it,1-phi_0,0))))+$I$59/life_it*IF((0-cip_lag)&lt;0,0,IF((0-cip_lag)=0,phi_0,IF((0-cip_lag)&lt;life_it,1,IF((0-cip_lag)=life_it,1-phi_0,0))))</f>
        <v>57.5720738341564</v>
      </c>
      <c r="J61" s="25" t="n">
        <f aca="false">$F$57/life_it*IF((3)&lt;0,0,IF((3)=0,phi_0,IF((3)&lt;life_it,1,IF((3)=life_it,1-phi_0,0))))+$F$59/life_it*IF((3-cip_lag)&lt;0,0,IF((3-cip_lag)=0,phi_0,IF((3-cip_lag)&lt;life_it,1,IF((3-cip_lag)=life_it,1-phi_0,0))))+$H$59/life_it*IF((2-cip_lag)&lt;0,0,IF((2-cip_lag)=0,phi_0,IF((2-cip_lag)&lt;life_it,1,IF((2-cip_lag)=life_it,1-phi_0,0))))+$I$59/life_it*IF((1-cip_lag)&lt;0,0,IF((1-cip_lag)=0,phi_0,IF((1-cip_lag)&lt;life_it,1,IF((1-cip_lag)=life_it,1-phi_0,0))))+$J$59/life_it*IF((0-cip_lag)&lt;0,0,IF((0-cip_lag)=0,phi_0,IF((0-cip_lag)&lt;life_it,1,IF((0-cip_lag)=life_it,1-phi_0,0))))</f>
        <v>86.8922131855735</v>
      </c>
      <c r="K61" s="25" t="n">
        <f aca="false">$F$57/life_it*IF((4)&lt;0,0,IF((4)=0,phi_0,IF((4)&lt;life_it,1,IF((4)=life_it,1-phi_0,0))))+$F$59/life_it*IF((4-cip_lag)&lt;0,0,IF((4-cip_lag)=0,phi_0,IF((4-cip_lag)&lt;life_it,1,IF((4-cip_lag)=life_it,1-phi_0,0))))+$H$59/life_it*IF((3-cip_lag)&lt;0,0,IF((3-cip_lag)=0,phi_0,IF((3-cip_lag)&lt;life_it,1,IF((3-cip_lag)=life_it,1-phi_0,0))))+$I$59/life_it*IF((2-cip_lag)&lt;0,0,IF((2-cip_lag)=0,phi_0,IF((2-cip_lag)&lt;life_it,1,IF((2-cip_lag)=life_it,1-phi_0,0))))+$J$59/life_it*IF((1-cip_lag)&lt;0,0,IF((1-cip_lag)=0,phi_0,IF((1-cip_lag)&lt;life_it,1,IF((1-cip_lag)=life_it,1-phi_0,0))))+$K$59/life_it*IF((0-cip_lag)&lt;0,0,IF((0-cip_lag)=0,phi_0,IF((0-cip_lag)&lt;life_it,1,IF((0-cip_lag)=life_it,1-phi_0,0))))</f>
        <v>112.912796664577</v>
      </c>
      <c r="L61" s="25" t="n">
        <f aca="false">$F$57/life_it*IF((5)&lt;0,0,IF((5)=0,phi_0,IF((5)&lt;life_it,1,IF((5)=life_it,1-phi_0,0))))+$F$59/life_it*IF((5-cip_lag)&lt;0,0,IF((5-cip_lag)=0,phi_0,IF((5-cip_lag)&lt;life_it,1,IF((5-cip_lag)=life_it,1-phi_0,0))))+$H$59/life_it*IF((4-cip_lag)&lt;0,0,IF((4-cip_lag)=0,phi_0,IF((4-cip_lag)&lt;life_it,1,IF((4-cip_lag)=life_it,1-phi_0,0))))+$I$59/life_it*IF((3-cip_lag)&lt;0,0,IF((3-cip_lag)=0,phi_0,IF((3-cip_lag)&lt;life_it,1,IF((3-cip_lag)=life_it,1-phi_0,0))))+$J$59/life_it*IF((2-cip_lag)&lt;0,0,IF((2-cip_lag)=0,phi_0,IF((2-cip_lag)&lt;life_it,1,IF((2-cip_lag)=life_it,1-phi_0,0))))+$K$59/life_it*IF((1-cip_lag)&lt;0,0,IF((1-cip_lag)=0,phi_0,IF((1-cip_lag)&lt;life_it,1,IF((1-cip_lag)=life_it,1-phi_0,0))))+$L$59/life_it*IF((0-cip_lag)&lt;0,0,IF((0-cip_lag)=0,phi_0,IF((0-cip_lag)&lt;life_it,1,IF((0-cip_lag)=life_it,1-phi_0,0))))</f>
        <v>137.227721625828</v>
      </c>
      <c r="M61" s="25" t="n">
        <f aca="false">$F$57/life_it*IF((6)&lt;0,0,IF((6)=0,phi_0,IF((6)&lt;life_it,1,IF((6)=life_it,1-phi_0,0))))+$F$59/life_it*IF((6-cip_lag)&lt;0,0,IF((6-cip_lag)=0,phi_0,IF((6-cip_lag)&lt;life_it,1,IF((6-cip_lag)=life_it,1-phi_0,0))))+$H$59/life_it*IF((5-cip_lag)&lt;0,0,IF((5-cip_lag)=0,phi_0,IF((5-cip_lag)&lt;life_it,1,IF((5-cip_lag)=life_it,1-phi_0,0))))+$I$59/life_it*IF((4-cip_lag)&lt;0,0,IF((4-cip_lag)=0,phi_0,IF((4-cip_lag)&lt;life_it,1,IF((4-cip_lag)=life_it,1-phi_0,0))))+$J$59/life_it*IF((3-cip_lag)&lt;0,0,IF((3-cip_lag)=0,phi_0,IF((3-cip_lag)&lt;life_it,1,IF((3-cip_lag)=life_it,1-phi_0,0))))+$K$59/life_it*IF((2-cip_lag)&lt;0,0,IF((2-cip_lag)=0,phi_0,IF((2-cip_lag)&lt;life_it,1,IF((2-cip_lag)=life_it,1-phi_0,0))))+$L$59/life_it*IF((1-cip_lag)&lt;0,0,IF((1-cip_lag)=0,phi_0,IF((1-cip_lag)&lt;life_it,1,IF((1-cip_lag)=life_it,1-phi_0,0))))+$M$59/life_it*IF((0-cip_lag)&lt;0,0,IF((0-cip_lag)=0,phi_0,IF((0-cip_lag)&lt;life_it,1,IF((0-cip_lag)=life_it,1-phi_0,0))))</f>
        <v>156.573864573803</v>
      </c>
    </row>
    <row r="62" customFormat="false" ht="17.15" hidden="false" customHeight="false" outlineLevel="0" collapsed="false">
      <c r="A62" s="4" t="s">
        <v>959</v>
      </c>
      <c r="B62" s="0" t="s">
        <v>81</v>
      </c>
      <c r="F62" s="25" t="n">
        <f aca="false">$F$58/life_fac*IF((0)&lt;0,0,IF((0)=0,phi_0,IF((0)&lt;life_fac,1,IF((0)=life_fac,1-phi_0,0))))+$F$60/life_fac*IF((0-cip_lag)&lt;0,0,IF((0-cip_lag)=0,phi_0,IF((0-cip_lag)&lt;life_fac,1,IF((0-cip_lag)=life_fac,1-phi_0,0))))</f>
        <v>0.83326336515625</v>
      </c>
      <c r="G62" s="25" t="n">
        <f aca="false">F62</f>
        <v>0.83326336515625</v>
      </c>
      <c r="H62" s="25" t="n">
        <f aca="false">$F$58/life_fac*IF((1)&lt;0,0,IF((1)=0,phi_0,IF((1)&lt;life_fac,1,IF((1)=life_fac,1-phi_0,0))))+$F$60/life_fac*IF((1-cip_lag)&lt;0,0,IF((1-cip_lag)=0,phi_0,IF((1-cip_lag)&lt;life_fac,1,IF((1-cip_lag)=life_fac,1-phi_0,0))))+$H$60/life_fac*IF((0-cip_lag)&lt;0,0,IF((0-cip_lag)=0,phi_0,IF((0-cip_lag)&lt;life_fac,1,IF((0-cip_lag)=life_fac,1-phi_0,0))))</f>
        <v>4.17149942125</v>
      </c>
      <c r="I62" s="25" t="n">
        <f aca="false">$F$58/life_fac*IF((2)&lt;0,0,IF((2)=0,phi_0,IF((2)&lt;life_fac,1,IF((2)=life_fac,1-phi_0,0))))+$F$60/life_fac*IF((2-cip_lag)&lt;0,0,IF((2-cip_lag)=0,phi_0,IF((2-cip_lag)&lt;life_fac,1,IF((2-cip_lag)=life_fac,1-phi_0,0))))+$H$60/life_fac*IF((1-cip_lag)&lt;0,0,IF((1-cip_lag)=0,phi_0,IF((1-cip_lag)&lt;life_fac,1,IF((1-cip_lag)=life_fac,1-phi_0,0))))+$I$60/life_fac*IF((0-cip_lag)&lt;0,0,IF((0-cip_lag)=0,phi_0,IF((0-cip_lag)&lt;life_fac,1,IF((0-cip_lag)=life_fac,1-phi_0,0))))</f>
        <v>7.52528326375</v>
      </c>
      <c r="J62" s="25" t="n">
        <f aca="false">$F$58/life_fac*IF((3)&lt;0,0,IF((3)=0,phi_0,IF((3)&lt;life_fac,1,IF((3)=life_fac,1-phi_0,0))))+$F$60/life_fac*IF((3-cip_lag)&lt;0,0,IF((3-cip_lag)=0,phi_0,IF((3-cip_lag)&lt;life_fac,1,IF((3-cip_lag)=life_fac,1-phi_0,0))))+$H$60/life_fac*IF((2-cip_lag)&lt;0,0,IF((2-cip_lag)=0,phi_0,IF((2-cip_lag)&lt;life_fac,1,IF((2-cip_lag)=life_fac,1-phi_0,0))))+$I$60/life_fac*IF((1-cip_lag)&lt;0,0,IF((1-cip_lag)=0,phi_0,IF((1-cip_lag)&lt;life_fac,1,IF((1-cip_lag)=life_fac,1-phi_0,0))))+$J$60/life_fac*IF((0-cip_lag)&lt;0,0,IF((0-cip_lag)=0,phi_0,IF((0-cip_lag)&lt;life_fac,1,IF((0-cip_lag)=life_fac,1-phi_0,0))))</f>
        <v>10.6915745704961</v>
      </c>
      <c r="K62" s="25" t="n">
        <f aca="false">$F$58/life_fac*IF((4)&lt;0,0,IF((4)=0,phi_0,IF((4)&lt;life_fac,1,IF((4)=life_fac,1-phi_0,0))))+$F$60/life_fac*IF((4-cip_lag)&lt;0,0,IF((4-cip_lag)=0,phi_0,IF((4-cip_lag)&lt;life_fac,1,IF((4-cip_lag)=life_fac,1-phi_0,0))))+$H$60/life_fac*IF((3-cip_lag)&lt;0,0,IF((3-cip_lag)=0,phi_0,IF((3-cip_lag)&lt;life_fac,1,IF((3-cip_lag)=life_fac,1-phi_0,0))))+$I$60/life_fac*IF((2-cip_lag)&lt;0,0,IF((2-cip_lag)=0,phi_0,IF((2-cip_lag)&lt;life_fac,1,IF((2-cip_lag)=life_fac,1-phi_0,0))))+$J$60/life_fac*IF((1-cip_lag)&lt;0,0,IF((1-cip_lag)=0,phi_0,IF((1-cip_lag)&lt;life_fac,1,IF((1-cip_lag)=life_fac,1-phi_0,0))))+$K$60/life_fac*IF((0-cip_lag)&lt;0,0,IF((0-cip_lag)=0,phi_0,IF((0-cip_lag)&lt;life_fac,1,IF((0-cip_lag)=life_fac,1-phi_0,0))))</f>
        <v>13.1176600355996</v>
      </c>
      <c r="L62" s="25" t="n">
        <f aca="false">$F$58/life_fac*IF((5)&lt;0,0,IF((5)=0,phi_0,IF((5)&lt;life_fac,1,IF((5)=life_fac,1-phi_0,0))))+$F$60/life_fac*IF((5-cip_lag)&lt;0,0,IF((5-cip_lag)=0,phi_0,IF((5-cip_lag)&lt;life_fac,1,IF((5-cip_lag)=life_fac,1-phi_0,0))))+$H$60/life_fac*IF((4-cip_lag)&lt;0,0,IF((4-cip_lag)=0,phi_0,IF((4-cip_lag)&lt;life_fac,1,IF((4-cip_lag)=life_fac,1-phi_0,0))))+$I$60/life_fac*IF((3-cip_lag)&lt;0,0,IF((3-cip_lag)=0,phi_0,IF((3-cip_lag)&lt;life_fac,1,IF((3-cip_lag)=life_fac,1-phi_0,0))))+$J$60/life_fac*IF((2-cip_lag)&lt;0,0,IF((2-cip_lag)=0,phi_0,IF((2-cip_lag)&lt;life_fac,1,IF((2-cip_lag)=life_fac,1-phi_0,0))))+$K$60/life_fac*IF((1-cip_lag)&lt;0,0,IF((1-cip_lag)=0,phi_0,IF((1-cip_lag)&lt;life_fac,1,IF((1-cip_lag)=life_fac,1-phi_0,0))))+$L$60/life_fac*IF((0-cip_lag)&lt;0,0,IF((0-cip_lag)=0,phi_0,IF((0-cip_lag)&lt;life_fac,1,IF((0-cip_lag)=life_fac,1-phi_0,0))))</f>
        <v>14.8385979792793</v>
      </c>
      <c r="M62" s="25" t="n">
        <f aca="false">$F$58/life_fac*IF((6)&lt;0,0,IF((6)=0,phi_0,IF((6)&lt;life_fac,1,IF((6)=life_fac,1-phi_0,0))))+$F$60/life_fac*IF((6-cip_lag)&lt;0,0,IF((6-cip_lag)=0,phi_0,IF((6-cip_lag)&lt;life_fac,1,IF((6-cip_lag)=life_fac,1-phi_0,0))))+$H$60/life_fac*IF((5-cip_lag)&lt;0,0,IF((5-cip_lag)=0,phi_0,IF((5-cip_lag)&lt;life_fac,1,IF((5-cip_lag)=life_fac,1-phi_0,0))))+$I$60/life_fac*IF((4-cip_lag)&lt;0,0,IF((4-cip_lag)=0,phi_0,IF((4-cip_lag)&lt;life_fac,1,IF((4-cip_lag)=life_fac,1-phi_0,0))))+$J$60/life_fac*IF((3-cip_lag)&lt;0,0,IF((3-cip_lag)=0,phi_0,IF((3-cip_lag)&lt;life_fac,1,IF((3-cip_lag)=life_fac,1-phi_0,0))))+$K$60/life_fac*IF((2-cip_lag)&lt;0,0,IF((2-cip_lag)=0,phi_0,IF((2-cip_lag)&lt;life_fac,1,IF((2-cip_lag)=life_fac,1-phi_0,0))))+$L$60/life_fac*IF((1-cip_lag)&lt;0,0,IF((1-cip_lag)=0,phi_0,IF((1-cip_lag)&lt;life_fac,1,IF((1-cip_lag)=life_fac,1-phi_0,0))))+$M$60/life_fac*IF((0-cip_lag)&lt;0,0,IF((0-cip_lag)=0,phi_0,IF((0-cip_lag)&lt;life_fac,1,IF((0-cip_lag)=life_fac,1-phi_0,0))))</f>
        <v>15.8736241431425</v>
      </c>
    </row>
    <row r="63" customFormat="false" ht="17.15" hidden="false" customHeight="false" outlineLevel="0" collapsed="false">
      <c r="A63" s="2" t="s">
        <v>960</v>
      </c>
      <c r="B63" s="7" t="s">
        <v>81</v>
      </c>
      <c r="F63" s="25" t="n">
        <f aca="false">F61+F62</f>
        <v>6.31488431800285</v>
      </c>
      <c r="G63" s="25" t="n">
        <f aca="false">G61+G62</f>
        <v>6.31488431800285</v>
      </c>
      <c r="H63" s="25" t="n">
        <f aca="false">H61+H62</f>
        <v>33.1195184047327</v>
      </c>
      <c r="I63" s="25" t="n">
        <f aca="false">I61+I62</f>
        <v>65.0973570979064</v>
      </c>
      <c r="J63" s="25" t="n">
        <f aca="false">J61+J62</f>
        <v>97.5837877560696</v>
      </c>
      <c r="K63" s="25" t="n">
        <f aca="false">K61+K62</f>
        <v>126.030456700177</v>
      </c>
      <c r="L63" s="25" t="n">
        <f aca="false">L61+L62</f>
        <v>152.066319605107</v>
      </c>
      <c r="M63" s="25" t="n">
        <f aca="false">M61+M62</f>
        <v>172.447488716945</v>
      </c>
    </row>
    <row r="64" customFormat="false" ht="17.15" hidden="false" customHeight="false" outlineLevel="0" collapsed="false">
      <c r="A64" s="4" t="s">
        <v>961</v>
      </c>
      <c r="B64" s="0" t="s">
        <v>81</v>
      </c>
      <c r="F64" s="25" t="n">
        <f aca="false">F63*ext_sh</f>
        <v>1.89446529540086</v>
      </c>
      <c r="G64" s="25" t="n">
        <f aca="false">G63*ext_sh</f>
        <v>1.89446529540086</v>
      </c>
      <c r="H64" s="25" t="n">
        <f aca="false">H63*ext_sh</f>
        <v>9.9358555214198</v>
      </c>
      <c r="I64" s="25" t="n">
        <f aca="false">I63*ext_sh</f>
        <v>19.5292071293719</v>
      </c>
      <c r="J64" s="25" t="n">
        <f aca="false">J63*ext_sh</f>
        <v>29.2751363268209</v>
      </c>
      <c r="K64" s="25" t="n">
        <f aca="false">K63*ext_sh</f>
        <v>37.8091370100531</v>
      </c>
      <c r="L64" s="25" t="n">
        <f aca="false">L63*ext_sh</f>
        <v>45.6198958815322</v>
      </c>
      <c r="M64" s="25" t="n">
        <f aca="false">M63*ext_sh</f>
        <v>51.7342466150835</v>
      </c>
      <c r="N64" s="4" t="s">
        <v>962</v>
      </c>
    </row>
    <row r="65" customFormat="false" ht="17.15" hidden="false" customHeight="false" outlineLevel="0" collapsed="false">
      <c r="A65" s="4" t="s">
        <v>963</v>
      </c>
      <c r="B65" s="0" t="s">
        <v>81</v>
      </c>
      <c r="F65" s="25" t="n">
        <f aca="false">F63*(1-ext_sh)</f>
        <v>4.420419022602</v>
      </c>
      <c r="G65" s="25" t="n">
        <f aca="false">G63*(1-ext_sh)</f>
        <v>4.420419022602</v>
      </c>
      <c r="H65" s="25" t="n">
        <f aca="false">H63*(1-ext_sh)</f>
        <v>23.1836628833129</v>
      </c>
      <c r="I65" s="25" t="n">
        <f aca="false">I63*(1-ext_sh)</f>
        <v>45.5681499685345</v>
      </c>
      <c r="J65" s="25" t="n">
        <f aca="false">J63*(1-ext_sh)</f>
        <v>68.3086514292487</v>
      </c>
      <c r="K65" s="25" t="n">
        <f aca="false">K63*(1-ext_sh)</f>
        <v>88.2213196901239</v>
      </c>
      <c r="L65" s="25" t="n">
        <f aca="false">L63*(1-ext_sh)</f>
        <v>106.446423723575</v>
      </c>
      <c r="M65" s="25" t="n">
        <f aca="false">M63*(1-ext_sh)</f>
        <v>120.713242101862</v>
      </c>
    </row>
    <row r="67" customFormat="false" ht="17.15" hidden="false" customHeight="false" outlineLevel="0" collapsed="false">
      <c r="A67" s="5" t="s">
        <v>964</v>
      </c>
    </row>
    <row r="68" customFormat="false" ht="17.15" hidden="false" customHeight="false" outlineLevel="0" collapsed="false">
      <c r="A68" s="4" t="s">
        <v>965</v>
      </c>
      <c r="B68" s="0" t="s">
        <v>81</v>
      </c>
      <c r="F68" s="25" t="n">
        <f aca="false">(1-ext_sh)*((F30*opx_h+F31*opx_b2+F32*opx_b3+F33*opx_vr)-($E$24*opx_h+$E$25*opx_b2+$E$26*opx_b3+$E$27*opx_vr))/1000*0.25</f>
        <v>0.270122221396745</v>
      </c>
      <c r="G68" s="25" t="n">
        <f aca="false">F68</f>
        <v>0.270122221396745</v>
      </c>
      <c r="H68" s="25" t="n">
        <f aca="false">(1-ext_sh)*((H30*opx_h+H31*opx_b2+H32*opx_b3+H33*opx_vr)-($E$24*opx_h+$E$25*opx_b2+$E$26*opx_b3+$E$27*opx_vr))/1000*1</f>
        <v>6.60376624897166</v>
      </c>
      <c r="I68" s="25" t="n">
        <f aca="false">(1-ext_sh)*((I30*opx_h+I31*opx_b2+I32*opx_b3+I33*opx_vr)-($E$24*opx_h+$E$25*opx_b2+$E$26*opx_b3+$E$27*opx_vr))/1000*1</f>
        <v>15.6101761400169</v>
      </c>
      <c r="J68" s="25" t="n">
        <f aca="false">(1-ext_sh)*((J30*opx_h+J31*opx_b2+J32*opx_b3+J33*opx_vr)-($E$24*opx_h+$E$25*opx_b2+$E$26*opx_b3+$E$27*opx_vr))/1000*1</f>
        <v>23.7169060280837</v>
      </c>
      <c r="K68" s="25" t="n">
        <f aca="false">(1-ext_sh)*((K30*opx_h+K31*opx_b2+K32*opx_b3+K33*opx_vr)-($E$24*opx_h+$E$25*opx_b2+$E$26*opx_b3+$E$27*opx_vr))/1000*1</f>
        <v>29.8357566664167</v>
      </c>
      <c r="L68" s="25" t="n">
        <f aca="false">(1-ext_sh)*((L30*opx_h+L31*opx_b2+L32*opx_b3+L33*opx_vr)-($E$24*opx_h+$E$25*opx_b2+$E$26*opx_b3+$E$27*opx_vr))/1000*1</f>
        <v>34.0512555672559</v>
      </c>
      <c r="M68" s="25" t="n">
        <f aca="false">(1-ext_sh)*((M30*opx_h+M31*opx_b2+M32*opx_b3+M33*opx_vr)-($E$24*opx_h+$E$25*opx_b2+$E$26*opx_b3+$E$27*opx_vr))/1000*1</f>
        <v>36.4053401853864</v>
      </c>
    </row>
    <row r="69" customFormat="false" ht="17.15" hidden="false" customHeight="false" outlineLevel="0" collapsed="false">
      <c r="A69" s="0" t="s">
        <v>966</v>
      </c>
      <c r="B69" s="0" t="s">
        <v>81</v>
      </c>
      <c r="F69" s="25" t="n">
        <f aca="false">rent_2H</f>
        <v>2.76</v>
      </c>
      <c r="G69" s="25" t="n">
        <f aca="false">F69</f>
        <v>2.76</v>
      </c>
      <c r="H69" s="25" t="n">
        <f aca="false">rent_27</f>
        <v>11.04</v>
      </c>
      <c r="I69" s="25" t="n">
        <f aca="false">rent_28</f>
        <v>11.04</v>
      </c>
      <c r="J69" s="25" t="n">
        <f aca="false">rent_29</f>
        <v>5.52</v>
      </c>
      <c r="K69" s="27" t="n">
        <v>0</v>
      </c>
      <c r="L69" s="27" t="n">
        <v>0</v>
      </c>
      <c r="M69" s="27" t="n">
        <v>0</v>
      </c>
    </row>
    <row r="70" customFormat="false" ht="17.15" hidden="false" customHeight="false" outlineLevel="0" collapsed="false">
      <c r="A70" s="2" t="s">
        <v>967</v>
      </c>
      <c r="B70" s="7" t="s">
        <v>81</v>
      </c>
      <c r="F70" s="25" t="n">
        <f aca="false">F68+F69+F65</f>
        <v>7.45054124399874</v>
      </c>
      <c r="G70" s="25" t="n">
        <f aca="false">G68+G69+G65</f>
        <v>7.45054124399874</v>
      </c>
      <c r="H70" s="25" t="n">
        <f aca="false">H68+H69+H65</f>
        <v>40.8274291322845</v>
      </c>
      <c r="I70" s="25" t="n">
        <f aca="false">I68+I69+I65</f>
        <v>72.2183261085513</v>
      </c>
      <c r="J70" s="25" t="n">
        <f aca="false">J68+J69+J65</f>
        <v>97.5455574573325</v>
      </c>
      <c r="K70" s="25" t="n">
        <f aca="false">K68+K69+K65</f>
        <v>118.057076356541</v>
      </c>
      <c r="L70" s="25" t="n">
        <f aca="false">L68+L69+L65</f>
        <v>140.497679290831</v>
      </c>
      <c r="M70" s="25" t="n">
        <f aca="false">M68+M69+M65</f>
        <v>157.118582287248</v>
      </c>
    </row>
    <row r="71" customFormat="false" ht="17.15" hidden="false" customHeight="false" outlineLevel="0" collapsed="false">
      <c r="A71" s="4" t="s">
        <v>968</v>
      </c>
      <c r="B71" s="0" t="s">
        <v>81</v>
      </c>
      <c r="F71" s="25" t="n">
        <f aca="false">F70*svc_sh</f>
        <v>4.47032474639924</v>
      </c>
      <c r="G71" s="25" t="n">
        <f aca="false">G70*svc_sh</f>
        <v>4.47032474639924</v>
      </c>
      <c r="H71" s="25" t="n">
        <f aca="false">H70*svc_sh</f>
        <v>24.4964574793707</v>
      </c>
      <c r="I71" s="25" t="n">
        <f aca="false">I70*svc_sh</f>
        <v>43.3309956651308</v>
      </c>
      <c r="J71" s="25" t="n">
        <f aca="false">J70*svc_sh</f>
        <v>58.5273344743995</v>
      </c>
      <c r="K71" s="25" t="n">
        <f aca="false">K70*svc_sh</f>
        <v>70.8342458139244</v>
      </c>
      <c r="L71" s="25" t="n">
        <f aca="false">L70*svc_sh</f>
        <v>84.2986075744987</v>
      </c>
      <c r="M71" s="25" t="n">
        <f aca="false">M70*svc_sh</f>
        <v>94.2711493723488</v>
      </c>
    </row>
    <row r="72" customFormat="false" ht="17.15" hidden="false" customHeight="false" outlineLevel="0" collapsed="false">
      <c r="A72" s="4" t="s">
        <v>969</v>
      </c>
      <c r="B72" s="0" t="s">
        <v>81</v>
      </c>
      <c r="F72" s="25" t="n">
        <f aca="false">F70*(1-svc_sh)</f>
        <v>2.9802164975995</v>
      </c>
      <c r="G72" s="25" t="n">
        <f aca="false">G70*(1-svc_sh)</f>
        <v>2.9802164975995</v>
      </c>
      <c r="H72" s="25" t="n">
        <f aca="false">H70*(1-svc_sh)</f>
        <v>16.3309716529138</v>
      </c>
      <c r="I72" s="25" t="n">
        <f aca="false">I70*(1-svc_sh)</f>
        <v>28.8873304434205</v>
      </c>
      <c r="J72" s="25" t="n">
        <f aca="false">J70*(1-svc_sh)</f>
        <v>39.018222982933</v>
      </c>
      <c r="K72" s="25" t="n">
        <f aca="false">K70*(1-svc_sh)</f>
        <v>47.2228305426163</v>
      </c>
      <c r="L72" s="25" t="n">
        <f aca="false">L70*(1-svc_sh)</f>
        <v>56.1990717163325</v>
      </c>
      <c r="M72" s="25" t="n">
        <f aca="false">M70*(1-svc_sh)</f>
        <v>62.8474329148992</v>
      </c>
    </row>
    <row r="74" customFormat="false" ht="17.15" hidden="false" customHeight="false" outlineLevel="0" collapsed="false">
      <c r="A74" s="5" t="s">
        <v>970</v>
      </c>
    </row>
    <row r="75" customFormat="false" ht="17.15" hidden="false" customHeight="false" outlineLevel="0" collapsed="false">
      <c r="A75" s="4" t="s">
        <v>971</v>
      </c>
      <c r="B75" s="0" t="s">
        <v>288</v>
      </c>
      <c r="F75" s="24" t="n">
        <f aca="false">mid*F48</f>
        <v>0</v>
      </c>
      <c r="G75" s="24" t="n">
        <f aca="false">F75</f>
        <v>0</v>
      </c>
      <c r="H75" s="24" t="n">
        <f aca="false">F48+mid*H48</f>
        <v>0</v>
      </c>
      <c r="I75" s="24" t="n">
        <f aca="false">F48+H48+mid*I48</f>
        <v>0</v>
      </c>
      <c r="J75" s="24" t="n">
        <f aca="false">F48+H48+I48+mid*J48</f>
        <v>318.35</v>
      </c>
      <c r="K75" s="24" t="n">
        <f aca="false">F48+H48+I48+J48+mid*K48</f>
        <v>1390</v>
      </c>
      <c r="L75" s="24" t="n">
        <f aca="false">F48+H48+I48+J48+K48+mid*L48</f>
        <v>3508.15</v>
      </c>
      <c r="M75" s="24" t="n">
        <f aca="false">F48+H48+I48+J48+K48+L48+mid*M48</f>
        <v>7162.075</v>
      </c>
    </row>
    <row r="76" customFormat="false" ht="17.15" hidden="false" customHeight="false" outlineLevel="0" collapsed="false">
      <c r="A76" s="4" t="s">
        <v>972</v>
      </c>
      <c r="B76" s="0" t="s">
        <v>364</v>
      </c>
      <c r="E76" s="21" t="n">
        <f aca="false">mix0_h*dpi_h+mix0_b2*dpi_b2+mix0_b3*dpi_b3</f>
        <v>4.55925816666667</v>
      </c>
    </row>
    <row r="77" customFormat="false" ht="17.15" hidden="false" customHeight="false" outlineLevel="0" collapsed="false">
      <c r="A77" s="4" t="s">
        <v>973</v>
      </c>
      <c r="B77" s="0" t="s">
        <v>81</v>
      </c>
      <c r="F77" s="25" t="n">
        <f aca="false">(da_base-MIN(da_base*cip_it,F75*$E$76/1000))*0.25</f>
        <v>7.104</v>
      </c>
      <c r="G77" s="25" t="n">
        <f aca="false">F77</f>
        <v>7.104</v>
      </c>
      <c r="H77" s="25" t="n">
        <f aca="false">(da_base-MIN(da_base*cip_it,H75*$E$76/1000))*1</f>
        <v>28.416</v>
      </c>
      <c r="I77" s="25" t="n">
        <f aca="false">(da_base-MIN(da_base*cip_it,I75*$E$76/1000))*1</f>
        <v>28.416</v>
      </c>
      <c r="J77" s="25" t="n">
        <f aca="false">(da_base-MIN(da_base*cip_it,J75*$E$76/1000))*1</f>
        <v>26.9645601626417</v>
      </c>
      <c r="K77" s="25" t="n">
        <f aca="false">(da_base-MIN(da_base*cip_it,K75*$E$76/1000))*1</f>
        <v>22.0786311483333</v>
      </c>
      <c r="L77" s="25" t="n">
        <f aca="false">(da_base-MIN(da_base*cip_it,L75*$E$76/1000))*1</f>
        <v>12.4214384626083</v>
      </c>
      <c r="M77" s="25" t="n">
        <f aca="false">(da_base-MIN(da_base*cip_it,M75*$E$76/1000))*1</f>
        <v>9.9456</v>
      </c>
      <c r="N77" s="4" t="s">
        <v>974</v>
      </c>
    </row>
    <row r="79" customFormat="false" ht="17.15" hidden="false" customHeight="false" outlineLevel="0" collapsed="false">
      <c r="A79" s="5" t="s">
        <v>975</v>
      </c>
    </row>
    <row r="80" customFormat="false" ht="17.15" hidden="false" customHeight="false" outlineLevel="0" collapsed="false">
      <c r="A80" s="4" t="s">
        <v>976</v>
      </c>
      <c r="B80" s="0" t="s">
        <v>81</v>
      </c>
      <c r="F80" s="25" t="n">
        <f aca="false">(1-ext_sh)*tpu_adj*((F30*he_h+F31*he_b2+F32*he_b3+F33*he_vr)-($E$24*he_h+$E$25*he_b2+$E$26*he_b3+$E$27*he_vr))/1000*0.25</f>
        <v>1.14948686725343</v>
      </c>
      <c r="G80" s="25" t="n">
        <f aca="false">F80</f>
        <v>1.14948686725343</v>
      </c>
      <c r="H80" s="25" t="n">
        <f aca="false">(1-ext_sh)*tpu_adj*((H30*he_h+H31*he_b2+H32*he_b3+H33*he_vr)-($E$24*he_h+$E$25*he_b2+$E$26*he_b3+$E$27*he_vr))/1000*1</f>
        <v>28.718806457026</v>
      </c>
      <c r="I80" s="25" t="n">
        <f aca="false">(1-ext_sh)*tpu_adj*((I30*he_h+I31*he_b2+I32*he_b3+I33*he_vr)-($E$24*he_h+$E$25*he_b2+$E$26*he_b3+$E$27*he_vr))/1000*1</f>
        <v>68.8957511379667</v>
      </c>
      <c r="J80" s="25" t="n">
        <f aca="false">(1-ext_sh)*tpu_adj*((J30*he_h+J31*he_b2+J32*he_b3+J33*he_vr)-($E$24*he_h+$E$25*he_b2+$E$26*he_b3+$E$27*he_vr))/1000*1</f>
        <v>105.585181040499</v>
      </c>
      <c r="K80" s="25" t="n">
        <f aca="false">(1-ext_sh)*tpu_adj*((K30*he_h+K31*he_b2+K32*he_b3+K33*he_vr)-($E$24*he_h+$E$25*he_b2+$E$26*he_b3+$E$27*he_vr))/1000*1</f>
        <v>133.277869051437</v>
      </c>
      <c r="L80" s="25" t="n">
        <f aca="false">(1-ext_sh)*tpu_adj*((L30*he_h+L31*he_b2+L32*he_b3+L33*he_vr)-($E$24*he_h+$E$25*he_b2+$E$26*he_b3+$E$27*he_vr))/1000*1</f>
        <v>152.356369699918</v>
      </c>
      <c r="M80" s="25" t="n">
        <f aca="false">(1-ext_sh)*tpu_adj*((M30*he_h+M31*he_b2+M32*he_b3+M33*he_vr)-($E$24*he_h+$E$25*he_b2+$E$26*he_b3+$E$27*he_vr))/1000*1</f>
        <v>163.010483476259</v>
      </c>
      <c r="N80" s="4" t="s">
        <v>977</v>
      </c>
    </row>
    <row r="81" customFormat="false" ht="17.15" hidden="false" customHeight="false" outlineLevel="0" collapsed="false">
      <c r="A81" s="4" t="s">
        <v>968</v>
      </c>
      <c r="B81" s="0" t="s">
        <v>81</v>
      </c>
      <c r="F81" s="25" t="n">
        <f aca="false">F80*svc_sh</f>
        <v>0.689692120352061</v>
      </c>
      <c r="G81" s="25" t="n">
        <f aca="false">G80*svc_sh</f>
        <v>0.689692120352061</v>
      </c>
      <c r="H81" s="25" t="n">
        <f aca="false">H80*svc_sh</f>
        <v>17.2312838742156</v>
      </c>
      <c r="I81" s="25" t="n">
        <f aca="false">I80*svc_sh</f>
        <v>41.33745068278</v>
      </c>
      <c r="J81" s="25" t="n">
        <f aca="false">J80*svc_sh</f>
        <v>63.3511086242996</v>
      </c>
      <c r="K81" s="25" t="n">
        <f aca="false">K80*svc_sh</f>
        <v>79.9667214308625</v>
      </c>
      <c r="L81" s="25" t="n">
        <f aca="false">L80*svc_sh</f>
        <v>91.413821819951</v>
      </c>
      <c r="M81" s="25" t="n">
        <f aca="false">M80*svc_sh</f>
        <v>97.8062900857556</v>
      </c>
    </row>
    <row r="82" customFormat="false" ht="17.15" hidden="false" customHeight="false" outlineLevel="0" collapsed="false">
      <c r="A82" s="4" t="s">
        <v>978</v>
      </c>
      <c r="B82" s="0" t="s">
        <v>81</v>
      </c>
      <c r="F82" s="25" t="n">
        <f aca="false">F80*(1-svc_sh)</f>
        <v>0.459794746901374</v>
      </c>
      <c r="G82" s="25" t="n">
        <f aca="false">G80*(1-svc_sh)</f>
        <v>0.459794746901374</v>
      </c>
      <c r="H82" s="25" t="n">
        <f aca="false">H80*(1-svc_sh)</f>
        <v>11.4875225828104</v>
      </c>
      <c r="I82" s="25" t="n">
        <f aca="false">I80*(1-svc_sh)</f>
        <v>27.5583004551867</v>
      </c>
      <c r="J82" s="25" t="n">
        <f aca="false">J80*(1-svc_sh)</f>
        <v>42.2340724161997</v>
      </c>
      <c r="K82" s="25" t="n">
        <f aca="false">K80*(1-svc_sh)</f>
        <v>53.311147620575</v>
      </c>
      <c r="L82" s="25" t="n">
        <f aca="false">L80*(1-svc_sh)</f>
        <v>60.9425478799674</v>
      </c>
      <c r="M82" s="25" t="n">
        <f aca="false">M80*(1-svc_sh)</f>
        <v>65.2041933905037</v>
      </c>
    </row>
    <row r="83" customFormat="false" ht="17.15" hidden="false" customHeight="false" outlineLevel="0" collapsed="false">
      <c r="A83" s="4" t="s">
        <v>979</v>
      </c>
      <c r="B83" s="0" t="s">
        <v>126</v>
      </c>
      <c r="F83" s="23" t="n">
        <f aca="false">F80/F70</f>
        <v>0.154282330586294</v>
      </c>
      <c r="H83" s="23" t="n">
        <f aca="false">H80/H70</f>
        <v>0.703419418449654</v>
      </c>
      <c r="I83" s="23" t="n">
        <f aca="false">I80/I70</f>
        <v>0.953992633869823</v>
      </c>
      <c r="J83" s="23" t="n">
        <f aca="false">J80/J70</f>
        <v>1.08241916692806</v>
      </c>
      <c r="K83" s="23" t="n">
        <f aca="false">K80/K70</f>
        <v>1.12892740668021</v>
      </c>
      <c r="L83" s="23" t="n">
        <f aca="false">L80/L70</f>
        <v>1.08440488461407</v>
      </c>
      <c r="M83" s="23" t="n">
        <f aca="false">M80/M70</f>
        <v>1.03749970947574</v>
      </c>
      <c r="N83" s="4" t="s">
        <v>980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981</v>
      </c>
    </row>
    <row r="2" customFormat="false" ht="17.15" hidden="false" customHeight="false" outlineLevel="0" collapsed="false">
      <c r="A2" s="4" t="s">
        <v>982</v>
      </c>
    </row>
    <row r="4" customFormat="false" ht="17.15" hidden="false" customHeight="false" outlineLevel="0" collapsed="false">
      <c r="A4" s="28" t="s">
        <v>983</v>
      </c>
    </row>
    <row r="5" customFormat="false" ht="15" hidden="false" customHeight="false" outlineLevel="0" collapsed="false">
      <c r="A5" s="3" t="s">
        <v>43</v>
      </c>
      <c r="B5" s="3" t="s">
        <v>44</v>
      </c>
      <c r="C5" s="20" t="s">
        <v>905</v>
      </c>
      <c r="D5" s="20" t="s">
        <v>906</v>
      </c>
      <c r="E5" s="20" t="s">
        <v>907</v>
      </c>
      <c r="F5" s="20" t="s">
        <v>908</v>
      </c>
      <c r="G5" s="20" t="s">
        <v>909</v>
      </c>
      <c r="H5" s="20" t="s">
        <v>910</v>
      </c>
      <c r="I5" s="20" t="s">
        <v>911</v>
      </c>
      <c r="J5" s="20" t="s">
        <v>912</v>
      </c>
      <c r="K5" s="20" t="s">
        <v>913</v>
      </c>
      <c r="L5" s="20" t="s">
        <v>914</v>
      </c>
      <c r="M5" s="20" t="s">
        <v>915</v>
      </c>
      <c r="N5" s="3" t="s">
        <v>50</v>
      </c>
    </row>
    <row r="6" customFormat="false" ht="17.15" hidden="false" customHeight="false" outlineLevel="0" collapsed="false">
      <c r="A6" s="0" t="s">
        <v>984</v>
      </c>
      <c r="B6" s="0" t="s">
        <v>106</v>
      </c>
      <c r="F6" s="14" t="n">
        <f aca="false">g0_search</f>
        <v>0.160562060020511</v>
      </c>
      <c r="H6" s="14" t="n">
        <f aca="false">g0_search+(gl_search-g0_search)*MIN(1,(2027-2026)/conv_n)</f>
        <v>0.140421545015383</v>
      </c>
      <c r="I6" s="14" t="n">
        <f aca="false">g0_search+(gl_search-g0_search)*MIN(1,(2028-2026)/conv_n)</f>
        <v>0.120281030010256</v>
      </c>
      <c r="J6" s="14" t="n">
        <f aca="false">g0_search+(gl_search-g0_search)*MIN(1,(2029-2026)/conv_n)</f>
        <v>0.100140515005128</v>
      </c>
      <c r="K6" s="14" t="n">
        <f aca="false">g0_search+(gl_search-g0_search)*MIN(1,(2030-2026)/conv_n)</f>
        <v>0.08</v>
      </c>
      <c r="L6" s="14" t="n">
        <f aca="false">g0_search+(gl_search-g0_search)*MIN(1,(2031-2026)/conv_n)</f>
        <v>0.08</v>
      </c>
      <c r="M6" s="14" t="n">
        <f aca="false">g0_search+(gl_search-g0_search)*MIN(1,(2032-2026)/conv_n)</f>
        <v>0.08</v>
      </c>
      <c r="N6" s="7" t="s">
        <v>985</v>
      </c>
    </row>
    <row r="7" customFormat="false" ht="17.15" hidden="false" customHeight="false" outlineLevel="0" collapsed="false">
      <c r="A7" s="0" t="s">
        <v>986</v>
      </c>
      <c r="B7" s="0" t="s">
        <v>81</v>
      </c>
      <c r="C7" s="25" t="n">
        <f aca="false">Q!J5</f>
        <v>198.084</v>
      </c>
      <c r="D7" s="25" t="n">
        <f aca="false">Q!K5</f>
        <v>224.532</v>
      </c>
      <c r="E7" s="25" t="n">
        <f aca="false">Q!L5</f>
        <v>187.02</v>
      </c>
      <c r="F7" s="25" t="n">
        <f aca="false">Q!F5*(1+F6)</f>
        <v>73.2001308116737</v>
      </c>
      <c r="G7" s="25" t="n">
        <f aca="false">E7+F7</f>
        <v>260.220130811674</v>
      </c>
      <c r="H7" s="25" t="n">
        <f aca="false">G7*(1+H6)</f>
        <v>296.760643624354</v>
      </c>
      <c r="I7" s="25" t="n">
        <f aca="false">H7*(1+I6)</f>
        <v>332.455319505998</v>
      </c>
      <c r="J7" s="25" t="n">
        <f aca="false">I7*(1+J6)</f>
        <v>365.747566417523</v>
      </c>
      <c r="K7" s="25" t="n">
        <f aca="false">J7*(1+K6)</f>
        <v>395.007371730925</v>
      </c>
      <c r="L7" s="25" t="n">
        <f aca="false">K7*(1+L6)</f>
        <v>426.607961469399</v>
      </c>
      <c r="M7" s="25" t="n">
        <f aca="false">L7*(1+M6)</f>
        <v>460.73659838695</v>
      </c>
    </row>
    <row r="8" customFormat="false" ht="17.15" hidden="false" customHeight="false" outlineLevel="0" collapsed="false">
      <c r="A8" s="4" t="s">
        <v>987</v>
      </c>
      <c r="B8" s="0" t="s">
        <v>126</v>
      </c>
      <c r="F8" s="22" t="n">
        <v>0</v>
      </c>
      <c r="H8" s="23" t="n">
        <f aca="false">MIN(1,(2027-2026)/conv_n)</f>
        <v>0.25</v>
      </c>
      <c r="I8" s="23" t="n">
        <f aca="false">MIN(1,(2028-2026)/conv_n)</f>
        <v>0.5</v>
      </c>
      <c r="J8" s="23" t="n">
        <f aca="false">MIN(1,(2029-2026)/conv_n)</f>
        <v>0.75</v>
      </c>
      <c r="K8" s="23" t="n">
        <f aca="false">MIN(1,(2030-2026)/conv_n)</f>
        <v>1</v>
      </c>
      <c r="L8" s="23" t="n">
        <f aca="false">MIN(1,(2031-2026)/conv_n)</f>
        <v>1</v>
      </c>
      <c r="M8" s="23" t="n">
        <f aca="false">MIN(1,(2032-2026)/conv_n)</f>
        <v>1</v>
      </c>
    </row>
    <row r="9" customFormat="false" ht="17.15" hidden="false" customHeight="false" outlineLevel="0" collapsed="false">
      <c r="A9" s="4" t="s">
        <v>988</v>
      </c>
      <c r="B9" s="0" t="s">
        <v>106</v>
      </c>
      <c r="F9" s="14" t="n">
        <f aca="false">dA*F8</f>
        <v>-0</v>
      </c>
      <c r="H9" s="14" t="n">
        <f aca="false">dA*H8</f>
        <v>-0.0125</v>
      </c>
      <c r="I9" s="14" t="n">
        <f aca="false">dA*I8</f>
        <v>-0.025</v>
      </c>
      <c r="J9" s="14" t="n">
        <f aca="false">dA*J8</f>
        <v>-0.0375</v>
      </c>
      <c r="K9" s="14" t="n">
        <f aca="false">dA*K8</f>
        <v>-0.05</v>
      </c>
      <c r="L9" s="14" t="n">
        <f aca="false">dA*L8</f>
        <v>-0.05</v>
      </c>
      <c r="M9" s="14" t="n">
        <f aca="false">dA*M8</f>
        <v>-0.05</v>
      </c>
      <c r="N9" s="7" t="s">
        <v>989</v>
      </c>
    </row>
    <row r="10" customFormat="false" ht="17.15" hidden="false" customHeight="false" outlineLevel="0" collapsed="false">
      <c r="A10" s="4" t="s">
        <v>990</v>
      </c>
      <c r="B10" s="0" t="s">
        <v>106</v>
      </c>
      <c r="F10" s="14" t="n">
        <f aca="false">mA*F8</f>
        <v>0</v>
      </c>
      <c r="H10" s="14" t="n">
        <f aca="false">mA*H8</f>
        <v>0.025</v>
      </c>
      <c r="I10" s="14" t="n">
        <f aca="false">mA*I8</f>
        <v>0.05</v>
      </c>
      <c r="J10" s="14" t="n">
        <f aca="false">mA*J8</f>
        <v>0.075</v>
      </c>
      <c r="K10" s="14" t="n">
        <f aca="false">mA*K8</f>
        <v>0.1</v>
      </c>
      <c r="L10" s="14" t="n">
        <f aca="false">mA*L8</f>
        <v>0.1</v>
      </c>
      <c r="M10" s="14" t="n">
        <f aca="false">mA*M8</f>
        <v>0.1</v>
      </c>
    </row>
    <row r="11" customFormat="false" ht="15" hidden="false" customHeight="false" outlineLevel="0" collapsed="false">
      <c r="A11" s="5" t="s">
        <v>796</v>
      </c>
      <c r="B11" s="7" t="s">
        <v>81</v>
      </c>
      <c r="C11" s="25" t="n">
        <f aca="false">C7</f>
        <v>198.084</v>
      </c>
      <c r="D11" s="25" t="n">
        <f aca="false">D7</f>
        <v>224.532</v>
      </c>
      <c r="E11" s="25" t="n">
        <f aca="false">E7</f>
        <v>187.02</v>
      </c>
      <c r="F11" s="25" t="n">
        <f aca="false">F7*(1-F9)*(1+F10)</f>
        <v>73.2001308116737</v>
      </c>
      <c r="G11" s="25" t="n">
        <f aca="false">E11+F11</f>
        <v>260.220130811674</v>
      </c>
      <c r="H11" s="25" t="n">
        <f aca="false">H7*(1-H9)*(1+H10)</f>
        <v>307.9819054614</v>
      </c>
      <c r="I11" s="25" t="n">
        <f aca="false">I7*(1-I9)*(1+I10)</f>
        <v>357.80503761833</v>
      </c>
      <c r="J11" s="25" t="n">
        <f aca="false">J7*(1-J9)*(1+J10)</f>
        <v>407.922832670043</v>
      </c>
      <c r="K11" s="25" t="n">
        <f aca="false">K7*(1-K9)*(1+K10)</f>
        <v>456.233514349218</v>
      </c>
      <c r="L11" s="25" t="n">
        <f aca="false">L7*(1-L9)*(1+L10)</f>
        <v>492.732195497155</v>
      </c>
      <c r="M11" s="25" t="n">
        <f aca="false">M7*(1-M9)*(1+M10)</f>
        <v>532.150771136928</v>
      </c>
    </row>
    <row r="12" customFormat="false" ht="17.15" hidden="false" customHeight="false" outlineLevel="0" collapsed="false">
      <c r="A12" s="0" t="s">
        <v>991</v>
      </c>
      <c r="B12" s="0" t="s">
        <v>106</v>
      </c>
      <c r="F12" s="14" t="n">
        <f aca="false">g0_yt</f>
        <v>0.103175608890691</v>
      </c>
      <c r="H12" s="14" t="n">
        <f aca="false">g0_yt+(gl_yt-g0_yt)*MIN(1,(2027-2026)/conv_n)</f>
        <v>0.0973817066680184</v>
      </c>
      <c r="I12" s="14" t="n">
        <f aca="false">g0_yt+(gl_yt-g0_yt)*MIN(1,(2028-2026)/conv_n)</f>
        <v>0.0915878044453456</v>
      </c>
      <c r="J12" s="14" t="n">
        <f aca="false">g0_yt+(gl_yt-g0_yt)*MIN(1,(2029-2026)/conv_n)</f>
        <v>0.0857939022226728</v>
      </c>
      <c r="K12" s="14" t="n">
        <f aca="false">g0_yt+(gl_yt-g0_yt)*MIN(1,(2030-2026)/conv_n)</f>
        <v>0.08</v>
      </c>
      <c r="L12" s="14" t="n">
        <f aca="false">g0_yt+(gl_yt-g0_yt)*MIN(1,(2031-2026)/conv_n)</f>
        <v>0.08</v>
      </c>
      <c r="M12" s="14" t="n">
        <f aca="false">g0_yt+(gl_yt-g0_yt)*MIN(1,(2032-2026)/conv_n)</f>
        <v>0.08</v>
      </c>
      <c r="N12" s="4" t="s">
        <v>992</v>
      </c>
    </row>
    <row r="13" customFormat="false" ht="15" hidden="false" customHeight="false" outlineLevel="0" collapsed="false">
      <c r="A13" s="5" t="s">
        <v>799</v>
      </c>
      <c r="B13" s="7" t="s">
        <v>81</v>
      </c>
      <c r="C13" s="25" t="n">
        <f aca="false">Q!J6</f>
        <v>36.147</v>
      </c>
      <c r="D13" s="25" t="n">
        <f aca="false">Q!K6</f>
        <v>40.367</v>
      </c>
      <c r="E13" s="25" t="n">
        <f aca="false">Q!L6</f>
        <v>32.145</v>
      </c>
      <c r="F13" s="25" t="n">
        <f aca="false">Q!F6*(1+F12)</f>
        <v>12.5574479560027</v>
      </c>
      <c r="G13" s="25" t="n">
        <f aca="false">E13+F13</f>
        <v>44.7024479560027</v>
      </c>
      <c r="H13" s="25" t="n">
        <f aca="false">G13*(1+H12)</f>
        <v>49.0556486301966</v>
      </c>
      <c r="I13" s="25" t="n">
        <f aca="false">H13*(1+I12)</f>
        <v>53.5485477838786</v>
      </c>
      <c r="J13" s="25" t="n">
        <f aca="false">I13*(1+J12)</f>
        <v>58.1426866566148</v>
      </c>
      <c r="K13" s="25" t="n">
        <f aca="false">J13*(1+K12)</f>
        <v>62.794101589144</v>
      </c>
      <c r="L13" s="25" t="n">
        <f aca="false">K13*(1+L12)</f>
        <v>67.8176297162755</v>
      </c>
      <c r="M13" s="25" t="n">
        <f aca="false">L13*(1+M12)</f>
        <v>73.2430400935775</v>
      </c>
    </row>
    <row r="14" customFormat="false" ht="17.15" hidden="false" customHeight="false" outlineLevel="0" collapsed="false">
      <c r="A14" s="0" t="s">
        <v>993</v>
      </c>
      <c r="B14" s="0" t="s">
        <v>106</v>
      </c>
      <c r="F14" s="14" t="n">
        <f aca="false">g0_net</f>
        <v>-0.0120663145932214</v>
      </c>
      <c r="H14" s="14" t="n">
        <f aca="false">g0_net+(gl_net-g0_net)*MIN(1,(2027-2026)/conv_n)</f>
        <v>-0.00904973594491604</v>
      </c>
      <c r="I14" s="14" t="n">
        <f aca="false">g0_net+(gl_net-g0_net)*MIN(1,(2028-2026)/conv_n)</f>
        <v>-0.00603315729661069</v>
      </c>
      <c r="J14" s="14" t="n">
        <f aca="false">g0_net+(gl_net-g0_net)*MIN(1,(2029-2026)/conv_n)</f>
        <v>-0.00301657864830535</v>
      </c>
      <c r="K14" s="14" t="n">
        <f aca="false">g0_net+(gl_net-g0_net)*MIN(1,(2030-2026)/conv_n)</f>
        <v>0</v>
      </c>
      <c r="L14" s="14" t="n">
        <f aca="false">g0_net+(gl_net-g0_net)*MIN(1,(2031-2026)/conv_n)</f>
        <v>0</v>
      </c>
      <c r="M14" s="14" t="n">
        <f aca="false">g0_net+(gl_net-g0_net)*MIN(1,(2032-2026)/conv_n)</f>
        <v>0</v>
      </c>
      <c r="N14" s="4" t="s">
        <v>992</v>
      </c>
    </row>
    <row r="15" customFormat="false" ht="15" hidden="false" customHeight="false" outlineLevel="0" collapsed="false">
      <c r="A15" s="5" t="s">
        <v>800</v>
      </c>
      <c r="B15" s="7" t="s">
        <v>81</v>
      </c>
      <c r="C15" s="25" t="n">
        <f aca="false">Q!J7</f>
        <v>30.359</v>
      </c>
      <c r="D15" s="25" t="n">
        <f aca="false">Q!K7</f>
        <v>29.792</v>
      </c>
      <c r="E15" s="25" t="n">
        <f aca="false">Q!L7</f>
        <v>21.729</v>
      </c>
      <c r="F15" s="25" t="n">
        <f aca="false">Q!F7*(1+F14)</f>
        <v>7.73354488936426</v>
      </c>
      <c r="G15" s="25" t="n">
        <f aca="false">E15+F15</f>
        <v>29.4625448893643</v>
      </c>
      <c r="H15" s="25" t="n">
        <f aca="false">G15*(1+H14)</f>
        <v>29.1959166378503</v>
      </c>
      <c r="I15" s="25" t="n">
        <f aca="false">H15*(1+I14)</f>
        <v>29.0197730803554</v>
      </c>
      <c r="J15" s="25" t="n">
        <f aca="false">I15*(1+J14)</f>
        <v>28.9322326525025</v>
      </c>
      <c r="K15" s="25" t="n">
        <f aca="false">J15*(1+K14)</f>
        <v>28.9322326525025</v>
      </c>
      <c r="L15" s="25" t="n">
        <f aca="false">K15*(1+L14)</f>
        <v>28.9322326525025</v>
      </c>
      <c r="M15" s="25" t="n">
        <f aca="false">L15*(1+M14)</f>
        <v>28.9322326525025</v>
      </c>
    </row>
    <row r="16" customFormat="false" ht="17.15" hidden="false" customHeight="false" outlineLevel="0" collapsed="false">
      <c r="A16" s="0" t="s">
        <v>994</v>
      </c>
      <c r="B16" s="0" t="s">
        <v>106</v>
      </c>
      <c r="F16" s="14" t="n">
        <f aca="false">g0_subs</f>
        <v>0.153585765433438</v>
      </c>
      <c r="H16" s="14" t="n">
        <f aca="false">g0_subs+(gl_subs-g0_subs)*MIN(1,(2027-2026)/conv_n)</f>
        <v>0.140189324075079</v>
      </c>
      <c r="I16" s="14" t="n">
        <f aca="false">g0_subs+(gl_subs-g0_subs)*MIN(1,(2028-2026)/conv_n)</f>
        <v>0.126792882716719</v>
      </c>
      <c r="J16" s="14" t="n">
        <f aca="false">g0_subs+(gl_subs-g0_subs)*MIN(1,(2029-2026)/conv_n)</f>
        <v>0.11339644135836</v>
      </c>
      <c r="K16" s="14" t="n">
        <f aca="false">g0_subs+(gl_subs-g0_subs)*MIN(1,(2030-2026)/conv_n)</f>
        <v>0.1</v>
      </c>
      <c r="L16" s="14" t="n">
        <f aca="false">g0_subs+(gl_subs-g0_subs)*MIN(1,(2031-2026)/conv_n)</f>
        <v>0.1</v>
      </c>
      <c r="M16" s="14" t="n">
        <f aca="false">g0_subs+(gl_subs-g0_subs)*MIN(1,(2032-2026)/conv_n)</f>
        <v>0.1</v>
      </c>
      <c r="N16" s="4" t="s">
        <v>992</v>
      </c>
    </row>
    <row r="17" customFormat="false" ht="15" hidden="false" customHeight="false" outlineLevel="0" collapsed="false">
      <c r="A17" s="5" t="s">
        <v>801</v>
      </c>
      <c r="B17" s="7" t="s">
        <v>81</v>
      </c>
      <c r="C17" s="25" t="n">
        <f aca="false">Q!J8</f>
        <v>40.34</v>
      </c>
      <c r="D17" s="25" t="n">
        <f aca="false">Q!K8</f>
        <v>48.03</v>
      </c>
      <c r="E17" s="25" t="n">
        <f aca="false">Q!L8</f>
        <v>39.585</v>
      </c>
      <c r="F17" s="25" t="n">
        <f aca="false">Q!F8*(1+F16)</f>
        <v>15.6633875230552</v>
      </c>
      <c r="G17" s="25" t="n">
        <f aca="false">E17+F17</f>
        <v>55.2483875230552</v>
      </c>
      <c r="H17" s="25" t="n">
        <f aca="false">G17*(1+H16)</f>
        <v>62.9936216261504</v>
      </c>
      <c r="I17" s="25" t="n">
        <f aca="false">H17*(1+I16)</f>
        <v>70.9807645048962</v>
      </c>
      <c r="J17" s="25" t="n">
        <f aca="false">I17*(1+J16)</f>
        <v>79.0297306046472</v>
      </c>
      <c r="K17" s="25" t="n">
        <f aca="false">J17*(1+K16)</f>
        <v>86.9327036651119</v>
      </c>
      <c r="L17" s="25" t="n">
        <f aca="false">K17*(1+L16)</f>
        <v>95.6259740316231</v>
      </c>
      <c r="M17" s="25" t="n">
        <f aca="false">L17*(1+M16)</f>
        <v>105.188571434785</v>
      </c>
    </row>
    <row r="18" customFormat="false" ht="15" hidden="false" customHeight="false" outlineLevel="0" collapsed="false">
      <c r="A18" s="29" t="s">
        <v>995</v>
      </c>
      <c r="B18" s="30" t="s">
        <v>81</v>
      </c>
      <c r="C18" s="31" t="n">
        <f aca="false">Q!J9</f>
        <v>304.93</v>
      </c>
      <c r="D18" s="31" t="n">
        <f aca="false">Q!K9</f>
        <v>342.721</v>
      </c>
      <c r="E18" s="31" t="n">
        <f aca="false">Q!L9</f>
        <v>280.479</v>
      </c>
      <c r="F18" s="31" t="n">
        <f aca="false">F11+F13+F15+F17</f>
        <v>109.154511180096</v>
      </c>
      <c r="G18" s="31" t="n">
        <f aca="false">E18+F18</f>
        <v>389.633511180096</v>
      </c>
      <c r="H18" s="31" t="n">
        <f aca="false">H11+H13+H15+H17</f>
        <v>449.227092355597</v>
      </c>
      <c r="I18" s="31" t="n">
        <f aca="false">I11+I13+I15+I17</f>
        <v>511.35412298746</v>
      </c>
      <c r="J18" s="31" t="n">
        <f aca="false">J11+J13+J15+J17</f>
        <v>574.027482583808</v>
      </c>
      <c r="K18" s="31" t="n">
        <f aca="false">K11+K13+K15+K17</f>
        <v>634.892552255976</v>
      </c>
      <c r="L18" s="31" t="n">
        <f aca="false">L11+L13+L15+L17</f>
        <v>685.108031897557</v>
      </c>
      <c r="M18" s="31" t="n">
        <f aca="false">M11+M13+M15+M17</f>
        <v>739.514615317793</v>
      </c>
      <c r="N18" s="30"/>
    </row>
    <row r="19" customFormat="false" ht="17.15" hidden="false" customHeight="false" outlineLevel="0" collapsed="false">
      <c r="A19" s="0" t="s">
        <v>996</v>
      </c>
      <c r="B19" s="0" t="s">
        <v>81</v>
      </c>
      <c r="E19" s="25" t="n">
        <f aca="false">Thesis!E38</f>
        <v>13.1190558790519</v>
      </c>
      <c r="F19" s="25" t="n">
        <f aca="false">Thesis!F38</f>
        <v>6.05015497275625</v>
      </c>
      <c r="G19" s="25" t="n">
        <f aca="false">Thesis!G38</f>
        <v>19.1692108518081</v>
      </c>
      <c r="H19" s="25" t="n">
        <f aca="false">Thesis!H38</f>
        <v>36.6157989143902</v>
      </c>
      <c r="I19" s="25" t="n">
        <f aca="false">Thesis!I38</f>
        <v>57.2951603365358</v>
      </c>
      <c r="J19" s="25" t="n">
        <f aca="false">Thesis!J38</f>
        <v>76.1794729031624</v>
      </c>
      <c r="K19" s="25" t="n">
        <f aca="false">Thesis!K38</f>
        <v>90.4330979280781</v>
      </c>
      <c r="L19" s="25" t="n">
        <f aca="false">Thesis!L38</f>
        <v>100.252938969643</v>
      </c>
      <c r="M19" s="25" t="n">
        <f aca="false">Thesis!M38</f>
        <v>105.736687700744</v>
      </c>
      <c r="N19" s="7" t="s">
        <v>997</v>
      </c>
    </row>
    <row r="20" customFormat="false" ht="17.15" hidden="false" customHeight="false" outlineLevel="0" collapsed="false">
      <c r="A20" s="0" t="s">
        <v>998</v>
      </c>
      <c r="B20" s="0" t="s">
        <v>81</v>
      </c>
      <c r="E20" s="27" t="n">
        <v>0</v>
      </c>
      <c r="F20" s="25" t="n">
        <f aca="false">tpu_2h</f>
        <v>1</v>
      </c>
      <c r="G20" s="25" t="n">
        <f aca="false">E20+F20</f>
        <v>1</v>
      </c>
      <c r="H20" s="25" t="n">
        <f aca="false">tpu_yr</f>
        <v>13</v>
      </c>
      <c r="I20" s="25" t="n">
        <f aca="false">tpu_yr</f>
        <v>13</v>
      </c>
      <c r="J20" s="25" t="n">
        <f aca="false">tpu_yr</f>
        <v>13</v>
      </c>
      <c r="K20" s="25" t="n">
        <f aca="false">tpu_yr</f>
        <v>13</v>
      </c>
      <c r="L20" s="25" t="n">
        <f aca="false">tpu_yr</f>
        <v>13</v>
      </c>
      <c r="M20" s="25" t="n">
        <f aca="false">tpu_yr</f>
        <v>13</v>
      </c>
      <c r="N20" s="7" t="s">
        <v>999</v>
      </c>
    </row>
    <row r="21" customFormat="false" ht="17.15" hidden="false" customHeight="false" outlineLevel="0" collapsed="false">
      <c r="A21" s="0" t="s">
        <v>1000</v>
      </c>
      <c r="B21" s="0" t="s">
        <v>106</v>
      </c>
      <c r="F21" s="14" t="n">
        <f aca="false">g0_co</f>
        <v>0.71107867543805</v>
      </c>
      <c r="H21" s="14" t="n">
        <f aca="false">g0_co+(gl_co-g0_co)*MIN(1,(2027-2026)/conv_n)</f>
        <v>0.553309006578538</v>
      </c>
      <c r="I21" s="14" t="n">
        <f aca="false">g0_co+(gl_co-g0_co)*MIN(1,(2028-2026)/conv_n)</f>
        <v>0.395539337719025</v>
      </c>
      <c r="J21" s="14" t="n">
        <f aca="false">g0_co+(gl_co-g0_co)*MIN(1,(2029-2026)/conv_n)</f>
        <v>0.237769668859512</v>
      </c>
      <c r="K21" s="14" t="n">
        <f aca="false">g0_co+(gl_co-g0_co)*MIN(1,(2030-2026)/conv_n)</f>
        <v>0.08</v>
      </c>
      <c r="L21" s="14" t="n">
        <f aca="false">g0_co+(gl_co-g0_co)*MIN(1,(2031-2026)/conv_n)</f>
        <v>0.08</v>
      </c>
      <c r="M21" s="14" t="n">
        <f aca="false">g0_co+(gl_co-g0_co)*MIN(1,(2032-2026)/conv_n)</f>
        <v>0.08</v>
      </c>
      <c r="N21" s="4" t="s">
        <v>1001</v>
      </c>
    </row>
    <row r="22" customFormat="false" ht="17.15" hidden="false" customHeight="false" outlineLevel="0" collapsed="false">
      <c r="A22" s="0" t="s">
        <v>1002</v>
      </c>
      <c r="B22" s="0" t="s">
        <v>81</v>
      </c>
      <c r="E22" s="25" t="n">
        <f aca="false">Q!L11-E19-E20</f>
        <v>62.3859441209481</v>
      </c>
      <c r="F22" s="25" t="n">
        <f aca="false">E22*q3sh_cloud*(1+F21)^0.25</f>
        <v>29.0197862418792</v>
      </c>
      <c r="G22" s="25" t="n">
        <f aca="false">E22+F22</f>
        <v>91.4057303628273</v>
      </c>
      <c r="H22" s="25" t="n">
        <f aca="false">G22*(1+H21)</f>
        <v>141.981344225469</v>
      </c>
      <c r="I22" s="25" t="n">
        <f aca="false">H22*(1+I21)</f>
        <v>198.140551088868</v>
      </c>
      <c r="J22" s="25" t="n">
        <f aca="false">I22*(1+J21)</f>
        <v>245.252364308909</v>
      </c>
      <c r="K22" s="25" t="n">
        <f aca="false">J22*(1+K21)</f>
        <v>264.872553453622</v>
      </c>
      <c r="L22" s="25" t="n">
        <f aca="false">K22*(1+L21)</f>
        <v>286.062357729912</v>
      </c>
      <c r="M22" s="25" t="n">
        <f aca="false">L22*(1+M21)</f>
        <v>308.947346348305</v>
      </c>
      <c r="N22" s="7" t="s">
        <v>1003</v>
      </c>
    </row>
    <row r="23" customFormat="false" ht="15" hidden="false" customHeight="false" outlineLevel="0" collapsed="false">
      <c r="A23" s="29" t="s">
        <v>1004</v>
      </c>
      <c r="B23" s="30" t="s">
        <v>81</v>
      </c>
      <c r="C23" s="31" t="n">
        <f aca="false">Q!J11</f>
        <v>43.229</v>
      </c>
      <c r="D23" s="31" t="n">
        <f aca="false">Q!K11</f>
        <v>58.705</v>
      </c>
      <c r="E23" s="31" t="n">
        <f aca="false">Q!L11</f>
        <v>75.505</v>
      </c>
      <c r="F23" s="31" t="n">
        <f aca="false">F19+F20+F22</f>
        <v>36.0699412146354</v>
      </c>
      <c r="G23" s="31" t="n">
        <f aca="false">E23+F23</f>
        <v>111.574941214635</v>
      </c>
      <c r="H23" s="31" t="n">
        <f aca="false">H19+H20+H22</f>
        <v>191.597143139859</v>
      </c>
      <c r="I23" s="31" t="n">
        <f aca="false">I19+I20+I22</f>
        <v>268.435711425404</v>
      </c>
      <c r="J23" s="31" t="n">
        <f aca="false">J19+J20+J22</f>
        <v>334.431837212072</v>
      </c>
      <c r="K23" s="31" t="n">
        <f aca="false">K19+K20+K22</f>
        <v>368.3056513817</v>
      </c>
      <c r="L23" s="31" t="n">
        <f aca="false">L19+L20+L22</f>
        <v>399.315296699555</v>
      </c>
      <c r="M23" s="31" t="n">
        <f aca="false">M19+M20+M22</f>
        <v>427.684034049048</v>
      </c>
      <c r="N23" s="30"/>
    </row>
    <row r="24" customFormat="false" ht="15" hidden="false" customHeight="false" outlineLevel="0" collapsed="false">
      <c r="A24" s="29" t="s">
        <v>1005</v>
      </c>
      <c r="B24" s="30" t="s">
        <v>81</v>
      </c>
      <c r="C24" s="31" t="n">
        <f aca="false">Q!J12</f>
        <v>1.648</v>
      </c>
      <c r="D24" s="31" t="n">
        <f aca="false">Q!K12</f>
        <v>1.537</v>
      </c>
      <c r="E24" s="31" t="n">
        <f aca="false">Q!L12</f>
        <v>1.165</v>
      </c>
      <c r="F24" s="31" t="n">
        <f aca="false">ob_rev_2H</f>
        <v>0.38</v>
      </c>
      <c r="G24" s="31" t="n">
        <f aca="false">E24+F24</f>
        <v>1.545</v>
      </c>
      <c r="H24" s="31" t="n">
        <f aca="false">ob_rev_27</f>
        <v>1.6</v>
      </c>
      <c r="I24" s="31" t="n">
        <f aca="false">ob_rev_28</f>
        <v>1.8</v>
      </c>
      <c r="J24" s="31" t="n">
        <f aca="false">ob_rev_29</f>
        <v>2</v>
      </c>
      <c r="K24" s="31" t="n">
        <f aca="false">ob_rev_30</f>
        <v>2.2</v>
      </c>
      <c r="L24" s="31" t="n">
        <f aca="false">ob_rev_31</f>
        <v>2.4</v>
      </c>
      <c r="M24" s="31" t="n">
        <f aca="false">ob_rev_32</f>
        <v>2.6</v>
      </c>
      <c r="N24" s="30"/>
    </row>
    <row r="25" customFormat="false" ht="17.15" hidden="false" customHeight="false" outlineLevel="0" collapsed="false">
      <c r="A25" s="0" t="s">
        <v>1006</v>
      </c>
      <c r="B25" s="0" t="s">
        <v>81</v>
      </c>
      <c r="C25" s="25" t="n">
        <f aca="false">Q!J13</f>
        <v>0.211</v>
      </c>
      <c r="D25" s="25" t="n">
        <f aca="false">Q!K13</f>
        <v>-0.127</v>
      </c>
      <c r="E25" s="25" t="n">
        <f aca="false">Q!L13</f>
        <v>0.12</v>
      </c>
      <c r="F25" s="27" t="n">
        <v>0</v>
      </c>
      <c r="G25" s="25" t="n">
        <f aca="false">E25+F25</f>
        <v>0.12</v>
      </c>
      <c r="H25" s="27" t="n">
        <v>0</v>
      </c>
      <c r="I25" s="27" t="n">
        <v>0</v>
      </c>
      <c r="J25" s="27" t="n">
        <v>0</v>
      </c>
      <c r="K25" s="27" t="n">
        <v>0</v>
      </c>
      <c r="L25" s="27" t="n">
        <v>0</v>
      </c>
      <c r="M25" s="27" t="n">
        <v>0</v>
      </c>
      <c r="N25" s="7" t="s">
        <v>1007</v>
      </c>
    </row>
    <row r="26" customFormat="false" ht="15" hidden="false" customHeight="false" outlineLevel="0" collapsed="false">
      <c r="A26" s="2" t="s">
        <v>808</v>
      </c>
      <c r="B26" s="7" t="s">
        <v>81</v>
      </c>
      <c r="C26" s="25" t="n">
        <f aca="false">Q!J14</f>
        <v>350.018</v>
      </c>
      <c r="D26" s="25" t="n">
        <f aca="false">Q!K14</f>
        <v>402.836</v>
      </c>
      <c r="E26" s="25" t="n">
        <f aca="false">Q!L14</f>
        <v>357.269</v>
      </c>
      <c r="F26" s="25" t="n">
        <f aca="false">F18+F23+F24+F25</f>
        <v>145.604452394731</v>
      </c>
      <c r="G26" s="25" t="n">
        <f aca="false">E26+F26</f>
        <v>502.873452394731</v>
      </c>
      <c r="H26" s="25" t="n">
        <f aca="false">H18+H23+H24+H25</f>
        <v>642.424235495456</v>
      </c>
      <c r="I26" s="25" t="n">
        <f aca="false">I18+I23+I24+I25</f>
        <v>781.589834412864</v>
      </c>
      <c r="J26" s="25" t="n">
        <f aca="false">J18+J23+J24+J25</f>
        <v>910.459319795879</v>
      </c>
      <c r="K26" s="25" t="n">
        <f aca="false">K18+K23+K24+K25</f>
        <v>1005.39820363768</v>
      </c>
      <c r="L26" s="25" t="n">
        <f aca="false">L18+L23+L24+L25</f>
        <v>1086.82332859711</v>
      </c>
      <c r="M26" s="25" t="n">
        <f aca="false">M18+M23+M24+M25</f>
        <v>1169.79864936684</v>
      </c>
    </row>
    <row r="27" customFormat="false" ht="17.15" hidden="false" customHeight="false" outlineLevel="0" collapsed="false">
      <c r="A27" s="4" t="s">
        <v>803</v>
      </c>
      <c r="B27" s="0" t="s">
        <v>81</v>
      </c>
      <c r="C27" s="21" t="n">
        <f aca="false">C11+C13+C15+C17-C18</f>
        <v>0</v>
      </c>
      <c r="D27" s="21" t="n">
        <f aca="false">D11+D13+D15+D17-D18</f>
        <v>0</v>
      </c>
      <c r="E27" s="21" t="n">
        <f aca="false">E11+E13+E15+E17-E18</f>
        <v>0</v>
      </c>
      <c r="F27" s="21" t="n">
        <f aca="false">F11+F13+F15+F17-F18</f>
        <v>0</v>
      </c>
      <c r="G27" s="21" t="n">
        <f aca="false">G11+G13+G15+G17-G18</f>
        <v>0</v>
      </c>
      <c r="H27" s="21" t="n">
        <f aca="false">H11+H13+H15+H17-H18</f>
        <v>0</v>
      </c>
      <c r="I27" s="21" t="n">
        <f aca="false">I11+I13+I15+I17-I18</f>
        <v>0</v>
      </c>
      <c r="J27" s="21" t="n">
        <f aca="false">J11+J13+J15+J17-J18</f>
        <v>0</v>
      </c>
      <c r="K27" s="21" t="n">
        <f aca="false">K11+K13+K15+K17-K18</f>
        <v>0</v>
      </c>
      <c r="L27" s="21" t="n">
        <f aca="false">L11+L13+L15+L17-L18</f>
        <v>0</v>
      </c>
      <c r="M27" s="21" t="n">
        <f aca="false">M11+M13+M15+M17-M18</f>
        <v>0</v>
      </c>
    </row>
    <row r="28" customFormat="false" ht="17.15" hidden="false" customHeight="false" outlineLevel="0" collapsed="false">
      <c r="A28" s="4" t="s">
        <v>1008</v>
      </c>
      <c r="B28" s="0" t="s">
        <v>81</v>
      </c>
      <c r="E28" s="21" t="n">
        <f aca="false">E19+E20+E22-E23</f>
        <v>0</v>
      </c>
      <c r="F28" s="21" t="n">
        <f aca="false">F19+F20+F22-F23</f>
        <v>0</v>
      </c>
      <c r="G28" s="21" t="n">
        <f aca="false">G19+G20+G22-G23</f>
        <v>0</v>
      </c>
      <c r="H28" s="21" t="n">
        <f aca="false">H19+H20+H22-H23</f>
        <v>0</v>
      </c>
      <c r="I28" s="21" t="n">
        <f aca="false">I19+I20+I22-I23</f>
        <v>0</v>
      </c>
      <c r="J28" s="21" t="n">
        <f aca="false">J19+J20+J22-J23</f>
        <v>0</v>
      </c>
      <c r="K28" s="21" t="n">
        <f aca="false">K19+K20+K22-K23</f>
        <v>0</v>
      </c>
      <c r="L28" s="21" t="n">
        <f aca="false">L19+L20+L22-L23</f>
        <v>0</v>
      </c>
      <c r="M28" s="21" t="n">
        <f aca="false">M19+M20+M22-M23</f>
        <v>0</v>
      </c>
    </row>
    <row r="29" customFormat="false" ht="15" hidden="false" customHeight="false" outlineLevel="0" collapsed="false">
      <c r="A29" s="4" t="s">
        <v>809</v>
      </c>
      <c r="B29" s="0" t="s">
        <v>81</v>
      </c>
      <c r="C29" s="21" t="n">
        <f aca="false">C18+C23+C24+C25-C26</f>
        <v>0</v>
      </c>
      <c r="D29" s="21" t="n">
        <f aca="false">D18+D23+D24+D25-D26</f>
        <v>0</v>
      </c>
      <c r="E29" s="21" t="n">
        <f aca="false">E18+E23+E24+E25-E26</f>
        <v>0</v>
      </c>
      <c r="F29" s="21" t="n">
        <f aca="false">F18+F23+F24+F25-F26</f>
        <v>0</v>
      </c>
      <c r="G29" s="21" t="n">
        <f aca="false">G18+G23+G24+G25-G26</f>
        <v>0</v>
      </c>
      <c r="H29" s="21" t="n">
        <f aca="false">H18+H23+H24+H25-H26</f>
        <v>0</v>
      </c>
      <c r="I29" s="21" t="n">
        <f aca="false">I18+I23+I24+I25-I26</f>
        <v>0</v>
      </c>
      <c r="J29" s="21" t="n">
        <f aca="false">J18+J23+J24+J25-J26</f>
        <v>0</v>
      </c>
      <c r="K29" s="21" t="n">
        <f aca="false">K18+K23+K24+K25-K26</f>
        <v>0</v>
      </c>
      <c r="L29" s="21" t="n">
        <f aca="false">L18+L23+L24+L25-L26</f>
        <v>0</v>
      </c>
      <c r="M29" s="21" t="n">
        <f aca="false">M18+M23+M24+M25-M26</f>
        <v>0</v>
      </c>
    </row>
    <row r="30" customFormat="false" ht="17.15" hidden="false" customHeight="false" outlineLevel="0" collapsed="false">
      <c r="A30" s="4" t="s">
        <v>1009</v>
      </c>
      <c r="B30" s="0" t="s">
        <v>81</v>
      </c>
      <c r="C30" s="21" t="n">
        <f aca="false">C26-Q!J14</f>
        <v>0</v>
      </c>
      <c r="D30" s="21" t="n">
        <f aca="false">D26-Q!K14</f>
        <v>0</v>
      </c>
      <c r="E30" s="21" t="n">
        <f aca="false">E26-Q!L14</f>
        <v>0</v>
      </c>
    </row>
    <row r="31" customFormat="false" ht="17.15" hidden="false" customHeight="false" outlineLevel="0" collapsed="false">
      <c r="A31" s="4" t="s">
        <v>1010</v>
      </c>
      <c r="B31" s="0" t="s">
        <v>81</v>
      </c>
      <c r="F31" s="25" t="n">
        <f aca="false">F18*cx_svc</f>
        <v>6.54927067080576</v>
      </c>
      <c r="G31" s="25" t="n">
        <f aca="false">F31</f>
        <v>6.54927067080576</v>
      </c>
      <c r="H31" s="25" t="n">
        <f aca="false">H18*cx_svc</f>
        <v>26.9536255413358</v>
      </c>
      <c r="I31" s="25" t="n">
        <f aca="false">I18*cx_svc</f>
        <v>30.6812473792476</v>
      </c>
      <c r="J31" s="25" t="n">
        <f aca="false">J18*cx_svc</f>
        <v>34.4416489550285</v>
      </c>
      <c r="K31" s="25" t="n">
        <f aca="false">K18*cx_svc</f>
        <v>38.0935531353586</v>
      </c>
      <c r="L31" s="25" t="n">
        <f aca="false">L18*cx_svc</f>
        <v>41.1064819138534</v>
      </c>
      <c r="M31" s="25" t="n">
        <f aca="false">M18*cx_svc</f>
        <v>44.3708769190676</v>
      </c>
    </row>
    <row r="32" customFormat="false" ht="17.15" hidden="false" customHeight="false" outlineLevel="0" collapsed="false">
      <c r="A32" s="4" t="s">
        <v>1011</v>
      </c>
      <c r="B32" s="0" t="s">
        <v>81</v>
      </c>
      <c r="F32" s="25" t="n">
        <f aca="false">F22*cx_co</f>
        <v>5.80395724837583</v>
      </c>
      <c r="G32" s="25" t="n">
        <f aca="false">F32</f>
        <v>5.80395724837583</v>
      </c>
      <c r="H32" s="25" t="n">
        <f aca="false">H22*cx_co</f>
        <v>28.3962688450938</v>
      </c>
      <c r="I32" s="25" t="n">
        <f aca="false">I22*cx_co</f>
        <v>39.6281102177736</v>
      </c>
      <c r="J32" s="25" t="n">
        <f aca="false">J22*cx_co</f>
        <v>49.0504728617819</v>
      </c>
      <c r="K32" s="25" t="n">
        <f aca="false">K22*cx_co</f>
        <v>52.9745106907244</v>
      </c>
      <c r="L32" s="25" t="n">
        <f aca="false">L22*cx_co</f>
        <v>57.2124715459824</v>
      </c>
      <c r="M32" s="25" t="n">
        <f aca="false">M22*cx_co</f>
        <v>61.789469269661</v>
      </c>
    </row>
    <row r="33" customFormat="false" ht="17.15" hidden="false" customHeight="false" outlineLevel="0" collapsed="false">
      <c r="A33" s="4" t="s">
        <v>1012</v>
      </c>
      <c r="B33" s="0" t="s">
        <v>81</v>
      </c>
      <c r="F33" s="25" t="n">
        <f aca="false">F24*cx_ob</f>
        <v>0.0228</v>
      </c>
      <c r="G33" s="25" t="n">
        <f aca="false">F33</f>
        <v>0.0228</v>
      </c>
      <c r="H33" s="25" t="n">
        <f aca="false">H24*cx_ob</f>
        <v>0.096</v>
      </c>
      <c r="I33" s="25" t="n">
        <f aca="false">I24*cx_ob</f>
        <v>0.108</v>
      </c>
      <c r="J33" s="25" t="n">
        <f aca="false">J24*cx_ob</f>
        <v>0.12</v>
      </c>
      <c r="K33" s="25" t="n">
        <f aca="false">K24*cx_ob</f>
        <v>0.132</v>
      </c>
      <c r="L33" s="25" t="n">
        <f aca="false">L24*cx_ob</f>
        <v>0.144</v>
      </c>
      <c r="M33" s="25" t="n">
        <f aca="false">M24*cx_ob</f>
        <v>0.156</v>
      </c>
    </row>
    <row r="34" customFormat="false" ht="17.15" hidden="false" customHeight="false" outlineLevel="0" collapsed="false">
      <c r="A34" s="2" t="s">
        <v>1013</v>
      </c>
      <c r="B34" s="7" t="s">
        <v>81</v>
      </c>
      <c r="F34" s="25" t="n">
        <f aca="false">F31+F32+F33</f>
        <v>12.3760279191816</v>
      </c>
      <c r="G34" s="25" t="n">
        <f aca="false">G31+G32+G33</f>
        <v>12.3760279191816</v>
      </c>
      <c r="H34" s="25" t="n">
        <f aca="false">H31+H32+H33</f>
        <v>55.4458943864296</v>
      </c>
      <c r="I34" s="25" t="n">
        <f aca="false">I31+I32+I33</f>
        <v>70.4173575970212</v>
      </c>
      <c r="J34" s="25" t="n">
        <f aca="false">J31+J32+J33</f>
        <v>83.6121218168103</v>
      </c>
      <c r="K34" s="25" t="n">
        <f aca="false">K31+K32+K33</f>
        <v>91.200063826083</v>
      </c>
      <c r="L34" s="25" t="n">
        <f aca="false">L31+L32+L33</f>
        <v>98.4629534598358</v>
      </c>
      <c r="M34" s="25" t="n">
        <f aca="false">M31+M32+M33</f>
        <v>106.316346188729</v>
      </c>
    </row>
    <row r="35" customFormat="false" ht="17.15" hidden="false" customHeight="false" outlineLevel="0" collapsed="false">
      <c r="A35" s="4" t="s">
        <v>1014</v>
      </c>
      <c r="B35" s="0" t="s">
        <v>81</v>
      </c>
      <c r="F35" s="25" t="n">
        <f aca="false">$F$31/life_na*IF((0)&lt;0,0,IF((0)=0,phi_0,IF((0)&lt;life_na,1,IF((0)=life_na,1-phi_0,0))))</f>
        <v>0.163731766770144</v>
      </c>
      <c r="G35" s="25" t="n">
        <f aca="false">F35</f>
        <v>0.163731766770144</v>
      </c>
      <c r="H35" s="25" t="n">
        <f aca="false">$F$31/life_na*IF((1)&lt;0,0,IF((1)=0,phi_0,IF((1)&lt;life_na,1,IF((1)=life_na,1-phi_0,0))))+$H$31/life_na*IF((0)&lt;0,0,IF((0)=0,phi_0,IF((0)&lt;life_na,1,IF((0)=life_na,1-phi_0,0))))</f>
        <v>1.32876770561397</v>
      </c>
      <c r="I35" s="25" t="n">
        <f aca="false">$F$31/life_na*IF((2)&lt;0,0,IF((2)=0,phi_0,IF((2)&lt;life_na,1,IF((2)=life_na,1-phi_0,0))))+$H$31/life_na*IF((1)&lt;0,0,IF((1)=0,phi_0,IF((1)&lt;life_na,1,IF((1)=life_na,1-phi_0,0))))+$I$31/life_na*IF((0)&lt;0,0,IF((0)=0,phi_0,IF((0)&lt;life_na,1,IF((0)=life_na,1-phi_0,0))))</f>
        <v>4.11732080569535</v>
      </c>
      <c r="J35" s="25" t="n">
        <f aca="false">$F$31/life_na*IF((3)&lt;0,0,IF((3)=0,phi_0,IF((3)&lt;life_na,1,IF((3)=life_na,1-phi_0,0))))+$H$31/life_na*IF((2)&lt;0,0,IF((2)=0,phi_0,IF((2)&lt;life_na,1,IF((2)=life_na,1-phi_0,0))))+$I$31/life_na*IF((1)&lt;0,0,IF((1)=0,phi_0,IF((1)&lt;life_na,1,IF((1)=life_na,1-phi_0,0))))+$J$31/life_na*IF((0)&lt;0,0,IF((0)=0,phi_0,IF((0)&lt;life_na,1,IF((0)=life_na,1-phi_0,0))))</f>
        <v>7.27945558301463</v>
      </c>
      <c r="K35" s="25" t="n">
        <f aca="false">$F$31/life_na*IF((4)&lt;0,0,IF((4)=0,phi_0,IF((4)&lt;life_na,1,IF((4)=life_na,1-phi_0,0))))+$H$31/life_na*IF((3)&lt;0,0,IF((3)=0,phi_0,IF((3)&lt;life_na,1,IF((3)=life_na,1-phi_0,0))))+$I$31/life_na*IF((2)&lt;0,0,IF((2)=0,phi_0,IF((2)&lt;life_na,1,IF((2)=life_na,1-phi_0,0))))+$J$31/life_na*IF((1)&lt;0,0,IF((1)=0,phi_0,IF((1)&lt;life_na,1,IF((1)=life_na,1-phi_0,0))))+$K$31/life_na*IF((0)&lt;0,0,IF((0)=0,phi_0,IF((0)&lt;life_na,1,IF((0)=life_na,1-phi_0,0))))</f>
        <v>10.8149180830257</v>
      </c>
      <c r="L35" s="25" t="n">
        <f aca="false">$F$31/life_na*IF((5)&lt;0,0,IF((5)=0,phi_0,IF((5)&lt;life_na,1,IF((5)=life_na,1-phi_0,0))))+$H$31/life_na*IF((4)&lt;0,0,IF((4)=0,phi_0,IF((4)&lt;life_na,1,IF((4)=life_na,1-phi_0,0))))+$I$31/life_na*IF((3)&lt;0,0,IF((3)=0,phi_0,IF((3)&lt;life_na,1,IF((3)=life_na,1-phi_0,0))))+$J$31/life_na*IF((2)&lt;0,0,IF((2)=0,phi_0,IF((2)&lt;life_na,1,IF((2)=life_na,1-phi_0,0))))+$K$31/life_na*IF((1)&lt;0,0,IF((1)=0,phi_0,IF((1)&lt;life_na,1,IF((1)=life_na,1-phi_0,0))))+$L$31/life_na*IF((0)&lt;0,0,IF((0)=0,phi_0,IF((0)&lt;life_na,1,IF((0)=life_na,1-phi_0,0))))</f>
        <v>14.699596616024</v>
      </c>
      <c r="M35" s="25" t="n">
        <f aca="false">$F$31/life_na*IF((6)&lt;0,0,IF((6)=0,phi_0,IF((6)&lt;life_na,1,IF((6)=life_na,1-phi_0,0))))+$H$31/life_na*IF((5)&lt;0,0,IF((5)=0,phi_0,IF((5)&lt;life_na,1,IF((5)=life_na,1-phi_0,0))))+$I$31/life_na*IF((4)&lt;0,0,IF((4)=0,phi_0,IF((4)&lt;life_na,1,IF((4)=life_na,1-phi_0,0))))+$J$31/life_na*IF((3)&lt;0,0,IF((3)=0,phi_0,IF((3)&lt;life_na,1,IF((3)=life_na,1-phi_0,0))))+$K$31/life_na*IF((2)&lt;0,0,IF((2)=0,phi_0,IF((2)&lt;life_na,1,IF((2)=life_na,1-phi_0,0))))+$L$31/life_na*IF((1)&lt;0,0,IF((1)=0,phi_0,IF((1)&lt;life_na,1,IF((1)=life_na,1-phi_0,0))))+$M$31/life_na*IF((0)&lt;0,0,IF((0)=0,phi_0,IF((0)&lt;life_na,1,IF((0)=life_na,1-phi_0,0))))</f>
        <v>18.8918546825397</v>
      </c>
    </row>
    <row r="36" customFormat="false" ht="17.15" hidden="false" customHeight="false" outlineLevel="0" collapsed="false">
      <c r="A36" s="4" t="s">
        <v>1015</v>
      </c>
      <c r="B36" s="0" t="s">
        <v>81</v>
      </c>
      <c r="F36" s="25" t="n">
        <f aca="false">$F$32/life_na*IF((0)&lt;0,0,IF((0)=0,phi_0,IF((0)&lt;life_na,1,IF((0)=life_na,1-phi_0,0))))</f>
        <v>0.145098931209396</v>
      </c>
      <c r="G36" s="25" t="n">
        <f aca="false">F36</f>
        <v>0.145098931209396</v>
      </c>
      <c r="H36" s="25" t="n">
        <f aca="false">$F$32/life_na*IF((1)&lt;0,0,IF((1)=0,phi_0,IF((1)&lt;life_na,1,IF((1)=life_na,1-phi_0,0))))+$H$32/life_na*IF((0)&lt;0,0,IF((0)=0,phi_0,IF((0)&lt;life_na,1,IF((0)=life_na,1-phi_0,0))))</f>
        <v>1.29030244596493</v>
      </c>
      <c r="I36" s="25" t="n">
        <f aca="false">$F$32/life_na*IF((2)&lt;0,0,IF((2)=0,phi_0,IF((2)&lt;life_na,1,IF((2)=life_na,1-phi_0,0))))+$H$32/life_na*IF((1)&lt;0,0,IF((1)=0,phi_0,IF((1)&lt;life_na,1,IF((1)=life_na,1-phi_0,0))))+$I$32/life_na*IF((0)&lt;0,0,IF((0)=0,phi_0,IF((0)&lt;life_na,1,IF((0)=life_na,1-phi_0,0))))</f>
        <v>4.4107253647913</v>
      </c>
      <c r="J36" s="25" t="n">
        <f aca="false">$F$32/life_na*IF((3)&lt;0,0,IF((3)=0,phi_0,IF((3)&lt;life_na,1,IF((3)=life_na,1-phi_0,0))))+$H$32/life_na*IF((2)&lt;0,0,IF((2)=0,phi_0,IF((2)&lt;life_na,1,IF((2)=life_na,1-phi_0,0))))+$I$32/life_na*IF((1)&lt;0,0,IF((1)=0,phi_0,IF((1)&lt;life_na,1,IF((1)=life_na,1-phi_0,0))))+$J$32/life_na*IF((0)&lt;0,0,IF((0)=0,phi_0,IF((0)&lt;life_na,1,IF((0)=life_na,1-phi_0,0))))</f>
        <v>8.60909545266886</v>
      </c>
      <c r="K36" s="25" t="n">
        <f aca="false">$F$32/life_na*IF((4)&lt;0,0,IF((4)=0,phi_0,IF((4)&lt;life_na,1,IF((4)=life_na,1-phi_0,0))))+$H$32/life_na*IF((3)&lt;0,0,IF((3)=0,phi_0,IF((3)&lt;life_na,1,IF((3)=life_na,1-phi_0,0))))+$I$32/life_na*IF((2)&lt;0,0,IF((2)=0,phi_0,IF((2)&lt;life_na,1,IF((2)=life_na,1-phi_0,0))))+$J$32/life_na*IF((1)&lt;0,0,IF((1)=0,phi_0,IF((1)&lt;life_na,1,IF((1)=life_na,1-phi_0,0))))+$K$32/life_na*IF((0)&lt;0,0,IF((0)=0,phi_0,IF((0)&lt;life_na,1,IF((0)=life_na,1-phi_0,0))))</f>
        <v>13.6122436845706</v>
      </c>
      <c r="L36" s="25" t="n">
        <f aca="false">$F$32/life_na*IF((5)&lt;0,0,IF((5)=0,phi_0,IF((5)&lt;life_na,1,IF((5)=life_na,1-phi_0,0))))+$H$32/life_na*IF((4)&lt;0,0,IF((4)=0,phi_0,IF((4)&lt;life_na,1,IF((4)=life_na,1-phi_0,0))))+$I$32/life_na*IF((3)&lt;0,0,IF((3)=0,phi_0,IF((3)&lt;life_na,1,IF((3)=life_na,1-phi_0,0))))+$J$32/life_na*IF((2)&lt;0,0,IF((2)=0,phi_0,IF((2)&lt;life_na,1,IF((2)=life_na,1-phi_0,0))))+$K$32/life_na*IF((1)&lt;0,0,IF((1)=0,phi_0,IF((1)&lt;life_na,1,IF((1)=life_na,1-phi_0,0))))+$L$32/life_na*IF((0)&lt;0,0,IF((0)=0,phi_0,IF((0)&lt;life_na,1,IF((0)=life_na,1-phi_0,0))))</f>
        <v>19.0156437750245</v>
      </c>
      <c r="M36" s="25" t="n">
        <f aca="false">$F$32/life_na*IF((6)&lt;0,0,IF((6)=0,phi_0,IF((6)&lt;life_na,1,IF((6)=life_na,1-phi_0,0))))+$H$32/life_na*IF((5)&lt;0,0,IF((5)=0,phi_0,IF((5)&lt;life_na,1,IF((5)=life_na,1-phi_0,0))))+$I$32/life_na*IF((4)&lt;0,0,IF((4)=0,phi_0,IF((4)&lt;life_na,1,IF((4)=life_na,1-phi_0,0))))+$J$32/life_na*IF((3)&lt;0,0,IF((3)=0,phi_0,IF((3)&lt;life_na,1,IF((3)=life_na,1-phi_0,0))))+$K$32/life_na*IF((2)&lt;0,0,IF((2)=0,phi_0,IF((2)&lt;life_na,1,IF((2)=life_na,1-phi_0,0))))+$L$32/life_na*IF((1)&lt;0,0,IF((1)=0,phi_0,IF((1)&lt;life_na,1,IF((1)=life_na,1-phi_0,0))))+$M$32/life_na*IF((0)&lt;0,0,IF((0)=0,phi_0,IF((0)&lt;life_na,1,IF((0)=life_na,1-phi_0,0))))</f>
        <v>24.8513158727147</v>
      </c>
    </row>
    <row r="37" customFormat="false" ht="17.15" hidden="false" customHeight="false" outlineLevel="0" collapsed="false">
      <c r="A37" s="4" t="s">
        <v>1016</v>
      </c>
      <c r="B37" s="0" t="s">
        <v>81</v>
      </c>
      <c r="F37" s="25" t="n">
        <f aca="false">$F$33/life_na*IF((0)&lt;0,0,IF((0)=0,phi_0,IF((0)&lt;life_na,1,IF((0)=life_na,1-phi_0,0))))</f>
        <v>0.00057</v>
      </c>
      <c r="G37" s="25" t="n">
        <f aca="false">F37</f>
        <v>0.00057</v>
      </c>
      <c r="H37" s="25" t="n">
        <f aca="false">$F$33/life_na*IF((1)&lt;0,0,IF((1)=0,phi_0,IF((1)&lt;life_na,1,IF((1)=life_na,1-phi_0,0))))+$H$33/life_na*IF((0)&lt;0,0,IF((0)=0,phi_0,IF((0)&lt;life_na,1,IF((0)=life_na,1-phi_0,0))))</f>
        <v>0.00468</v>
      </c>
      <c r="I37" s="25" t="n">
        <f aca="false">$F$33/life_na*IF((2)&lt;0,0,IF((2)=0,phi_0,IF((2)&lt;life_na,1,IF((2)=life_na,1-phi_0,0))))+$H$33/life_na*IF((1)&lt;0,0,IF((1)=0,phi_0,IF((1)&lt;life_na,1,IF((1)=life_na,1-phi_0,0))))+$I$33/life_na*IF((0)&lt;0,0,IF((0)=0,phi_0,IF((0)&lt;life_na,1,IF((0)=life_na,1-phi_0,0))))</f>
        <v>0.01458</v>
      </c>
      <c r="J37" s="25" t="n">
        <f aca="false">$F$33/life_na*IF((3)&lt;0,0,IF((3)=0,phi_0,IF((3)&lt;life_na,1,IF((3)=life_na,1-phi_0,0))))+$H$33/life_na*IF((2)&lt;0,0,IF((2)=0,phi_0,IF((2)&lt;life_na,1,IF((2)=life_na,1-phi_0,0))))+$I$33/life_na*IF((1)&lt;0,0,IF((1)=0,phi_0,IF((1)&lt;life_na,1,IF((1)=life_na,1-phi_0,0))))+$J$33/life_na*IF((0)&lt;0,0,IF((0)=0,phi_0,IF((0)&lt;life_na,1,IF((0)=life_na,1-phi_0,0))))</f>
        <v>0.02568</v>
      </c>
      <c r="K37" s="25" t="n">
        <f aca="false">$F$33/life_na*IF((4)&lt;0,0,IF((4)=0,phi_0,IF((4)&lt;life_na,1,IF((4)=life_na,1-phi_0,0))))+$H$33/life_na*IF((3)&lt;0,0,IF((3)=0,phi_0,IF((3)&lt;life_na,1,IF((3)=life_na,1-phi_0,0))))+$I$33/life_na*IF((2)&lt;0,0,IF((2)=0,phi_0,IF((2)&lt;life_na,1,IF((2)=life_na,1-phi_0,0))))+$J$33/life_na*IF((1)&lt;0,0,IF((1)=0,phi_0,IF((1)&lt;life_na,1,IF((1)=life_na,1-phi_0,0))))+$K$33/life_na*IF((0)&lt;0,0,IF((0)=0,phi_0,IF((0)&lt;life_na,1,IF((0)=life_na,1-phi_0,0))))</f>
        <v>0.03798</v>
      </c>
      <c r="L37" s="25" t="n">
        <f aca="false">$F$33/life_na*IF((5)&lt;0,0,IF((5)=0,phi_0,IF((5)&lt;life_na,1,IF((5)=life_na,1-phi_0,0))))+$H$33/life_na*IF((4)&lt;0,0,IF((4)=0,phi_0,IF((4)&lt;life_na,1,IF((4)=life_na,1-phi_0,0))))+$I$33/life_na*IF((3)&lt;0,0,IF((3)=0,phi_0,IF((3)&lt;life_na,1,IF((3)=life_na,1-phi_0,0))))+$J$33/life_na*IF((2)&lt;0,0,IF((2)=0,phi_0,IF((2)&lt;life_na,1,IF((2)=life_na,1-phi_0,0))))+$K$33/life_na*IF((1)&lt;0,0,IF((1)=0,phi_0,IF((1)&lt;life_na,1,IF((1)=life_na,1-phi_0,0))))+$L$33/life_na*IF((0)&lt;0,0,IF((0)=0,phi_0,IF((0)&lt;life_na,1,IF((0)=life_na,1-phi_0,0))))</f>
        <v>0.05148</v>
      </c>
      <c r="M37" s="25" t="n">
        <f aca="false">$F$33/life_na*IF((6)&lt;0,0,IF((6)=0,phi_0,IF((6)&lt;life_na,1,IF((6)=life_na,1-phi_0,0))))+$H$33/life_na*IF((5)&lt;0,0,IF((5)=0,phi_0,IF((5)&lt;life_na,1,IF((5)=life_na,1-phi_0,0))))+$I$33/life_na*IF((4)&lt;0,0,IF((4)=0,phi_0,IF((4)&lt;life_na,1,IF((4)=life_na,1-phi_0,0))))+$J$33/life_na*IF((3)&lt;0,0,IF((3)=0,phi_0,IF((3)&lt;life_na,1,IF((3)=life_na,1-phi_0,0))))+$K$33/life_na*IF((2)&lt;0,0,IF((2)=0,phi_0,IF((2)&lt;life_na,1,IF((2)=life_na,1-phi_0,0))))+$L$33/life_na*IF((1)&lt;0,0,IF((1)=0,phi_0,IF((1)&lt;life_na,1,IF((1)=life_na,1-phi_0,0))))+$M$33/life_na*IF((0)&lt;0,0,IF((0)=0,phi_0,IF((0)&lt;life_na,1,IF((0)=life_na,1-phi_0,0))))</f>
        <v>0.06618</v>
      </c>
    </row>
    <row r="38" customFormat="false" ht="17.15" hidden="false" customHeight="false" outlineLevel="0" collapsed="false">
      <c r="A38" s="2" t="s">
        <v>1017</v>
      </c>
      <c r="B38" s="7" t="s">
        <v>81</v>
      </c>
      <c r="F38" s="25" t="n">
        <f aca="false">F35+F36+F37</f>
        <v>0.30940069797954</v>
      </c>
      <c r="G38" s="25" t="n">
        <f aca="false">G35+G36+G37</f>
        <v>0.30940069797954</v>
      </c>
      <c r="H38" s="25" t="n">
        <f aca="false">H35+H36+H37</f>
        <v>2.6237501515789</v>
      </c>
      <c r="I38" s="25" t="n">
        <f aca="false">I35+I36+I37</f>
        <v>8.54262617048665</v>
      </c>
      <c r="J38" s="25" t="n">
        <f aca="false">J35+J36+J37</f>
        <v>15.9142310356835</v>
      </c>
      <c r="K38" s="25" t="n">
        <f aca="false">K35+K36+K37</f>
        <v>24.4651417675963</v>
      </c>
      <c r="L38" s="25" t="n">
        <f aca="false">L35+L36+L37</f>
        <v>33.7667203910485</v>
      </c>
      <c r="M38" s="25" t="n">
        <f aca="false">M35+M36+M37</f>
        <v>43.8093505552544</v>
      </c>
    </row>
    <row r="40" customFormat="false" ht="17.15" hidden="false" customHeight="false" outlineLevel="0" collapsed="false">
      <c r="A40" s="28" t="s">
        <v>1018</v>
      </c>
    </row>
    <row r="41" customFormat="false" ht="15" hidden="false" customHeight="false" outlineLevel="0" collapsed="false">
      <c r="A41" s="3" t="s">
        <v>43</v>
      </c>
      <c r="B41" s="3" t="s">
        <v>44</v>
      </c>
      <c r="C41" s="20" t="s">
        <v>905</v>
      </c>
      <c r="D41" s="20" t="s">
        <v>906</v>
      </c>
      <c r="E41" s="20" t="s">
        <v>907</v>
      </c>
      <c r="F41" s="20" t="s">
        <v>908</v>
      </c>
      <c r="G41" s="20" t="s">
        <v>909</v>
      </c>
      <c r="H41" s="20" t="s">
        <v>910</v>
      </c>
      <c r="I41" s="20" t="s">
        <v>911</v>
      </c>
      <c r="J41" s="20" t="s">
        <v>912</v>
      </c>
      <c r="K41" s="20" t="s">
        <v>913</v>
      </c>
      <c r="L41" s="20" t="s">
        <v>914</v>
      </c>
      <c r="M41" s="20" t="s">
        <v>915</v>
      </c>
      <c r="N41" s="3" t="s">
        <v>50</v>
      </c>
    </row>
    <row r="42" customFormat="false" ht="17.15" hidden="false" customHeight="false" outlineLevel="0" collapsed="false">
      <c r="A42" s="0" t="s">
        <v>984</v>
      </c>
      <c r="B42" s="0" t="s">
        <v>106</v>
      </c>
      <c r="F42" s="14" t="n">
        <f aca="false">g0_search</f>
        <v>0.160562060020511</v>
      </c>
      <c r="H42" s="14" t="n">
        <f aca="false">g0_search+(gl_search-g0_search)*MIN(1,(2027-2026)/conv_n)</f>
        <v>0.140421545015383</v>
      </c>
      <c r="I42" s="14" t="n">
        <f aca="false">g0_search+(gl_search-g0_search)*MIN(1,(2028-2026)/conv_n)</f>
        <v>0.120281030010256</v>
      </c>
      <c r="J42" s="14" t="n">
        <f aca="false">g0_search+(gl_search-g0_search)*MIN(1,(2029-2026)/conv_n)</f>
        <v>0.100140515005128</v>
      </c>
      <c r="K42" s="14" t="n">
        <f aca="false">g0_search+(gl_search-g0_search)*MIN(1,(2030-2026)/conv_n)</f>
        <v>0.08</v>
      </c>
      <c r="L42" s="14" t="n">
        <f aca="false">g0_search+(gl_search-g0_search)*MIN(1,(2031-2026)/conv_n)</f>
        <v>0.08</v>
      </c>
      <c r="M42" s="14" t="n">
        <f aca="false">g0_search+(gl_search-g0_search)*MIN(1,(2032-2026)/conv_n)</f>
        <v>0.08</v>
      </c>
      <c r="N42" s="7" t="s">
        <v>985</v>
      </c>
    </row>
    <row r="43" customFormat="false" ht="17.15" hidden="false" customHeight="false" outlineLevel="0" collapsed="false">
      <c r="A43" s="0" t="s">
        <v>986</v>
      </c>
      <c r="B43" s="0" t="s">
        <v>81</v>
      </c>
      <c r="C43" s="25" t="n">
        <f aca="false">Q!J5</f>
        <v>198.084</v>
      </c>
      <c r="D43" s="25" t="n">
        <f aca="false">Q!K5</f>
        <v>224.532</v>
      </c>
      <c r="E43" s="25" t="n">
        <f aca="false">Q!L5</f>
        <v>187.02</v>
      </c>
      <c r="F43" s="25" t="n">
        <f aca="false">Q!F5*(1+F42)</f>
        <v>73.2001308116737</v>
      </c>
      <c r="G43" s="25" t="n">
        <f aca="false">E43+F43</f>
        <v>260.220130811674</v>
      </c>
      <c r="H43" s="25" t="n">
        <f aca="false">G43*(1+H42)</f>
        <v>296.760643624354</v>
      </c>
      <c r="I43" s="25" t="n">
        <f aca="false">H43*(1+I42)</f>
        <v>332.455319505998</v>
      </c>
      <c r="J43" s="25" t="n">
        <f aca="false">I43*(1+J42)</f>
        <v>365.747566417523</v>
      </c>
      <c r="K43" s="25" t="n">
        <f aca="false">J43*(1+K42)</f>
        <v>395.007371730925</v>
      </c>
      <c r="L43" s="25" t="n">
        <f aca="false">K43*(1+L42)</f>
        <v>426.607961469399</v>
      </c>
      <c r="M43" s="25" t="n">
        <f aca="false">L43*(1+M42)</f>
        <v>460.73659838695</v>
      </c>
    </row>
    <row r="44" customFormat="false" ht="17.15" hidden="false" customHeight="false" outlineLevel="0" collapsed="false">
      <c r="A44" s="4" t="s">
        <v>987</v>
      </c>
      <c r="B44" s="0" t="s">
        <v>126</v>
      </c>
      <c r="F44" s="22" t="n">
        <v>0</v>
      </c>
      <c r="H44" s="23" t="n">
        <f aca="false">MIN(1,(2027-2026)/conv_n)</f>
        <v>0.25</v>
      </c>
      <c r="I44" s="23" t="n">
        <f aca="false">MIN(1,(2028-2026)/conv_n)</f>
        <v>0.5</v>
      </c>
      <c r="J44" s="23" t="n">
        <f aca="false">MIN(1,(2029-2026)/conv_n)</f>
        <v>0.75</v>
      </c>
      <c r="K44" s="23" t="n">
        <f aca="false">MIN(1,(2030-2026)/conv_n)</f>
        <v>1</v>
      </c>
      <c r="L44" s="23" t="n">
        <f aca="false">MIN(1,(2031-2026)/conv_n)</f>
        <v>1</v>
      </c>
      <c r="M44" s="23" t="n">
        <f aca="false">MIN(1,(2032-2026)/conv_n)</f>
        <v>1</v>
      </c>
    </row>
    <row r="45" customFormat="false" ht="17.15" hidden="false" customHeight="false" outlineLevel="0" collapsed="false">
      <c r="A45" s="4" t="s">
        <v>988</v>
      </c>
      <c r="B45" s="0" t="s">
        <v>106</v>
      </c>
      <c r="F45" s="14" t="n">
        <f aca="false">0*F44</f>
        <v>0</v>
      </c>
      <c r="H45" s="14" t="n">
        <f aca="false">0*H44</f>
        <v>0</v>
      </c>
      <c r="I45" s="14" t="n">
        <f aca="false">0*I44</f>
        <v>0</v>
      </c>
      <c r="J45" s="14" t="n">
        <f aca="false">0*J44</f>
        <v>0</v>
      </c>
      <c r="K45" s="14" t="n">
        <f aca="false">0*K44</f>
        <v>0</v>
      </c>
      <c r="L45" s="14" t="n">
        <f aca="false">0*L44</f>
        <v>0</v>
      </c>
      <c r="M45" s="14" t="n">
        <f aca="false">0*M44</f>
        <v>0</v>
      </c>
      <c r="N45" s="4" t="s">
        <v>1019</v>
      </c>
    </row>
    <row r="46" customFormat="false" ht="17.15" hidden="false" customHeight="false" outlineLevel="0" collapsed="false">
      <c r="A46" s="4" t="s">
        <v>990</v>
      </c>
      <c r="B46" s="0" t="s">
        <v>106</v>
      </c>
      <c r="F46" s="14" t="n">
        <f aca="false">0*F44</f>
        <v>0</v>
      </c>
      <c r="H46" s="14" t="n">
        <f aca="false">0*H44</f>
        <v>0</v>
      </c>
      <c r="I46" s="14" t="n">
        <f aca="false">0*I44</f>
        <v>0</v>
      </c>
      <c r="J46" s="14" t="n">
        <f aca="false">0*J44</f>
        <v>0</v>
      </c>
      <c r="K46" s="14" t="n">
        <f aca="false">0*K44</f>
        <v>0</v>
      </c>
      <c r="L46" s="14" t="n">
        <f aca="false">0*L44</f>
        <v>0</v>
      </c>
      <c r="M46" s="14" t="n">
        <f aca="false">0*M44</f>
        <v>0</v>
      </c>
    </row>
    <row r="47" customFormat="false" ht="15" hidden="false" customHeight="false" outlineLevel="0" collapsed="false">
      <c r="A47" s="5" t="s">
        <v>796</v>
      </c>
      <c r="B47" s="7" t="s">
        <v>81</v>
      </c>
      <c r="C47" s="25" t="n">
        <f aca="false">C43</f>
        <v>198.084</v>
      </c>
      <c r="D47" s="25" t="n">
        <f aca="false">D43</f>
        <v>224.532</v>
      </c>
      <c r="E47" s="25" t="n">
        <f aca="false">E43</f>
        <v>187.02</v>
      </c>
      <c r="F47" s="25" t="n">
        <f aca="false">F43*(1-F45)*(1+F46)</f>
        <v>73.2001308116737</v>
      </c>
      <c r="G47" s="25" t="n">
        <f aca="false">E47+F47</f>
        <v>260.220130811674</v>
      </c>
      <c r="H47" s="25" t="n">
        <f aca="false">H43*(1-H45)*(1+H46)</f>
        <v>296.760643624354</v>
      </c>
      <c r="I47" s="25" t="n">
        <f aca="false">I43*(1-I45)*(1+I46)</f>
        <v>332.455319505998</v>
      </c>
      <c r="J47" s="25" t="n">
        <f aca="false">J43*(1-J45)*(1+J46)</f>
        <v>365.747566417523</v>
      </c>
      <c r="K47" s="25" t="n">
        <f aca="false">K43*(1-K45)*(1+K46)</f>
        <v>395.007371730925</v>
      </c>
      <c r="L47" s="25" t="n">
        <f aca="false">L43*(1-L45)*(1+L46)</f>
        <v>426.607961469399</v>
      </c>
      <c r="M47" s="25" t="n">
        <f aca="false">M43*(1-M45)*(1+M46)</f>
        <v>460.73659838695</v>
      </c>
    </row>
    <row r="48" customFormat="false" ht="17.15" hidden="false" customHeight="false" outlineLevel="0" collapsed="false">
      <c r="A48" s="0" t="s">
        <v>991</v>
      </c>
      <c r="B48" s="0" t="s">
        <v>106</v>
      </c>
      <c r="F48" s="14" t="n">
        <f aca="false">g0_yt</f>
        <v>0.103175608890691</v>
      </c>
      <c r="H48" s="14" t="n">
        <f aca="false">g0_yt+(gl_yt-g0_yt)*MIN(1,(2027-2026)/conv_n)</f>
        <v>0.0973817066680184</v>
      </c>
      <c r="I48" s="14" t="n">
        <f aca="false">g0_yt+(gl_yt-g0_yt)*MIN(1,(2028-2026)/conv_n)</f>
        <v>0.0915878044453456</v>
      </c>
      <c r="J48" s="14" t="n">
        <f aca="false">g0_yt+(gl_yt-g0_yt)*MIN(1,(2029-2026)/conv_n)</f>
        <v>0.0857939022226728</v>
      </c>
      <c r="K48" s="14" t="n">
        <f aca="false">g0_yt+(gl_yt-g0_yt)*MIN(1,(2030-2026)/conv_n)</f>
        <v>0.08</v>
      </c>
      <c r="L48" s="14" t="n">
        <f aca="false">g0_yt+(gl_yt-g0_yt)*MIN(1,(2031-2026)/conv_n)</f>
        <v>0.08</v>
      </c>
      <c r="M48" s="14" t="n">
        <f aca="false">g0_yt+(gl_yt-g0_yt)*MIN(1,(2032-2026)/conv_n)</f>
        <v>0.08</v>
      </c>
      <c r="N48" s="4" t="s">
        <v>992</v>
      </c>
    </row>
    <row r="49" customFormat="false" ht="15" hidden="false" customHeight="false" outlineLevel="0" collapsed="false">
      <c r="A49" s="5" t="s">
        <v>799</v>
      </c>
      <c r="B49" s="7" t="s">
        <v>81</v>
      </c>
      <c r="C49" s="25" t="n">
        <f aca="false">Q!J6</f>
        <v>36.147</v>
      </c>
      <c r="D49" s="25" t="n">
        <f aca="false">Q!K6</f>
        <v>40.367</v>
      </c>
      <c r="E49" s="25" t="n">
        <f aca="false">Q!L6</f>
        <v>32.145</v>
      </c>
      <c r="F49" s="25" t="n">
        <f aca="false">Q!F6*(1+F48)</f>
        <v>12.5574479560027</v>
      </c>
      <c r="G49" s="25" t="n">
        <f aca="false">E49+F49</f>
        <v>44.7024479560027</v>
      </c>
      <c r="H49" s="25" t="n">
        <f aca="false">G49*(1+H48)</f>
        <v>49.0556486301966</v>
      </c>
      <c r="I49" s="25" t="n">
        <f aca="false">H49*(1+I48)</f>
        <v>53.5485477838786</v>
      </c>
      <c r="J49" s="25" t="n">
        <f aca="false">I49*(1+J48)</f>
        <v>58.1426866566148</v>
      </c>
      <c r="K49" s="25" t="n">
        <f aca="false">J49*(1+K48)</f>
        <v>62.794101589144</v>
      </c>
      <c r="L49" s="25" t="n">
        <f aca="false">K49*(1+L48)</f>
        <v>67.8176297162755</v>
      </c>
      <c r="M49" s="25" t="n">
        <f aca="false">L49*(1+M48)</f>
        <v>73.2430400935775</v>
      </c>
    </row>
    <row r="50" customFormat="false" ht="17.15" hidden="false" customHeight="false" outlineLevel="0" collapsed="false">
      <c r="A50" s="0" t="s">
        <v>993</v>
      </c>
      <c r="B50" s="0" t="s">
        <v>106</v>
      </c>
      <c r="F50" s="14" t="n">
        <f aca="false">g0_net</f>
        <v>-0.0120663145932214</v>
      </c>
      <c r="H50" s="14" t="n">
        <f aca="false">g0_net+(gl_net-g0_net)*MIN(1,(2027-2026)/conv_n)</f>
        <v>-0.00904973594491604</v>
      </c>
      <c r="I50" s="14" t="n">
        <f aca="false">g0_net+(gl_net-g0_net)*MIN(1,(2028-2026)/conv_n)</f>
        <v>-0.00603315729661069</v>
      </c>
      <c r="J50" s="14" t="n">
        <f aca="false">g0_net+(gl_net-g0_net)*MIN(1,(2029-2026)/conv_n)</f>
        <v>-0.00301657864830535</v>
      </c>
      <c r="K50" s="14" t="n">
        <f aca="false">g0_net+(gl_net-g0_net)*MIN(1,(2030-2026)/conv_n)</f>
        <v>0</v>
      </c>
      <c r="L50" s="14" t="n">
        <f aca="false">g0_net+(gl_net-g0_net)*MIN(1,(2031-2026)/conv_n)</f>
        <v>0</v>
      </c>
      <c r="M50" s="14" t="n">
        <f aca="false">g0_net+(gl_net-g0_net)*MIN(1,(2032-2026)/conv_n)</f>
        <v>0</v>
      </c>
      <c r="N50" s="4" t="s">
        <v>992</v>
      </c>
    </row>
    <row r="51" customFormat="false" ht="15" hidden="false" customHeight="false" outlineLevel="0" collapsed="false">
      <c r="A51" s="5" t="s">
        <v>800</v>
      </c>
      <c r="B51" s="7" t="s">
        <v>81</v>
      </c>
      <c r="C51" s="25" t="n">
        <f aca="false">Q!J7</f>
        <v>30.359</v>
      </c>
      <c r="D51" s="25" t="n">
        <f aca="false">Q!K7</f>
        <v>29.792</v>
      </c>
      <c r="E51" s="25" t="n">
        <f aca="false">Q!L7</f>
        <v>21.729</v>
      </c>
      <c r="F51" s="25" t="n">
        <f aca="false">Q!F7*(1+F50)</f>
        <v>7.73354488936426</v>
      </c>
      <c r="G51" s="25" t="n">
        <f aca="false">E51+F51</f>
        <v>29.4625448893643</v>
      </c>
      <c r="H51" s="25" t="n">
        <f aca="false">G51*(1+H50)</f>
        <v>29.1959166378503</v>
      </c>
      <c r="I51" s="25" t="n">
        <f aca="false">H51*(1+I50)</f>
        <v>29.0197730803554</v>
      </c>
      <c r="J51" s="25" t="n">
        <f aca="false">I51*(1+J50)</f>
        <v>28.9322326525025</v>
      </c>
      <c r="K51" s="25" t="n">
        <f aca="false">J51*(1+K50)</f>
        <v>28.9322326525025</v>
      </c>
      <c r="L51" s="25" t="n">
        <f aca="false">K51*(1+L50)</f>
        <v>28.9322326525025</v>
      </c>
      <c r="M51" s="25" t="n">
        <f aca="false">L51*(1+M50)</f>
        <v>28.9322326525025</v>
      </c>
    </row>
    <row r="52" customFormat="false" ht="17.15" hidden="false" customHeight="false" outlineLevel="0" collapsed="false">
      <c r="A52" s="0" t="s">
        <v>994</v>
      </c>
      <c r="B52" s="0" t="s">
        <v>106</v>
      </c>
      <c r="F52" s="14" t="n">
        <f aca="false">g0_subs</f>
        <v>0.153585765433438</v>
      </c>
      <c r="H52" s="14" t="n">
        <f aca="false">g0_subs+(gl_subs-g0_subs)*MIN(1,(2027-2026)/conv_n)</f>
        <v>0.140189324075079</v>
      </c>
      <c r="I52" s="14" t="n">
        <f aca="false">g0_subs+(gl_subs-g0_subs)*MIN(1,(2028-2026)/conv_n)</f>
        <v>0.126792882716719</v>
      </c>
      <c r="J52" s="14" t="n">
        <f aca="false">g0_subs+(gl_subs-g0_subs)*MIN(1,(2029-2026)/conv_n)</f>
        <v>0.11339644135836</v>
      </c>
      <c r="K52" s="14" t="n">
        <f aca="false">g0_subs+(gl_subs-g0_subs)*MIN(1,(2030-2026)/conv_n)</f>
        <v>0.1</v>
      </c>
      <c r="L52" s="14" t="n">
        <f aca="false">g0_subs+(gl_subs-g0_subs)*MIN(1,(2031-2026)/conv_n)</f>
        <v>0.1</v>
      </c>
      <c r="M52" s="14" t="n">
        <f aca="false">g0_subs+(gl_subs-g0_subs)*MIN(1,(2032-2026)/conv_n)</f>
        <v>0.1</v>
      </c>
      <c r="N52" s="4" t="s">
        <v>992</v>
      </c>
    </row>
    <row r="53" customFormat="false" ht="15" hidden="false" customHeight="false" outlineLevel="0" collapsed="false">
      <c r="A53" s="5" t="s">
        <v>801</v>
      </c>
      <c r="B53" s="7" t="s">
        <v>81</v>
      </c>
      <c r="C53" s="25" t="n">
        <f aca="false">Q!J8</f>
        <v>40.34</v>
      </c>
      <c r="D53" s="25" t="n">
        <f aca="false">Q!K8</f>
        <v>48.03</v>
      </c>
      <c r="E53" s="25" t="n">
        <f aca="false">Q!L8</f>
        <v>39.585</v>
      </c>
      <c r="F53" s="25" t="n">
        <f aca="false">Q!F8*(1+F52)</f>
        <v>15.6633875230552</v>
      </c>
      <c r="G53" s="25" t="n">
        <f aca="false">E53+F53</f>
        <v>55.2483875230552</v>
      </c>
      <c r="H53" s="25" t="n">
        <f aca="false">G53*(1+H52)</f>
        <v>62.9936216261504</v>
      </c>
      <c r="I53" s="25" t="n">
        <f aca="false">H53*(1+I52)</f>
        <v>70.9807645048962</v>
      </c>
      <c r="J53" s="25" t="n">
        <f aca="false">I53*(1+J52)</f>
        <v>79.0297306046472</v>
      </c>
      <c r="K53" s="25" t="n">
        <f aca="false">J53*(1+K52)</f>
        <v>86.9327036651119</v>
      </c>
      <c r="L53" s="25" t="n">
        <f aca="false">K53*(1+L52)</f>
        <v>95.6259740316231</v>
      </c>
      <c r="M53" s="25" t="n">
        <f aca="false">L53*(1+M52)</f>
        <v>105.188571434785</v>
      </c>
    </row>
    <row r="54" customFormat="false" ht="15" hidden="false" customHeight="false" outlineLevel="0" collapsed="false">
      <c r="A54" s="29" t="s">
        <v>995</v>
      </c>
      <c r="B54" s="30" t="s">
        <v>81</v>
      </c>
      <c r="C54" s="31" t="n">
        <f aca="false">Q!J9</f>
        <v>304.93</v>
      </c>
      <c r="D54" s="31" t="n">
        <f aca="false">Q!K9</f>
        <v>342.721</v>
      </c>
      <c r="E54" s="31" t="n">
        <f aca="false">Q!L9</f>
        <v>280.479</v>
      </c>
      <c r="F54" s="31" t="n">
        <f aca="false">F47+F49+F51+F53</f>
        <v>109.154511180096</v>
      </c>
      <c r="G54" s="31" t="n">
        <f aca="false">E54+F54</f>
        <v>389.633511180096</v>
      </c>
      <c r="H54" s="31" t="n">
        <f aca="false">H47+H49+H51+H53</f>
        <v>438.005830518551</v>
      </c>
      <c r="I54" s="31" t="n">
        <f aca="false">I47+I49+I51+I53</f>
        <v>486.004404875128</v>
      </c>
      <c r="J54" s="31" t="n">
        <f aca="false">J47+J49+J51+J53</f>
        <v>531.852216331287</v>
      </c>
      <c r="K54" s="31" t="n">
        <f aca="false">K47+K49+K51+K53</f>
        <v>573.666409637683</v>
      </c>
      <c r="L54" s="31" t="n">
        <f aca="false">L47+L49+L51+L53</f>
        <v>618.9837978698</v>
      </c>
      <c r="M54" s="31" t="n">
        <f aca="false">M47+M49+M51+M53</f>
        <v>668.100442567816</v>
      </c>
      <c r="N54" s="30"/>
    </row>
    <row r="55" customFormat="false" ht="17.15" hidden="false" customHeight="false" outlineLevel="0" collapsed="false">
      <c r="A55" s="0" t="s">
        <v>996</v>
      </c>
      <c r="B55" s="0" t="s">
        <v>81</v>
      </c>
      <c r="E55" s="25" t="n">
        <f aca="false">Thesis!E38</f>
        <v>13.1190558790519</v>
      </c>
      <c r="F55" s="25" t="n">
        <f aca="false">Thesis!F38</f>
        <v>6.05015497275625</v>
      </c>
      <c r="G55" s="25" t="n">
        <f aca="false">Thesis!G38</f>
        <v>19.1692108518081</v>
      </c>
      <c r="H55" s="25" t="n">
        <f aca="false">Thesis!H38</f>
        <v>36.6157989143902</v>
      </c>
      <c r="I55" s="25" t="n">
        <f aca="false">Thesis!I38</f>
        <v>57.2951603365358</v>
      </c>
      <c r="J55" s="25" t="n">
        <f aca="false">Thesis!J38</f>
        <v>76.1794729031624</v>
      </c>
      <c r="K55" s="25" t="n">
        <f aca="false">Thesis!K38</f>
        <v>90.4330979280781</v>
      </c>
      <c r="L55" s="25" t="n">
        <f aca="false">Thesis!L38</f>
        <v>100.252938969643</v>
      </c>
      <c r="M55" s="25" t="n">
        <f aca="false">Thesis!M38</f>
        <v>105.736687700744</v>
      </c>
      <c r="N55" s="7" t="s">
        <v>997</v>
      </c>
    </row>
    <row r="56" customFormat="false" ht="17.15" hidden="false" customHeight="false" outlineLevel="0" collapsed="false">
      <c r="A56" s="0" t="s">
        <v>998</v>
      </c>
      <c r="B56" s="0" t="s">
        <v>81</v>
      </c>
      <c r="E56" s="27" t="n">
        <v>0</v>
      </c>
      <c r="F56" s="25" t="n">
        <f aca="false">tpu_2h</f>
        <v>1</v>
      </c>
      <c r="G56" s="25" t="n">
        <f aca="false">E56+F56</f>
        <v>1</v>
      </c>
      <c r="H56" s="25" t="n">
        <f aca="false">tpu_yr</f>
        <v>13</v>
      </c>
      <c r="I56" s="25" t="n">
        <f aca="false">tpu_yr</f>
        <v>13</v>
      </c>
      <c r="J56" s="25" t="n">
        <f aca="false">tpu_yr</f>
        <v>13</v>
      </c>
      <c r="K56" s="25" t="n">
        <f aca="false">tpu_yr</f>
        <v>13</v>
      </c>
      <c r="L56" s="25" t="n">
        <f aca="false">tpu_yr</f>
        <v>13</v>
      </c>
      <c r="M56" s="25" t="n">
        <f aca="false">tpu_yr</f>
        <v>13</v>
      </c>
      <c r="N56" s="7" t="s">
        <v>999</v>
      </c>
    </row>
    <row r="57" customFormat="false" ht="17.15" hidden="false" customHeight="false" outlineLevel="0" collapsed="false">
      <c r="A57" s="0" t="s">
        <v>1000</v>
      </c>
      <c r="B57" s="0" t="s">
        <v>106</v>
      </c>
      <c r="F57" s="14" t="n">
        <f aca="false">g0_co</f>
        <v>0.71107867543805</v>
      </c>
      <c r="H57" s="14" t="n">
        <f aca="false">g0_co+(gl_co-g0_co)*MIN(1,(2027-2026)/conv_n)</f>
        <v>0.553309006578538</v>
      </c>
      <c r="I57" s="14" t="n">
        <f aca="false">g0_co+(gl_co-g0_co)*MIN(1,(2028-2026)/conv_n)</f>
        <v>0.395539337719025</v>
      </c>
      <c r="J57" s="14" t="n">
        <f aca="false">g0_co+(gl_co-g0_co)*MIN(1,(2029-2026)/conv_n)</f>
        <v>0.237769668859512</v>
      </c>
      <c r="K57" s="14" t="n">
        <f aca="false">g0_co+(gl_co-g0_co)*MIN(1,(2030-2026)/conv_n)</f>
        <v>0.08</v>
      </c>
      <c r="L57" s="14" t="n">
        <f aca="false">g0_co+(gl_co-g0_co)*MIN(1,(2031-2026)/conv_n)</f>
        <v>0.08</v>
      </c>
      <c r="M57" s="14" t="n">
        <f aca="false">g0_co+(gl_co-g0_co)*MIN(1,(2032-2026)/conv_n)</f>
        <v>0.08</v>
      </c>
      <c r="N57" s="4" t="s">
        <v>1001</v>
      </c>
    </row>
    <row r="58" customFormat="false" ht="17.15" hidden="false" customHeight="false" outlineLevel="0" collapsed="false">
      <c r="A58" s="0" t="s">
        <v>1002</v>
      </c>
      <c r="B58" s="0" t="s">
        <v>81</v>
      </c>
      <c r="E58" s="25" t="n">
        <f aca="false">Q!L11-E55-E56</f>
        <v>62.3859441209481</v>
      </c>
      <c r="F58" s="25" t="n">
        <f aca="false">E58*q3sh_cloud*(1+F57)^0.25</f>
        <v>29.0197862418792</v>
      </c>
      <c r="G58" s="25" t="n">
        <f aca="false">E58+F58</f>
        <v>91.4057303628273</v>
      </c>
      <c r="H58" s="25" t="n">
        <f aca="false">G58*(1+H57)</f>
        <v>141.981344225469</v>
      </c>
      <c r="I58" s="25" t="n">
        <f aca="false">H58*(1+I57)</f>
        <v>198.140551088868</v>
      </c>
      <c r="J58" s="25" t="n">
        <f aca="false">I58*(1+J57)</f>
        <v>245.252364308909</v>
      </c>
      <c r="K58" s="25" t="n">
        <f aca="false">J58*(1+K57)</f>
        <v>264.872553453622</v>
      </c>
      <c r="L58" s="25" t="n">
        <f aca="false">K58*(1+L57)</f>
        <v>286.062357729912</v>
      </c>
      <c r="M58" s="25" t="n">
        <f aca="false">L58*(1+M57)</f>
        <v>308.947346348305</v>
      </c>
      <c r="N58" s="7" t="s">
        <v>1003</v>
      </c>
    </row>
    <row r="59" customFormat="false" ht="15" hidden="false" customHeight="false" outlineLevel="0" collapsed="false">
      <c r="A59" s="29" t="s">
        <v>1004</v>
      </c>
      <c r="B59" s="30" t="s">
        <v>81</v>
      </c>
      <c r="C59" s="31" t="n">
        <f aca="false">Q!J11</f>
        <v>43.229</v>
      </c>
      <c r="D59" s="31" t="n">
        <f aca="false">Q!K11</f>
        <v>58.705</v>
      </c>
      <c r="E59" s="31" t="n">
        <f aca="false">Q!L11</f>
        <v>75.505</v>
      </c>
      <c r="F59" s="31" t="n">
        <f aca="false">F55+F56+F58</f>
        <v>36.0699412146354</v>
      </c>
      <c r="G59" s="31" t="n">
        <f aca="false">E59+F59</f>
        <v>111.574941214635</v>
      </c>
      <c r="H59" s="31" t="n">
        <f aca="false">H55+H56+H58</f>
        <v>191.597143139859</v>
      </c>
      <c r="I59" s="31" t="n">
        <f aca="false">I55+I56+I58</f>
        <v>268.435711425404</v>
      </c>
      <c r="J59" s="31" t="n">
        <f aca="false">J55+J56+J58</f>
        <v>334.431837212072</v>
      </c>
      <c r="K59" s="31" t="n">
        <f aca="false">K55+K56+K58</f>
        <v>368.3056513817</v>
      </c>
      <c r="L59" s="31" t="n">
        <f aca="false">L55+L56+L58</f>
        <v>399.315296699555</v>
      </c>
      <c r="M59" s="31" t="n">
        <f aca="false">M55+M56+M58</f>
        <v>427.684034049048</v>
      </c>
      <c r="N59" s="30"/>
    </row>
    <row r="60" customFormat="false" ht="15" hidden="false" customHeight="false" outlineLevel="0" collapsed="false">
      <c r="A60" s="29" t="s">
        <v>1005</v>
      </c>
      <c r="B60" s="30" t="s">
        <v>81</v>
      </c>
      <c r="C60" s="31" t="n">
        <f aca="false">Q!J12</f>
        <v>1.648</v>
      </c>
      <c r="D60" s="31" t="n">
        <f aca="false">Q!K12</f>
        <v>1.537</v>
      </c>
      <c r="E60" s="31" t="n">
        <f aca="false">Q!L12</f>
        <v>1.165</v>
      </c>
      <c r="F60" s="31" t="n">
        <f aca="false">ob_rev_2H</f>
        <v>0.38</v>
      </c>
      <c r="G60" s="31" t="n">
        <f aca="false">E60+F60</f>
        <v>1.545</v>
      </c>
      <c r="H60" s="31" t="n">
        <f aca="false">ob_rev_27</f>
        <v>1.6</v>
      </c>
      <c r="I60" s="31" t="n">
        <f aca="false">ob_rev_28</f>
        <v>1.8</v>
      </c>
      <c r="J60" s="31" t="n">
        <f aca="false">ob_rev_29</f>
        <v>2</v>
      </c>
      <c r="K60" s="31" t="n">
        <f aca="false">ob_rev_30</f>
        <v>2.2</v>
      </c>
      <c r="L60" s="31" t="n">
        <f aca="false">ob_rev_31</f>
        <v>2.4</v>
      </c>
      <c r="M60" s="31" t="n">
        <f aca="false">ob_rev_32</f>
        <v>2.6</v>
      </c>
      <c r="N60" s="30"/>
    </row>
    <row r="61" customFormat="false" ht="17.15" hidden="false" customHeight="false" outlineLevel="0" collapsed="false">
      <c r="A61" s="0" t="s">
        <v>1006</v>
      </c>
      <c r="B61" s="0" t="s">
        <v>81</v>
      </c>
      <c r="C61" s="25" t="n">
        <f aca="false">Q!J13</f>
        <v>0.211</v>
      </c>
      <c r="D61" s="25" t="n">
        <f aca="false">Q!K13</f>
        <v>-0.127</v>
      </c>
      <c r="E61" s="25" t="n">
        <f aca="false">Q!L13</f>
        <v>0.12</v>
      </c>
      <c r="F61" s="27" t="n">
        <v>0</v>
      </c>
      <c r="G61" s="25" t="n">
        <f aca="false">E61+F61</f>
        <v>0.12</v>
      </c>
      <c r="H61" s="27" t="n">
        <v>0</v>
      </c>
      <c r="I61" s="27" t="n">
        <v>0</v>
      </c>
      <c r="J61" s="27" t="n">
        <v>0</v>
      </c>
      <c r="K61" s="27" t="n">
        <v>0</v>
      </c>
      <c r="L61" s="27" t="n">
        <v>0</v>
      </c>
      <c r="M61" s="27" t="n">
        <v>0</v>
      </c>
      <c r="N61" s="7" t="s">
        <v>1007</v>
      </c>
    </row>
    <row r="62" customFormat="false" ht="15" hidden="false" customHeight="false" outlineLevel="0" collapsed="false">
      <c r="A62" s="2" t="s">
        <v>808</v>
      </c>
      <c r="B62" s="7" t="s">
        <v>81</v>
      </c>
      <c r="C62" s="25" t="n">
        <f aca="false">Q!J14</f>
        <v>350.018</v>
      </c>
      <c r="D62" s="25" t="n">
        <f aca="false">Q!K14</f>
        <v>402.836</v>
      </c>
      <c r="E62" s="25" t="n">
        <f aca="false">Q!L14</f>
        <v>357.269</v>
      </c>
      <c r="F62" s="25" t="n">
        <f aca="false">F54+F59+F60+F61</f>
        <v>145.604452394731</v>
      </c>
      <c r="G62" s="25" t="n">
        <f aca="false">E62+F62</f>
        <v>502.873452394731</v>
      </c>
      <c r="H62" s="25" t="n">
        <f aca="false">H54+H59+H60+H61</f>
        <v>631.20297365841</v>
      </c>
      <c r="I62" s="25" t="n">
        <f aca="false">I54+I59+I60+I61</f>
        <v>756.240116300532</v>
      </c>
      <c r="J62" s="25" t="n">
        <f aca="false">J54+J59+J60+J61</f>
        <v>868.284053543359</v>
      </c>
      <c r="K62" s="25" t="n">
        <f aca="false">K54+K59+K60+K61</f>
        <v>944.172061019383</v>
      </c>
      <c r="L62" s="25" t="n">
        <f aca="false">L54+L59+L60+L61</f>
        <v>1020.69909456935</v>
      </c>
      <c r="M62" s="25" t="n">
        <f aca="false">M54+M59+M60+M61</f>
        <v>1098.38447661686</v>
      </c>
    </row>
    <row r="63" customFormat="false" ht="17.15" hidden="false" customHeight="false" outlineLevel="0" collapsed="false">
      <c r="A63" s="4" t="s">
        <v>803</v>
      </c>
      <c r="B63" s="0" t="s">
        <v>81</v>
      </c>
      <c r="C63" s="21" t="n">
        <f aca="false">C47+C49+C51+C53-C54</f>
        <v>0</v>
      </c>
      <c r="D63" s="21" t="n">
        <f aca="false">D47+D49+D51+D53-D54</f>
        <v>0</v>
      </c>
      <c r="E63" s="21" t="n">
        <f aca="false">E47+E49+E51+E53-E54</f>
        <v>0</v>
      </c>
      <c r="F63" s="21" t="n">
        <f aca="false">F47+F49+F51+F53-F54</f>
        <v>0</v>
      </c>
      <c r="G63" s="21" t="n">
        <f aca="false">G47+G49+G51+G53-G54</f>
        <v>0</v>
      </c>
      <c r="H63" s="21" t="n">
        <f aca="false">H47+H49+H51+H53-H54</f>
        <v>0</v>
      </c>
      <c r="I63" s="21" t="n">
        <f aca="false">I47+I49+I51+I53-I54</f>
        <v>0</v>
      </c>
      <c r="J63" s="21" t="n">
        <f aca="false">J47+J49+J51+J53-J54</f>
        <v>0</v>
      </c>
      <c r="K63" s="21" t="n">
        <f aca="false">K47+K49+K51+K53-K54</f>
        <v>0</v>
      </c>
      <c r="L63" s="21" t="n">
        <f aca="false">L47+L49+L51+L53-L54</f>
        <v>0</v>
      </c>
      <c r="M63" s="21" t="n">
        <f aca="false">M47+M49+M51+M53-M54</f>
        <v>0</v>
      </c>
    </row>
    <row r="64" customFormat="false" ht="17.15" hidden="false" customHeight="false" outlineLevel="0" collapsed="false">
      <c r="A64" s="4" t="s">
        <v>1008</v>
      </c>
      <c r="B64" s="0" t="s">
        <v>81</v>
      </c>
      <c r="E64" s="21" t="n">
        <f aca="false">E55+E56+E58-E59</f>
        <v>0</v>
      </c>
      <c r="F64" s="21" t="n">
        <f aca="false">F55+F56+F58-F59</f>
        <v>0</v>
      </c>
      <c r="G64" s="21" t="n">
        <f aca="false">G55+G56+G58-G59</f>
        <v>0</v>
      </c>
      <c r="H64" s="21" t="n">
        <f aca="false">H55+H56+H58-H59</f>
        <v>0</v>
      </c>
      <c r="I64" s="21" t="n">
        <f aca="false">I55+I56+I58-I59</f>
        <v>0</v>
      </c>
      <c r="J64" s="21" t="n">
        <f aca="false">J55+J56+J58-J59</f>
        <v>0</v>
      </c>
      <c r="K64" s="21" t="n">
        <f aca="false">K55+K56+K58-K59</f>
        <v>0</v>
      </c>
      <c r="L64" s="21" t="n">
        <f aca="false">L55+L56+L58-L59</f>
        <v>0</v>
      </c>
      <c r="M64" s="21" t="n">
        <f aca="false">M55+M56+M58-M59</f>
        <v>0</v>
      </c>
    </row>
    <row r="65" customFormat="false" ht="15" hidden="false" customHeight="false" outlineLevel="0" collapsed="false">
      <c r="A65" s="4" t="s">
        <v>809</v>
      </c>
      <c r="B65" s="0" t="s">
        <v>81</v>
      </c>
      <c r="C65" s="21" t="n">
        <f aca="false">C54+C59+C60+C61-C62</f>
        <v>0</v>
      </c>
      <c r="D65" s="21" t="n">
        <f aca="false">D54+D59+D60+D61-D62</f>
        <v>0</v>
      </c>
      <c r="E65" s="21" t="n">
        <f aca="false">E54+E59+E60+E61-E62</f>
        <v>0</v>
      </c>
      <c r="F65" s="21" t="n">
        <f aca="false">F54+F59+F60+F61-F62</f>
        <v>0</v>
      </c>
      <c r="G65" s="21" t="n">
        <f aca="false">G54+G59+G60+G61-G62</f>
        <v>0</v>
      </c>
      <c r="H65" s="21" t="n">
        <f aca="false">H54+H59+H60+H61-H62</f>
        <v>0</v>
      </c>
      <c r="I65" s="21" t="n">
        <f aca="false">I54+I59+I60+I61-I62</f>
        <v>0</v>
      </c>
      <c r="J65" s="21" t="n">
        <f aca="false">J54+J59+J60+J61-J62</f>
        <v>0</v>
      </c>
      <c r="K65" s="21" t="n">
        <f aca="false">K54+K59+K60+K61-K62</f>
        <v>0</v>
      </c>
      <c r="L65" s="21" t="n">
        <f aca="false">L54+L59+L60+L61-L62</f>
        <v>0</v>
      </c>
      <c r="M65" s="21" t="n">
        <f aca="false">M54+M59+M60+M61-M62</f>
        <v>0</v>
      </c>
    </row>
    <row r="66" customFormat="false" ht="17.15" hidden="false" customHeight="false" outlineLevel="0" collapsed="false">
      <c r="A66" s="4" t="s">
        <v>1009</v>
      </c>
      <c r="B66" s="0" t="s">
        <v>81</v>
      </c>
      <c r="C66" s="21" t="n">
        <f aca="false">C62-Q!J14</f>
        <v>0</v>
      </c>
      <c r="D66" s="21" t="n">
        <f aca="false">D62-Q!K14</f>
        <v>0</v>
      </c>
      <c r="E66" s="21" t="n">
        <f aca="false">E62-Q!L14</f>
        <v>0</v>
      </c>
    </row>
    <row r="67" customFormat="false" ht="17.15" hidden="false" customHeight="false" outlineLevel="0" collapsed="false">
      <c r="A67" s="4" t="s">
        <v>1010</v>
      </c>
      <c r="B67" s="0" t="s">
        <v>81</v>
      </c>
      <c r="F67" s="25" t="n">
        <f aca="false">F54*cx_svc</f>
        <v>6.54927067080576</v>
      </c>
      <c r="G67" s="25" t="n">
        <f aca="false">F67</f>
        <v>6.54927067080576</v>
      </c>
      <c r="H67" s="25" t="n">
        <f aca="false">H54*cx_svc</f>
        <v>26.2803498311131</v>
      </c>
      <c r="I67" s="25" t="n">
        <f aca="false">I54*cx_svc</f>
        <v>29.1602642925077</v>
      </c>
      <c r="J67" s="25" t="n">
        <f aca="false">J54*cx_svc</f>
        <v>31.9111329798772</v>
      </c>
      <c r="K67" s="25" t="n">
        <f aca="false">K54*cx_svc</f>
        <v>34.419984578261</v>
      </c>
      <c r="L67" s="25" t="n">
        <f aca="false">L54*cx_svc</f>
        <v>37.139027872188</v>
      </c>
      <c r="M67" s="25" t="n">
        <f aca="false">M54*cx_svc</f>
        <v>40.086026554069</v>
      </c>
    </row>
    <row r="68" customFormat="false" ht="17.15" hidden="false" customHeight="false" outlineLevel="0" collapsed="false">
      <c r="A68" s="4" t="s">
        <v>1011</v>
      </c>
      <c r="B68" s="0" t="s">
        <v>81</v>
      </c>
      <c r="F68" s="25" t="n">
        <f aca="false">F58*cx_co</f>
        <v>5.80395724837583</v>
      </c>
      <c r="G68" s="25" t="n">
        <f aca="false">F68</f>
        <v>5.80395724837583</v>
      </c>
      <c r="H68" s="25" t="n">
        <f aca="false">H58*cx_co</f>
        <v>28.3962688450938</v>
      </c>
      <c r="I68" s="25" t="n">
        <f aca="false">I58*cx_co</f>
        <v>39.6281102177736</v>
      </c>
      <c r="J68" s="25" t="n">
        <f aca="false">J58*cx_co</f>
        <v>49.0504728617819</v>
      </c>
      <c r="K68" s="25" t="n">
        <f aca="false">K58*cx_co</f>
        <v>52.9745106907244</v>
      </c>
      <c r="L68" s="25" t="n">
        <f aca="false">L58*cx_co</f>
        <v>57.2124715459824</v>
      </c>
      <c r="M68" s="25" t="n">
        <f aca="false">M58*cx_co</f>
        <v>61.789469269661</v>
      </c>
    </row>
    <row r="69" customFormat="false" ht="17.15" hidden="false" customHeight="false" outlineLevel="0" collapsed="false">
      <c r="A69" s="4" t="s">
        <v>1012</v>
      </c>
      <c r="B69" s="0" t="s">
        <v>81</v>
      </c>
      <c r="F69" s="25" t="n">
        <f aca="false">F60*cx_ob</f>
        <v>0.0228</v>
      </c>
      <c r="G69" s="25" t="n">
        <f aca="false">F69</f>
        <v>0.0228</v>
      </c>
      <c r="H69" s="25" t="n">
        <f aca="false">H60*cx_ob</f>
        <v>0.096</v>
      </c>
      <c r="I69" s="25" t="n">
        <f aca="false">I60*cx_ob</f>
        <v>0.108</v>
      </c>
      <c r="J69" s="25" t="n">
        <f aca="false">J60*cx_ob</f>
        <v>0.12</v>
      </c>
      <c r="K69" s="25" t="n">
        <f aca="false">K60*cx_ob</f>
        <v>0.132</v>
      </c>
      <c r="L69" s="25" t="n">
        <f aca="false">L60*cx_ob</f>
        <v>0.144</v>
      </c>
      <c r="M69" s="25" t="n">
        <f aca="false">M60*cx_ob</f>
        <v>0.156</v>
      </c>
    </row>
    <row r="70" customFormat="false" ht="17.15" hidden="false" customHeight="false" outlineLevel="0" collapsed="false">
      <c r="A70" s="2" t="s">
        <v>1013</v>
      </c>
      <c r="B70" s="7" t="s">
        <v>81</v>
      </c>
      <c r="F70" s="25" t="n">
        <f aca="false">F67+F68+F69</f>
        <v>12.3760279191816</v>
      </c>
      <c r="G70" s="25" t="n">
        <f aca="false">G67+G68+G69</f>
        <v>12.3760279191816</v>
      </c>
      <c r="H70" s="25" t="n">
        <f aca="false">H67+H68+H69</f>
        <v>54.7726186762069</v>
      </c>
      <c r="I70" s="25" t="n">
        <f aca="false">I67+I68+I69</f>
        <v>68.8963745102813</v>
      </c>
      <c r="J70" s="25" t="n">
        <f aca="false">J67+J68+J69</f>
        <v>81.0816058416591</v>
      </c>
      <c r="K70" s="25" t="n">
        <f aca="false">K67+K68+K69</f>
        <v>87.5264952689854</v>
      </c>
      <c r="L70" s="25" t="n">
        <f aca="false">L67+L68+L69</f>
        <v>94.4954994181704</v>
      </c>
      <c r="M70" s="25" t="n">
        <f aca="false">M67+M68+M69</f>
        <v>102.03149582373</v>
      </c>
    </row>
    <row r="71" customFormat="false" ht="17.15" hidden="false" customHeight="false" outlineLevel="0" collapsed="false">
      <c r="A71" s="4" t="s">
        <v>1014</v>
      </c>
      <c r="B71" s="0" t="s">
        <v>81</v>
      </c>
      <c r="F71" s="25" t="n">
        <f aca="false">$F$67/life_na*IF((0)&lt;0,0,IF((0)=0,phi_0,IF((0)&lt;life_na,1,IF((0)=life_na,1-phi_0,0))))</f>
        <v>0.163731766770144</v>
      </c>
      <c r="G71" s="25" t="n">
        <f aca="false">F71</f>
        <v>0.163731766770144</v>
      </c>
      <c r="H71" s="25" t="n">
        <f aca="false">$F$67/life_na*IF((1)&lt;0,0,IF((1)=0,phi_0,IF((1)&lt;life_na,1,IF((1)=life_na,1-phi_0,0))))+$H$67/life_na*IF((0)&lt;0,0,IF((0)=0,phi_0,IF((0)&lt;life_na,1,IF((0)=life_na,1-phi_0,0))))</f>
        <v>1.3119358128584</v>
      </c>
      <c r="I71" s="25" t="n">
        <f aca="false">$F$67/life_na*IF((2)&lt;0,0,IF((2)=0,phi_0,IF((2)&lt;life_na,1,IF((2)=life_na,1-phi_0,0))))+$H$67/life_na*IF((1)&lt;0,0,IF((1)=0,phi_0,IF((1)&lt;life_na,1,IF((1)=life_na,1-phi_0,0))))+$I$67/life_na*IF((0)&lt;0,0,IF((0)=0,phi_0,IF((0)&lt;life_na,1,IF((0)=life_na,1-phi_0,0))))</f>
        <v>4.01196865750458</v>
      </c>
      <c r="J71" s="25" t="n">
        <f aca="false">$F$67/life_na*IF((3)&lt;0,0,IF((3)=0,phi_0,IF((3)&lt;life_na,1,IF((3)=life_na,1-phi_0,0))))+$H$67/life_na*IF((2)&lt;0,0,IF((2)=0,phi_0,IF((2)&lt;life_na,1,IF((2)=life_na,1-phi_0,0))))+$I$67/life_na*IF((1)&lt;0,0,IF((1)=0,phi_0,IF((1)&lt;life_na,1,IF((1)=life_na,1-phi_0,0))))+$J$67/life_na*IF((0)&lt;0,0,IF((0)=0,phi_0,IF((0)&lt;life_na,1,IF((0)=life_na,1-phi_0,0))))</f>
        <v>6.99676680393958</v>
      </c>
      <c r="K71" s="25" t="n">
        <f aca="false">$F$67/life_na*IF((4)&lt;0,0,IF((4)=0,phi_0,IF((4)&lt;life_na,1,IF((4)=life_na,1-phi_0,0))))+$H$67/life_na*IF((3)&lt;0,0,IF((3)=0,phi_0,IF((3)&lt;life_na,1,IF((3)=life_na,1-phi_0,0))))+$I$67/life_na*IF((2)&lt;0,0,IF((2)=0,phi_0,IF((2)&lt;life_na,1,IF((2)=life_na,1-phi_0,0))))+$J$67/life_na*IF((1)&lt;0,0,IF((1)=0,phi_0,IF((1)&lt;life_na,1,IF((1)=life_na,1-phi_0,0))))+$K$67/life_na*IF((0)&lt;0,0,IF((0)=0,phi_0,IF((0)&lt;life_na,1,IF((0)=life_na,1-phi_0,0))))</f>
        <v>10.2506013918869</v>
      </c>
      <c r="L71" s="25" t="n">
        <f aca="false">$F$67/life_na*IF((5)&lt;0,0,IF((5)=0,phi_0,IF((5)&lt;life_na,1,IF((5)=life_na,1-phi_0,0))))+$H$67/life_na*IF((4)&lt;0,0,IF((4)=0,phi_0,IF((4)&lt;life_na,1,IF((4)=life_na,1-phi_0,0))))+$I$67/life_na*IF((3)&lt;0,0,IF((3)=0,phi_0,IF((3)&lt;life_na,1,IF((3)=life_na,1-phi_0,0))))+$J$67/life_na*IF((2)&lt;0,0,IF((2)=0,phi_0,IF((2)&lt;life_na,1,IF((2)=life_na,1-phi_0,0))))+$K$67/life_na*IF((1)&lt;0,0,IF((1)=0,phi_0,IF((1)&lt;life_na,1,IF((1)=life_na,1-phi_0,0))))+$L$67/life_na*IF((0)&lt;0,0,IF((0)=0,phi_0,IF((0)&lt;life_na,1,IF((0)=life_na,1-phi_0,0))))</f>
        <v>13.7605759320612</v>
      </c>
      <c r="M71" s="25" t="n">
        <f aca="false">$F$67/life_na*IF((6)&lt;0,0,IF((6)=0,phi_0,IF((6)&lt;life_na,1,IF((6)=life_na,1-phi_0,0))))+$H$67/life_na*IF((5)&lt;0,0,IF((5)=0,phi_0,IF((5)&lt;life_na,1,IF((5)=life_na,1-phi_0,0))))+$I$67/life_na*IF((4)&lt;0,0,IF((4)=0,phi_0,IF((4)&lt;life_na,1,IF((4)=life_na,1-phi_0,0))))+$J$67/life_na*IF((3)&lt;0,0,IF((3)=0,phi_0,IF((3)&lt;life_na,1,IF((3)=life_na,1-phi_0,0))))+$K$67/life_na*IF((2)&lt;0,0,IF((2)=0,phi_0,IF((2)&lt;life_na,1,IF((2)=life_na,1-phi_0,0))))+$L$67/life_na*IF((1)&lt;0,0,IF((1)=0,phi_0,IF((1)&lt;life_na,1,IF((1)=life_na,1-phi_0,0))))+$M$67/life_na*IF((0)&lt;0,0,IF((0)=0,phi_0,IF((0)&lt;life_na,1,IF((0)=life_na,1-phi_0,0))))</f>
        <v>17.548153686327</v>
      </c>
    </row>
    <row r="72" customFormat="false" ht="17.15" hidden="false" customHeight="false" outlineLevel="0" collapsed="false">
      <c r="A72" s="4" t="s">
        <v>1015</v>
      </c>
      <c r="B72" s="0" t="s">
        <v>81</v>
      </c>
      <c r="F72" s="25" t="n">
        <f aca="false">$F$68/life_na*IF((0)&lt;0,0,IF((0)=0,phi_0,IF((0)&lt;life_na,1,IF((0)=life_na,1-phi_0,0))))</f>
        <v>0.145098931209396</v>
      </c>
      <c r="G72" s="25" t="n">
        <f aca="false">F72</f>
        <v>0.145098931209396</v>
      </c>
      <c r="H72" s="25" t="n">
        <f aca="false">$F$68/life_na*IF((1)&lt;0,0,IF((1)=0,phi_0,IF((1)&lt;life_na,1,IF((1)=life_na,1-phi_0,0))))+$H$68/life_na*IF((0)&lt;0,0,IF((0)=0,phi_0,IF((0)&lt;life_na,1,IF((0)=life_na,1-phi_0,0))))</f>
        <v>1.29030244596493</v>
      </c>
      <c r="I72" s="25" t="n">
        <f aca="false">$F$68/life_na*IF((2)&lt;0,0,IF((2)=0,phi_0,IF((2)&lt;life_na,1,IF((2)=life_na,1-phi_0,0))))+$H$68/life_na*IF((1)&lt;0,0,IF((1)=0,phi_0,IF((1)&lt;life_na,1,IF((1)=life_na,1-phi_0,0))))+$I$68/life_na*IF((0)&lt;0,0,IF((0)=0,phi_0,IF((0)&lt;life_na,1,IF((0)=life_na,1-phi_0,0))))</f>
        <v>4.4107253647913</v>
      </c>
      <c r="J72" s="25" t="n">
        <f aca="false">$F$68/life_na*IF((3)&lt;0,0,IF((3)=0,phi_0,IF((3)&lt;life_na,1,IF((3)=life_na,1-phi_0,0))))+$H$68/life_na*IF((2)&lt;0,0,IF((2)=0,phi_0,IF((2)&lt;life_na,1,IF((2)=life_na,1-phi_0,0))))+$I$68/life_na*IF((1)&lt;0,0,IF((1)=0,phi_0,IF((1)&lt;life_na,1,IF((1)=life_na,1-phi_0,0))))+$J$68/life_na*IF((0)&lt;0,0,IF((0)=0,phi_0,IF((0)&lt;life_na,1,IF((0)=life_na,1-phi_0,0))))</f>
        <v>8.60909545266886</v>
      </c>
      <c r="K72" s="25" t="n">
        <f aca="false">$F$68/life_na*IF((4)&lt;0,0,IF((4)=0,phi_0,IF((4)&lt;life_na,1,IF((4)=life_na,1-phi_0,0))))+$H$68/life_na*IF((3)&lt;0,0,IF((3)=0,phi_0,IF((3)&lt;life_na,1,IF((3)=life_na,1-phi_0,0))))+$I$68/life_na*IF((2)&lt;0,0,IF((2)=0,phi_0,IF((2)&lt;life_na,1,IF((2)=life_na,1-phi_0,0))))+$J$68/life_na*IF((1)&lt;0,0,IF((1)=0,phi_0,IF((1)&lt;life_na,1,IF((1)=life_na,1-phi_0,0))))+$K$68/life_na*IF((0)&lt;0,0,IF((0)=0,phi_0,IF((0)&lt;life_na,1,IF((0)=life_na,1-phi_0,0))))</f>
        <v>13.6122436845706</v>
      </c>
      <c r="L72" s="25" t="n">
        <f aca="false">$F$68/life_na*IF((5)&lt;0,0,IF((5)=0,phi_0,IF((5)&lt;life_na,1,IF((5)=life_na,1-phi_0,0))))+$H$68/life_na*IF((4)&lt;0,0,IF((4)=0,phi_0,IF((4)&lt;life_na,1,IF((4)=life_na,1-phi_0,0))))+$I$68/life_na*IF((3)&lt;0,0,IF((3)=0,phi_0,IF((3)&lt;life_na,1,IF((3)=life_na,1-phi_0,0))))+$J$68/life_na*IF((2)&lt;0,0,IF((2)=0,phi_0,IF((2)&lt;life_na,1,IF((2)=life_na,1-phi_0,0))))+$K$68/life_na*IF((1)&lt;0,0,IF((1)=0,phi_0,IF((1)&lt;life_na,1,IF((1)=life_na,1-phi_0,0))))+$L$68/life_na*IF((0)&lt;0,0,IF((0)=0,phi_0,IF((0)&lt;life_na,1,IF((0)=life_na,1-phi_0,0))))</f>
        <v>19.0156437750245</v>
      </c>
      <c r="M72" s="25" t="n">
        <f aca="false">$F$68/life_na*IF((6)&lt;0,0,IF((6)=0,phi_0,IF((6)&lt;life_na,1,IF((6)=life_na,1-phi_0,0))))+$H$68/life_na*IF((5)&lt;0,0,IF((5)=0,phi_0,IF((5)&lt;life_na,1,IF((5)=life_na,1-phi_0,0))))+$I$68/life_na*IF((4)&lt;0,0,IF((4)=0,phi_0,IF((4)&lt;life_na,1,IF((4)=life_na,1-phi_0,0))))+$J$68/life_na*IF((3)&lt;0,0,IF((3)=0,phi_0,IF((3)&lt;life_na,1,IF((3)=life_na,1-phi_0,0))))+$K$68/life_na*IF((2)&lt;0,0,IF((2)=0,phi_0,IF((2)&lt;life_na,1,IF((2)=life_na,1-phi_0,0))))+$L$68/life_na*IF((1)&lt;0,0,IF((1)=0,phi_0,IF((1)&lt;life_na,1,IF((1)=life_na,1-phi_0,0))))+$M$68/life_na*IF((0)&lt;0,0,IF((0)=0,phi_0,IF((0)&lt;life_na,1,IF((0)=life_na,1-phi_0,0))))</f>
        <v>24.8513158727147</v>
      </c>
    </row>
    <row r="73" customFormat="false" ht="17.15" hidden="false" customHeight="false" outlineLevel="0" collapsed="false">
      <c r="A73" s="4" t="s">
        <v>1016</v>
      </c>
      <c r="B73" s="0" t="s">
        <v>81</v>
      </c>
      <c r="F73" s="25" t="n">
        <f aca="false">$F$69/life_na*IF((0)&lt;0,0,IF((0)=0,phi_0,IF((0)&lt;life_na,1,IF((0)=life_na,1-phi_0,0))))</f>
        <v>0.00057</v>
      </c>
      <c r="G73" s="25" t="n">
        <f aca="false">F73</f>
        <v>0.00057</v>
      </c>
      <c r="H73" s="25" t="n">
        <f aca="false">$F$69/life_na*IF((1)&lt;0,0,IF((1)=0,phi_0,IF((1)&lt;life_na,1,IF((1)=life_na,1-phi_0,0))))+$H$69/life_na*IF((0)&lt;0,0,IF((0)=0,phi_0,IF((0)&lt;life_na,1,IF((0)=life_na,1-phi_0,0))))</f>
        <v>0.00468</v>
      </c>
      <c r="I73" s="25" t="n">
        <f aca="false">$F$69/life_na*IF((2)&lt;0,0,IF((2)=0,phi_0,IF((2)&lt;life_na,1,IF((2)=life_na,1-phi_0,0))))+$H$69/life_na*IF((1)&lt;0,0,IF((1)=0,phi_0,IF((1)&lt;life_na,1,IF((1)=life_na,1-phi_0,0))))+$I$69/life_na*IF((0)&lt;0,0,IF((0)=0,phi_0,IF((0)&lt;life_na,1,IF((0)=life_na,1-phi_0,0))))</f>
        <v>0.01458</v>
      </c>
      <c r="J73" s="25" t="n">
        <f aca="false">$F$69/life_na*IF((3)&lt;0,0,IF((3)=0,phi_0,IF((3)&lt;life_na,1,IF((3)=life_na,1-phi_0,0))))+$H$69/life_na*IF((2)&lt;0,0,IF((2)=0,phi_0,IF((2)&lt;life_na,1,IF((2)=life_na,1-phi_0,0))))+$I$69/life_na*IF((1)&lt;0,0,IF((1)=0,phi_0,IF((1)&lt;life_na,1,IF((1)=life_na,1-phi_0,0))))+$J$69/life_na*IF((0)&lt;0,0,IF((0)=0,phi_0,IF((0)&lt;life_na,1,IF((0)=life_na,1-phi_0,0))))</f>
        <v>0.02568</v>
      </c>
      <c r="K73" s="25" t="n">
        <f aca="false">$F$69/life_na*IF((4)&lt;0,0,IF((4)=0,phi_0,IF((4)&lt;life_na,1,IF((4)=life_na,1-phi_0,0))))+$H$69/life_na*IF((3)&lt;0,0,IF((3)=0,phi_0,IF((3)&lt;life_na,1,IF((3)=life_na,1-phi_0,0))))+$I$69/life_na*IF((2)&lt;0,0,IF((2)=0,phi_0,IF((2)&lt;life_na,1,IF((2)=life_na,1-phi_0,0))))+$J$69/life_na*IF((1)&lt;0,0,IF((1)=0,phi_0,IF((1)&lt;life_na,1,IF((1)=life_na,1-phi_0,0))))+$K$69/life_na*IF((0)&lt;0,0,IF((0)=0,phi_0,IF((0)&lt;life_na,1,IF((0)=life_na,1-phi_0,0))))</f>
        <v>0.03798</v>
      </c>
      <c r="L73" s="25" t="n">
        <f aca="false">$F$69/life_na*IF((5)&lt;0,0,IF((5)=0,phi_0,IF((5)&lt;life_na,1,IF((5)=life_na,1-phi_0,0))))+$H$69/life_na*IF((4)&lt;0,0,IF((4)=0,phi_0,IF((4)&lt;life_na,1,IF((4)=life_na,1-phi_0,0))))+$I$69/life_na*IF((3)&lt;0,0,IF((3)=0,phi_0,IF((3)&lt;life_na,1,IF((3)=life_na,1-phi_0,0))))+$J$69/life_na*IF((2)&lt;0,0,IF((2)=0,phi_0,IF((2)&lt;life_na,1,IF((2)=life_na,1-phi_0,0))))+$K$69/life_na*IF((1)&lt;0,0,IF((1)=0,phi_0,IF((1)&lt;life_na,1,IF((1)=life_na,1-phi_0,0))))+$L$69/life_na*IF((0)&lt;0,0,IF((0)=0,phi_0,IF((0)&lt;life_na,1,IF((0)=life_na,1-phi_0,0))))</f>
        <v>0.05148</v>
      </c>
      <c r="M73" s="25" t="n">
        <f aca="false">$F$69/life_na*IF((6)&lt;0,0,IF((6)=0,phi_0,IF((6)&lt;life_na,1,IF((6)=life_na,1-phi_0,0))))+$H$69/life_na*IF((5)&lt;0,0,IF((5)=0,phi_0,IF((5)&lt;life_na,1,IF((5)=life_na,1-phi_0,0))))+$I$69/life_na*IF((4)&lt;0,0,IF((4)=0,phi_0,IF((4)&lt;life_na,1,IF((4)=life_na,1-phi_0,0))))+$J$69/life_na*IF((3)&lt;0,0,IF((3)=0,phi_0,IF((3)&lt;life_na,1,IF((3)=life_na,1-phi_0,0))))+$K$69/life_na*IF((2)&lt;0,0,IF((2)=0,phi_0,IF((2)&lt;life_na,1,IF((2)=life_na,1-phi_0,0))))+$L$69/life_na*IF((1)&lt;0,0,IF((1)=0,phi_0,IF((1)&lt;life_na,1,IF((1)=life_na,1-phi_0,0))))+$M$69/life_na*IF((0)&lt;0,0,IF((0)=0,phi_0,IF((0)&lt;life_na,1,IF((0)=life_na,1-phi_0,0))))</f>
        <v>0.06618</v>
      </c>
    </row>
    <row r="74" customFormat="false" ht="17.15" hidden="false" customHeight="false" outlineLevel="0" collapsed="false">
      <c r="A74" s="2" t="s">
        <v>1017</v>
      </c>
      <c r="B74" s="7" t="s">
        <v>81</v>
      </c>
      <c r="F74" s="25" t="n">
        <f aca="false">F71+F72+F73</f>
        <v>0.30940069797954</v>
      </c>
      <c r="G74" s="25" t="n">
        <f aca="false">G71+G72+G73</f>
        <v>0.30940069797954</v>
      </c>
      <c r="H74" s="25" t="n">
        <f aca="false">H71+H72+H73</f>
        <v>2.60691825882333</v>
      </c>
      <c r="I74" s="25" t="n">
        <f aca="false">I71+I72+I73</f>
        <v>8.43727402229588</v>
      </c>
      <c r="J74" s="25" t="n">
        <f aca="false">J71+J72+J73</f>
        <v>15.6315422566084</v>
      </c>
      <c r="K74" s="25" t="n">
        <f aca="false">K71+K72+K73</f>
        <v>23.9008250764575</v>
      </c>
      <c r="L74" s="25" t="n">
        <f aca="false">L71+L72+L73</f>
        <v>32.8276997070857</v>
      </c>
      <c r="M74" s="25" t="n">
        <f aca="false">M71+M72+M73</f>
        <v>42.4656495590417</v>
      </c>
    </row>
    <row r="76" customFormat="false" ht="17.15" hidden="false" customHeight="false" outlineLevel="0" collapsed="false">
      <c r="A76" s="28" t="s">
        <v>1020</v>
      </c>
    </row>
    <row r="77" customFormat="false" ht="15" hidden="false" customHeight="false" outlineLevel="0" collapsed="false">
      <c r="A77" s="3" t="s">
        <v>43</v>
      </c>
      <c r="B77" s="3" t="s">
        <v>44</v>
      </c>
      <c r="C77" s="20" t="s">
        <v>905</v>
      </c>
      <c r="D77" s="20" t="s">
        <v>906</v>
      </c>
      <c r="E77" s="20" t="s">
        <v>907</v>
      </c>
      <c r="F77" s="20" t="s">
        <v>908</v>
      </c>
      <c r="G77" s="20" t="s">
        <v>909</v>
      </c>
      <c r="H77" s="20" t="s">
        <v>910</v>
      </c>
      <c r="I77" s="20" t="s">
        <v>911</v>
      </c>
      <c r="J77" s="20" t="s">
        <v>912</v>
      </c>
      <c r="K77" s="20" t="s">
        <v>913</v>
      </c>
      <c r="L77" s="20" t="s">
        <v>914</v>
      </c>
      <c r="M77" s="20" t="s">
        <v>915</v>
      </c>
      <c r="N77" s="3" t="s">
        <v>50</v>
      </c>
    </row>
    <row r="78" customFormat="false" ht="17.15" hidden="false" customHeight="false" outlineLevel="0" collapsed="false">
      <c r="A78" s="0" t="s">
        <v>984</v>
      </c>
      <c r="B78" s="0" t="s">
        <v>106</v>
      </c>
      <c r="F78" s="14" t="n">
        <f aca="false">g0_search</f>
        <v>0.160562060020511</v>
      </c>
      <c r="H78" s="14" t="n">
        <f aca="false">g0_search+(gl_search-g0_search)*MIN(1,(2027-2026)/conv_n)</f>
        <v>0.140421545015383</v>
      </c>
      <c r="I78" s="14" t="n">
        <f aca="false">g0_search+(gl_search-g0_search)*MIN(1,(2028-2026)/conv_n)</f>
        <v>0.120281030010256</v>
      </c>
      <c r="J78" s="14" t="n">
        <f aca="false">g0_search+(gl_search-g0_search)*MIN(1,(2029-2026)/conv_n)</f>
        <v>0.100140515005128</v>
      </c>
      <c r="K78" s="14" t="n">
        <f aca="false">g0_search+(gl_search-g0_search)*MIN(1,(2030-2026)/conv_n)</f>
        <v>0.08</v>
      </c>
      <c r="L78" s="14" t="n">
        <f aca="false">g0_search+(gl_search-g0_search)*MIN(1,(2031-2026)/conv_n)</f>
        <v>0.08</v>
      </c>
      <c r="M78" s="14" t="n">
        <f aca="false">g0_search+(gl_search-g0_search)*MIN(1,(2032-2026)/conv_n)</f>
        <v>0.08</v>
      </c>
      <c r="N78" s="7" t="s">
        <v>985</v>
      </c>
    </row>
    <row r="79" customFormat="false" ht="17.15" hidden="false" customHeight="false" outlineLevel="0" collapsed="false">
      <c r="A79" s="0" t="s">
        <v>986</v>
      </c>
      <c r="B79" s="0" t="s">
        <v>81</v>
      </c>
      <c r="C79" s="25" t="n">
        <f aca="false">Q!J5</f>
        <v>198.084</v>
      </c>
      <c r="D79" s="25" t="n">
        <f aca="false">Q!K5</f>
        <v>224.532</v>
      </c>
      <c r="E79" s="25" t="n">
        <f aca="false">Q!L5</f>
        <v>187.02</v>
      </c>
      <c r="F79" s="25" t="n">
        <f aca="false">Q!F5*(1+F78)</f>
        <v>73.2001308116737</v>
      </c>
      <c r="G79" s="25" t="n">
        <f aca="false">E79+F79</f>
        <v>260.220130811674</v>
      </c>
      <c r="H79" s="25" t="n">
        <f aca="false">G79*(1+H78)</f>
        <v>296.760643624354</v>
      </c>
      <c r="I79" s="25" t="n">
        <f aca="false">H79*(1+I78)</f>
        <v>332.455319505998</v>
      </c>
      <c r="J79" s="25" t="n">
        <f aca="false">I79*(1+J78)</f>
        <v>365.747566417523</v>
      </c>
      <c r="K79" s="25" t="n">
        <f aca="false">J79*(1+K78)</f>
        <v>395.007371730925</v>
      </c>
      <c r="L79" s="25" t="n">
        <f aca="false">K79*(1+L78)</f>
        <v>426.607961469399</v>
      </c>
      <c r="M79" s="25" t="n">
        <f aca="false">L79*(1+M78)</f>
        <v>460.73659838695</v>
      </c>
    </row>
    <row r="80" customFormat="false" ht="17.15" hidden="false" customHeight="false" outlineLevel="0" collapsed="false">
      <c r="A80" s="4" t="s">
        <v>987</v>
      </c>
      <c r="B80" s="0" t="s">
        <v>126</v>
      </c>
      <c r="F80" s="22" t="n">
        <v>0</v>
      </c>
      <c r="H80" s="23" t="n">
        <f aca="false">MIN(1,(2027-2026)/conv_n)</f>
        <v>0.25</v>
      </c>
      <c r="I80" s="23" t="n">
        <f aca="false">MIN(1,(2028-2026)/conv_n)</f>
        <v>0.5</v>
      </c>
      <c r="J80" s="23" t="n">
        <f aca="false">MIN(1,(2029-2026)/conv_n)</f>
        <v>0.75</v>
      </c>
      <c r="K80" s="23" t="n">
        <f aca="false">MIN(1,(2030-2026)/conv_n)</f>
        <v>1</v>
      </c>
      <c r="L80" s="23" t="n">
        <f aca="false">MIN(1,(2031-2026)/conv_n)</f>
        <v>1</v>
      </c>
      <c r="M80" s="23" t="n">
        <f aca="false">MIN(1,(2032-2026)/conv_n)</f>
        <v>1</v>
      </c>
    </row>
    <row r="81" customFormat="false" ht="17.15" hidden="false" customHeight="false" outlineLevel="0" collapsed="false">
      <c r="A81" s="4" t="s">
        <v>988</v>
      </c>
      <c r="B81" s="0" t="s">
        <v>106</v>
      </c>
      <c r="F81" s="14" t="n">
        <f aca="false">dC*F80</f>
        <v>0</v>
      </c>
      <c r="H81" s="14" t="n">
        <f aca="false">dC*H80</f>
        <v>0.05</v>
      </c>
      <c r="I81" s="14" t="n">
        <f aca="false">dC*I80</f>
        <v>0.1</v>
      </c>
      <c r="J81" s="14" t="n">
        <f aca="false">dC*J80</f>
        <v>0.15</v>
      </c>
      <c r="K81" s="14" t="n">
        <f aca="false">dC*K80</f>
        <v>0.2</v>
      </c>
      <c r="L81" s="14" t="n">
        <f aca="false">dC*L80</f>
        <v>0.2</v>
      </c>
      <c r="M81" s="14" t="n">
        <f aca="false">dC*M80</f>
        <v>0.2</v>
      </c>
      <c r="N81" s="7" t="s">
        <v>1021</v>
      </c>
    </row>
    <row r="82" customFormat="false" ht="17.15" hidden="false" customHeight="false" outlineLevel="0" collapsed="false">
      <c r="A82" s="4" t="s">
        <v>990</v>
      </c>
      <c r="B82" s="0" t="s">
        <v>106</v>
      </c>
      <c r="F82" s="14" t="n">
        <f aca="false">mC*F80</f>
        <v>-0</v>
      </c>
      <c r="H82" s="14" t="n">
        <f aca="false">mC*H80</f>
        <v>-0.025</v>
      </c>
      <c r="I82" s="14" t="n">
        <f aca="false">mC*I80</f>
        <v>-0.05</v>
      </c>
      <c r="J82" s="14" t="n">
        <f aca="false">mC*J80</f>
        <v>-0.075</v>
      </c>
      <c r="K82" s="14" t="n">
        <f aca="false">mC*K80</f>
        <v>-0.1</v>
      </c>
      <c r="L82" s="14" t="n">
        <f aca="false">mC*L80</f>
        <v>-0.1</v>
      </c>
      <c r="M82" s="14" t="n">
        <f aca="false">mC*M80</f>
        <v>-0.1</v>
      </c>
    </row>
    <row r="83" customFormat="false" ht="15" hidden="false" customHeight="false" outlineLevel="0" collapsed="false">
      <c r="A83" s="5" t="s">
        <v>796</v>
      </c>
      <c r="B83" s="7" t="s">
        <v>81</v>
      </c>
      <c r="C83" s="25" t="n">
        <f aca="false">C79</f>
        <v>198.084</v>
      </c>
      <c r="D83" s="25" t="n">
        <f aca="false">D79</f>
        <v>224.532</v>
      </c>
      <c r="E83" s="25" t="n">
        <f aca="false">E79</f>
        <v>187.02</v>
      </c>
      <c r="F83" s="25" t="n">
        <f aca="false">F79*(1-F81)*(1+F82)</f>
        <v>73.2001308116737</v>
      </c>
      <c r="G83" s="25" t="n">
        <f aca="false">E83+F83</f>
        <v>260.220130811674</v>
      </c>
      <c r="H83" s="25" t="n">
        <f aca="false">H79*(1-H81)*(1+H82)</f>
        <v>274.874546157058</v>
      </c>
      <c r="I83" s="25" t="n">
        <f aca="false">I79*(1-I81)*(1+I82)</f>
        <v>284.249298177628</v>
      </c>
      <c r="J83" s="25" t="n">
        <f aca="false">J79*(1-J81)*(1+J82)</f>
        <v>287.569024095777</v>
      </c>
      <c r="K83" s="25" t="n">
        <f aca="false">K79*(1-K81)*(1+K82)</f>
        <v>284.405307646266</v>
      </c>
      <c r="L83" s="25" t="n">
        <f aca="false">L79*(1-L81)*(1+L82)</f>
        <v>307.157732257967</v>
      </c>
      <c r="M83" s="25" t="n">
        <f aca="false">M79*(1-M81)*(1+M82)</f>
        <v>331.730350838604</v>
      </c>
    </row>
    <row r="84" customFormat="false" ht="17.15" hidden="false" customHeight="false" outlineLevel="0" collapsed="false">
      <c r="A84" s="0" t="s">
        <v>991</v>
      </c>
      <c r="B84" s="0" t="s">
        <v>106</v>
      </c>
      <c r="F84" s="14" t="n">
        <f aca="false">g0_yt</f>
        <v>0.103175608890691</v>
      </c>
      <c r="H84" s="14" t="n">
        <f aca="false">g0_yt+(gl_yt-g0_yt)*MIN(1,(2027-2026)/conv_n)</f>
        <v>0.0973817066680184</v>
      </c>
      <c r="I84" s="14" t="n">
        <f aca="false">g0_yt+(gl_yt-g0_yt)*MIN(1,(2028-2026)/conv_n)</f>
        <v>0.0915878044453456</v>
      </c>
      <c r="J84" s="14" t="n">
        <f aca="false">g0_yt+(gl_yt-g0_yt)*MIN(1,(2029-2026)/conv_n)</f>
        <v>0.0857939022226728</v>
      </c>
      <c r="K84" s="14" t="n">
        <f aca="false">g0_yt+(gl_yt-g0_yt)*MIN(1,(2030-2026)/conv_n)</f>
        <v>0.08</v>
      </c>
      <c r="L84" s="14" t="n">
        <f aca="false">g0_yt+(gl_yt-g0_yt)*MIN(1,(2031-2026)/conv_n)</f>
        <v>0.08</v>
      </c>
      <c r="M84" s="14" t="n">
        <f aca="false">g0_yt+(gl_yt-g0_yt)*MIN(1,(2032-2026)/conv_n)</f>
        <v>0.08</v>
      </c>
      <c r="N84" s="4" t="s">
        <v>992</v>
      </c>
    </row>
    <row r="85" customFormat="false" ht="15" hidden="false" customHeight="false" outlineLevel="0" collapsed="false">
      <c r="A85" s="5" t="s">
        <v>799</v>
      </c>
      <c r="B85" s="7" t="s">
        <v>81</v>
      </c>
      <c r="C85" s="25" t="n">
        <f aca="false">Q!J6</f>
        <v>36.147</v>
      </c>
      <c r="D85" s="25" t="n">
        <f aca="false">Q!K6</f>
        <v>40.367</v>
      </c>
      <c r="E85" s="25" t="n">
        <f aca="false">Q!L6</f>
        <v>32.145</v>
      </c>
      <c r="F85" s="25" t="n">
        <f aca="false">Q!F6*(1+F84)</f>
        <v>12.5574479560027</v>
      </c>
      <c r="G85" s="25" t="n">
        <f aca="false">E85+F85</f>
        <v>44.7024479560027</v>
      </c>
      <c r="H85" s="25" t="n">
        <f aca="false">G85*(1+H84)</f>
        <v>49.0556486301966</v>
      </c>
      <c r="I85" s="25" t="n">
        <f aca="false">H85*(1+I84)</f>
        <v>53.5485477838786</v>
      </c>
      <c r="J85" s="25" t="n">
        <f aca="false">I85*(1+J84)</f>
        <v>58.1426866566148</v>
      </c>
      <c r="K85" s="25" t="n">
        <f aca="false">J85*(1+K84)</f>
        <v>62.794101589144</v>
      </c>
      <c r="L85" s="25" t="n">
        <f aca="false">K85*(1+L84)</f>
        <v>67.8176297162755</v>
      </c>
      <c r="M85" s="25" t="n">
        <f aca="false">L85*(1+M84)</f>
        <v>73.2430400935775</v>
      </c>
    </row>
    <row r="86" customFormat="false" ht="17.15" hidden="false" customHeight="false" outlineLevel="0" collapsed="false">
      <c r="A86" s="0" t="s">
        <v>993</v>
      </c>
      <c r="B86" s="0" t="s">
        <v>106</v>
      </c>
      <c r="F86" s="14" t="n">
        <f aca="false">g0_net</f>
        <v>-0.0120663145932214</v>
      </c>
      <c r="H86" s="14" t="n">
        <f aca="false">g0_net+(gl_net-g0_net)*MIN(1,(2027-2026)/conv_n)</f>
        <v>-0.00904973594491604</v>
      </c>
      <c r="I86" s="14" t="n">
        <f aca="false">g0_net+(gl_net-g0_net)*MIN(1,(2028-2026)/conv_n)</f>
        <v>-0.00603315729661069</v>
      </c>
      <c r="J86" s="14" t="n">
        <f aca="false">g0_net+(gl_net-g0_net)*MIN(1,(2029-2026)/conv_n)</f>
        <v>-0.00301657864830535</v>
      </c>
      <c r="K86" s="14" t="n">
        <f aca="false">g0_net+(gl_net-g0_net)*MIN(1,(2030-2026)/conv_n)</f>
        <v>0</v>
      </c>
      <c r="L86" s="14" t="n">
        <f aca="false">g0_net+(gl_net-g0_net)*MIN(1,(2031-2026)/conv_n)</f>
        <v>0</v>
      </c>
      <c r="M86" s="14" t="n">
        <f aca="false">g0_net+(gl_net-g0_net)*MIN(1,(2032-2026)/conv_n)</f>
        <v>0</v>
      </c>
      <c r="N86" s="4" t="s">
        <v>992</v>
      </c>
    </row>
    <row r="87" customFormat="false" ht="15" hidden="false" customHeight="false" outlineLevel="0" collapsed="false">
      <c r="A87" s="5" t="s">
        <v>800</v>
      </c>
      <c r="B87" s="7" t="s">
        <v>81</v>
      </c>
      <c r="C87" s="25" t="n">
        <f aca="false">Q!J7</f>
        <v>30.359</v>
      </c>
      <c r="D87" s="25" t="n">
        <f aca="false">Q!K7</f>
        <v>29.792</v>
      </c>
      <c r="E87" s="25" t="n">
        <f aca="false">Q!L7</f>
        <v>21.729</v>
      </c>
      <c r="F87" s="25" t="n">
        <f aca="false">Q!F7*(1+F86)</f>
        <v>7.73354488936426</v>
      </c>
      <c r="G87" s="25" t="n">
        <f aca="false">E87+F87</f>
        <v>29.4625448893643</v>
      </c>
      <c r="H87" s="25" t="n">
        <f aca="false">G87*(1+H86)</f>
        <v>29.1959166378503</v>
      </c>
      <c r="I87" s="25" t="n">
        <f aca="false">H87*(1+I86)</f>
        <v>29.0197730803554</v>
      </c>
      <c r="J87" s="25" t="n">
        <f aca="false">I87*(1+J86)</f>
        <v>28.9322326525025</v>
      </c>
      <c r="K87" s="25" t="n">
        <f aca="false">J87*(1+K86)</f>
        <v>28.9322326525025</v>
      </c>
      <c r="L87" s="25" t="n">
        <f aca="false">K87*(1+L86)</f>
        <v>28.9322326525025</v>
      </c>
      <c r="M87" s="25" t="n">
        <f aca="false">L87*(1+M86)</f>
        <v>28.9322326525025</v>
      </c>
    </row>
    <row r="88" customFormat="false" ht="17.15" hidden="false" customHeight="false" outlineLevel="0" collapsed="false">
      <c r="A88" s="0" t="s">
        <v>994</v>
      </c>
      <c r="B88" s="0" t="s">
        <v>106</v>
      </c>
      <c r="F88" s="14" t="n">
        <f aca="false">g0_subs</f>
        <v>0.153585765433438</v>
      </c>
      <c r="H88" s="14" t="n">
        <f aca="false">g0_subs+(gl_subs-g0_subs)*MIN(1,(2027-2026)/conv_n)</f>
        <v>0.140189324075079</v>
      </c>
      <c r="I88" s="14" t="n">
        <f aca="false">g0_subs+(gl_subs-g0_subs)*MIN(1,(2028-2026)/conv_n)</f>
        <v>0.126792882716719</v>
      </c>
      <c r="J88" s="14" t="n">
        <f aca="false">g0_subs+(gl_subs-g0_subs)*MIN(1,(2029-2026)/conv_n)</f>
        <v>0.11339644135836</v>
      </c>
      <c r="K88" s="14" t="n">
        <f aca="false">g0_subs+(gl_subs-g0_subs)*MIN(1,(2030-2026)/conv_n)</f>
        <v>0.1</v>
      </c>
      <c r="L88" s="14" t="n">
        <f aca="false">g0_subs+(gl_subs-g0_subs)*MIN(1,(2031-2026)/conv_n)</f>
        <v>0.1</v>
      </c>
      <c r="M88" s="14" t="n">
        <f aca="false">g0_subs+(gl_subs-g0_subs)*MIN(1,(2032-2026)/conv_n)</f>
        <v>0.1</v>
      </c>
      <c r="N88" s="4" t="s">
        <v>992</v>
      </c>
    </row>
    <row r="89" customFormat="false" ht="15" hidden="false" customHeight="false" outlineLevel="0" collapsed="false">
      <c r="A89" s="5" t="s">
        <v>801</v>
      </c>
      <c r="B89" s="7" t="s">
        <v>81</v>
      </c>
      <c r="C89" s="25" t="n">
        <f aca="false">Q!J8</f>
        <v>40.34</v>
      </c>
      <c r="D89" s="25" t="n">
        <f aca="false">Q!K8</f>
        <v>48.03</v>
      </c>
      <c r="E89" s="25" t="n">
        <f aca="false">Q!L8</f>
        <v>39.585</v>
      </c>
      <c r="F89" s="25" t="n">
        <f aca="false">Q!F8*(1+F88)</f>
        <v>15.6633875230552</v>
      </c>
      <c r="G89" s="25" t="n">
        <f aca="false">E89+F89</f>
        <v>55.2483875230552</v>
      </c>
      <c r="H89" s="25" t="n">
        <f aca="false">G89*(1+H88)</f>
        <v>62.9936216261504</v>
      </c>
      <c r="I89" s="25" t="n">
        <f aca="false">H89*(1+I88)</f>
        <v>70.9807645048962</v>
      </c>
      <c r="J89" s="25" t="n">
        <f aca="false">I89*(1+J88)</f>
        <v>79.0297306046472</v>
      </c>
      <c r="K89" s="25" t="n">
        <f aca="false">J89*(1+K88)</f>
        <v>86.9327036651119</v>
      </c>
      <c r="L89" s="25" t="n">
        <f aca="false">K89*(1+L88)</f>
        <v>95.6259740316231</v>
      </c>
      <c r="M89" s="25" t="n">
        <f aca="false">L89*(1+M88)</f>
        <v>105.188571434785</v>
      </c>
    </row>
    <row r="90" customFormat="false" ht="15" hidden="false" customHeight="false" outlineLevel="0" collapsed="false">
      <c r="A90" s="29" t="s">
        <v>995</v>
      </c>
      <c r="B90" s="30" t="s">
        <v>81</v>
      </c>
      <c r="C90" s="31" t="n">
        <f aca="false">Q!J9</f>
        <v>304.93</v>
      </c>
      <c r="D90" s="31" t="n">
        <f aca="false">Q!K9</f>
        <v>342.721</v>
      </c>
      <c r="E90" s="31" t="n">
        <f aca="false">Q!L9</f>
        <v>280.479</v>
      </c>
      <c r="F90" s="31" t="n">
        <f aca="false">F83+F85+F87+F89</f>
        <v>109.154511180096</v>
      </c>
      <c r="G90" s="31" t="n">
        <f aca="false">E90+F90</f>
        <v>389.633511180096</v>
      </c>
      <c r="H90" s="31" t="n">
        <f aca="false">H83+H85+H87+H89</f>
        <v>416.119733051255</v>
      </c>
      <c r="I90" s="31" t="n">
        <f aca="false">I83+I85+I87+I89</f>
        <v>437.798383546758</v>
      </c>
      <c r="J90" s="31" t="n">
        <f aca="false">J83+J85+J87+J89</f>
        <v>453.673674009542</v>
      </c>
      <c r="K90" s="31" t="n">
        <f aca="false">K83+K85+K87+K89</f>
        <v>463.064345553024</v>
      </c>
      <c r="L90" s="31" t="n">
        <f aca="false">L83+L85+L87+L89</f>
        <v>499.533568658368</v>
      </c>
      <c r="M90" s="31" t="n">
        <f aca="false">M83+M85+M87+M89</f>
        <v>539.09419501947</v>
      </c>
      <c r="N90" s="30"/>
    </row>
    <row r="91" customFormat="false" ht="17.15" hidden="false" customHeight="false" outlineLevel="0" collapsed="false">
      <c r="A91" s="0" t="s">
        <v>996</v>
      </c>
      <c r="B91" s="0" t="s">
        <v>81</v>
      </c>
      <c r="E91" s="25" t="n">
        <f aca="false">Thesis!E38</f>
        <v>13.1190558790519</v>
      </c>
      <c r="F91" s="25" t="n">
        <f aca="false">Thesis!F38</f>
        <v>6.05015497275625</v>
      </c>
      <c r="G91" s="25" t="n">
        <f aca="false">Thesis!G38</f>
        <v>19.1692108518081</v>
      </c>
      <c r="H91" s="25" t="n">
        <f aca="false">Thesis!H38</f>
        <v>36.6157989143902</v>
      </c>
      <c r="I91" s="25" t="n">
        <f aca="false">Thesis!I38</f>
        <v>57.2951603365358</v>
      </c>
      <c r="J91" s="25" t="n">
        <f aca="false">Thesis!J38</f>
        <v>76.1794729031624</v>
      </c>
      <c r="K91" s="25" t="n">
        <f aca="false">Thesis!K38</f>
        <v>90.4330979280781</v>
      </c>
      <c r="L91" s="25" t="n">
        <f aca="false">Thesis!L38</f>
        <v>100.252938969643</v>
      </c>
      <c r="M91" s="25" t="n">
        <f aca="false">Thesis!M38</f>
        <v>105.736687700744</v>
      </c>
      <c r="N91" s="7" t="s">
        <v>997</v>
      </c>
    </row>
    <row r="92" customFormat="false" ht="17.15" hidden="false" customHeight="false" outlineLevel="0" collapsed="false">
      <c r="A92" s="0" t="s">
        <v>998</v>
      </c>
      <c r="B92" s="0" t="s">
        <v>81</v>
      </c>
      <c r="E92" s="27" t="n">
        <v>0</v>
      </c>
      <c r="F92" s="25" t="n">
        <f aca="false">tpu_2h</f>
        <v>1</v>
      </c>
      <c r="G92" s="25" t="n">
        <f aca="false">E92+F92</f>
        <v>1</v>
      </c>
      <c r="H92" s="25" t="n">
        <f aca="false">tpu_yr</f>
        <v>13</v>
      </c>
      <c r="I92" s="25" t="n">
        <f aca="false">tpu_yr</f>
        <v>13</v>
      </c>
      <c r="J92" s="25" t="n">
        <f aca="false">tpu_yr</f>
        <v>13</v>
      </c>
      <c r="K92" s="25" t="n">
        <f aca="false">tpu_yr</f>
        <v>13</v>
      </c>
      <c r="L92" s="25" t="n">
        <f aca="false">tpu_yr</f>
        <v>13</v>
      </c>
      <c r="M92" s="25" t="n">
        <f aca="false">tpu_yr</f>
        <v>13</v>
      </c>
      <c r="N92" s="7" t="s">
        <v>999</v>
      </c>
    </row>
    <row r="93" customFormat="false" ht="17.15" hidden="false" customHeight="false" outlineLevel="0" collapsed="false">
      <c r="A93" s="0" t="s">
        <v>1000</v>
      </c>
      <c r="B93" s="0" t="s">
        <v>106</v>
      </c>
      <c r="F93" s="14" t="n">
        <f aca="false">g0_co</f>
        <v>0.71107867543805</v>
      </c>
      <c r="H93" s="14" t="n">
        <f aca="false">g0_co+(gl_co-g0_co)*MIN(1,(2027-2026)/conv_n)</f>
        <v>0.553309006578538</v>
      </c>
      <c r="I93" s="14" t="n">
        <f aca="false">g0_co+(gl_co-g0_co)*MIN(1,(2028-2026)/conv_n)</f>
        <v>0.395539337719025</v>
      </c>
      <c r="J93" s="14" t="n">
        <f aca="false">g0_co+(gl_co-g0_co)*MIN(1,(2029-2026)/conv_n)</f>
        <v>0.237769668859512</v>
      </c>
      <c r="K93" s="14" t="n">
        <f aca="false">g0_co+(gl_co-g0_co)*MIN(1,(2030-2026)/conv_n)</f>
        <v>0.08</v>
      </c>
      <c r="L93" s="14" t="n">
        <f aca="false">g0_co+(gl_co-g0_co)*MIN(1,(2031-2026)/conv_n)</f>
        <v>0.08</v>
      </c>
      <c r="M93" s="14" t="n">
        <f aca="false">g0_co+(gl_co-g0_co)*MIN(1,(2032-2026)/conv_n)</f>
        <v>0.08</v>
      </c>
      <c r="N93" s="4" t="s">
        <v>1001</v>
      </c>
    </row>
    <row r="94" customFormat="false" ht="17.15" hidden="false" customHeight="false" outlineLevel="0" collapsed="false">
      <c r="A94" s="0" t="s">
        <v>1002</v>
      </c>
      <c r="B94" s="0" t="s">
        <v>81</v>
      </c>
      <c r="E94" s="25" t="n">
        <f aca="false">Q!L11-E91-E92</f>
        <v>62.3859441209481</v>
      </c>
      <c r="F94" s="25" t="n">
        <f aca="false">E94*q3sh_cloud*(1+F93)^0.25</f>
        <v>29.0197862418792</v>
      </c>
      <c r="G94" s="25" t="n">
        <f aca="false">E94+F94</f>
        <v>91.4057303628273</v>
      </c>
      <c r="H94" s="25" t="n">
        <f aca="false">G94*(1+H93)</f>
        <v>141.981344225469</v>
      </c>
      <c r="I94" s="25" t="n">
        <f aca="false">H94*(1+I93)</f>
        <v>198.140551088868</v>
      </c>
      <c r="J94" s="25" t="n">
        <f aca="false">I94*(1+J93)</f>
        <v>245.252364308909</v>
      </c>
      <c r="K94" s="25" t="n">
        <f aca="false">J94*(1+K93)</f>
        <v>264.872553453622</v>
      </c>
      <c r="L94" s="25" t="n">
        <f aca="false">K94*(1+L93)</f>
        <v>286.062357729912</v>
      </c>
      <c r="M94" s="25" t="n">
        <f aca="false">L94*(1+M93)</f>
        <v>308.947346348305</v>
      </c>
      <c r="N94" s="7" t="s">
        <v>1003</v>
      </c>
    </row>
    <row r="95" customFormat="false" ht="15" hidden="false" customHeight="false" outlineLevel="0" collapsed="false">
      <c r="A95" s="29" t="s">
        <v>1004</v>
      </c>
      <c r="B95" s="30" t="s">
        <v>81</v>
      </c>
      <c r="C95" s="31" t="n">
        <f aca="false">Q!J11</f>
        <v>43.229</v>
      </c>
      <c r="D95" s="31" t="n">
        <f aca="false">Q!K11</f>
        <v>58.705</v>
      </c>
      <c r="E95" s="31" t="n">
        <f aca="false">Q!L11</f>
        <v>75.505</v>
      </c>
      <c r="F95" s="31" t="n">
        <f aca="false">F91+F92+F94</f>
        <v>36.0699412146354</v>
      </c>
      <c r="G95" s="31" t="n">
        <f aca="false">E95+F95</f>
        <v>111.574941214635</v>
      </c>
      <c r="H95" s="31" t="n">
        <f aca="false">H91+H92+H94</f>
        <v>191.597143139859</v>
      </c>
      <c r="I95" s="31" t="n">
        <f aca="false">I91+I92+I94</f>
        <v>268.435711425404</v>
      </c>
      <c r="J95" s="31" t="n">
        <f aca="false">J91+J92+J94</f>
        <v>334.431837212072</v>
      </c>
      <c r="K95" s="31" t="n">
        <f aca="false">K91+K92+K94</f>
        <v>368.3056513817</v>
      </c>
      <c r="L95" s="31" t="n">
        <f aca="false">L91+L92+L94</f>
        <v>399.315296699555</v>
      </c>
      <c r="M95" s="31" t="n">
        <f aca="false">M91+M92+M94</f>
        <v>427.684034049048</v>
      </c>
      <c r="N95" s="30"/>
    </row>
    <row r="96" customFormat="false" ht="15" hidden="false" customHeight="false" outlineLevel="0" collapsed="false">
      <c r="A96" s="29" t="s">
        <v>1005</v>
      </c>
      <c r="B96" s="30" t="s">
        <v>81</v>
      </c>
      <c r="C96" s="31" t="n">
        <f aca="false">Q!J12</f>
        <v>1.648</v>
      </c>
      <c r="D96" s="31" t="n">
        <f aca="false">Q!K12</f>
        <v>1.537</v>
      </c>
      <c r="E96" s="31" t="n">
        <f aca="false">Q!L12</f>
        <v>1.165</v>
      </c>
      <c r="F96" s="31" t="n">
        <f aca="false">ob_rev_2H</f>
        <v>0.38</v>
      </c>
      <c r="G96" s="31" t="n">
        <f aca="false">E96+F96</f>
        <v>1.545</v>
      </c>
      <c r="H96" s="31" t="n">
        <f aca="false">ob_rev_27</f>
        <v>1.6</v>
      </c>
      <c r="I96" s="31" t="n">
        <f aca="false">ob_rev_28</f>
        <v>1.8</v>
      </c>
      <c r="J96" s="31" t="n">
        <f aca="false">ob_rev_29</f>
        <v>2</v>
      </c>
      <c r="K96" s="31" t="n">
        <f aca="false">ob_rev_30</f>
        <v>2.2</v>
      </c>
      <c r="L96" s="31" t="n">
        <f aca="false">ob_rev_31</f>
        <v>2.4</v>
      </c>
      <c r="M96" s="31" t="n">
        <f aca="false">ob_rev_32</f>
        <v>2.6</v>
      </c>
      <c r="N96" s="30"/>
    </row>
    <row r="97" customFormat="false" ht="17.15" hidden="false" customHeight="false" outlineLevel="0" collapsed="false">
      <c r="A97" s="0" t="s">
        <v>1006</v>
      </c>
      <c r="B97" s="0" t="s">
        <v>81</v>
      </c>
      <c r="C97" s="25" t="n">
        <f aca="false">Q!J13</f>
        <v>0.211</v>
      </c>
      <c r="D97" s="25" t="n">
        <f aca="false">Q!K13</f>
        <v>-0.127</v>
      </c>
      <c r="E97" s="25" t="n">
        <f aca="false">Q!L13</f>
        <v>0.12</v>
      </c>
      <c r="F97" s="27" t="n">
        <v>0</v>
      </c>
      <c r="G97" s="25" t="n">
        <f aca="false">E97+F97</f>
        <v>0.12</v>
      </c>
      <c r="H97" s="27" t="n">
        <v>0</v>
      </c>
      <c r="I97" s="27" t="n">
        <v>0</v>
      </c>
      <c r="J97" s="27" t="n">
        <v>0</v>
      </c>
      <c r="K97" s="27" t="n">
        <v>0</v>
      </c>
      <c r="L97" s="27" t="n">
        <v>0</v>
      </c>
      <c r="M97" s="27" t="n">
        <v>0</v>
      </c>
      <c r="N97" s="7" t="s">
        <v>1007</v>
      </c>
    </row>
    <row r="98" customFormat="false" ht="15" hidden="false" customHeight="false" outlineLevel="0" collapsed="false">
      <c r="A98" s="2" t="s">
        <v>808</v>
      </c>
      <c r="B98" s="7" t="s">
        <v>81</v>
      </c>
      <c r="C98" s="25" t="n">
        <f aca="false">Q!J14</f>
        <v>350.018</v>
      </c>
      <c r="D98" s="25" t="n">
        <f aca="false">Q!K14</f>
        <v>402.836</v>
      </c>
      <c r="E98" s="25" t="n">
        <f aca="false">Q!L14</f>
        <v>357.269</v>
      </c>
      <c r="F98" s="25" t="n">
        <f aca="false">F90+F95+F96+F97</f>
        <v>145.604452394731</v>
      </c>
      <c r="G98" s="25" t="n">
        <f aca="false">E98+F98</f>
        <v>502.873452394731</v>
      </c>
      <c r="H98" s="25" t="n">
        <f aca="false">H90+H95+H96+H97</f>
        <v>609.316876191114</v>
      </c>
      <c r="I98" s="25" t="n">
        <f aca="false">I90+I95+I96+I97</f>
        <v>708.034094972162</v>
      </c>
      <c r="J98" s="25" t="n">
        <f aca="false">J90+J95+J96+J97</f>
        <v>790.105511221613</v>
      </c>
      <c r="K98" s="25" t="n">
        <f aca="false">K90+K95+K96+K97</f>
        <v>833.569996934724</v>
      </c>
      <c r="L98" s="25" t="n">
        <f aca="false">L90+L95+L96+L97</f>
        <v>901.248865357923</v>
      </c>
      <c r="M98" s="25" t="n">
        <f aca="false">M90+M95+M96+M97</f>
        <v>969.378229068518</v>
      </c>
    </row>
    <row r="99" customFormat="false" ht="17.15" hidden="false" customHeight="false" outlineLevel="0" collapsed="false">
      <c r="A99" s="4" t="s">
        <v>803</v>
      </c>
      <c r="B99" s="0" t="s">
        <v>81</v>
      </c>
      <c r="C99" s="21" t="n">
        <f aca="false">C83+C85+C87+C89-C90</f>
        <v>0</v>
      </c>
      <c r="D99" s="21" t="n">
        <f aca="false">D83+D85+D87+D89-D90</f>
        <v>0</v>
      </c>
      <c r="E99" s="21" t="n">
        <f aca="false">E83+E85+E87+E89-E90</f>
        <v>0</v>
      </c>
      <c r="F99" s="21" t="n">
        <f aca="false">F83+F85+F87+F89-F90</f>
        <v>0</v>
      </c>
      <c r="G99" s="21" t="n">
        <f aca="false">G83+G85+G87+G89-G90</f>
        <v>0</v>
      </c>
      <c r="H99" s="21" t="n">
        <f aca="false">H83+H85+H87+H89-H90</f>
        <v>0</v>
      </c>
      <c r="I99" s="21" t="n">
        <f aca="false">I83+I85+I87+I89-I90</f>
        <v>0</v>
      </c>
      <c r="J99" s="21" t="n">
        <f aca="false">J83+J85+J87+J89-J90</f>
        <v>0</v>
      </c>
      <c r="K99" s="21" t="n">
        <f aca="false">K83+K85+K87+K89-K90</f>
        <v>0</v>
      </c>
      <c r="L99" s="21" t="n">
        <f aca="false">L83+L85+L87+L89-L90</f>
        <v>0</v>
      </c>
      <c r="M99" s="21" t="n">
        <f aca="false">M83+M85+M87+M89-M90</f>
        <v>0</v>
      </c>
    </row>
    <row r="100" customFormat="false" ht="17.15" hidden="false" customHeight="false" outlineLevel="0" collapsed="false">
      <c r="A100" s="4" t="s">
        <v>1008</v>
      </c>
      <c r="B100" s="0" t="s">
        <v>81</v>
      </c>
      <c r="E100" s="21" t="n">
        <f aca="false">E91+E92+E94-E95</f>
        <v>0</v>
      </c>
      <c r="F100" s="21" t="n">
        <f aca="false">F91+F92+F94-F95</f>
        <v>0</v>
      </c>
      <c r="G100" s="21" t="n">
        <f aca="false">G91+G92+G94-G95</f>
        <v>0</v>
      </c>
      <c r="H100" s="21" t="n">
        <f aca="false">H91+H92+H94-H95</f>
        <v>0</v>
      </c>
      <c r="I100" s="21" t="n">
        <f aca="false">I91+I92+I94-I95</f>
        <v>0</v>
      </c>
      <c r="J100" s="21" t="n">
        <f aca="false">J91+J92+J94-J95</f>
        <v>0</v>
      </c>
      <c r="K100" s="21" t="n">
        <f aca="false">K91+K92+K94-K95</f>
        <v>0</v>
      </c>
      <c r="L100" s="21" t="n">
        <f aca="false">L91+L92+L94-L95</f>
        <v>0</v>
      </c>
      <c r="M100" s="21" t="n">
        <f aca="false">M91+M92+M94-M95</f>
        <v>0</v>
      </c>
    </row>
    <row r="101" customFormat="false" ht="15" hidden="false" customHeight="false" outlineLevel="0" collapsed="false">
      <c r="A101" s="4" t="s">
        <v>809</v>
      </c>
      <c r="B101" s="0" t="s">
        <v>81</v>
      </c>
      <c r="C101" s="21" t="n">
        <f aca="false">C90+C95+C96+C97-C98</f>
        <v>0</v>
      </c>
      <c r="D101" s="21" t="n">
        <f aca="false">D90+D95+D96+D97-D98</f>
        <v>0</v>
      </c>
      <c r="E101" s="21" t="n">
        <f aca="false">E90+E95+E96+E97-E98</f>
        <v>0</v>
      </c>
      <c r="F101" s="21" t="n">
        <f aca="false">F90+F95+F96+F97-F98</f>
        <v>0</v>
      </c>
      <c r="G101" s="21" t="n">
        <f aca="false">G90+G95+G96+G97-G98</f>
        <v>0</v>
      </c>
      <c r="H101" s="21" t="n">
        <f aca="false">H90+H95+H96+H97-H98</f>
        <v>0</v>
      </c>
      <c r="I101" s="21" t="n">
        <f aca="false">I90+I95+I96+I97-I98</f>
        <v>0</v>
      </c>
      <c r="J101" s="21" t="n">
        <f aca="false">J90+J95+J96+J97-J98</f>
        <v>0</v>
      </c>
      <c r="K101" s="21" t="n">
        <f aca="false">K90+K95+K96+K97-K98</f>
        <v>0</v>
      </c>
      <c r="L101" s="21" t="n">
        <f aca="false">L90+L95+L96+L97-L98</f>
        <v>0</v>
      </c>
      <c r="M101" s="21" t="n">
        <f aca="false">M90+M95+M96+M97-M98</f>
        <v>0</v>
      </c>
    </row>
    <row r="102" customFormat="false" ht="17.15" hidden="false" customHeight="false" outlineLevel="0" collapsed="false">
      <c r="A102" s="4" t="s">
        <v>1009</v>
      </c>
      <c r="B102" s="0" t="s">
        <v>81</v>
      </c>
      <c r="C102" s="21" t="n">
        <f aca="false">C98-Q!J14</f>
        <v>0</v>
      </c>
      <c r="D102" s="21" t="n">
        <f aca="false">D98-Q!K14</f>
        <v>0</v>
      </c>
      <c r="E102" s="21" t="n">
        <f aca="false">E98-Q!L14</f>
        <v>0</v>
      </c>
    </row>
    <row r="103" customFormat="false" ht="17.15" hidden="false" customHeight="false" outlineLevel="0" collapsed="false">
      <c r="A103" s="4" t="s">
        <v>1010</v>
      </c>
      <c r="B103" s="0" t="s">
        <v>81</v>
      </c>
      <c r="F103" s="25" t="n">
        <f aca="false">F90*cx_svc</f>
        <v>6.54927067080576</v>
      </c>
      <c r="G103" s="25" t="n">
        <f aca="false">F103</f>
        <v>6.54927067080576</v>
      </c>
      <c r="H103" s="25" t="n">
        <f aca="false">H90*cx_svc</f>
        <v>24.9671839830753</v>
      </c>
      <c r="I103" s="25" t="n">
        <f aca="false">I90*cx_svc</f>
        <v>26.2679030128055</v>
      </c>
      <c r="J103" s="25" t="n">
        <f aca="false">J90*cx_svc</f>
        <v>27.2204204405725</v>
      </c>
      <c r="K103" s="25" t="n">
        <f aca="false">K90*cx_svc</f>
        <v>27.7838607331814</v>
      </c>
      <c r="L103" s="25" t="n">
        <f aca="false">L90*cx_svc</f>
        <v>29.9720141195021</v>
      </c>
      <c r="M103" s="25" t="n">
        <f aca="false">M90*cx_svc</f>
        <v>32.3456517011682</v>
      </c>
    </row>
    <row r="104" customFormat="false" ht="17.15" hidden="false" customHeight="false" outlineLevel="0" collapsed="false">
      <c r="A104" s="4" t="s">
        <v>1011</v>
      </c>
      <c r="B104" s="0" t="s">
        <v>81</v>
      </c>
      <c r="F104" s="25" t="n">
        <f aca="false">F94*cx_co</f>
        <v>5.80395724837583</v>
      </c>
      <c r="G104" s="25" t="n">
        <f aca="false">F104</f>
        <v>5.80395724837583</v>
      </c>
      <c r="H104" s="25" t="n">
        <f aca="false">H94*cx_co</f>
        <v>28.3962688450938</v>
      </c>
      <c r="I104" s="25" t="n">
        <f aca="false">I94*cx_co</f>
        <v>39.6281102177736</v>
      </c>
      <c r="J104" s="25" t="n">
        <f aca="false">J94*cx_co</f>
        <v>49.0504728617819</v>
      </c>
      <c r="K104" s="25" t="n">
        <f aca="false">K94*cx_co</f>
        <v>52.9745106907244</v>
      </c>
      <c r="L104" s="25" t="n">
        <f aca="false">L94*cx_co</f>
        <v>57.2124715459824</v>
      </c>
      <c r="M104" s="25" t="n">
        <f aca="false">M94*cx_co</f>
        <v>61.789469269661</v>
      </c>
    </row>
    <row r="105" customFormat="false" ht="17.15" hidden="false" customHeight="false" outlineLevel="0" collapsed="false">
      <c r="A105" s="4" t="s">
        <v>1012</v>
      </c>
      <c r="B105" s="0" t="s">
        <v>81</v>
      </c>
      <c r="F105" s="25" t="n">
        <f aca="false">F96*cx_ob</f>
        <v>0.0228</v>
      </c>
      <c r="G105" s="25" t="n">
        <f aca="false">F105</f>
        <v>0.0228</v>
      </c>
      <c r="H105" s="25" t="n">
        <f aca="false">H96*cx_ob</f>
        <v>0.096</v>
      </c>
      <c r="I105" s="25" t="n">
        <f aca="false">I96*cx_ob</f>
        <v>0.108</v>
      </c>
      <c r="J105" s="25" t="n">
        <f aca="false">J96*cx_ob</f>
        <v>0.12</v>
      </c>
      <c r="K105" s="25" t="n">
        <f aca="false">K96*cx_ob</f>
        <v>0.132</v>
      </c>
      <c r="L105" s="25" t="n">
        <f aca="false">L96*cx_ob</f>
        <v>0.144</v>
      </c>
      <c r="M105" s="25" t="n">
        <f aca="false">M96*cx_ob</f>
        <v>0.156</v>
      </c>
    </row>
    <row r="106" customFormat="false" ht="17.15" hidden="false" customHeight="false" outlineLevel="0" collapsed="false">
      <c r="A106" s="2" t="s">
        <v>1013</v>
      </c>
      <c r="B106" s="7" t="s">
        <v>81</v>
      </c>
      <c r="F106" s="25" t="n">
        <f aca="false">F103+F104+F105</f>
        <v>12.3760279191816</v>
      </c>
      <c r="G106" s="25" t="n">
        <f aca="false">G103+G104+G105</f>
        <v>12.3760279191816</v>
      </c>
      <c r="H106" s="25" t="n">
        <f aca="false">H103+H104+H105</f>
        <v>53.4594528281691</v>
      </c>
      <c r="I106" s="25" t="n">
        <f aca="false">I103+I104+I105</f>
        <v>66.0040132305791</v>
      </c>
      <c r="J106" s="25" t="n">
        <f aca="false">J103+J104+J105</f>
        <v>76.3908933023544</v>
      </c>
      <c r="K106" s="25" t="n">
        <f aca="false">K103+K104+K105</f>
        <v>80.8903714239059</v>
      </c>
      <c r="L106" s="25" t="n">
        <f aca="false">L103+L104+L105</f>
        <v>87.3284856654845</v>
      </c>
      <c r="M106" s="25" t="n">
        <f aca="false">M103+M104+M105</f>
        <v>94.2911209708292</v>
      </c>
    </row>
    <row r="107" customFormat="false" ht="17.15" hidden="false" customHeight="false" outlineLevel="0" collapsed="false">
      <c r="A107" s="4" t="s">
        <v>1014</v>
      </c>
      <c r="B107" s="0" t="s">
        <v>81</v>
      </c>
      <c r="F107" s="25" t="n">
        <f aca="false">$F$103/life_na*IF((0)&lt;0,0,IF((0)=0,phi_0,IF((0)&lt;life_na,1,IF((0)=life_na,1-phi_0,0))))</f>
        <v>0.163731766770144</v>
      </c>
      <c r="G107" s="25" t="n">
        <f aca="false">F107</f>
        <v>0.163731766770144</v>
      </c>
      <c r="H107" s="25" t="n">
        <f aca="false">$F$103/life_na*IF((1)&lt;0,0,IF((1)=0,phi_0,IF((1)&lt;life_na,1,IF((1)=life_na,1-phi_0,0))))+$H$103/life_na*IF((0)&lt;0,0,IF((0)=0,phi_0,IF((0)&lt;life_na,1,IF((0)=life_na,1-phi_0,0))))</f>
        <v>1.27910666665746</v>
      </c>
      <c r="I107" s="25" t="n">
        <f aca="false">$F$103/life_na*IF((2)&lt;0,0,IF((2)=0,phi_0,IF((2)&lt;life_na,1,IF((2)=life_na,1-phi_0,0))))+$H$103/life_na*IF((1)&lt;0,0,IF((1)=0,phi_0,IF((1)&lt;life_na,1,IF((1)=life_na,1-phi_0,0))))+$I$103/life_na*IF((0)&lt;0,0,IF((0)=0,phi_0,IF((0)&lt;life_na,1,IF((0)=life_na,1-phi_0,0))))</f>
        <v>3.80834304070824</v>
      </c>
      <c r="J107" s="25" t="n">
        <f aca="false">$F$103/life_na*IF((3)&lt;0,0,IF((3)=0,phi_0,IF((3)&lt;life_na,1,IF((3)=life_na,1-phi_0,0))))+$H$103/life_na*IF((2)&lt;0,0,IF((2)=0,phi_0,IF((2)&lt;life_na,1,IF((2)=life_na,1-phi_0,0))))+$I$103/life_na*IF((1)&lt;0,0,IF((1)=0,phi_0,IF((1)&lt;life_na,1,IF((1)=life_na,1-phi_0,0))))+$J$103/life_na*IF((0)&lt;0,0,IF((0)=0,phi_0,IF((0)&lt;life_na,1,IF((0)=life_na,1-phi_0,0))))</f>
        <v>6.45894627768297</v>
      </c>
      <c r="K107" s="25" t="n">
        <f aca="false">$F$103/life_na*IF((4)&lt;0,0,IF((4)=0,phi_0,IF((4)&lt;life_na,1,IF((4)=life_na,1-phi_0,0))))+$H$103/life_na*IF((3)&lt;0,0,IF((3)=0,phi_0,IF((3)&lt;life_na,1,IF((3)=life_na,1-phi_0,0))))+$I$103/life_na*IF((2)&lt;0,0,IF((2)=0,phi_0,IF((2)&lt;life_na,1,IF((2)=life_na,1-phi_0,0))))+$J$103/life_na*IF((1)&lt;0,0,IF((1)=0,phi_0,IF((1)&lt;life_na,1,IF((1)=life_na,1-phi_0,0))))+$K$103/life_na*IF((0)&lt;0,0,IF((0)=0,phi_0,IF((0)&lt;life_na,1,IF((0)=life_na,1-phi_0,0))))</f>
        <v>9.19507432905544</v>
      </c>
      <c r="L107" s="25" t="n">
        <f aca="false">$F$103/life_na*IF((5)&lt;0,0,IF((5)=0,phi_0,IF((5)&lt;life_na,1,IF((5)=life_na,1-phi_0,0))))+$H$103/life_na*IF((4)&lt;0,0,IF((4)=0,phi_0,IF((4)&lt;life_na,1,IF((4)=life_na,1-phi_0,0))))+$I$103/life_na*IF((3)&lt;0,0,IF((3)=0,phi_0,IF((3)&lt;life_na,1,IF((3)=life_na,1-phi_0,0))))+$J$103/life_na*IF((2)&lt;0,0,IF((2)=0,phi_0,IF((2)&lt;life_na,1,IF((2)=life_na,1-phi_0,0))))+$K$103/life_na*IF((1)&lt;0,0,IF((1)=0,phi_0,IF((1)&lt;life_na,1,IF((1)=life_na,1-phi_0,0))))+$L$103/life_na*IF((0)&lt;0,0,IF((0)=0,phi_0,IF((0)&lt;life_na,1,IF((0)=life_na,1-phi_0,0))))</f>
        <v>12.0281642370316</v>
      </c>
      <c r="M107" s="25" t="n">
        <f aca="false">$F$103/life_na*IF((6)&lt;0,0,IF((6)=0,phi_0,IF((6)&lt;life_na,1,IF((6)=life_na,1-phi_0,0))))+$H$103/life_na*IF((5)&lt;0,0,IF((5)=0,phi_0,IF((5)&lt;life_na,1,IF((5)=life_na,1-phi_0,0))))+$I$103/life_na*IF((4)&lt;0,0,IF((4)=0,phi_0,IF((4)&lt;life_na,1,IF((4)=life_na,1-phi_0,0))))+$J$103/life_na*IF((3)&lt;0,0,IF((3)=0,phi_0,IF((3)&lt;life_na,1,IF((3)=life_na,1-phi_0,0))))+$K$103/life_na*IF((2)&lt;0,0,IF((2)=0,phi_0,IF((2)&lt;life_na,1,IF((2)=life_na,1-phi_0,0))))+$L$103/life_na*IF((1)&lt;0,0,IF((1)=0,phi_0,IF((1)&lt;life_na,1,IF((1)=life_na,1-phi_0,0))))+$M$103/life_na*IF((0)&lt;0,0,IF((0)=0,phi_0,IF((0)&lt;life_na,1,IF((0)=life_na,1-phi_0,0))))</f>
        <v>15.0847065885235</v>
      </c>
    </row>
    <row r="108" customFormat="false" ht="17.15" hidden="false" customHeight="false" outlineLevel="0" collapsed="false">
      <c r="A108" s="4" t="s">
        <v>1015</v>
      </c>
      <c r="B108" s="0" t="s">
        <v>81</v>
      </c>
      <c r="F108" s="25" t="n">
        <f aca="false">$F$104/life_na*IF((0)&lt;0,0,IF((0)=0,phi_0,IF((0)&lt;life_na,1,IF((0)=life_na,1-phi_0,0))))</f>
        <v>0.145098931209396</v>
      </c>
      <c r="G108" s="25" t="n">
        <f aca="false">F108</f>
        <v>0.145098931209396</v>
      </c>
      <c r="H108" s="25" t="n">
        <f aca="false">$F$104/life_na*IF((1)&lt;0,0,IF((1)=0,phi_0,IF((1)&lt;life_na,1,IF((1)=life_na,1-phi_0,0))))+$H$104/life_na*IF((0)&lt;0,0,IF((0)=0,phi_0,IF((0)&lt;life_na,1,IF((0)=life_na,1-phi_0,0))))</f>
        <v>1.29030244596493</v>
      </c>
      <c r="I108" s="25" t="n">
        <f aca="false">$F$104/life_na*IF((2)&lt;0,0,IF((2)=0,phi_0,IF((2)&lt;life_na,1,IF((2)=life_na,1-phi_0,0))))+$H$104/life_na*IF((1)&lt;0,0,IF((1)=0,phi_0,IF((1)&lt;life_na,1,IF((1)=life_na,1-phi_0,0))))+$I$104/life_na*IF((0)&lt;0,0,IF((0)=0,phi_0,IF((0)&lt;life_na,1,IF((0)=life_na,1-phi_0,0))))</f>
        <v>4.4107253647913</v>
      </c>
      <c r="J108" s="25" t="n">
        <f aca="false">$F$104/life_na*IF((3)&lt;0,0,IF((3)=0,phi_0,IF((3)&lt;life_na,1,IF((3)=life_na,1-phi_0,0))))+$H$104/life_na*IF((2)&lt;0,0,IF((2)=0,phi_0,IF((2)&lt;life_na,1,IF((2)=life_na,1-phi_0,0))))+$I$104/life_na*IF((1)&lt;0,0,IF((1)=0,phi_0,IF((1)&lt;life_na,1,IF((1)=life_na,1-phi_0,0))))+$J$104/life_na*IF((0)&lt;0,0,IF((0)=0,phi_0,IF((0)&lt;life_na,1,IF((0)=life_na,1-phi_0,0))))</f>
        <v>8.60909545266886</v>
      </c>
      <c r="K108" s="25" t="n">
        <f aca="false">$F$104/life_na*IF((4)&lt;0,0,IF((4)=0,phi_0,IF((4)&lt;life_na,1,IF((4)=life_na,1-phi_0,0))))+$H$104/life_na*IF((3)&lt;0,0,IF((3)=0,phi_0,IF((3)&lt;life_na,1,IF((3)=life_na,1-phi_0,0))))+$I$104/life_na*IF((2)&lt;0,0,IF((2)=0,phi_0,IF((2)&lt;life_na,1,IF((2)=life_na,1-phi_0,0))))+$J$104/life_na*IF((1)&lt;0,0,IF((1)=0,phi_0,IF((1)&lt;life_na,1,IF((1)=life_na,1-phi_0,0))))+$K$104/life_na*IF((0)&lt;0,0,IF((0)=0,phi_0,IF((0)&lt;life_na,1,IF((0)=life_na,1-phi_0,0))))</f>
        <v>13.6122436845706</v>
      </c>
      <c r="L108" s="25" t="n">
        <f aca="false">$F$104/life_na*IF((5)&lt;0,0,IF((5)=0,phi_0,IF((5)&lt;life_na,1,IF((5)=life_na,1-phi_0,0))))+$H$104/life_na*IF((4)&lt;0,0,IF((4)=0,phi_0,IF((4)&lt;life_na,1,IF((4)=life_na,1-phi_0,0))))+$I$104/life_na*IF((3)&lt;0,0,IF((3)=0,phi_0,IF((3)&lt;life_na,1,IF((3)=life_na,1-phi_0,0))))+$J$104/life_na*IF((2)&lt;0,0,IF((2)=0,phi_0,IF((2)&lt;life_na,1,IF((2)=life_na,1-phi_0,0))))+$K$104/life_na*IF((1)&lt;0,0,IF((1)=0,phi_0,IF((1)&lt;life_na,1,IF((1)=life_na,1-phi_0,0))))+$L$104/life_na*IF((0)&lt;0,0,IF((0)=0,phi_0,IF((0)&lt;life_na,1,IF((0)=life_na,1-phi_0,0))))</f>
        <v>19.0156437750245</v>
      </c>
      <c r="M108" s="25" t="n">
        <f aca="false">$F$104/life_na*IF((6)&lt;0,0,IF((6)=0,phi_0,IF((6)&lt;life_na,1,IF((6)=life_na,1-phi_0,0))))+$H$104/life_na*IF((5)&lt;0,0,IF((5)=0,phi_0,IF((5)&lt;life_na,1,IF((5)=life_na,1-phi_0,0))))+$I$104/life_na*IF((4)&lt;0,0,IF((4)=0,phi_0,IF((4)&lt;life_na,1,IF((4)=life_na,1-phi_0,0))))+$J$104/life_na*IF((3)&lt;0,0,IF((3)=0,phi_0,IF((3)&lt;life_na,1,IF((3)=life_na,1-phi_0,0))))+$K$104/life_na*IF((2)&lt;0,0,IF((2)=0,phi_0,IF((2)&lt;life_na,1,IF((2)=life_na,1-phi_0,0))))+$L$104/life_na*IF((1)&lt;0,0,IF((1)=0,phi_0,IF((1)&lt;life_na,1,IF((1)=life_na,1-phi_0,0))))+$M$104/life_na*IF((0)&lt;0,0,IF((0)=0,phi_0,IF((0)&lt;life_na,1,IF((0)=life_na,1-phi_0,0))))</f>
        <v>24.8513158727147</v>
      </c>
    </row>
    <row r="109" customFormat="false" ht="17.15" hidden="false" customHeight="false" outlineLevel="0" collapsed="false">
      <c r="A109" s="4" t="s">
        <v>1016</v>
      </c>
      <c r="B109" s="0" t="s">
        <v>81</v>
      </c>
      <c r="F109" s="25" t="n">
        <f aca="false">$F$105/life_na*IF((0)&lt;0,0,IF((0)=0,phi_0,IF((0)&lt;life_na,1,IF((0)=life_na,1-phi_0,0))))</f>
        <v>0.00057</v>
      </c>
      <c r="G109" s="25" t="n">
        <f aca="false">F109</f>
        <v>0.00057</v>
      </c>
      <c r="H109" s="25" t="n">
        <f aca="false">$F$105/life_na*IF((1)&lt;0,0,IF((1)=0,phi_0,IF((1)&lt;life_na,1,IF((1)=life_na,1-phi_0,0))))+$H$105/life_na*IF((0)&lt;0,0,IF((0)=0,phi_0,IF((0)&lt;life_na,1,IF((0)=life_na,1-phi_0,0))))</f>
        <v>0.00468</v>
      </c>
      <c r="I109" s="25" t="n">
        <f aca="false">$F$105/life_na*IF((2)&lt;0,0,IF((2)=0,phi_0,IF((2)&lt;life_na,1,IF((2)=life_na,1-phi_0,0))))+$H$105/life_na*IF((1)&lt;0,0,IF((1)=0,phi_0,IF((1)&lt;life_na,1,IF((1)=life_na,1-phi_0,0))))+$I$105/life_na*IF((0)&lt;0,0,IF((0)=0,phi_0,IF((0)&lt;life_na,1,IF((0)=life_na,1-phi_0,0))))</f>
        <v>0.01458</v>
      </c>
      <c r="J109" s="25" t="n">
        <f aca="false">$F$105/life_na*IF((3)&lt;0,0,IF((3)=0,phi_0,IF((3)&lt;life_na,1,IF((3)=life_na,1-phi_0,0))))+$H$105/life_na*IF((2)&lt;0,0,IF((2)=0,phi_0,IF((2)&lt;life_na,1,IF((2)=life_na,1-phi_0,0))))+$I$105/life_na*IF((1)&lt;0,0,IF((1)=0,phi_0,IF((1)&lt;life_na,1,IF((1)=life_na,1-phi_0,0))))+$J$105/life_na*IF((0)&lt;0,0,IF((0)=0,phi_0,IF((0)&lt;life_na,1,IF((0)=life_na,1-phi_0,0))))</f>
        <v>0.02568</v>
      </c>
      <c r="K109" s="25" t="n">
        <f aca="false">$F$105/life_na*IF((4)&lt;0,0,IF((4)=0,phi_0,IF((4)&lt;life_na,1,IF((4)=life_na,1-phi_0,0))))+$H$105/life_na*IF((3)&lt;0,0,IF((3)=0,phi_0,IF((3)&lt;life_na,1,IF((3)=life_na,1-phi_0,0))))+$I$105/life_na*IF((2)&lt;0,0,IF((2)=0,phi_0,IF((2)&lt;life_na,1,IF((2)=life_na,1-phi_0,0))))+$J$105/life_na*IF((1)&lt;0,0,IF((1)=0,phi_0,IF((1)&lt;life_na,1,IF((1)=life_na,1-phi_0,0))))+$K$105/life_na*IF((0)&lt;0,0,IF((0)=0,phi_0,IF((0)&lt;life_na,1,IF((0)=life_na,1-phi_0,0))))</f>
        <v>0.03798</v>
      </c>
      <c r="L109" s="25" t="n">
        <f aca="false">$F$105/life_na*IF((5)&lt;0,0,IF((5)=0,phi_0,IF((5)&lt;life_na,1,IF((5)=life_na,1-phi_0,0))))+$H$105/life_na*IF((4)&lt;0,0,IF((4)=0,phi_0,IF((4)&lt;life_na,1,IF((4)=life_na,1-phi_0,0))))+$I$105/life_na*IF((3)&lt;0,0,IF((3)=0,phi_0,IF((3)&lt;life_na,1,IF((3)=life_na,1-phi_0,0))))+$J$105/life_na*IF((2)&lt;0,0,IF((2)=0,phi_0,IF((2)&lt;life_na,1,IF((2)=life_na,1-phi_0,0))))+$K$105/life_na*IF((1)&lt;0,0,IF((1)=0,phi_0,IF((1)&lt;life_na,1,IF((1)=life_na,1-phi_0,0))))+$L$105/life_na*IF((0)&lt;0,0,IF((0)=0,phi_0,IF((0)&lt;life_na,1,IF((0)=life_na,1-phi_0,0))))</f>
        <v>0.05148</v>
      </c>
      <c r="M109" s="25" t="n">
        <f aca="false">$F$105/life_na*IF((6)&lt;0,0,IF((6)=0,phi_0,IF((6)&lt;life_na,1,IF((6)=life_na,1-phi_0,0))))+$H$105/life_na*IF((5)&lt;0,0,IF((5)=0,phi_0,IF((5)&lt;life_na,1,IF((5)=life_na,1-phi_0,0))))+$I$105/life_na*IF((4)&lt;0,0,IF((4)=0,phi_0,IF((4)&lt;life_na,1,IF((4)=life_na,1-phi_0,0))))+$J$105/life_na*IF((3)&lt;0,0,IF((3)=0,phi_0,IF((3)&lt;life_na,1,IF((3)=life_na,1-phi_0,0))))+$K$105/life_na*IF((2)&lt;0,0,IF((2)=0,phi_0,IF((2)&lt;life_na,1,IF((2)=life_na,1-phi_0,0))))+$L$105/life_na*IF((1)&lt;0,0,IF((1)=0,phi_0,IF((1)&lt;life_na,1,IF((1)=life_na,1-phi_0,0))))+$M$105/life_na*IF((0)&lt;0,0,IF((0)=0,phi_0,IF((0)&lt;life_na,1,IF((0)=life_na,1-phi_0,0))))</f>
        <v>0.06618</v>
      </c>
    </row>
    <row r="110" customFormat="false" ht="17.15" hidden="false" customHeight="false" outlineLevel="0" collapsed="false">
      <c r="A110" s="2" t="s">
        <v>1017</v>
      </c>
      <c r="B110" s="7" t="s">
        <v>81</v>
      </c>
      <c r="F110" s="25" t="n">
        <f aca="false">F107+F108+F109</f>
        <v>0.30940069797954</v>
      </c>
      <c r="G110" s="25" t="n">
        <f aca="false">G107+G108+G109</f>
        <v>0.30940069797954</v>
      </c>
      <c r="H110" s="25" t="n">
        <f aca="false">H107+H108+H109</f>
        <v>2.57408911262239</v>
      </c>
      <c r="I110" s="25" t="n">
        <f aca="false">I107+I108+I109</f>
        <v>8.23364840549955</v>
      </c>
      <c r="J110" s="25" t="n">
        <f aca="false">J107+J108+J109</f>
        <v>15.0937217303518</v>
      </c>
      <c r="K110" s="25" t="n">
        <f aca="false">K107+K108+K109</f>
        <v>22.8452980136261</v>
      </c>
      <c r="L110" s="25" t="n">
        <f aca="false">L107+L108+L109</f>
        <v>31.0952880120561</v>
      </c>
      <c r="M110" s="25" t="n">
        <f aca="false">M107+M108+M109</f>
        <v>40.0022024612382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1022</v>
      </c>
    </row>
    <row r="2" customFormat="false" ht="17.15" hidden="false" customHeight="false" outlineLevel="0" collapsed="false">
      <c r="A2" s="4" t="s">
        <v>1023</v>
      </c>
    </row>
    <row r="4" customFormat="false" ht="17.15" hidden="false" customHeight="false" outlineLevel="0" collapsed="false">
      <c r="A4" s="2" t="s">
        <v>1024</v>
      </c>
    </row>
    <row r="5" customFormat="false" ht="15" hidden="false" customHeight="false" outlineLevel="0" collapsed="false">
      <c r="A5" s="3" t="s">
        <v>43</v>
      </c>
      <c r="B5" s="3" t="s">
        <v>44</v>
      </c>
      <c r="C5" s="20" t="s">
        <v>905</v>
      </c>
      <c r="D5" s="20" t="s">
        <v>906</v>
      </c>
      <c r="E5" s="20" t="s">
        <v>907</v>
      </c>
      <c r="F5" s="20" t="s">
        <v>908</v>
      </c>
      <c r="G5" s="20" t="s">
        <v>909</v>
      </c>
      <c r="H5" s="20" t="s">
        <v>910</v>
      </c>
      <c r="I5" s="20" t="s">
        <v>911</v>
      </c>
      <c r="J5" s="20" t="s">
        <v>912</v>
      </c>
      <c r="K5" s="20" t="s">
        <v>913</v>
      </c>
      <c r="L5" s="20" t="s">
        <v>914</v>
      </c>
      <c r="M5" s="20" t="s">
        <v>915</v>
      </c>
      <c r="N5" s="3" t="s">
        <v>50</v>
      </c>
    </row>
    <row r="6" customFormat="false" ht="17.15" hidden="false" customHeight="false" outlineLevel="0" collapsed="false">
      <c r="A6" s="4" t="s">
        <v>803</v>
      </c>
      <c r="B6" s="0" t="s">
        <v>81</v>
      </c>
      <c r="C6" s="21" t="n">
        <f aca="false">MAX(ABS(C26),ABS(C85),ABS(C144))</f>
        <v>0</v>
      </c>
      <c r="D6" s="21" t="n">
        <f aca="false">MAX(ABS(D26),ABS(D85),ABS(D144))</f>
        <v>0</v>
      </c>
      <c r="E6" s="21" t="n">
        <f aca="false">MAX(ABS(E26),ABS(E85),ABS(E144))</f>
        <v>0</v>
      </c>
      <c r="F6" s="21" t="n">
        <f aca="false">MAX(ABS(F26),ABS(F85),ABS(F144))</f>
        <v>0</v>
      </c>
      <c r="G6" s="21" t="n">
        <f aca="false">MAX(ABS(G26),ABS(G85),ABS(G144))</f>
        <v>0</v>
      </c>
      <c r="H6" s="21" t="n">
        <f aca="false">MAX(ABS(H26),ABS(H85),ABS(H144))</f>
        <v>0</v>
      </c>
      <c r="I6" s="21" t="n">
        <f aca="false">MAX(ABS(I26),ABS(I85),ABS(I144))</f>
        <v>0</v>
      </c>
      <c r="J6" s="21" t="n">
        <f aca="false">MAX(ABS(J26),ABS(J85),ABS(J144))</f>
        <v>0</v>
      </c>
      <c r="K6" s="21" t="n">
        <f aca="false">MAX(ABS(K26),ABS(K85),ABS(K144))</f>
        <v>0</v>
      </c>
      <c r="L6" s="21" t="n">
        <f aca="false">MAX(ABS(L26),ABS(L85),ABS(L144))</f>
        <v>0</v>
      </c>
      <c r="M6" s="21" t="n">
        <f aca="false">MAX(ABS(M26),ABS(M85),ABS(M144))</f>
        <v>0</v>
      </c>
      <c r="N6" s="4" t="s">
        <v>1025</v>
      </c>
    </row>
    <row r="7" customFormat="false" ht="17.15" hidden="false" customHeight="false" outlineLevel="0" collapsed="false">
      <c r="A7" s="4" t="s">
        <v>1008</v>
      </c>
      <c r="B7" s="0" t="s">
        <v>81</v>
      </c>
      <c r="E7" s="21" t="n">
        <f aca="false">MAX(ABS(E27),ABS(E86),ABS(E145))</f>
        <v>0</v>
      </c>
      <c r="F7" s="21" t="n">
        <f aca="false">MAX(ABS(F27),ABS(F86),ABS(F145))</f>
        <v>0</v>
      </c>
      <c r="G7" s="21" t="n">
        <f aca="false">MAX(ABS(G27),ABS(G86),ABS(G145))</f>
        <v>0</v>
      </c>
      <c r="H7" s="21" t="n">
        <f aca="false">MAX(ABS(H27),ABS(H86),ABS(H145))</f>
        <v>0</v>
      </c>
      <c r="I7" s="21" t="n">
        <f aca="false">MAX(ABS(I27),ABS(I86),ABS(I145))</f>
        <v>0</v>
      </c>
      <c r="J7" s="21" t="n">
        <f aca="false">MAX(ABS(J27),ABS(J86),ABS(J145))</f>
        <v>0</v>
      </c>
      <c r="K7" s="21" t="n">
        <f aca="false">MAX(ABS(K27),ABS(K86),ABS(K145))</f>
        <v>0</v>
      </c>
      <c r="L7" s="21" t="n">
        <f aca="false">MAX(ABS(L27),ABS(L86),ABS(L145))</f>
        <v>0</v>
      </c>
      <c r="M7" s="21" t="n">
        <f aca="false">MAX(ABS(M27),ABS(M86),ABS(M145))</f>
        <v>0</v>
      </c>
      <c r="N7" s="4" t="s">
        <v>1025</v>
      </c>
    </row>
    <row r="8" customFormat="false" ht="17.15" hidden="false" customHeight="false" outlineLevel="0" collapsed="false">
      <c r="A8" s="4" t="s">
        <v>809</v>
      </c>
      <c r="B8" s="0" t="s">
        <v>81</v>
      </c>
      <c r="C8" s="21" t="n">
        <f aca="false">MAX(ABS(C28),ABS(C87),ABS(C146))</f>
        <v>0</v>
      </c>
      <c r="D8" s="21" t="n">
        <f aca="false">MAX(ABS(D28),ABS(D87),ABS(D146))</f>
        <v>0</v>
      </c>
      <c r="E8" s="21" t="n">
        <f aca="false">MAX(ABS(E28),ABS(E87),ABS(E146))</f>
        <v>0</v>
      </c>
      <c r="F8" s="21" t="n">
        <f aca="false">MAX(ABS(F28),ABS(F87),ABS(F146))</f>
        <v>0</v>
      </c>
      <c r="G8" s="21" t="n">
        <f aca="false">MAX(ABS(G28),ABS(G87),ABS(G146))</f>
        <v>0</v>
      </c>
      <c r="H8" s="21" t="n">
        <f aca="false">MAX(ABS(H28),ABS(H87),ABS(H146))</f>
        <v>0</v>
      </c>
      <c r="I8" s="21" t="n">
        <f aca="false">MAX(ABS(I28),ABS(I87),ABS(I146))</f>
        <v>0</v>
      </c>
      <c r="J8" s="21" t="n">
        <f aca="false">MAX(ABS(J28),ABS(J87),ABS(J146))</f>
        <v>0</v>
      </c>
      <c r="K8" s="21" t="n">
        <f aca="false">MAX(ABS(K28),ABS(K87),ABS(K146))</f>
        <v>0</v>
      </c>
      <c r="L8" s="21" t="n">
        <f aca="false">MAX(ABS(L28),ABS(L87),ABS(L146))</f>
        <v>0</v>
      </c>
      <c r="M8" s="21" t="n">
        <f aca="false">MAX(ABS(M28),ABS(M87),ABS(M146))</f>
        <v>0</v>
      </c>
      <c r="N8" s="4" t="s">
        <v>1025</v>
      </c>
    </row>
    <row r="9" customFormat="false" ht="17.15" hidden="false" customHeight="false" outlineLevel="0" collapsed="false">
      <c r="A9" s="4" t="s">
        <v>816</v>
      </c>
      <c r="B9" s="0" t="s">
        <v>81</v>
      </c>
      <c r="C9" s="21" t="n">
        <f aca="false">MAX(ABS(C47),ABS(C106),ABS(C165))</f>
        <v>0</v>
      </c>
      <c r="D9" s="21" t="n">
        <f aca="false">MAX(ABS(D47),ABS(D106),ABS(D165))</f>
        <v>0</v>
      </c>
      <c r="E9" s="21" t="n">
        <f aca="false">MAX(ABS(E47),ABS(E106),ABS(E165))</f>
        <v>0</v>
      </c>
      <c r="F9" s="21" t="n">
        <f aca="false">MAX(ABS(F47),ABS(F106),ABS(F165))</f>
        <v>0</v>
      </c>
      <c r="G9" s="21" t="n">
        <f aca="false">MAX(ABS(G47),ABS(G106),ABS(G165))</f>
        <v>0</v>
      </c>
      <c r="H9" s="21" t="n">
        <f aca="false">MAX(ABS(H47),ABS(H106),ABS(H165))</f>
        <v>0</v>
      </c>
      <c r="I9" s="21" t="n">
        <f aca="false">MAX(ABS(I47),ABS(I106),ABS(I165))</f>
        <v>0</v>
      </c>
      <c r="J9" s="21" t="n">
        <f aca="false">MAX(ABS(J47),ABS(J106),ABS(J165))</f>
        <v>0</v>
      </c>
      <c r="K9" s="21" t="n">
        <f aca="false">MAX(ABS(K47),ABS(K106),ABS(K165))</f>
        <v>0</v>
      </c>
      <c r="L9" s="21" t="n">
        <f aca="false">MAX(ABS(L47),ABS(L106),ABS(L165))</f>
        <v>0</v>
      </c>
      <c r="M9" s="21" t="n">
        <f aca="false">MAX(ABS(M47),ABS(M106),ABS(M165))</f>
        <v>0</v>
      </c>
      <c r="N9" s="4" t="s">
        <v>1025</v>
      </c>
    </row>
    <row r="11" customFormat="false" ht="17.15" hidden="false" customHeight="false" outlineLevel="0" collapsed="false">
      <c r="A11" s="28" t="s">
        <v>983</v>
      </c>
    </row>
    <row r="12" customFormat="false" ht="15" hidden="false" customHeight="false" outlineLevel="0" collapsed="false">
      <c r="A12" s="3" t="s">
        <v>43</v>
      </c>
      <c r="B12" s="3" t="s">
        <v>44</v>
      </c>
      <c r="C12" s="20" t="s">
        <v>905</v>
      </c>
      <c r="D12" s="20" t="s">
        <v>906</v>
      </c>
      <c r="E12" s="20" t="s">
        <v>907</v>
      </c>
      <c r="F12" s="20" t="s">
        <v>908</v>
      </c>
      <c r="G12" s="20" t="s">
        <v>909</v>
      </c>
      <c r="H12" s="20" t="s">
        <v>910</v>
      </c>
      <c r="I12" s="20" t="s">
        <v>911</v>
      </c>
      <c r="J12" s="20" t="s">
        <v>912</v>
      </c>
      <c r="K12" s="20" t="s">
        <v>913</v>
      </c>
      <c r="L12" s="20" t="s">
        <v>914</v>
      </c>
      <c r="M12" s="20" t="s">
        <v>915</v>
      </c>
      <c r="N12" s="3" t="s">
        <v>50</v>
      </c>
    </row>
    <row r="13" customFormat="false" ht="15" hidden="false" customHeight="false" outlineLevel="0" collapsed="false">
      <c r="A13" s="0" t="s">
        <v>796</v>
      </c>
      <c r="B13" s="0" t="s">
        <v>81</v>
      </c>
      <c r="C13" s="25" t="n">
        <f aca="false">Seg!C11</f>
        <v>198.084</v>
      </c>
      <c r="D13" s="25" t="n">
        <f aca="false">Seg!D11</f>
        <v>224.532</v>
      </c>
      <c r="E13" s="25" t="n">
        <f aca="false">Seg!E11</f>
        <v>187.02</v>
      </c>
      <c r="F13" s="25" t="n">
        <f aca="false">Seg!F11</f>
        <v>73.2001308116737</v>
      </c>
      <c r="G13" s="25" t="n">
        <f aca="false">Seg!G11</f>
        <v>260.220130811674</v>
      </c>
      <c r="H13" s="25" t="n">
        <f aca="false">Seg!H11</f>
        <v>307.9819054614</v>
      </c>
      <c r="I13" s="25" t="n">
        <f aca="false">Seg!I11</f>
        <v>357.80503761833</v>
      </c>
      <c r="J13" s="25" t="n">
        <f aca="false">Seg!J11</f>
        <v>407.922832670043</v>
      </c>
      <c r="K13" s="25" t="n">
        <f aca="false">Seg!K11</f>
        <v>456.233514349218</v>
      </c>
      <c r="L13" s="25" t="n">
        <f aca="false">Seg!L11</f>
        <v>492.732195497155</v>
      </c>
      <c r="M13" s="25" t="n">
        <f aca="false">Seg!M11</f>
        <v>532.150771136928</v>
      </c>
    </row>
    <row r="14" customFormat="false" ht="15" hidden="false" customHeight="false" outlineLevel="0" collapsed="false">
      <c r="A14" s="0" t="s">
        <v>799</v>
      </c>
      <c r="B14" s="0" t="s">
        <v>81</v>
      </c>
      <c r="C14" s="25" t="n">
        <f aca="false">Seg!C13</f>
        <v>36.147</v>
      </c>
      <c r="D14" s="25" t="n">
        <f aca="false">Seg!D13</f>
        <v>40.367</v>
      </c>
      <c r="E14" s="25" t="n">
        <f aca="false">Seg!E13</f>
        <v>32.145</v>
      </c>
      <c r="F14" s="25" t="n">
        <f aca="false">Seg!F13</f>
        <v>12.5574479560027</v>
      </c>
      <c r="G14" s="25" t="n">
        <f aca="false">Seg!G13</f>
        <v>44.7024479560027</v>
      </c>
      <c r="H14" s="25" t="n">
        <f aca="false">Seg!H13</f>
        <v>49.0556486301966</v>
      </c>
      <c r="I14" s="25" t="n">
        <f aca="false">Seg!I13</f>
        <v>53.5485477838786</v>
      </c>
      <c r="J14" s="25" t="n">
        <f aca="false">Seg!J13</f>
        <v>58.1426866566148</v>
      </c>
      <c r="K14" s="25" t="n">
        <f aca="false">Seg!K13</f>
        <v>62.794101589144</v>
      </c>
      <c r="L14" s="25" t="n">
        <f aca="false">Seg!L13</f>
        <v>67.8176297162755</v>
      </c>
      <c r="M14" s="25" t="n">
        <f aca="false">Seg!M13</f>
        <v>73.2430400935775</v>
      </c>
    </row>
    <row r="15" customFormat="false" ht="15" hidden="false" customHeight="false" outlineLevel="0" collapsed="false">
      <c r="A15" s="0" t="s">
        <v>800</v>
      </c>
      <c r="B15" s="0" t="s">
        <v>81</v>
      </c>
      <c r="C15" s="25" t="n">
        <f aca="false">Seg!C15</f>
        <v>30.359</v>
      </c>
      <c r="D15" s="25" t="n">
        <f aca="false">Seg!D15</f>
        <v>29.792</v>
      </c>
      <c r="E15" s="25" t="n">
        <f aca="false">Seg!E15</f>
        <v>21.729</v>
      </c>
      <c r="F15" s="25" t="n">
        <f aca="false">Seg!F15</f>
        <v>7.73354488936426</v>
      </c>
      <c r="G15" s="25" t="n">
        <f aca="false">Seg!G15</f>
        <v>29.4625448893643</v>
      </c>
      <c r="H15" s="25" t="n">
        <f aca="false">Seg!H15</f>
        <v>29.1959166378503</v>
      </c>
      <c r="I15" s="25" t="n">
        <f aca="false">Seg!I15</f>
        <v>29.0197730803554</v>
      </c>
      <c r="J15" s="25" t="n">
        <f aca="false">Seg!J15</f>
        <v>28.9322326525025</v>
      </c>
      <c r="K15" s="25" t="n">
        <f aca="false">Seg!K15</f>
        <v>28.9322326525025</v>
      </c>
      <c r="L15" s="25" t="n">
        <f aca="false">Seg!L15</f>
        <v>28.9322326525025</v>
      </c>
      <c r="M15" s="25" t="n">
        <f aca="false">Seg!M15</f>
        <v>28.9322326525025</v>
      </c>
    </row>
    <row r="16" customFormat="false" ht="15" hidden="false" customHeight="false" outlineLevel="0" collapsed="false">
      <c r="A16" s="0" t="s">
        <v>801</v>
      </c>
      <c r="B16" s="0" t="s">
        <v>81</v>
      </c>
      <c r="C16" s="25" t="n">
        <f aca="false">Seg!C17</f>
        <v>40.34</v>
      </c>
      <c r="D16" s="25" t="n">
        <f aca="false">Seg!D17</f>
        <v>48.03</v>
      </c>
      <c r="E16" s="25" t="n">
        <f aca="false">Seg!E17</f>
        <v>39.585</v>
      </c>
      <c r="F16" s="25" t="n">
        <f aca="false">Seg!F17</f>
        <v>15.6633875230552</v>
      </c>
      <c r="G16" s="25" t="n">
        <f aca="false">Seg!G17</f>
        <v>55.2483875230552</v>
      </c>
      <c r="H16" s="25" t="n">
        <f aca="false">Seg!H17</f>
        <v>62.9936216261504</v>
      </c>
      <c r="I16" s="25" t="n">
        <f aca="false">Seg!I17</f>
        <v>70.9807645048962</v>
      </c>
      <c r="J16" s="25" t="n">
        <f aca="false">Seg!J17</f>
        <v>79.0297306046472</v>
      </c>
      <c r="K16" s="25" t="n">
        <f aca="false">Seg!K17</f>
        <v>86.9327036651119</v>
      </c>
      <c r="L16" s="25" t="n">
        <f aca="false">Seg!L17</f>
        <v>95.6259740316231</v>
      </c>
      <c r="M16" s="25" t="n">
        <f aca="false">Seg!M17</f>
        <v>105.188571434785</v>
      </c>
    </row>
    <row r="17" customFormat="false" ht="15" hidden="false" customHeight="false" outlineLevel="0" collapsed="false">
      <c r="A17" s="29" t="s">
        <v>995</v>
      </c>
      <c r="B17" s="30" t="s">
        <v>81</v>
      </c>
      <c r="C17" s="31" t="n">
        <f aca="false">Seg!C18</f>
        <v>304.93</v>
      </c>
      <c r="D17" s="31" t="n">
        <f aca="false">Seg!D18</f>
        <v>342.721</v>
      </c>
      <c r="E17" s="31" t="n">
        <f aca="false">Seg!E18</f>
        <v>280.479</v>
      </c>
      <c r="F17" s="31" t="n">
        <f aca="false">Seg!F18</f>
        <v>109.154511180096</v>
      </c>
      <c r="G17" s="31" t="n">
        <f aca="false">Seg!G18</f>
        <v>389.633511180096</v>
      </c>
      <c r="H17" s="31" t="n">
        <f aca="false">Seg!H18</f>
        <v>449.227092355597</v>
      </c>
      <c r="I17" s="31" t="n">
        <f aca="false">Seg!I18</f>
        <v>511.35412298746</v>
      </c>
      <c r="J17" s="31" t="n">
        <f aca="false">Seg!J18</f>
        <v>574.027482583808</v>
      </c>
      <c r="K17" s="31" t="n">
        <f aca="false">Seg!K18</f>
        <v>634.892552255976</v>
      </c>
      <c r="L17" s="31" t="n">
        <f aca="false">Seg!L18</f>
        <v>685.108031897557</v>
      </c>
      <c r="M17" s="31" t="n">
        <f aca="false">Seg!M18</f>
        <v>739.514615317793</v>
      </c>
      <c r="N17" s="30"/>
    </row>
    <row r="18" customFormat="false" ht="17.15" hidden="false" customHeight="false" outlineLevel="0" collapsed="false">
      <c r="A18" s="0" t="s">
        <v>996</v>
      </c>
      <c r="B18" s="0" t="s">
        <v>81</v>
      </c>
      <c r="E18" s="25" t="n">
        <f aca="false">Seg!E19</f>
        <v>13.1190558790519</v>
      </c>
      <c r="F18" s="25" t="n">
        <f aca="false">Seg!F19</f>
        <v>6.05015497275625</v>
      </c>
      <c r="G18" s="25" t="n">
        <f aca="false">Seg!G19</f>
        <v>19.1692108518081</v>
      </c>
      <c r="H18" s="25" t="n">
        <f aca="false">Seg!H19</f>
        <v>36.6157989143902</v>
      </c>
      <c r="I18" s="25" t="n">
        <f aca="false">Seg!I19</f>
        <v>57.2951603365358</v>
      </c>
      <c r="J18" s="25" t="n">
        <f aca="false">Seg!J19</f>
        <v>76.1794729031624</v>
      </c>
      <c r="K18" s="25" t="n">
        <f aca="false">Seg!K19</f>
        <v>90.4330979280781</v>
      </c>
      <c r="L18" s="25" t="n">
        <f aca="false">Seg!L19</f>
        <v>100.252938969643</v>
      </c>
      <c r="M18" s="25" t="n">
        <f aca="false">Seg!M19</f>
        <v>105.736687700744</v>
      </c>
    </row>
    <row r="19" customFormat="false" ht="17.15" hidden="false" customHeight="false" outlineLevel="0" collapsed="false">
      <c r="A19" s="0" t="s">
        <v>998</v>
      </c>
      <c r="B19" s="0" t="s">
        <v>81</v>
      </c>
      <c r="E19" s="25" t="n">
        <f aca="false">Seg!E20</f>
        <v>0</v>
      </c>
      <c r="F19" s="25" t="n">
        <f aca="false">Seg!F20</f>
        <v>1</v>
      </c>
      <c r="G19" s="25" t="n">
        <f aca="false">Seg!G20</f>
        <v>1</v>
      </c>
      <c r="H19" s="25" t="n">
        <f aca="false">Seg!H20</f>
        <v>13</v>
      </c>
      <c r="I19" s="25" t="n">
        <f aca="false">Seg!I20</f>
        <v>13</v>
      </c>
      <c r="J19" s="25" t="n">
        <f aca="false">Seg!J20</f>
        <v>13</v>
      </c>
      <c r="K19" s="25" t="n">
        <f aca="false">Seg!K20</f>
        <v>13</v>
      </c>
      <c r="L19" s="25" t="n">
        <f aca="false">Seg!L20</f>
        <v>13</v>
      </c>
      <c r="M19" s="25" t="n">
        <f aca="false">Seg!M20</f>
        <v>13</v>
      </c>
    </row>
    <row r="20" customFormat="false" ht="17.15" hidden="false" customHeight="false" outlineLevel="0" collapsed="false">
      <c r="A20" s="0" t="s">
        <v>1002</v>
      </c>
      <c r="B20" s="0" t="s">
        <v>81</v>
      </c>
      <c r="E20" s="25" t="n">
        <f aca="false">Seg!E22</f>
        <v>62.3859441209481</v>
      </c>
      <c r="F20" s="25" t="n">
        <f aca="false">Seg!F22</f>
        <v>29.0197862418792</v>
      </c>
      <c r="G20" s="25" t="n">
        <f aca="false">Seg!G22</f>
        <v>91.4057303628273</v>
      </c>
      <c r="H20" s="25" t="n">
        <f aca="false">Seg!H22</f>
        <v>141.981344225469</v>
      </c>
      <c r="I20" s="25" t="n">
        <f aca="false">Seg!I22</f>
        <v>198.140551088868</v>
      </c>
      <c r="J20" s="25" t="n">
        <f aca="false">Seg!J22</f>
        <v>245.252364308909</v>
      </c>
      <c r="K20" s="25" t="n">
        <f aca="false">Seg!K22</f>
        <v>264.872553453622</v>
      </c>
      <c r="L20" s="25" t="n">
        <f aca="false">Seg!L22</f>
        <v>286.062357729912</v>
      </c>
      <c r="M20" s="25" t="n">
        <f aca="false">Seg!M22</f>
        <v>308.947346348305</v>
      </c>
    </row>
    <row r="21" customFormat="false" ht="15" hidden="false" customHeight="false" outlineLevel="0" collapsed="false">
      <c r="A21" s="29" t="s">
        <v>1004</v>
      </c>
      <c r="B21" s="30" t="s">
        <v>81</v>
      </c>
      <c r="C21" s="31" t="n">
        <f aca="false">Seg!C23</f>
        <v>43.229</v>
      </c>
      <c r="D21" s="31" t="n">
        <f aca="false">Seg!D23</f>
        <v>58.705</v>
      </c>
      <c r="E21" s="31" t="n">
        <f aca="false">Seg!E23</f>
        <v>75.505</v>
      </c>
      <c r="F21" s="31" t="n">
        <f aca="false">Seg!F23</f>
        <v>36.0699412146354</v>
      </c>
      <c r="G21" s="31" t="n">
        <f aca="false">Seg!G23</f>
        <v>111.574941214635</v>
      </c>
      <c r="H21" s="31" t="n">
        <f aca="false">Seg!H23</f>
        <v>191.597143139859</v>
      </c>
      <c r="I21" s="31" t="n">
        <f aca="false">Seg!I23</f>
        <v>268.435711425404</v>
      </c>
      <c r="J21" s="31" t="n">
        <f aca="false">Seg!J23</f>
        <v>334.431837212072</v>
      </c>
      <c r="K21" s="31" t="n">
        <f aca="false">Seg!K23</f>
        <v>368.3056513817</v>
      </c>
      <c r="L21" s="31" t="n">
        <f aca="false">Seg!L23</f>
        <v>399.315296699555</v>
      </c>
      <c r="M21" s="31" t="n">
        <f aca="false">Seg!M23</f>
        <v>427.684034049048</v>
      </c>
      <c r="N21" s="30"/>
    </row>
    <row r="22" customFormat="false" ht="15" hidden="false" customHeight="false" outlineLevel="0" collapsed="false">
      <c r="A22" s="29" t="s">
        <v>1005</v>
      </c>
      <c r="B22" s="30" t="s">
        <v>81</v>
      </c>
      <c r="C22" s="31" t="n">
        <f aca="false">Seg!C24</f>
        <v>1.648</v>
      </c>
      <c r="D22" s="31" t="n">
        <f aca="false">Seg!D24</f>
        <v>1.537</v>
      </c>
      <c r="E22" s="31" t="n">
        <f aca="false">Seg!E24</f>
        <v>1.165</v>
      </c>
      <c r="F22" s="31" t="n">
        <f aca="false">Seg!F24</f>
        <v>0.38</v>
      </c>
      <c r="G22" s="31" t="n">
        <f aca="false">Seg!G24</f>
        <v>1.545</v>
      </c>
      <c r="H22" s="31" t="n">
        <f aca="false">Seg!H24</f>
        <v>1.6</v>
      </c>
      <c r="I22" s="31" t="n">
        <f aca="false">Seg!I24</f>
        <v>1.8</v>
      </c>
      <c r="J22" s="31" t="n">
        <f aca="false">Seg!J24</f>
        <v>2</v>
      </c>
      <c r="K22" s="31" t="n">
        <f aca="false">Seg!K24</f>
        <v>2.2</v>
      </c>
      <c r="L22" s="31" t="n">
        <f aca="false">Seg!L24</f>
        <v>2.4</v>
      </c>
      <c r="M22" s="31" t="n">
        <f aca="false">Seg!M24</f>
        <v>2.6</v>
      </c>
      <c r="N22" s="30"/>
    </row>
    <row r="23" customFormat="false" ht="15" hidden="false" customHeight="false" outlineLevel="0" collapsed="false">
      <c r="A23" s="0" t="s">
        <v>1006</v>
      </c>
      <c r="B23" s="0" t="s">
        <v>81</v>
      </c>
      <c r="C23" s="25" t="n">
        <f aca="false">Seg!C25</f>
        <v>0.211</v>
      </c>
      <c r="D23" s="25" t="n">
        <f aca="false">Seg!D25</f>
        <v>-0.127</v>
      </c>
      <c r="E23" s="25" t="n">
        <f aca="false">Seg!E25</f>
        <v>0.12</v>
      </c>
      <c r="F23" s="25" t="n">
        <f aca="false">Seg!F25</f>
        <v>0</v>
      </c>
      <c r="G23" s="25" t="n">
        <f aca="false">Seg!G25</f>
        <v>0.12</v>
      </c>
      <c r="H23" s="25" t="n">
        <f aca="false">Seg!H25</f>
        <v>0</v>
      </c>
      <c r="I23" s="25" t="n">
        <f aca="false">Seg!I25</f>
        <v>0</v>
      </c>
      <c r="J23" s="25" t="n">
        <f aca="false">Seg!J25</f>
        <v>0</v>
      </c>
      <c r="K23" s="25" t="n">
        <f aca="false">Seg!K25</f>
        <v>0</v>
      </c>
      <c r="L23" s="25" t="n">
        <f aca="false">Seg!L25</f>
        <v>0</v>
      </c>
      <c r="M23" s="25" t="n">
        <f aca="false">Seg!M25</f>
        <v>0</v>
      </c>
    </row>
    <row r="24" customFormat="false" ht="15" hidden="false" customHeight="false" outlineLevel="0" collapsed="false">
      <c r="A24" s="2" t="s">
        <v>808</v>
      </c>
      <c r="B24" s="7" t="s">
        <v>81</v>
      </c>
      <c r="C24" s="25" t="n">
        <f aca="false">Seg!C26</f>
        <v>350.018</v>
      </c>
      <c r="D24" s="25" t="n">
        <f aca="false">Seg!D26</f>
        <v>402.836</v>
      </c>
      <c r="E24" s="25" t="n">
        <f aca="false">Seg!E26</f>
        <v>357.269</v>
      </c>
      <c r="F24" s="25" t="n">
        <f aca="false">Seg!F26</f>
        <v>145.604452394731</v>
      </c>
      <c r="G24" s="25" t="n">
        <f aca="false">Seg!G26</f>
        <v>502.873452394731</v>
      </c>
      <c r="H24" s="25" t="n">
        <f aca="false">Seg!H26</f>
        <v>642.424235495456</v>
      </c>
      <c r="I24" s="25" t="n">
        <f aca="false">Seg!I26</f>
        <v>781.589834412864</v>
      </c>
      <c r="J24" s="25" t="n">
        <f aca="false">Seg!J26</f>
        <v>910.459319795879</v>
      </c>
      <c r="K24" s="25" t="n">
        <f aca="false">Seg!K26</f>
        <v>1005.39820363768</v>
      </c>
      <c r="L24" s="25" t="n">
        <f aca="false">Seg!L26</f>
        <v>1086.82332859711</v>
      </c>
      <c r="M24" s="25" t="n">
        <f aca="false">Seg!M26</f>
        <v>1169.79864936684</v>
      </c>
    </row>
    <row r="25" customFormat="false" ht="15" hidden="false" customHeight="false" outlineLevel="0" collapsed="false">
      <c r="A25" s="4" t="s">
        <v>1026</v>
      </c>
      <c r="B25" s="0" t="s">
        <v>106</v>
      </c>
      <c r="D25" s="14" t="n">
        <f aca="false">D24/C24-1</f>
        <v>0.150900810815444</v>
      </c>
      <c r="G25" s="14" t="n">
        <f aca="false">G24/D24-1</f>
        <v>0.248332950368714</v>
      </c>
      <c r="H25" s="14" t="n">
        <f aca="false">H24/G24-1</f>
        <v>0.277506761266022</v>
      </c>
      <c r="I25" s="14" t="n">
        <f aca="false">I24/H24-1</f>
        <v>0.21662569876443</v>
      </c>
      <c r="J25" s="14" t="n">
        <f aca="false">J24/I24-1</f>
        <v>0.164881219930174</v>
      </c>
      <c r="K25" s="14" t="n">
        <f aca="false">K24/J24-1</f>
        <v>0.104275810876517</v>
      </c>
      <c r="L25" s="14" t="n">
        <f aca="false">L24/K24-1</f>
        <v>0.08098793559092</v>
      </c>
      <c r="M25" s="14" t="n">
        <f aca="false">M24/L24-1</f>
        <v>0.0763466504503876</v>
      </c>
    </row>
    <row r="26" customFormat="false" ht="17.15" hidden="false" customHeight="false" outlineLevel="0" collapsed="false">
      <c r="A26" s="4" t="s">
        <v>803</v>
      </c>
      <c r="B26" s="0" t="s">
        <v>81</v>
      </c>
      <c r="C26" s="21" t="n">
        <f aca="false">C13+C14+C15+C16-C17</f>
        <v>0</v>
      </c>
      <c r="D26" s="21" t="n">
        <f aca="false">D13+D14+D15+D16-D17</f>
        <v>0</v>
      </c>
      <c r="E26" s="21" t="n">
        <f aca="false">E13+E14+E15+E16-E17</f>
        <v>0</v>
      </c>
      <c r="F26" s="21" t="n">
        <f aca="false">F13+F14+F15+F16-F17</f>
        <v>0</v>
      </c>
      <c r="G26" s="21" t="n">
        <f aca="false">G13+G14+G15+G16-G17</f>
        <v>0</v>
      </c>
      <c r="H26" s="21" t="n">
        <f aca="false">H13+H14+H15+H16-H17</f>
        <v>0</v>
      </c>
      <c r="I26" s="21" t="n">
        <f aca="false">I13+I14+I15+I16-I17</f>
        <v>0</v>
      </c>
      <c r="J26" s="21" t="n">
        <f aca="false">J13+J14+J15+J16-J17</f>
        <v>0</v>
      </c>
      <c r="K26" s="21" t="n">
        <f aca="false">K13+K14+K15+K16-K17</f>
        <v>0</v>
      </c>
      <c r="L26" s="21" t="n">
        <f aca="false">L13+L14+L15+L16-L17</f>
        <v>0</v>
      </c>
      <c r="M26" s="21" t="n">
        <f aca="false">M13+M14+M15+M16-M17</f>
        <v>0</v>
      </c>
    </row>
    <row r="27" customFormat="false" ht="17.15" hidden="false" customHeight="false" outlineLevel="0" collapsed="false">
      <c r="A27" s="4" t="s">
        <v>1008</v>
      </c>
      <c r="B27" s="0" t="s">
        <v>81</v>
      </c>
      <c r="E27" s="21" t="n">
        <f aca="false">E18+E19+E20-E21</f>
        <v>0</v>
      </c>
      <c r="F27" s="21" t="n">
        <f aca="false">F18+F19+F20-F21</f>
        <v>0</v>
      </c>
      <c r="G27" s="21" t="n">
        <f aca="false">G18+G19+G20-G21</f>
        <v>0</v>
      </c>
      <c r="H27" s="21" t="n">
        <f aca="false">H18+H19+H20-H21</f>
        <v>0</v>
      </c>
      <c r="I27" s="21" t="n">
        <f aca="false">I18+I19+I20-I21</f>
        <v>0</v>
      </c>
      <c r="J27" s="21" t="n">
        <f aca="false">J18+J19+J20-J21</f>
        <v>0</v>
      </c>
      <c r="K27" s="21" t="n">
        <f aca="false">K18+K19+K20-K21</f>
        <v>0</v>
      </c>
      <c r="L27" s="21" t="n">
        <f aca="false">L18+L19+L20-L21</f>
        <v>0</v>
      </c>
      <c r="M27" s="21" t="n">
        <f aca="false">M18+M19+M20-M21</f>
        <v>0</v>
      </c>
    </row>
    <row r="28" customFormat="false" ht="15" hidden="false" customHeight="false" outlineLevel="0" collapsed="false">
      <c r="A28" s="4" t="s">
        <v>809</v>
      </c>
      <c r="B28" s="0" t="s">
        <v>81</v>
      </c>
      <c r="C28" s="21" t="n">
        <f aca="false">C17+C21+C22+C23-C24</f>
        <v>0</v>
      </c>
      <c r="D28" s="21" t="n">
        <f aca="false">D17+D21+D22+D23-D24</f>
        <v>0</v>
      </c>
      <c r="E28" s="21" t="n">
        <f aca="false">E17+E21+E22+E23-E24</f>
        <v>0</v>
      </c>
      <c r="F28" s="21" t="n">
        <f aca="false">F17+F21+F22+F23-F24</f>
        <v>0</v>
      </c>
      <c r="G28" s="21" t="n">
        <f aca="false">G17+G21+G22+G23-G24</f>
        <v>0</v>
      </c>
      <c r="H28" s="21" t="n">
        <f aca="false">H17+H21+H22+H23-H24</f>
        <v>0</v>
      </c>
      <c r="I28" s="21" t="n">
        <f aca="false">I17+I21+I22+I23-I24</f>
        <v>0</v>
      </c>
      <c r="J28" s="21" t="n">
        <f aca="false">J17+J21+J22+J23-J24</f>
        <v>0</v>
      </c>
      <c r="K28" s="21" t="n">
        <f aca="false">K17+K21+K22+K23-K24</f>
        <v>0</v>
      </c>
      <c r="L28" s="21" t="n">
        <f aca="false">L17+L21+L22+L23-L24</f>
        <v>0</v>
      </c>
      <c r="M28" s="21" t="n">
        <f aca="false">M17+M21+M22+M23-M24</f>
        <v>0</v>
      </c>
    </row>
    <row r="29" customFormat="false" ht="17.15" hidden="false" customHeight="false" outlineLevel="0" collapsed="false">
      <c r="A29" s="0" t="s">
        <v>1027</v>
      </c>
      <c r="B29" s="0" t="s">
        <v>81</v>
      </c>
      <c r="F29" s="25" t="n">
        <f aca="false">Seg!F11-Seg!F7</f>
        <v>0</v>
      </c>
      <c r="G29" s="25" t="n">
        <f aca="false">F29</f>
        <v>0</v>
      </c>
      <c r="H29" s="25" t="n">
        <f aca="false">Seg!H11-Seg!H7</f>
        <v>11.2212618370459</v>
      </c>
      <c r="I29" s="25" t="n">
        <f aca="false">Seg!I11-Seg!I7</f>
        <v>25.3497181123323</v>
      </c>
      <c r="J29" s="25" t="n">
        <f aca="false">Seg!J11-Seg!J7</f>
        <v>42.1752662525206</v>
      </c>
      <c r="K29" s="25" t="n">
        <f aca="false">Seg!K11-Seg!K7</f>
        <v>61.2261426182934</v>
      </c>
      <c r="L29" s="25" t="n">
        <f aca="false">Seg!L11-Seg!L7</f>
        <v>66.1242340277568</v>
      </c>
      <c r="M29" s="25" t="n">
        <f aca="false">Seg!M11-Seg!M7</f>
        <v>71.4141727499774</v>
      </c>
    </row>
    <row r="30" customFormat="false" ht="17.15" hidden="false" customHeight="false" outlineLevel="0" collapsed="false">
      <c r="A30" s="0" t="s">
        <v>1028</v>
      </c>
      <c r="B30" s="0" t="s">
        <v>81</v>
      </c>
      <c r="F30" s="25" t="n">
        <f aca="false">m_svc*(F17-F29)+inc_m*F29-svc_sh*(Thesis!F68+Thesis!F69)</f>
        <v>51.3162770970767</v>
      </c>
      <c r="H30" s="25" t="n">
        <f aca="false">m_svc*(H17-H29)+inc_m*H29-svc_sh*(Thesis!H68+Thesis!H69)</f>
        <v>210.481573120646</v>
      </c>
      <c r="I30" s="25" t="n">
        <f aca="false">m_svc*(I17-I29)+inc_m*I29-svc_sh*(Thesis!I68+Thesis!I69)</f>
        <v>238.332444262534</v>
      </c>
      <c r="J30" s="25" t="n">
        <f aca="false">m_svc*(J17-J29)+inc_m*J29-svc_sh*(Thesis!J68+Thesis!J69)</f>
        <v>270.876137032215</v>
      </c>
      <c r="K30" s="25" t="n">
        <f aca="false">m_svc*(K17-K29)+inc_m*K29-svc_sh*(Thesis!K68+Thesis!K69)</f>
        <v>304.206798125517</v>
      </c>
      <c r="L30" s="25" t="n">
        <f aca="false">m_svc*(L17-L29)+inc_m*L29-svc_sh*(Thesis!L68+Thesis!L69)</f>
        <v>327.165809788158</v>
      </c>
      <c r="M30" s="25" t="n">
        <f aca="false">m_svc*(M17-M29)+inc_m*M29-svc_sh*(Thesis!M68+Thesis!M69)</f>
        <v>353.36536929078</v>
      </c>
      <c r="N30" s="7" t="s">
        <v>1029</v>
      </c>
    </row>
    <row r="31" customFormat="false" ht="17.15" hidden="false" customHeight="false" outlineLevel="0" collapsed="false">
      <c r="A31" s="0" t="s">
        <v>1030</v>
      </c>
      <c r="B31" s="0" t="s">
        <v>81</v>
      </c>
      <c r="F31" s="25" t="n">
        <f aca="false">Thesis!F77*sh_svc+Seg!F35+Thesis!F65*svc_sh</f>
        <v>8.49171790631294</v>
      </c>
      <c r="H31" s="25" t="n">
        <f aca="false">Thesis!H77*sh_svc+Seg!H35+Thesis!H65*svc_sh</f>
        <v>37.9419043395281</v>
      </c>
      <c r="I31" s="25" t="n">
        <f aca="false">Thesis!I77*sh_svc+Seg!I35+Thesis!I65*svc_sh</f>
        <v>54.1611496907424</v>
      </c>
      <c r="J31" s="25" t="n">
        <f aca="false">Thesis!J77*sh_svc+Seg!J35+Thesis!J65*svc_sh</f>
        <v>69.807958727434</v>
      </c>
      <c r="K31" s="25" t="n">
        <f aca="false">Thesis!K77*sh_svc+Seg!K35+Thesis!K65*svc_sh</f>
        <v>81.3874133755255</v>
      </c>
      <c r="L31" s="25" t="n">
        <f aca="false">Thesis!L77*sh_svc+Seg!L35+Thesis!L65*svc_sh</f>
        <v>88.491548489368</v>
      </c>
      <c r="M31" s="25" t="n">
        <f aca="false">Thesis!M77*sh_svc+Seg!M35+Thesis!M65*svc_sh</f>
        <v>99.2658285600308</v>
      </c>
    </row>
    <row r="32" customFormat="false" ht="17.15" hidden="false" customHeight="false" outlineLevel="0" collapsed="false">
      <c r="A32" s="5" t="s">
        <v>1031</v>
      </c>
      <c r="B32" s="7" t="s">
        <v>81</v>
      </c>
      <c r="C32" s="25" t="n">
        <f aca="false">Q!J18</f>
        <v>121.263</v>
      </c>
      <c r="D32" s="25" t="n">
        <f aca="false">Q!K18</f>
        <v>139.404</v>
      </c>
      <c r="E32" s="25" t="n">
        <f aca="false">Q!L18</f>
        <v>119.29</v>
      </c>
      <c r="F32" s="25" t="n">
        <f aca="false">F30-F31</f>
        <v>42.8245591907637</v>
      </c>
      <c r="G32" s="25" t="n">
        <f aca="false">E32+F32</f>
        <v>162.114559190764</v>
      </c>
      <c r="H32" s="25" t="n">
        <f aca="false">H30-H31</f>
        <v>172.539668781118</v>
      </c>
      <c r="I32" s="25" t="n">
        <f aca="false">I30-I31</f>
        <v>184.171294571792</v>
      </c>
      <c r="J32" s="25" t="n">
        <f aca="false">J30-J31</f>
        <v>201.068178304781</v>
      </c>
      <c r="K32" s="25" t="n">
        <f aca="false">K30-K31</f>
        <v>222.819384749991</v>
      </c>
      <c r="L32" s="25" t="n">
        <f aca="false">L30-L31</f>
        <v>238.67426129879</v>
      </c>
      <c r="M32" s="25" t="n">
        <f aca="false">M30-M31</f>
        <v>254.099540730749</v>
      </c>
    </row>
    <row r="33" customFormat="false" ht="17.15" hidden="false" customHeight="false" outlineLevel="0" collapsed="false">
      <c r="A33" s="0" t="s">
        <v>1032</v>
      </c>
      <c r="B33" s="0" t="s">
        <v>81</v>
      </c>
      <c r="F33" s="25" t="n">
        <f aca="false">Thesis!F41+F19*tpu_m+F20*m_co</f>
        <v>14.7226961937778</v>
      </c>
      <c r="H33" s="25" t="n">
        <f aca="false">Thesis!H41+H19*tpu_m+H20*m_co</f>
        <v>79.8146916798949</v>
      </c>
      <c r="I33" s="25" t="n">
        <f aca="false">Thesis!I41+I19*tpu_m+I20*m_co</f>
        <v>115.336077502105</v>
      </c>
      <c r="J33" s="25" t="n">
        <f aca="false">Thesis!J41+J19*tpu_m+J20*m_co</f>
        <v>146.435064784193</v>
      </c>
      <c r="K33" s="25" t="n">
        <f aca="false">Thesis!K41+K19*tpu_m+K20*m_co</f>
        <v>164.600162130281</v>
      </c>
      <c r="L33" s="25" t="n">
        <f aca="false">Thesis!L41+L19*tpu_m+L20*m_co</f>
        <v>179.669904616666</v>
      </c>
      <c r="M33" s="25" t="n">
        <f aca="false">Thesis!M41+M19*tpu_m+M20*m_co</f>
        <v>191.765827277362</v>
      </c>
      <c r="N33" s="7" t="s">
        <v>1033</v>
      </c>
    </row>
    <row r="34" customFormat="false" ht="17.15" hidden="false" customHeight="false" outlineLevel="0" collapsed="false">
      <c r="A34" s="0" t="s">
        <v>1034</v>
      </c>
      <c r="B34" s="0" t="s">
        <v>81</v>
      </c>
      <c r="F34" s="25" t="n">
        <f aca="false">Thesis!F77*sh_cloud+Thesis!F64+Seg!F36</f>
        <v>3.44467961049077</v>
      </c>
      <c r="H34" s="25" t="n">
        <f aca="false">Thesis!H77*sh_cloud+Thesis!H64+Seg!H36</f>
        <v>16.8466195029068</v>
      </c>
      <c r="I34" s="25" t="n">
        <f aca="false">Thesis!I77*sh_cloud+Thesis!I64+Seg!I36</f>
        <v>29.5603940296853</v>
      </c>
      <c r="J34" s="25" t="n">
        <f aca="false">Thesis!J77*sh_cloud+Thesis!J64+Seg!J36</f>
        <v>43.2176099191434</v>
      </c>
      <c r="K34" s="25" t="n">
        <f aca="false">Thesis!K77*sh_cloud+Thesis!K64+Seg!K36</f>
        <v>55.7883604639856</v>
      </c>
      <c r="L34" s="25" t="n">
        <f aca="false">Thesis!L77*sh_cloud+Thesis!L64+Seg!L36</f>
        <v>67.0924025892336</v>
      </c>
      <c r="M34" s="25" t="n">
        <f aca="false">Thesis!M77*sh_cloud+Thesis!M64+Seg!M36</f>
        <v>78.552724025231</v>
      </c>
    </row>
    <row r="35" customFormat="false" ht="17.15" hidden="false" customHeight="false" outlineLevel="0" collapsed="false">
      <c r="A35" s="5" t="s">
        <v>1035</v>
      </c>
      <c r="B35" s="7" t="s">
        <v>81</v>
      </c>
      <c r="C35" s="25" t="n">
        <f aca="false">Q!J19</f>
        <v>6.112</v>
      </c>
      <c r="D35" s="25" t="n">
        <f aca="false">Q!K19</f>
        <v>13.91</v>
      </c>
      <c r="E35" s="25" t="n">
        <f aca="false">Q!L19</f>
        <v>26.533</v>
      </c>
      <c r="F35" s="25" t="n">
        <f aca="false">F33-F34</f>
        <v>11.278016583287</v>
      </c>
      <c r="G35" s="25" t="n">
        <f aca="false">E35+F35</f>
        <v>37.811016583287</v>
      </c>
      <c r="H35" s="25" t="n">
        <f aca="false">H33-H34</f>
        <v>62.9680721769881</v>
      </c>
      <c r="I35" s="25" t="n">
        <f aca="false">I33-I34</f>
        <v>85.7756834724196</v>
      </c>
      <c r="J35" s="25" t="n">
        <f aca="false">J33-J34</f>
        <v>103.21745486505</v>
      </c>
      <c r="K35" s="25" t="n">
        <f aca="false">K33-K34</f>
        <v>108.811801666295</v>
      </c>
      <c r="L35" s="25" t="n">
        <f aca="false">L33-L34</f>
        <v>112.577502027432</v>
      </c>
      <c r="M35" s="25" t="n">
        <f aca="false">M33-M34</f>
        <v>113.213103252131</v>
      </c>
    </row>
    <row r="36" customFormat="false" ht="17.15" hidden="false" customHeight="false" outlineLevel="0" collapsed="false">
      <c r="A36" s="0" t="s">
        <v>1036</v>
      </c>
      <c r="B36" s="0" t="s">
        <v>81</v>
      </c>
      <c r="F36" s="25" t="n">
        <f aca="false">Thesis!F77*sh_ob+Seg!F37</f>
        <v>0.0237198901378849</v>
      </c>
      <c r="H36" s="25" t="n">
        <f aca="false">Thesis!H77*sh_ob+Seg!H37</f>
        <v>0.0972795605515397</v>
      </c>
      <c r="I36" s="25" t="n">
        <f aca="false">Thesis!I77*sh_ob+Seg!I37</f>
        <v>0.10717956055154</v>
      </c>
      <c r="J36" s="25" t="n">
        <f aca="false">Thesis!J77*sh_ob+Seg!J37</f>
        <v>0.113549736117897</v>
      </c>
      <c r="K36" s="25" t="n">
        <f aca="false">Thesis!K77*sh_ob+Seg!K37</f>
        <v>0.109927900546002</v>
      </c>
      <c r="L36" s="25" t="n">
        <f aca="false">Thesis!L77*sh_ob+Seg!L37</f>
        <v>0.0919578907325283</v>
      </c>
      <c r="M36" s="25" t="n">
        <f aca="false">Thesis!M77*sh_ob+Seg!M37</f>
        <v>0.0985898461930389</v>
      </c>
    </row>
    <row r="37" customFormat="false" ht="17.15" hidden="false" customHeight="false" outlineLevel="0" collapsed="false">
      <c r="A37" s="5" t="s">
        <v>1037</v>
      </c>
      <c r="B37" s="7" t="s">
        <v>81</v>
      </c>
      <c r="C37" s="25" t="n">
        <f aca="false">Q!J20</f>
        <v>-4.444</v>
      </c>
      <c r="D37" s="25" t="n">
        <f aca="false">Q!K20</f>
        <v>-7.515</v>
      </c>
      <c r="E37" s="25" t="n">
        <f aca="false">Q!L20</f>
        <v>-5.946</v>
      </c>
      <c r="F37" s="25" t="n">
        <f aca="false">ob_oi*0.25</f>
        <v>-2.25</v>
      </c>
      <c r="G37" s="25" t="n">
        <f aca="false">E37+F37</f>
        <v>-8.196</v>
      </c>
      <c r="H37" s="25" t="n">
        <f aca="false">ob_oi*1</f>
        <v>-9</v>
      </c>
      <c r="I37" s="25" t="n">
        <f aca="false">ob_oi*1</f>
        <v>-9</v>
      </c>
      <c r="J37" s="25" t="n">
        <f aca="false">ob_oi*1</f>
        <v>-9</v>
      </c>
      <c r="K37" s="25" t="n">
        <f aca="false">ob_oi*1</f>
        <v>-9</v>
      </c>
      <c r="L37" s="25" t="n">
        <f aca="false">ob_oi*1</f>
        <v>-9</v>
      </c>
      <c r="M37" s="25" t="n">
        <f aca="false">ob_oi*1</f>
        <v>-9</v>
      </c>
    </row>
    <row r="38" customFormat="false" ht="15" hidden="false" customHeight="false" outlineLevel="0" collapsed="false">
      <c r="A38" s="0" t="s">
        <v>1038</v>
      </c>
      <c r="B38" s="0" t="s">
        <v>81</v>
      </c>
      <c r="F38" s="25" t="n">
        <f aca="false">F37+F36</f>
        <v>-2.22628010986212</v>
      </c>
      <c r="H38" s="25" t="n">
        <f aca="false">H37+H36</f>
        <v>-8.90272043944846</v>
      </c>
      <c r="I38" s="25" t="n">
        <f aca="false">I37+I36</f>
        <v>-8.89282043944846</v>
      </c>
      <c r="J38" s="25" t="n">
        <f aca="false">J37+J36</f>
        <v>-8.8864502638821</v>
      </c>
      <c r="K38" s="25" t="n">
        <f aca="false">K37+K36</f>
        <v>-8.890072099454</v>
      </c>
      <c r="L38" s="25" t="n">
        <f aca="false">L37+L36</f>
        <v>-8.90804210926747</v>
      </c>
      <c r="M38" s="25" t="n">
        <f aca="false">M37+M36</f>
        <v>-8.90141015380696</v>
      </c>
    </row>
    <row r="39" customFormat="false" ht="17.15" hidden="false" customHeight="false" outlineLevel="0" collapsed="false">
      <c r="A39" s="0" t="s">
        <v>1039</v>
      </c>
      <c r="B39" s="0" t="s">
        <v>81</v>
      </c>
      <c r="F39" s="25" t="n">
        <f aca="false">Thesis!F65*(1-svc_sh)</f>
        <v>1.7681676090408</v>
      </c>
      <c r="H39" s="25" t="n">
        <f aca="false">Thesis!H65*(1-svc_sh)</f>
        <v>9.27346515332514</v>
      </c>
      <c r="I39" s="25" t="n">
        <f aca="false">Thesis!I65*(1-svc_sh)</f>
        <v>18.2272599874138</v>
      </c>
      <c r="J39" s="25" t="n">
        <f aca="false">Thesis!J65*(1-svc_sh)</f>
        <v>27.3234605716995</v>
      </c>
      <c r="K39" s="25" t="n">
        <f aca="false">Thesis!K65*(1-svc_sh)</f>
        <v>35.2885278760496</v>
      </c>
      <c r="L39" s="25" t="n">
        <f aca="false">Thesis!L65*(1-svc_sh)</f>
        <v>42.5785694894301</v>
      </c>
      <c r="M39" s="25" t="n">
        <f aca="false">Thesis!M65*(1-svc_sh)</f>
        <v>48.2852968407446</v>
      </c>
    </row>
    <row r="40" customFormat="false" ht="17.15" hidden="false" customHeight="false" outlineLevel="0" collapsed="false">
      <c r="A40" s="5" t="s">
        <v>1040</v>
      </c>
      <c r="B40" s="7" t="s">
        <v>81</v>
      </c>
      <c r="C40" s="25" t="n">
        <f aca="false">Q!J21</f>
        <v>-10.541</v>
      </c>
      <c r="D40" s="25" t="n">
        <f aca="false">Q!K21</f>
        <v>-16.76</v>
      </c>
      <c r="E40" s="25" t="n">
        <f aca="false">Q!L21</f>
        <v>-18.835</v>
      </c>
      <c r="F40" s="25" t="n">
        <f aca="false">F23-abc_rate*F24-Thesis!F72</f>
        <v>-11.7164836412834</v>
      </c>
      <c r="G40" s="25" t="n">
        <f aca="false">E40+F40</f>
        <v>-30.5514836412834</v>
      </c>
      <c r="H40" s="25" t="n">
        <f aca="false">H23-abc_rate*H24-Thesis!H72</f>
        <v>-54.8764257826412</v>
      </c>
      <c r="I40" s="25" t="n">
        <f aca="false">I23-abc_rate*I24-Thesis!I72</f>
        <v>-75.7827205081924</v>
      </c>
      <c r="J40" s="25" t="n">
        <f aca="false">J23-abc_rate*J24-Thesis!J72</f>
        <v>-93.6457821706858</v>
      </c>
      <c r="K40" s="25" t="n">
        <f aca="false">K23-abc_rate*K24-Thesis!K72</f>
        <v>-107.546722760877</v>
      </c>
      <c r="L40" s="25" t="n">
        <f aca="false">L23-abc_rate*L24-Thesis!L72</f>
        <v>-121.408471432159</v>
      </c>
      <c r="M40" s="25" t="n">
        <f aca="false">M23-abc_rate*M24-Thesis!M72</f>
        <v>-133.03535187691</v>
      </c>
    </row>
    <row r="41" customFormat="false" ht="15" hidden="false" customHeight="false" outlineLevel="0" collapsed="false">
      <c r="A41" s="0" t="s">
        <v>1041</v>
      </c>
      <c r="B41" s="0" t="s">
        <v>81</v>
      </c>
      <c r="F41" s="25" t="n">
        <f aca="false">F40+F39</f>
        <v>-9.94831603224258</v>
      </c>
      <c r="H41" s="25" t="n">
        <f aca="false">H40+H39</f>
        <v>-45.602960629316</v>
      </c>
      <c r="I41" s="25" t="n">
        <f aca="false">I40+I39</f>
        <v>-57.5554605207786</v>
      </c>
      <c r="J41" s="25" t="n">
        <f aca="false">J40+J39</f>
        <v>-66.3223215989863</v>
      </c>
      <c r="K41" s="25" t="n">
        <f aca="false">K40+K39</f>
        <v>-72.2581948848273</v>
      </c>
      <c r="L41" s="25" t="n">
        <f aca="false">L40+L39</f>
        <v>-78.829901942729</v>
      </c>
      <c r="M41" s="25" t="n">
        <f aca="false">M40+M39</f>
        <v>-84.750055036165</v>
      </c>
    </row>
    <row r="42" customFormat="false" ht="15" hidden="false" customHeight="false" outlineLevel="0" collapsed="false">
      <c r="A42" s="4" t="s">
        <v>1042</v>
      </c>
      <c r="B42" s="0" t="s">
        <v>81</v>
      </c>
      <c r="C42" s="25" t="n">
        <f aca="false">C32+C35+C37+C40</f>
        <v>112.39</v>
      </c>
      <c r="D42" s="25" t="n">
        <f aca="false">D32+D35+D37+D40</f>
        <v>129.039</v>
      </c>
      <c r="E42" s="25" t="n">
        <f aca="false">E32+E35+E37+E40</f>
        <v>121.042</v>
      </c>
      <c r="F42" s="25" t="n">
        <f aca="false">F32+F35+F37+F40</f>
        <v>40.1360921327673</v>
      </c>
      <c r="G42" s="25" t="n">
        <f aca="false">G32+G35+G37+G40</f>
        <v>161.178092132767</v>
      </c>
      <c r="H42" s="25" t="n">
        <f aca="false">H32+H35+H37+H40</f>
        <v>171.631315175465</v>
      </c>
      <c r="I42" s="25" t="n">
        <f aca="false">I32+I35+I37+I40</f>
        <v>185.164257536019</v>
      </c>
      <c r="J42" s="25" t="n">
        <f aca="false">J32+J35+J37+J40</f>
        <v>201.639850999145</v>
      </c>
      <c r="K42" s="25" t="n">
        <f aca="false">K32+K35+K37+K40</f>
        <v>215.08446365541</v>
      </c>
      <c r="L42" s="25" t="n">
        <f aca="false">L32+L35+L37+L40</f>
        <v>220.843291894064</v>
      </c>
      <c r="M42" s="25" t="n">
        <f aca="false">M32+M35+M37+M40</f>
        <v>225.277292105971</v>
      </c>
    </row>
    <row r="43" customFormat="false" ht="17.15" hidden="false" customHeight="false" outlineLevel="0" collapsed="false">
      <c r="A43" s="4" t="s">
        <v>1043</v>
      </c>
      <c r="B43" s="0" t="s">
        <v>81</v>
      </c>
      <c r="F43" s="25" t="n">
        <f aca="false">F30+F33+F38+F41</f>
        <v>53.8643771487497</v>
      </c>
      <c r="H43" s="25" t="n">
        <f aca="false">H30+H33+H38+H41</f>
        <v>235.790583731776</v>
      </c>
      <c r="I43" s="25" t="n">
        <f aca="false">I30+I33+I38+I41</f>
        <v>287.220240804412</v>
      </c>
      <c r="J43" s="25" t="n">
        <f aca="false">J30+J33+J38+J41</f>
        <v>342.102429953539</v>
      </c>
      <c r="K43" s="25" t="n">
        <f aca="false">K30+K33+K38+K41</f>
        <v>387.658693271516</v>
      </c>
      <c r="L43" s="25" t="n">
        <f aca="false">L30+L33+L38+L41</f>
        <v>419.097770352828</v>
      </c>
      <c r="M43" s="25" t="n">
        <f aca="false">M30+M33+M38+M41</f>
        <v>451.47973137817</v>
      </c>
    </row>
    <row r="44" customFormat="false" ht="17.15" hidden="false" customHeight="false" outlineLevel="0" collapsed="false">
      <c r="A44" s="4" t="s">
        <v>1044</v>
      </c>
      <c r="B44" s="0" t="s">
        <v>81</v>
      </c>
      <c r="C44" s="25" t="n">
        <f aca="false">Q!J43</f>
        <v>15.311</v>
      </c>
      <c r="D44" s="25" t="n">
        <f aca="false">Q!K43</f>
        <v>21.136</v>
      </c>
      <c r="E44" s="25" t="n">
        <f aca="false">Q!L43</f>
        <v>21.955</v>
      </c>
      <c r="F44" s="25" t="n">
        <f aca="false">Thesis!F77+Thesis!F63+Seg!F38</f>
        <v>13.7282850159824</v>
      </c>
      <c r="G44" s="25" t="n">
        <f aca="false">E44+F44</f>
        <v>35.6832850159824</v>
      </c>
      <c r="H44" s="25" t="n">
        <f aca="false">Thesis!H77+Thesis!H63+Seg!H38</f>
        <v>64.1592685563116</v>
      </c>
      <c r="I44" s="25" t="n">
        <f aca="false">Thesis!I77+Thesis!I63+Seg!I38</f>
        <v>102.055983268393</v>
      </c>
      <c r="J44" s="25" t="n">
        <f aca="false">Thesis!J77+Thesis!J63+Seg!J38</f>
        <v>140.462578954395</v>
      </c>
      <c r="K44" s="25" t="n">
        <f aca="false">Thesis!K77+Thesis!K63+Seg!K38</f>
        <v>172.574229616107</v>
      </c>
      <c r="L44" s="25" t="n">
        <f aca="false">Thesis!L77+Thesis!L63+Seg!L38</f>
        <v>198.254478458764</v>
      </c>
      <c r="M44" s="25" t="n">
        <f aca="false">Thesis!M77+Thesis!M63+Seg!M38</f>
        <v>226.202439272199</v>
      </c>
      <c r="N44" s="7" t="s">
        <v>1045</v>
      </c>
    </row>
    <row r="45" customFormat="false" ht="17.15" hidden="false" customHeight="false" outlineLevel="0" collapsed="false">
      <c r="A45" s="4" t="s">
        <v>1046</v>
      </c>
      <c r="B45" s="0" t="s">
        <v>81</v>
      </c>
      <c r="F45" s="25" t="n">
        <f aca="false">Thesis!F63</f>
        <v>6.31488431800285</v>
      </c>
      <c r="G45" s="25" t="n">
        <f aca="false">F45</f>
        <v>6.31488431800285</v>
      </c>
      <c r="H45" s="25" t="n">
        <f aca="false">Thesis!H63</f>
        <v>33.1195184047327</v>
      </c>
      <c r="I45" s="25" t="n">
        <f aca="false">Thesis!I63</f>
        <v>65.0973570979064</v>
      </c>
      <c r="J45" s="25" t="n">
        <f aca="false">Thesis!J63</f>
        <v>97.5837877560696</v>
      </c>
      <c r="K45" s="25" t="n">
        <f aca="false">Thesis!K63</f>
        <v>126.030456700177</v>
      </c>
      <c r="L45" s="25" t="n">
        <f aca="false">Thesis!L63</f>
        <v>152.066319605107</v>
      </c>
      <c r="M45" s="25" t="n">
        <f aca="false">Thesis!M63</f>
        <v>172.447488716945</v>
      </c>
    </row>
    <row r="46" customFormat="false" ht="17.15" hidden="false" customHeight="false" outlineLevel="0" collapsed="false">
      <c r="A46" s="28" t="s">
        <v>815</v>
      </c>
      <c r="B46" s="30" t="s">
        <v>81</v>
      </c>
      <c r="C46" s="31" t="n">
        <f aca="false">Q!J22</f>
        <v>112.39</v>
      </c>
      <c r="D46" s="31" t="n">
        <f aca="false">Q!K22</f>
        <v>129.039</v>
      </c>
      <c r="E46" s="31" t="n">
        <f aca="false">Q!L22</f>
        <v>121.042</v>
      </c>
      <c r="F46" s="31" t="n">
        <f aca="false">F43-F44</f>
        <v>40.1360921327673</v>
      </c>
      <c r="G46" s="31" t="n">
        <f aca="false">E46+F46</f>
        <v>161.178092132767</v>
      </c>
      <c r="H46" s="31" t="n">
        <f aca="false">H43-H44</f>
        <v>171.631315175465</v>
      </c>
      <c r="I46" s="31" t="n">
        <f aca="false">I43-I44</f>
        <v>185.164257536019</v>
      </c>
      <c r="J46" s="31" t="n">
        <f aca="false">J43-J44</f>
        <v>201.639850999145</v>
      </c>
      <c r="K46" s="31" t="n">
        <f aca="false">K43-K44</f>
        <v>215.08446365541</v>
      </c>
      <c r="L46" s="31" t="n">
        <f aca="false">L43-L44</f>
        <v>220.843291894064</v>
      </c>
      <c r="M46" s="31" t="n">
        <f aca="false">M43-M44</f>
        <v>225.277292105971</v>
      </c>
      <c r="N46" s="32" t="s">
        <v>1047</v>
      </c>
    </row>
    <row r="47" customFormat="false" ht="15" hidden="false" customHeight="false" outlineLevel="0" collapsed="false">
      <c r="A47" s="4" t="s">
        <v>816</v>
      </c>
      <c r="B47" s="0" t="s">
        <v>81</v>
      </c>
      <c r="C47" s="21" t="n">
        <f aca="false">C42-C46</f>
        <v>0</v>
      </c>
      <c r="D47" s="21" t="n">
        <f aca="false">D42-D46</f>
        <v>0</v>
      </c>
      <c r="E47" s="21" t="n">
        <f aca="false">E42-E46</f>
        <v>0</v>
      </c>
      <c r="F47" s="21" t="n">
        <f aca="false">F42-F46</f>
        <v>0</v>
      </c>
      <c r="G47" s="21" t="n">
        <f aca="false">G42-G46</f>
        <v>0</v>
      </c>
      <c r="H47" s="21" t="n">
        <f aca="false">H42-H46</f>
        <v>0</v>
      </c>
      <c r="I47" s="21" t="n">
        <f aca="false">I42-I46</f>
        <v>0</v>
      </c>
      <c r="J47" s="21" t="n">
        <f aca="false">J42-J46</f>
        <v>0</v>
      </c>
      <c r="K47" s="21" t="n">
        <f aca="false">K42-K46</f>
        <v>0</v>
      </c>
      <c r="L47" s="21" t="n">
        <f aca="false">L42-L46</f>
        <v>0</v>
      </c>
      <c r="M47" s="21" t="n">
        <f aca="false">M42-M46</f>
        <v>0</v>
      </c>
    </row>
    <row r="48" customFormat="false" ht="17.15" hidden="false" customHeight="false" outlineLevel="0" collapsed="false">
      <c r="A48" s="4" t="s">
        <v>1048</v>
      </c>
      <c r="B48" s="0" t="s">
        <v>81</v>
      </c>
      <c r="F48" s="25" t="n">
        <f aca="false">Thesis!F80</f>
        <v>1.14948686725343</v>
      </c>
      <c r="G48" s="25" t="n">
        <f aca="false">F48</f>
        <v>1.14948686725343</v>
      </c>
      <c r="H48" s="25" t="n">
        <f aca="false">Thesis!H80</f>
        <v>28.718806457026</v>
      </c>
      <c r="I48" s="25" t="n">
        <f aca="false">Thesis!I80</f>
        <v>68.8957511379667</v>
      </c>
      <c r="J48" s="25" t="n">
        <f aca="false">Thesis!J80</f>
        <v>105.585181040499</v>
      </c>
      <c r="K48" s="25" t="n">
        <f aca="false">Thesis!K80</f>
        <v>133.277869051437</v>
      </c>
      <c r="L48" s="25" t="n">
        <f aca="false">Thesis!L80</f>
        <v>152.356369699918</v>
      </c>
      <c r="M48" s="25" t="n">
        <f aca="false">Thesis!M80</f>
        <v>163.010483476259</v>
      </c>
      <c r="N48" s="4" t="s">
        <v>1049</v>
      </c>
    </row>
    <row r="49" customFormat="false" ht="17.15" hidden="false" customHeight="false" outlineLevel="0" collapsed="false">
      <c r="A49" s="2" t="s">
        <v>1050</v>
      </c>
      <c r="B49" s="7" t="s">
        <v>81</v>
      </c>
      <c r="C49" s="25" t="n">
        <f aca="false">C46</f>
        <v>112.39</v>
      </c>
      <c r="D49" s="25" t="n">
        <f aca="false">D46</f>
        <v>129.039</v>
      </c>
      <c r="E49" s="25" t="n">
        <f aca="false">E46</f>
        <v>121.042</v>
      </c>
      <c r="F49" s="25" t="n">
        <f aca="false">F46+(internal_ai_reading=2)*F48</f>
        <v>41.2855790000208</v>
      </c>
      <c r="G49" s="25" t="n">
        <f aca="false">G46+(internal_ai_reading=2)*G48</f>
        <v>162.327579000021</v>
      </c>
      <c r="H49" s="25" t="n">
        <f aca="false">H46+(internal_ai_reading=2)*H48</f>
        <v>200.350121632491</v>
      </c>
      <c r="I49" s="25" t="n">
        <f aca="false">I46+(internal_ai_reading=2)*I48</f>
        <v>254.060008673986</v>
      </c>
      <c r="J49" s="25" t="n">
        <f aca="false">J46+(internal_ai_reading=2)*J48</f>
        <v>307.225032039644</v>
      </c>
      <c r="K49" s="25" t="n">
        <f aca="false">K46+(internal_ai_reading=2)*K48</f>
        <v>348.362332706847</v>
      </c>
      <c r="L49" s="25" t="n">
        <f aca="false">L46+(internal_ai_reading=2)*L48</f>
        <v>373.199661593982</v>
      </c>
      <c r="M49" s="25" t="n">
        <f aca="false">M46+(internal_ai_reading=2)*M48</f>
        <v>388.28777558223</v>
      </c>
    </row>
    <row r="50" customFormat="false" ht="15" hidden="false" customHeight="false" outlineLevel="0" collapsed="false">
      <c r="A50" s="4" t="s">
        <v>1051</v>
      </c>
      <c r="B50" s="0" t="s">
        <v>106</v>
      </c>
      <c r="C50" s="14" t="n">
        <f aca="false">C46/C24</f>
        <v>0.321097772114577</v>
      </c>
      <c r="D50" s="14" t="n">
        <f aca="false">D46/D24</f>
        <v>0.3203263859238</v>
      </c>
      <c r="E50" s="14" t="n">
        <f aca="false">E46/E24</f>
        <v>0.338797936568804</v>
      </c>
      <c r="F50" s="14" t="n">
        <f aca="false">F46/F24</f>
        <v>0.275651544115966</v>
      </c>
      <c r="G50" s="14" t="n">
        <f aca="false">G46/G24</f>
        <v>0.320514219562043</v>
      </c>
      <c r="H50" s="14" t="n">
        <f aca="false">H46/H24</f>
        <v>0.267161955748911</v>
      </c>
      <c r="I50" s="14" t="n">
        <f aca="false">I46/I24</f>
        <v>0.236907197846446</v>
      </c>
      <c r="J50" s="14" t="n">
        <f aca="false">J46/J24</f>
        <v>0.221470467284965</v>
      </c>
      <c r="K50" s="14" t="n">
        <f aca="false">K46/K24</f>
        <v>0.213929627959552</v>
      </c>
      <c r="L50" s="14" t="n">
        <f aca="false">L46/L24</f>
        <v>0.203200728290523</v>
      </c>
      <c r="M50" s="14" t="n">
        <f aca="false">M46/M24</f>
        <v>0.192577835705233</v>
      </c>
    </row>
    <row r="51" customFormat="false" ht="17.15" hidden="false" customHeight="false" outlineLevel="0" collapsed="false">
      <c r="A51" s="0" t="s">
        <v>1052</v>
      </c>
      <c r="B51" s="0" t="s">
        <v>106</v>
      </c>
      <c r="C51" s="14" t="n">
        <f aca="false">C32/C17</f>
        <v>0.397674876201095</v>
      </c>
      <c r="D51" s="14" t="n">
        <f aca="false">D32/D17</f>
        <v>0.406756516233321</v>
      </c>
      <c r="E51" s="14" t="n">
        <f aca="false">E32/E17</f>
        <v>0.425308133585759</v>
      </c>
      <c r="F51" s="14" t="n">
        <f aca="false">F32/F17</f>
        <v>0.392329723506404</v>
      </c>
      <c r="G51" s="14" t="n">
        <f aca="false">G32/G17</f>
        <v>0.416069343470386</v>
      </c>
      <c r="H51" s="14" t="n">
        <f aca="false">H32/H17</f>
        <v>0.384081173458122</v>
      </c>
      <c r="I51" s="14" t="n">
        <f aca="false">I32/I17</f>
        <v>0.360163898739716</v>
      </c>
      <c r="J51" s="14" t="n">
        <f aca="false">J32/J17</f>
        <v>0.350276222663999</v>
      </c>
      <c r="K51" s="14" t="n">
        <f aca="false">K32/K17</f>
        <v>0.350956053836579</v>
      </c>
      <c r="L51" s="14" t="n">
        <f aca="false">L32/L17</f>
        <v>0.348374636096047</v>
      </c>
      <c r="M51" s="14" t="n">
        <f aca="false">M32/M17</f>
        <v>0.343603135715654</v>
      </c>
    </row>
    <row r="52" customFormat="false" ht="17.15" hidden="false" customHeight="false" outlineLevel="0" collapsed="false">
      <c r="A52" s="0" t="s">
        <v>1053</v>
      </c>
      <c r="B52" s="0" t="s">
        <v>106</v>
      </c>
      <c r="C52" s="14" t="n">
        <f aca="false">C35/C21</f>
        <v>0.141386569201231</v>
      </c>
      <c r="D52" s="14" t="n">
        <f aca="false">D35/D21</f>
        <v>0.236947449109957</v>
      </c>
      <c r="E52" s="14" t="n">
        <f aca="false">E35/E21</f>
        <v>0.351407191576717</v>
      </c>
      <c r="F52" s="14" t="n">
        <f aca="false">F35/F21</f>
        <v>0.312670778035838</v>
      </c>
      <c r="G52" s="14" t="n">
        <f aca="false">G35/G21</f>
        <v>0.338884485814341</v>
      </c>
      <c r="H52" s="14" t="n">
        <f aca="false">H35/H21</f>
        <v>0.328648283294202</v>
      </c>
      <c r="I52" s="14" t="n">
        <f aca="false">I35/I21</f>
        <v>0.319539017431576</v>
      </c>
      <c r="J52" s="14" t="n">
        <f aca="false">J35/J21</f>
        <v>0.308635253525808</v>
      </c>
      <c r="K52" s="14" t="n">
        <f aca="false">K35/K21</f>
        <v>0.295438859702769</v>
      </c>
      <c r="L52" s="14" t="n">
        <f aca="false">L35/L21</f>
        <v>0.281926344815525</v>
      </c>
      <c r="M52" s="14" t="n">
        <f aca="false">M35/M21</f>
        <v>0.2647120169072</v>
      </c>
    </row>
    <row r="53" customFormat="false" ht="17.15" hidden="false" customHeight="false" outlineLevel="0" collapsed="false">
      <c r="A53" s="4" t="s">
        <v>1054</v>
      </c>
      <c r="B53" s="0" t="s">
        <v>81</v>
      </c>
      <c r="F53" s="25" t="n">
        <f aca="false">r_cash*CF!F31*0.25</f>
        <v>1.659631</v>
      </c>
      <c r="G53" s="25" t="n">
        <f aca="false">F53</f>
        <v>1.659631</v>
      </c>
      <c r="H53" s="25" t="n">
        <f aca="false">r_cash*CF!H31*1</f>
        <v>6.22324507063239</v>
      </c>
      <c r="I53" s="25" t="n">
        <f aca="false">r_cash*CF!I31*1</f>
        <v>3.31951481582268</v>
      </c>
      <c r="J53" s="25" t="n">
        <f aca="false">r_cash*CF!J31*1</f>
        <v>1.9</v>
      </c>
      <c r="K53" s="25" t="n">
        <f aca="false">r_cash*CF!K31*1</f>
        <v>3.15429393497872</v>
      </c>
      <c r="L53" s="25" t="n">
        <f aca="false">r_cash*CF!L31*1</f>
        <v>6.85351526724718</v>
      </c>
      <c r="M53" s="25" t="n">
        <f aca="false">r_cash*CF!M31*1</f>
        <v>12.5622514424797</v>
      </c>
    </row>
    <row r="54" customFormat="false" ht="17.15" hidden="false" customHeight="false" outlineLevel="0" collapsed="false">
      <c r="A54" s="4" t="s">
        <v>1055</v>
      </c>
      <c r="B54" s="0" t="s">
        <v>81</v>
      </c>
      <c r="F54" s="25" t="n">
        <f aca="false">r_debt*CF!F38*0.25</f>
        <v>1.51746</v>
      </c>
      <c r="G54" s="25" t="n">
        <f aca="false">F54</f>
        <v>1.51746</v>
      </c>
      <c r="H54" s="25" t="n">
        <f aca="false">r_debt*CF!H38*1</f>
        <v>6.06984</v>
      </c>
      <c r="I54" s="25" t="n">
        <f aca="false">r_debt*CF!I38*1</f>
        <v>6.02184</v>
      </c>
      <c r="J54" s="25" t="n">
        <f aca="false">r_debt*CF!J38*1</f>
        <v>5.893392</v>
      </c>
      <c r="K54" s="25" t="n">
        <f aca="false">r_debt*CF!K38*1</f>
        <v>5.80872</v>
      </c>
      <c r="L54" s="25" t="n">
        <f aca="false">r_debt*CF!L38*1</f>
        <v>5.463792</v>
      </c>
      <c r="M54" s="25" t="n">
        <f aca="false">r_debt*CF!M38*1</f>
        <v>5.223792</v>
      </c>
    </row>
    <row r="55" customFormat="false" ht="17.15" hidden="false" customHeight="false" outlineLevel="0" collapsed="false">
      <c r="A55" s="4" t="s">
        <v>1056</v>
      </c>
      <c r="B55" s="0" t="s">
        <v>81</v>
      </c>
      <c r="D55" s="25" t="n">
        <f aca="false">SUM(Q!C33:F33)</f>
        <v>24.08</v>
      </c>
      <c r="E55" s="25" t="n">
        <f aca="false">Q!L33</f>
        <v>127.282</v>
      </c>
      <c r="F55" s="27" t="n">
        <v>0</v>
      </c>
      <c r="G55" s="25" t="n">
        <f aca="false">E55+F55</f>
        <v>127.282</v>
      </c>
      <c r="H55" s="27" t="n">
        <v>0</v>
      </c>
      <c r="I55" s="27" t="n">
        <v>0</v>
      </c>
      <c r="J55" s="27" t="n">
        <v>0</v>
      </c>
      <c r="K55" s="27" t="n">
        <v>0</v>
      </c>
      <c r="L55" s="27" t="n">
        <v>0</v>
      </c>
      <c r="M55" s="27" t="n">
        <v>0</v>
      </c>
      <c r="N55" s="7" t="s">
        <v>1057</v>
      </c>
    </row>
    <row r="56" customFormat="false" ht="15" hidden="false" customHeight="false" outlineLevel="0" collapsed="false">
      <c r="A56" s="4" t="s">
        <v>1058</v>
      </c>
      <c r="B56" s="0" t="s">
        <v>81</v>
      </c>
      <c r="C56" s="25" t="n">
        <f aca="false">Q!J32</f>
        <v>7.425</v>
      </c>
      <c r="D56" s="25" t="n">
        <f aca="false">Q!K32</f>
        <v>29.787</v>
      </c>
      <c r="E56" s="25" t="n">
        <f aca="false">Q!L32</f>
        <v>127.478</v>
      </c>
      <c r="F56" s="25" t="n">
        <f aca="false">F53-F54+F55</f>
        <v>0.142171</v>
      </c>
      <c r="G56" s="25" t="n">
        <f aca="false">E56+F56</f>
        <v>127.620171</v>
      </c>
      <c r="H56" s="25" t="n">
        <f aca="false">H53-H54+H55</f>
        <v>0.15340507063239</v>
      </c>
      <c r="I56" s="25" t="n">
        <f aca="false">I53-I54+I55</f>
        <v>-2.70232518417732</v>
      </c>
      <c r="J56" s="25" t="n">
        <f aca="false">J53-J54+J55</f>
        <v>-3.993392</v>
      </c>
      <c r="K56" s="25" t="n">
        <f aca="false">K53-K54+K55</f>
        <v>-2.65442606502128</v>
      </c>
      <c r="L56" s="25" t="n">
        <f aca="false">L53-L54+L55</f>
        <v>1.38972326724718</v>
      </c>
      <c r="M56" s="25" t="n">
        <f aca="false">M53-M54+M55</f>
        <v>7.33845944247966</v>
      </c>
    </row>
    <row r="57" customFormat="false" ht="15" hidden="false" customHeight="false" outlineLevel="0" collapsed="false">
      <c r="A57" s="4" t="s">
        <v>826</v>
      </c>
      <c r="B57" s="0" t="s">
        <v>81</v>
      </c>
      <c r="C57" s="25" t="n">
        <f aca="false">C46+C56</f>
        <v>119.815</v>
      </c>
      <c r="D57" s="25" t="n">
        <f aca="false">D46+D56</f>
        <v>158.826</v>
      </c>
      <c r="E57" s="25" t="n">
        <f aca="false">E46+E56</f>
        <v>248.52</v>
      </c>
      <c r="F57" s="25" t="n">
        <f aca="false">F46+F56</f>
        <v>40.2782631327673</v>
      </c>
      <c r="G57" s="25" t="n">
        <f aca="false">G46+G56</f>
        <v>288.798263132767</v>
      </c>
      <c r="H57" s="25" t="n">
        <f aca="false">H46+H56</f>
        <v>171.784720246097</v>
      </c>
      <c r="I57" s="25" t="n">
        <f aca="false">I46+I56</f>
        <v>182.461932351842</v>
      </c>
      <c r="J57" s="25" t="n">
        <f aca="false">J46+J56</f>
        <v>197.646458999145</v>
      </c>
      <c r="K57" s="25" t="n">
        <f aca="false">K46+K56</f>
        <v>212.430037590388</v>
      </c>
      <c r="L57" s="25" t="n">
        <f aca="false">L46+L56</f>
        <v>222.233015161311</v>
      </c>
      <c r="M57" s="25" t="n">
        <f aca="false">M46+M56</f>
        <v>232.61575154845</v>
      </c>
    </row>
    <row r="58" customFormat="false" ht="15" hidden="false" customHeight="false" outlineLevel="0" collapsed="false">
      <c r="A58" s="4" t="s">
        <v>828</v>
      </c>
      <c r="B58" s="0" t="s">
        <v>81</v>
      </c>
      <c r="C58" s="25" t="n">
        <f aca="false">Q!J36</f>
        <v>19.697</v>
      </c>
      <c r="D58" s="25" t="n">
        <f aca="false">Q!K36</f>
        <v>26.656</v>
      </c>
      <c r="E58" s="25" t="n">
        <f aca="false">Q!L36</f>
        <v>47.281</v>
      </c>
      <c r="F58" s="25" t="n">
        <f aca="false">F57*tax</f>
        <v>6.76674820630491</v>
      </c>
      <c r="G58" s="25" t="n">
        <f aca="false">E58+F58</f>
        <v>54.0477482063049</v>
      </c>
      <c r="H58" s="25" t="n">
        <f aca="false">H57*tax</f>
        <v>28.8598330013443</v>
      </c>
      <c r="I58" s="25" t="n">
        <f aca="false">I57*tax</f>
        <v>30.6536046351094</v>
      </c>
      <c r="J58" s="25" t="n">
        <f aca="false">J57*tax</f>
        <v>33.2046051118563</v>
      </c>
      <c r="K58" s="25" t="n">
        <f aca="false">K57*tax</f>
        <v>35.6882463151852</v>
      </c>
      <c r="L58" s="25" t="n">
        <f aca="false">L57*tax</f>
        <v>37.3351465471002</v>
      </c>
      <c r="M58" s="25" t="n">
        <f aca="false">M57*tax</f>
        <v>39.0794462601397</v>
      </c>
    </row>
    <row r="59" customFormat="false" ht="15" hidden="false" customHeight="false" outlineLevel="0" collapsed="false">
      <c r="A59" s="2" t="s">
        <v>829</v>
      </c>
      <c r="B59" s="7" t="s">
        <v>81</v>
      </c>
      <c r="C59" s="25" t="n">
        <f aca="false">C57-C58</f>
        <v>100.118</v>
      </c>
      <c r="D59" s="25" t="n">
        <f aca="false">D57-D58</f>
        <v>132.17</v>
      </c>
      <c r="E59" s="25" t="n">
        <f aca="false">E57-E58</f>
        <v>201.239</v>
      </c>
      <c r="F59" s="25" t="n">
        <f aca="false">F57-F58</f>
        <v>33.5115149264624</v>
      </c>
      <c r="G59" s="25" t="n">
        <f aca="false">G57-G58</f>
        <v>234.750514926462</v>
      </c>
      <c r="H59" s="25" t="n">
        <f aca="false">H57-H58</f>
        <v>142.924887244753</v>
      </c>
      <c r="I59" s="25" t="n">
        <f aca="false">I57-I58</f>
        <v>151.808327716732</v>
      </c>
      <c r="J59" s="25" t="n">
        <f aca="false">J57-J58</f>
        <v>164.441853887288</v>
      </c>
      <c r="K59" s="25" t="n">
        <f aca="false">K57-K58</f>
        <v>176.741791275203</v>
      </c>
      <c r="L59" s="25" t="n">
        <f aca="false">L57-L58</f>
        <v>184.897868614211</v>
      </c>
      <c r="M59" s="25" t="n">
        <f aca="false">M57-M58</f>
        <v>193.536305288311</v>
      </c>
    </row>
    <row r="60" customFormat="false" ht="17.15" hidden="false" customHeight="false" outlineLevel="0" collapsed="false">
      <c r="A60" s="4" t="s">
        <v>1059</v>
      </c>
      <c r="B60" s="0" t="s">
        <v>81</v>
      </c>
      <c r="C60" s="21" t="n">
        <f aca="false">C59-Q!J37</f>
        <v>0</v>
      </c>
      <c r="D60" s="21" t="n">
        <f aca="false">D59-Q!K37</f>
        <v>0</v>
      </c>
      <c r="E60" s="21" t="n">
        <f aca="false">E59-Q!L37</f>
        <v>0</v>
      </c>
    </row>
    <row r="61" customFormat="false" ht="15" hidden="false" customHeight="false" outlineLevel="0" collapsed="false">
      <c r="A61" s="4" t="s">
        <v>1060</v>
      </c>
      <c r="B61" s="0" t="s">
        <v>81</v>
      </c>
      <c r="E61" s="25" t="n">
        <f aca="false">pref_1H</f>
        <v>0.384</v>
      </c>
      <c r="F61" s="25" t="n">
        <f aca="false">pref_2H</f>
        <v>0.301</v>
      </c>
      <c r="G61" s="25" t="n">
        <f aca="false">E61+F61</f>
        <v>0.685</v>
      </c>
      <c r="H61" s="25" t="n">
        <f aca="false">pref_27</f>
        <v>1.203</v>
      </c>
      <c r="I61" s="25" t="n">
        <f aca="false">pref_28</f>
        <v>1.203</v>
      </c>
      <c r="J61" s="25" t="n">
        <f aca="false">pref_29</f>
        <v>0.602</v>
      </c>
      <c r="K61" s="27" t="n">
        <v>0</v>
      </c>
      <c r="L61" s="27" t="n">
        <v>0</v>
      </c>
      <c r="M61" s="27" t="n">
        <v>0</v>
      </c>
    </row>
    <row r="62" customFormat="false" ht="15" hidden="false" customHeight="false" outlineLevel="0" collapsed="false">
      <c r="A62" s="4" t="s">
        <v>1061</v>
      </c>
      <c r="B62" s="0" t="s">
        <v>81</v>
      </c>
      <c r="E62" s="25" t="n">
        <f aca="false">E59-E61</f>
        <v>200.855</v>
      </c>
      <c r="F62" s="25" t="n">
        <f aca="false">F59-F61</f>
        <v>33.2105149264624</v>
      </c>
      <c r="G62" s="25" t="n">
        <f aca="false">G59-G61</f>
        <v>234.065514926462</v>
      </c>
      <c r="H62" s="25" t="n">
        <f aca="false">H59-H61</f>
        <v>141.721887244753</v>
      </c>
      <c r="I62" s="25" t="n">
        <f aca="false">I59-I61</f>
        <v>150.605327716732</v>
      </c>
      <c r="J62" s="25" t="n">
        <f aca="false">J59-J61</f>
        <v>163.839853887288</v>
      </c>
      <c r="K62" s="25" t="n">
        <f aca="false">K59-K61</f>
        <v>176.741791275203</v>
      </c>
      <c r="L62" s="25" t="n">
        <f aca="false">L59-L61</f>
        <v>184.897868614211</v>
      </c>
      <c r="M62" s="25" t="n">
        <f aca="false">M59-M61</f>
        <v>193.536305288311</v>
      </c>
    </row>
    <row r="63" customFormat="false" ht="17.15" hidden="false" customHeight="false" outlineLevel="0" collapsed="false">
      <c r="A63" s="4" t="s">
        <v>1062</v>
      </c>
      <c r="B63" s="4" t="s">
        <v>64</v>
      </c>
      <c r="E63" s="21" t="n">
        <f aca="false">sh_dil_q2+(sh_out-sh_basic_q2)</f>
        <v>12.406</v>
      </c>
      <c r="F63" s="21" t="n">
        <f aca="false">E63*(1+dil*0.25)-CF!F34/CF!F41</f>
        <v>12.437015</v>
      </c>
      <c r="H63" s="21" t="n">
        <f aca="false">F63*(1+dil*1)-CF!H34/CF!H41</f>
        <v>12.5156761069993</v>
      </c>
      <c r="I63" s="21" t="n">
        <f aca="false">H63*(1+dil*1)-CF!I34/CF!I41</f>
        <v>12.6323572475893</v>
      </c>
      <c r="J63" s="21" t="n">
        <f aca="false">I63*(1+dil*1)-CF!J34/CF!J41+conv_sh</f>
        <v>12.7761531122447</v>
      </c>
      <c r="K63" s="21" t="n">
        <f aca="false">J63*(1+dil*1)-CF!K34/CF!K41</f>
        <v>12.8704530866003</v>
      </c>
      <c r="L63" s="21" t="n">
        <f aca="false">K63*(1+dil*1)-CF!L34/CF!L41</f>
        <v>12.9690002000822</v>
      </c>
      <c r="M63" s="21" t="n">
        <f aca="false">L63*(1+dil*1)-CF!M34/CF!M41</f>
        <v>13.0715106590146</v>
      </c>
      <c r="N63" s="7" t="s">
        <v>1063</v>
      </c>
    </row>
    <row r="64" customFormat="false" ht="15" hidden="false" customHeight="false" outlineLevel="0" collapsed="false">
      <c r="A64" s="4" t="s">
        <v>1064</v>
      </c>
      <c r="B64" s="4" t="s">
        <v>64</v>
      </c>
      <c r="C64" s="21" t="n">
        <f aca="false">Q!J39</f>
        <v>12.447</v>
      </c>
      <c r="D64" s="21" t="n">
        <f aca="false">Q!K39</f>
        <v>12.23</v>
      </c>
      <c r="E64" s="21" t="n">
        <f aca="false">Q!L39</f>
        <v>12.324</v>
      </c>
      <c r="F64" s="21" t="n">
        <f aca="false">E63*(1+dil*0.125)</f>
        <v>12.4215075</v>
      </c>
      <c r="G64" s="21" t="n">
        <f aca="false">0.75*E64+0.25*F64</f>
        <v>12.348376875</v>
      </c>
      <c r="H64" s="21" t="n">
        <f aca="false">(F63+H63)/2</f>
        <v>12.4763455534997</v>
      </c>
      <c r="I64" s="21" t="n">
        <f aca="false">(H63+I63)/2</f>
        <v>12.5740166772943</v>
      </c>
      <c r="J64" s="21" t="n">
        <f aca="false">(I63+J63)/2</f>
        <v>12.704255179917</v>
      </c>
      <c r="K64" s="21" t="n">
        <f aca="false">(J63+K63)/2</f>
        <v>12.8233030994225</v>
      </c>
      <c r="L64" s="21" t="n">
        <f aca="false">(K63+L63)/2</f>
        <v>12.9197266433413</v>
      </c>
      <c r="M64" s="21" t="n">
        <f aca="false">(L63+M63)/2</f>
        <v>13.0202554295484</v>
      </c>
    </row>
    <row r="65" customFormat="false" ht="17.15" hidden="false" customHeight="false" outlineLevel="0" collapsed="false">
      <c r="A65" s="5" t="s">
        <v>1065</v>
      </c>
      <c r="B65" s="7" t="s">
        <v>54</v>
      </c>
      <c r="C65" s="23" t="n">
        <f aca="false">C59/C64</f>
        <v>8.04354462922793</v>
      </c>
      <c r="D65" s="23" t="n">
        <f aca="false">D59/D64</f>
        <v>10.807031888798</v>
      </c>
      <c r="E65" s="23" t="n">
        <f aca="false">E62/E64</f>
        <v>16.2978740668614</v>
      </c>
      <c r="F65" s="23" t="n">
        <f aca="false">F62/F64</f>
        <v>2.67362998625267</v>
      </c>
      <c r="G65" s="23" t="n">
        <f aca="false">G62/G64</f>
        <v>18.955164496181</v>
      </c>
      <c r="H65" s="23" t="n">
        <f aca="false">H62/H64</f>
        <v>11.3592467150767</v>
      </c>
      <c r="I65" s="23" t="n">
        <f aca="false">I62/I64</f>
        <v>11.9775034169225</v>
      </c>
      <c r="J65" s="23" t="n">
        <f aca="false">J62/J64</f>
        <v>12.8964548938129</v>
      </c>
      <c r="K65" s="23" t="n">
        <f aca="false">K62/K64</f>
        <v>13.7828599936285</v>
      </c>
      <c r="L65" s="23" t="n">
        <f aca="false">L62/L64</f>
        <v>14.3112833358208</v>
      </c>
      <c r="M65" s="23" t="n">
        <f aca="false">M62/M64</f>
        <v>14.8642479662185</v>
      </c>
    </row>
    <row r="66" customFormat="false" ht="17.15" hidden="false" customHeight="false" outlineLevel="0" collapsed="false">
      <c r="A66" s="0" t="s">
        <v>1066</v>
      </c>
      <c r="B66" s="0" t="s">
        <v>54</v>
      </c>
      <c r="E66" s="23" t="n">
        <f aca="false">(E62-E55*(1-tax_eq))/E64</f>
        <v>8.13877150275885</v>
      </c>
      <c r="F66" s="23" t="n">
        <f aca="false">(F62-F55*(1-tax_eq))/F64</f>
        <v>2.67362998625267</v>
      </c>
      <c r="G66" s="23" t="n">
        <f aca="false">(G62-G55*(1-tax_eq))/G64</f>
        <v>10.8121687795881</v>
      </c>
      <c r="H66" s="23" t="n">
        <f aca="false">(H62-H55*(1-tax_eq))/H64</f>
        <v>11.3592467150767</v>
      </c>
      <c r="I66" s="23" t="n">
        <f aca="false">(I62-I55*(1-tax_eq))/I64</f>
        <v>11.9775034169225</v>
      </c>
      <c r="J66" s="23" t="n">
        <f aca="false">(J62-J55*(1-tax_eq))/J64</f>
        <v>12.8964548938129</v>
      </c>
      <c r="K66" s="23" t="n">
        <f aca="false">(K62-K55*(1-tax_eq))/K64</f>
        <v>13.7828599936285</v>
      </c>
      <c r="L66" s="23" t="n">
        <f aca="false">(L62-L55*(1-tax_eq))/L64</f>
        <v>14.3112833358208</v>
      </c>
      <c r="M66" s="23" t="n">
        <f aca="false">(M62-M55*(1-tax_eq))/M64</f>
        <v>14.8642479662185</v>
      </c>
      <c r="N66" s="4" t="s">
        <v>1067</v>
      </c>
    </row>
    <row r="67" customFormat="false" ht="17.15" hidden="false" customHeight="false" outlineLevel="0" collapsed="false">
      <c r="A67" s="0" t="s">
        <v>1068</v>
      </c>
      <c r="B67" s="0" t="s">
        <v>54</v>
      </c>
      <c r="F67" s="23" t="n">
        <f aca="false">(F62+(internal_ai_reading=2)*F48*(1-tax))/F64</f>
        <v>2.75062330397637</v>
      </c>
      <c r="G67" s="23" t="n">
        <f aca="false">(G62+(internal_ai_reading=2)*G48*(1-tax))/G64</f>
        <v>19.0326137903867</v>
      </c>
      <c r="H67" s="23" t="n">
        <f aca="false">(H62+(internal_ai_reading=2)*H48*(1-tax))/H64</f>
        <v>13.2743946139375</v>
      </c>
      <c r="I67" s="23" t="n">
        <f aca="false">(I62+(internal_ai_reading=2)*I48*(1-tax))/I64</f>
        <v>16.5362109817293</v>
      </c>
      <c r="J67" s="23" t="n">
        <f aca="false">(J62+(internal_ai_reading=2)*J48*(1-tax))/J64</f>
        <v>19.8112145063689</v>
      </c>
      <c r="K67" s="23" t="n">
        <f aca="false">(K62+(internal_ai_reading=2)*K48*(1-tax))/K64</f>
        <v>22.4301785660008</v>
      </c>
      <c r="L67" s="23" t="n">
        <f aca="false">(L62+(internal_ai_reading=2)*L48*(1-tax))/L64</f>
        <v>24.1226751004959</v>
      </c>
      <c r="M67" s="23" t="n">
        <f aca="false">(M62+(internal_ai_reading=2)*M48*(1-tax))/M64</f>
        <v>25.2806889482026</v>
      </c>
      <c r="N67" s="4" t="s">
        <v>1069</v>
      </c>
    </row>
    <row r="68" customFormat="false" ht="15" hidden="false" customHeight="false" outlineLevel="0" collapsed="false">
      <c r="A68" s="4" t="s">
        <v>1070</v>
      </c>
      <c r="B68" s="0" t="s">
        <v>81</v>
      </c>
      <c r="C68" s="25" t="n">
        <f aca="false">Q!J44</f>
        <v>22.785</v>
      </c>
      <c r="D68" s="25" t="n">
        <f aca="false">Q!K44</f>
        <v>24.953</v>
      </c>
      <c r="E68" s="25" t="n">
        <f aca="false">Q!L44</f>
        <v>23.338</v>
      </c>
      <c r="F68" s="25" t="n">
        <f aca="false">F24*sbc_r</f>
        <v>9.39148717946017</v>
      </c>
      <c r="G68" s="25" t="n">
        <f aca="false">E68+F68</f>
        <v>32.7294871794602</v>
      </c>
      <c r="H68" s="25" t="n">
        <f aca="false">H24*sbc_r</f>
        <v>41.4363631894569</v>
      </c>
      <c r="I68" s="25" t="n">
        <f aca="false">I24*sbc_r</f>
        <v>50.4125443196297</v>
      </c>
      <c r="J68" s="25" t="n">
        <f aca="false">J24*sbc_r</f>
        <v>58.7246261268342</v>
      </c>
      <c r="K68" s="25" t="n">
        <f aca="false">K24*sbc_r</f>
        <v>64.8481841346301</v>
      </c>
      <c r="L68" s="25" t="n">
        <f aca="false">L24*sbc_r</f>
        <v>70.1001046945137</v>
      </c>
      <c r="M68" s="25" t="n">
        <f aca="false">M24*sbc_r</f>
        <v>75.4520128841613</v>
      </c>
    </row>
    <row r="70" customFormat="false" ht="17.15" hidden="false" customHeight="false" outlineLevel="0" collapsed="false">
      <c r="A70" s="28" t="s">
        <v>1018</v>
      </c>
    </row>
    <row r="71" customFormat="false" ht="15" hidden="false" customHeight="false" outlineLevel="0" collapsed="false">
      <c r="A71" s="3" t="s">
        <v>43</v>
      </c>
      <c r="B71" s="3" t="s">
        <v>44</v>
      </c>
      <c r="C71" s="20" t="s">
        <v>905</v>
      </c>
      <c r="D71" s="20" t="s">
        <v>906</v>
      </c>
      <c r="E71" s="20" t="s">
        <v>907</v>
      </c>
      <c r="F71" s="20" t="s">
        <v>908</v>
      </c>
      <c r="G71" s="20" t="s">
        <v>909</v>
      </c>
      <c r="H71" s="20" t="s">
        <v>910</v>
      </c>
      <c r="I71" s="20" t="s">
        <v>911</v>
      </c>
      <c r="J71" s="20" t="s">
        <v>912</v>
      </c>
      <c r="K71" s="20" t="s">
        <v>913</v>
      </c>
      <c r="L71" s="20" t="s">
        <v>914</v>
      </c>
      <c r="M71" s="20" t="s">
        <v>915</v>
      </c>
      <c r="N71" s="3" t="s">
        <v>50</v>
      </c>
    </row>
    <row r="72" customFormat="false" ht="15" hidden="false" customHeight="false" outlineLevel="0" collapsed="false">
      <c r="A72" s="0" t="s">
        <v>796</v>
      </c>
      <c r="B72" s="0" t="s">
        <v>81</v>
      </c>
      <c r="C72" s="25" t="n">
        <f aca="false">Seg!C47</f>
        <v>198.084</v>
      </c>
      <c r="D72" s="25" t="n">
        <f aca="false">Seg!D47</f>
        <v>224.532</v>
      </c>
      <c r="E72" s="25" t="n">
        <f aca="false">Seg!E47</f>
        <v>187.02</v>
      </c>
      <c r="F72" s="25" t="n">
        <f aca="false">Seg!F47</f>
        <v>73.2001308116737</v>
      </c>
      <c r="G72" s="25" t="n">
        <f aca="false">Seg!G47</f>
        <v>260.220130811674</v>
      </c>
      <c r="H72" s="25" t="n">
        <f aca="false">Seg!H47</f>
        <v>296.760643624354</v>
      </c>
      <c r="I72" s="25" t="n">
        <f aca="false">Seg!I47</f>
        <v>332.455319505998</v>
      </c>
      <c r="J72" s="25" t="n">
        <f aca="false">Seg!J47</f>
        <v>365.747566417523</v>
      </c>
      <c r="K72" s="25" t="n">
        <f aca="false">Seg!K47</f>
        <v>395.007371730925</v>
      </c>
      <c r="L72" s="25" t="n">
        <f aca="false">Seg!L47</f>
        <v>426.607961469399</v>
      </c>
      <c r="M72" s="25" t="n">
        <f aca="false">Seg!M47</f>
        <v>460.73659838695</v>
      </c>
    </row>
    <row r="73" customFormat="false" ht="15" hidden="false" customHeight="false" outlineLevel="0" collapsed="false">
      <c r="A73" s="0" t="s">
        <v>799</v>
      </c>
      <c r="B73" s="0" t="s">
        <v>81</v>
      </c>
      <c r="C73" s="25" t="n">
        <f aca="false">Seg!C49</f>
        <v>36.147</v>
      </c>
      <c r="D73" s="25" t="n">
        <f aca="false">Seg!D49</f>
        <v>40.367</v>
      </c>
      <c r="E73" s="25" t="n">
        <f aca="false">Seg!E49</f>
        <v>32.145</v>
      </c>
      <c r="F73" s="25" t="n">
        <f aca="false">Seg!F49</f>
        <v>12.5574479560027</v>
      </c>
      <c r="G73" s="25" t="n">
        <f aca="false">Seg!G49</f>
        <v>44.7024479560027</v>
      </c>
      <c r="H73" s="25" t="n">
        <f aca="false">Seg!H49</f>
        <v>49.0556486301966</v>
      </c>
      <c r="I73" s="25" t="n">
        <f aca="false">Seg!I49</f>
        <v>53.5485477838786</v>
      </c>
      <c r="J73" s="25" t="n">
        <f aca="false">Seg!J49</f>
        <v>58.1426866566148</v>
      </c>
      <c r="K73" s="25" t="n">
        <f aca="false">Seg!K49</f>
        <v>62.794101589144</v>
      </c>
      <c r="L73" s="25" t="n">
        <f aca="false">Seg!L49</f>
        <v>67.8176297162755</v>
      </c>
      <c r="M73" s="25" t="n">
        <f aca="false">Seg!M49</f>
        <v>73.2430400935775</v>
      </c>
    </row>
    <row r="74" customFormat="false" ht="15" hidden="false" customHeight="false" outlineLevel="0" collapsed="false">
      <c r="A74" s="0" t="s">
        <v>800</v>
      </c>
      <c r="B74" s="0" t="s">
        <v>81</v>
      </c>
      <c r="C74" s="25" t="n">
        <f aca="false">Seg!C51</f>
        <v>30.359</v>
      </c>
      <c r="D74" s="25" t="n">
        <f aca="false">Seg!D51</f>
        <v>29.792</v>
      </c>
      <c r="E74" s="25" t="n">
        <f aca="false">Seg!E51</f>
        <v>21.729</v>
      </c>
      <c r="F74" s="25" t="n">
        <f aca="false">Seg!F51</f>
        <v>7.73354488936426</v>
      </c>
      <c r="G74" s="25" t="n">
        <f aca="false">Seg!G51</f>
        <v>29.4625448893643</v>
      </c>
      <c r="H74" s="25" t="n">
        <f aca="false">Seg!H51</f>
        <v>29.1959166378503</v>
      </c>
      <c r="I74" s="25" t="n">
        <f aca="false">Seg!I51</f>
        <v>29.0197730803554</v>
      </c>
      <c r="J74" s="25" t="n">
        <f aca="false">Seg!J51</f>
        <v>28.9322326525025</v>
      </c>
      <c r="K74" s="25" t="n">
        <f aca="false">Seg!K51</f>
        <v>28.9322326525025</v>
      </c>
      <c r="L74" s="25" t="n">
        <f aca="false">Seg!L51</f>
        <v>28.9322326525025</v>
      </c>
      <c r="M74" s="25" t="n">
        <f aca="false">Seg!M51</f>
        <v>28.9322326525025</v>
      </c>
    </row>
    <row r="75" customFormat="false" ht="15" hidden="false" customHeight="false" outlineLevel="0" collapsed="false">
      <c r="A75" s="0" t="s">
        <v>801</v>
      </c>
      <c r="B75" s="0" t="s">
        <v>81</v>
      </c>
      <c r="C75" s="25" t="n">
        <f aca="false">Seg!C53</f>
        <v>40.34</v>
      </c>
      <c r="D75" s="25" t="n">
        <f aca="false">Seg!D53</f>
        <v>48.03</v>
      </c>
      <c r="E75" s="25" t="n">
        <f aca="false">Seg!E53</f>
        <v>39.585</v>
      </c>
      <c r="F75" s="25" t="n">
        <f aca="false">Seg!F53</f>
        <v>15.6633875230552</v>
      </c>
      <c r="G75" s="25" t="n">
        <f aca="false">Seg!G53</f>
        <v>55.2483875230552</v>
      </c>
      <c r="H75" s="25" t="n">
        <f aca="false">Seg!H53</f>
        <v>62.9936216261504</v>
      </c>
      <c r="I75" s="25" t="n">
        <f aca="false">Seg!I53</f>
        <v>70.9807645048962</v>
      </c>
      <c r="J75" s="25" t="n">
        <f aca="false">Seg!J53</f>
        <v>79.0297306046472</v>
      </c>
      <c r="K75" s="25" t="n">
        <f aca="false">Seg!K53</f>
        <v>86.9327036651119</v>
      </c>
      <c r="L75" s="25" t="n">
        <f aca="false">Seg!L53</f>
        <v>95.6259740316231</v>
      </c>
      <c r="M75" s="25" t="n">
        <f aca="false">Seg!M53</f>
        <v>105.188571434785</v>
      </c>
    </row>
    <row r="76" customFormat="false" ht="15" hidden="false" customHeight="false" outlineLevel="0" collapsed="false">
      <c r="A76" s="29" t="s">
        <v>995</v>
      </c>
      <c r="B76" s="30" t="s">
        <v>81</v>
      </c>
      <c r="C76" s="31" t="n">
        <f aca="false">Seg!C54</f>
        <v>304.93</v>
      </c>
      <c r="D76" s="31" t="n">
        <f aca="false">Seg!D54</f>
        <v>342.721</v>
      </c>
      <c r="E76" s="31" t="n">
        <f aca="false">Seg!E54</f>
        <v>280.479</v>
      </c>
      <c r="F76" s="31" t="n">
        <f aca="false">Seg!F54</f>
        <v>109.154511180096</v>
      </c>
      <c r="G76" s="31" t="n">
        <f aca="false">Seg!G54</f>
        <v>389.633511180096</v>
      </c>
      <c r="H76" s="31" t="n">
        <f aca="false">Seg!H54</f>
        <v>438.005830518551</v>
      </c>
      <c r="I76" s="31" t="n">
        <f aca="false">Seg!I54</f>
        <v>486.004404875128</v>
      </c>
      <c r="J76" s="31" t="n">
        <f aca="false">Seg!J54</f>
        <v>531.852216331287</v>
      </c>
      <c r="K76" s="31" t="n">
        <f aca="false">Seg!K54</f>
        <v>573.666409637683</v>
      </c>
      <c r="L76" s="31" t="n">
        <f aca="false">Seg!L54</f>
        <v>618.9837978698</v>
      </c>
      <c r="M76" s="31" t="n">
        <f aca="false">Seg!M54</f>
        <v>668.100442567816</v>
      </c>
      <c r="N76" s="30"/>
    </row>
    <row r="77" customFormat="false" ht="17.15" hidden="false" customHeight="false" outlineLevel="0" collapsed="false">
      <c r="A77" s="0" t="s">
        <v>996</v>
      </c>
      <c r="B77" s="0" t="s">
        <v>81</v>
      </c>
      <c r="E77" s="25" t="n">
        <f aca="false">Seg!E55</f>
        <v>13.1190558790519</v>
      </c>
      <c r="F77" s="25" t="n">
        <f aca="false">Seg!F55</f>
        <v>6.05015497275625</v>
      </c>
      <c r="G77" s="25" t="n">
        <f aca="false">Seg!G55</f>
        <v>19.1692108518081</v>
      </c>
      <c r="H77" s="25" t="n">
        <f aca="false">Seg!H55</f>
        <v>36.6157989143902</v>
      </c>
      <c r="I77" s="25" t="n">
        <f aca="false">Seg!I55</f>
        <v>57.2951603365358</v>
      </c>
      <c r="J77" s="25" t="n">
        <f aca="false">Seg!J55</f>
        <v>76.1794729031624</v>
      </c>
      <c r="K77" s="25" t="n">
        <f aca="false">Seg!K55</f>
        <v>90.4330979280781</v>
      </c>
      <c r="L77" s="25" t="n">
        <f aca="false">Seg!L55</f>
        <v>100.252938969643</v>
      </c>
      <c r="M77" s="25" t="n">
        <f aca="false">Seg!M55</f>
        <v>105.736687700744</v>
      </c>
    </row>
    <row r="78" customFormat="false" ht="17.15" hidden="false" customHeight="false" outlineLevel="0" collapsed="false">
      <c r="A78" s="0" t="s">
        <v>998</v>
      </c>
      <c r="B78" s="0" t="s">
        <v>81</v>
      </c>
      <c r="E78" s="25" t="n">
        <f aca="false">Seg!E56</f>
        <v>0</v>
      </c>
      <c r="F78" s="25" t="n">
        <f aca="false">Seg!F56</f>
        <v>1</v>
      </c>
      <c r="G78" s="25" t="n">
        <f aca="false">Seg!G56</f>
        <v>1</v>
      </c>
      <c r="H78" s="25" t="n">
        <f aca="false">Seg!H56</f>
        <v>13</v>
      </c>
      <c r="I78" s="25" t="n">
        <f aca="false">Seg!I56</f>
        <v>13</v>
      </c>
      <c r="J78" s="25" t="n">
        <f aca="false">Seg!J56</f>
        <v>13</v>
      </c>
      <c r="K78" s="25" t="n">
        <f aca="false">Seg!K56</f>
        <v>13</v>
      </c>
      <c r="L78" s="25" t="n">
        <f aca="false">Seg!L56</f>
        <v>13</v>
      </c>
      <c r="M78" s="25" t="n">
        <f aca="false">Seg!M56</f>
        <v>13</v>
      </c>
    </row>
    <row r="79" customFormat="false" ht="17.15" hidden="false" customHeight="false" outlineLevel="0" collapsed="false">
      <c r="A79" s="0" t="s">
        <v>1002</v>
      </c>
      <c r="B79" s="0" t="s">
        <v>81</v>
      </c>
      <c r="E79" s="25" t="n">
        <f aca="false">Seg!E58</f>
        <v>62.3859441209481</v>
      </c>
      <c r="F79" s="25" t="n">
        <f aca="false">Seg!F58</f>
        <v>29.0197862418792</v>
      </c>
      <c r="G79" s="25" t="n">
        <f aca="false">Seg!G58</f>
        <v>91.4057303628273</v>
      </c>
      <c r="H79" s="25" t="n">
        <f aca="false">Seg!H58</f>
        <v>141.981344225469</v>
      </c>
      <c r="I79" s="25" t="n">
        <f aca="false">Seg!I58</f>
        <v>198.140551088868</v>
      </c>
      <c r="J79" s="25" t="n">
        <f aca="false">Seg!J58</f>
        <v>245.252364308909</v>
      </c>
      <c r="K79" s="25" t="n">
        <f aca="false">Seg!K58</f>
        <v>264.872553453622</v>
      </c>
      <c r="L79" s="25" t="n">
        <f aca="false">Seg!L58</f>
        <v>286.062357729912</v>
      </c>
      <c r="M79" s="25" t="n">
        <f aca="false">Seg!M58</f>
        <v>308.947346348305</v>
      </c>
    </row>
    <row r="80" customFormat="false" ht="15" hidden="false" customHeight="false" outlineLevel="0" collapsed="false">
      <c r="A80" s="29" t="s">
        <v>1004</v>
      </c>
      <c r="B80" s="30" t="s">
        <v>81</v>
      </c>
      <c r="C80" s="31" t="n">
        <f aca="false">Seg!C59</f>
        <v>43.229</v>
      </c>
      <c r="D80" s="31" t="n">
        <f aca="false">Seg!D59</f>
        <v>58.705</v>
      </c>
      <c r="E80" s="31" t="n">
        <f aca="false">Seg!E59</f>
        <v>75.505</v>
      </c>
      <c r="F80" s="31" t="n">
        <f aca="false">Seg!F59</f>
        <v>36.0699412146354</v>
      </c>
      <c r="G80" s="31" t="n">
        <f aca="false">Seg!G59</f>
        <v>111.574941214635</v>
      </c>
      <c r="H80" s="31" t="n">
        <f aca="false">Seg!H59</f>
        <v>191.597143139859</v>
      </c>
      <c r="I80" s="31" t="n">
        <f aca="false">Seg!I59</f>
        <v>268.435711425404</v>
      </c>
      <c r="J80" s="31" t="n">
        <f aca="false">Seg!J59</f>
        <v>334.431837212072</v>
      </c>
      <c r="K80" s="31" t="n">
        <f aca="false">Seg!K59</f>
        <v>368.3056513817</v>
      </c>
      <c r="L80" s="31" t="n">
        <f aca="false">Seg!L59</f>
        <v>399.315296699555</v>
      </c>
      <c r="M80" s="31" t="n">
        <f aca="false">Seg!M59</f>
        <v>427.684034049048</v>
      </c>
      <c r="N80" s="30"/>
    </row>
    <row r="81" customFormat="false" ht="15" hidden="false" customHeight="false" outlineLevel="0" collapsed="false">
      <c r="A81" s="29" t="s">
        <v>1005</v>
      </c>
      <c r="B81" s="30" t="s">
        <v>81</v>
      </c>
      <c r="C81" s="31" t="n">
        <f aca="false">Seg!C60</f>
        <v>1.648</v>
      </c>
      <c r="D81" s="31" t="n">
        <f aca="false">Seg!D60</f>
        <v>1.537</v>
      </c>
      <c r="E81" s="31" t="n">
        <f aca="false">Seg!E60</f>
        <v>1.165</v>
      </c>
      <c r="F81" s="31" t="n">
        <f aca="false">Seg!F60</f>
        <v>0.38</v>
      </c>
      <c r="G81" s="31" t="n">
        <f aca="false">Seg!G60</f>
        <v>1.545</v>
      </c>
      <c r="H81" s="31" t="n">
        <f aca="false">Seg!H60</f>
        <v>1.6</v>
      </c>
      <c r="I81" s="31" t="n">
        <f aca="false">Seg!I60</f>
        <v>1.8</v>
      </c>
      <c r="J81" s="31" t="n">
        <f aca="false">Seg!J60</f>
        <v>2</v>
      </c>
      <c r="K81" s="31" t="n">
        <f aca="false">Seg!K60</f>
        <v>2.2</v>
      </c>
      <c r="L81" s="31" t="n">
        <f aca="false">Seg!L60</f>
        <v>2.4</v>
      </c>
      <c r="M81" s="31" t="n">
        <f aca="false">Seg!M60</f>
        <v>2.6</v>
      </c>
      <c r="N81" s="30"/>
    </row>
    <row r="82" customFormat="false" ht="15" hidden="false" customHeight="false" outlineLevel="0" collapsed="false">
      <c r="A82" s="0" t="s">
        <v>1006</v>
      </c>
      <c r="B82" s="0" t="s">
        <v>81</v>
      </c>
      <c r="C82" s="25" t="n">
        <f aca="false">Seg!C61</f>
        <v>0.211</v>
      </c>
      <c r="D82" s="25" t="n">
        <f aca="false">Seg!D61</f>
        <v>-0.127</v>
      </c>
      <c r="E82" s="25" t="n">
        <f aca="false">Seg!E61</f>
        <v>0.12</v>
      </c>
      <c r="F82" s="25" t="n">
        <f aca="false">Seg!F61</f>
        <v>0</v>
      </c>
      <c r="G82" s="25" t="n">
        <f aca="false">Seg!G61</f>
        <v>0.12</v>
      </c>
      <c r="H82" s="25" t="n">
        <f aca="false">Seg!H61</f>
        <v>0</v>
      </c>
      <c r="I82" s="25" t="n">
        <f aca="false">Seg!I61</f>
        <v>0</v>
      </c>
      <c r="J82" s="25" t="n">
        <f aca="false">Seg!J61</f>
        <v>0</v>
      </c>
      <c r="K82" s="25" t="n">
        <f aca="false">Seg!K61</f>
        <v>0</v>
      </c>
      <c r="L82" s="25" t="n">
        <f aca="false">Seg!L61</f>
        <v>0</v>
      </c>
      <c r="M82" s="25" t="n">
        <f aca="false">Seg!M61</f>
        <v>0</v>
      </c>
    </row>
    <row r="83" customFormat="false" ht="15" hidden="false" customHeight="false" outlineLevel="0" collapsed="false">
      <c r="A83" s="2" t="s">
        <v>808</v>
      </c>
      <c r="B83" s="7" t="s">
        <v>81</v>
      </c>
      <c r="C83" s="25" t="n">
        <f aca="false">Seg!C62</f>
        <v>350.018</v>
      </c>
      <c r="D83" s="25" t="n">
        <f aca="false">Seg!D62</f>
        <v>402.836</v>
      </c>
      <c r="E83" s="25" t="n">
        <f aca="false">Seg!E62</f>
        <v>357.269</v>
      </c>
      <c r="F83" s="25" t="n">
        <f aca="false">Seg!F62</f>
        <v>145.604452394731</v>
      </c>
      <c r="G83" s="25" t="n">
        <f aca="false">Seg!G62</f>
        <v>502.873452394731</v>
      </c>
      <c r="H83" s="25" t="n">
        <f aca="false">Seg!H62</f>
        <v>631.20297365841</v>
      </c>
      <c r="I83" s="25" t="n">
        <f aca="false">Seg!I62</f>
        <v>756.240116300532</v>
      </c>
      <c r="J83" s="25" t="n">
        <f aca="false">Seg!J62</f>
        <v>868.284053543359</v>
      </c>
      <c r="K83" s="25" t="n">
        <f aca="false">Seg!K62</f>
        <v>944.172061019383</v>
      </c>
      <c r="L83" s="25" t="n">
        <f aca="false">Seg!L62</f>
        <v>1020.69909456935</v>
      </c>
      <c r="M83" s="25" t="n">
        <f aca="false">Seg!M62</f>
        <v>1098.38447661686</v>
      </c>
    </row>
    <row r="84" customFormat="false" ht="15" hidden="false" customHeight="false" outlineLevel="0" collapsed="false">
      <c r="A84" s="4" t="s">
        <v>1026</v>
      </c>
      <c r="B84" s="0" t="s">
        <v>106</v>
      </c>
      <c r="D84" s="14" t="n">
        <f aca="false">D83/C83-1</f>
        <v>0.150900810815444</v>
      </c>
      <c r="G84" s="14" t="n">
        <f aca="false">G83/D83-1</f>
        <v>0.248332950368714</v>
      </c>
      <c r="H84" s="14" t="n">
        <f aca="false">H83/G83-1</f>
        <v>0.255192475666714</v>
      </c>
      <c r="I84" s="14" t="n">
        <f aca="false">I83/H83-1</f>
        <v>0.198093399207888</v>
      </c>
      <c r="J84" s="14" t="n">
        <f aca="false">J83/I83-1</f>
        <v>0.148159208732456</v>
      </c>
      <c r="K84" s="14" t="n">
        <f aca="false">K83/J83-1</f>
        <v>0.0873999783438781</v>
      </c>
      <c r="L84" s="14" t="n">
        <f aca="false">L83/K83-1</f>
        <v>0.081051999640138</v>
      </c>
      <c r="M84" s="14" t="n">
        <f aca="false">M83/L83-1</f>
        <v>0.0761099744879132</v>
      </c>
    </row>
    <row r="85" customFormat="false" ht="17.15" hidden="false" customHeight="false" outlineLevel="0" collapsed="false">
      <c r="A85" s="4" t="s">
        <v>803</v>
      </c>
      <c r="B85" s="0" t="s">
        <v>81</v>
      </c>
      <c r="C85" s="21" t="n">
        <f aca="false">C72+C73+C74+C75-C76</f>
        <v>0</v>
      </c>
      <c r="D85" s="21" t="n">
        <f aca="false">D72+D73+D74+D75-D76</f>
        <v>0</v>
      </c>
      <c r="E85" s="21" t="n">
        <f aca="false">E72+E73+E74+E75-E76</f>
        <v>0</v>
      </c>
      <c r="F85" s="21" t="n">
        <f aca="false">F72+F73+F74+F75-F76</f>
        <v>0</v>
      </c>
      <c r="G85" s="21" t="n">
        <f aca="false">G72+G73+G74+G75-G76</f>
        <v>0</v>
      </c>
      <c r="H85" s="21" t="n">
        <f aca="false">H72+H73+H74+H75-H76</f>
        <v>0</v>
      </c>
      <c r="I85" s="21" t="n">
        <f aca="false">I72+I73+I74+I75-I76</f>
        <v>0</v>
      </c>
      <c r="J85" s="21" t="n">
        <f aca="false">J72+J73+J74+J75-J76</f>
        <v>0</v>
      </c>
      <c r="K85" s="21" t="n">
        <f aca="false">K72+K73+K74+K75-K76</f>
        <v>0</v>
      </c>
      <c r="L85" s="21" t="n">
        <f aca="false">L72+L73+L74+L75-L76</f>
        <v>0</v>
      </c>
      <c r="M85" s="21" t="n">
        <f aca="false">M72+M73+M74+M75-M76</f>
        <v>0</v>
      </c>
    </row>
    <row r="86" customFormat="false" ht="17.15" hidden="false" customHeight="false" outlineLevel="0" collapsed="false">
      <c r="A86" s="4" t="s">
        <v>1008</v>
      </c>
      <c r="B86" s="0" t="s">
        <v>81</v>
      </c>
      <c r="E86" s="21" t="n">
        <f aca="false">E77+E78+E79-E80</f>
        <v>0</v>
      </c>
      <c r="F86" s="21" t="n">
        <f aca="false">F77+F78+F79-F80</f>
        <v>0</v>
      </c>
      <c r="G86" s="21" t="n">
        <f aca="false">G77+G78+G79-G80</f>
        <v>0</v>
      </c>
      <c r="H86" s="21" t="n">
        <f aca="false">H77+H78+H79-H80</f>
        <v>0</v>
      </c>
      <c r="I86" s="21" t="n">
        <f aca="false">I77+I78+I79-I80</f>
        <v>0</v>
      </c>
      <c r="J86" s="21" t="n">
        <f aca="false">J77+J78+J79-J80</f>
        <v>0</v>
      </c>
      <c r="K86" s="21" t="n">
        <f aca="false">K77+K78+K79-K80</f>
        <v>0</v>
      </c>
      <c r="L86" s="21" t="n">
        <f aca="false">L77+L78+L79-L80</f>
        <v>0</v>
      </c>
      <c r="M86" s="21" t="n">
        <f aca="false">M77+M78+M79-M80</f>
        <v>0</v>
      </c>
    </row>
    <row r="87" customFormat="false" ht="15" hidden="false" customHeight="false" outlineLevel="0" collapsed="false">
      <c r="A87" s="4" t="s">
        <v>809</v>
      </c>
      <c r="B87" s="0" t="s">
        <v>81</v>
      </c>
      <c r="C87" s="21" t="n">
        <f aca="false">C76+C80+C81+C82-C83</f>
        <v>0</v>
      </c>
      <c r="D87" s="21" t="n">
        <f aca="false">D76+D80+D81+D82-D83</f>
        <v>0</v>
      </c>
      <c r="E87" s="21" t="n">
        <f aca="false">E76+E80+E81+E82-E83</f>
        <v>0</v>
      </c>
      <c r="F87" s="21" t="n">
        <f aca="false">F76+F80+F81+F82-F83</f>
        <v>0</v>
      </c>
      <c r="G87" s="21" t="n">
        <f aca="false">G76+G80+G81+G82-G83</f>
        <v>0</v>
      </c>
      <c r="H87" s="21" t="n">
        <f aca="false">H76+H80+H81+H82-H83</f>
        <v>0</v>
      </c>
      <c r="I87" s="21" t="n">
        <f aca="false">I76+I80+I81+I82-I83</f>
        <v>0</v>
      </c>
      <c r="J87" s="21" t="n">
        <f aca="false">J76+J80+J81+J82-J83</f>
        <v>0</v>
      </c>
      <c r="K87" s="21" t="n">
        <f aca="false">K76+K80+K81+K82-K83</f>
        <v>0</v>
      </c>
      <c r="L87" s="21" t="n">
        <f aca="false">L76+L80+L81+L82-L83</f>
        <v>0</v>
      </c>
      <c r="M87" s="21" t="n">
        <f aca="false">M76+M80+M81+M82-M83</f>
        <v>0</v>
      </c>
    </row>
    <row r="88" customFormat="false" ht="17.15" hidden="false" customHeight="false" outlineLevel="0" collapsed="false">
      <c r="A88" s="0" t="s">
        <v>1027</v>
      </c>
      <c r="B88" s="0" t="s">
        <v>81</v>
      </c>
      <c r="F88" s="25" t="n">
        <f aca="false">Seg!F47-Seg!F43</f>
        <v>0</v>
      </c>
      <c r="G88" s="25" t="n">
        <f aca="false">F88</f>
        <v>0</v>
      </c>
      <c r="H88" s="25" t="n">
        <f aca="false">Seg!H47-Seg!H43</f>
        <v>0</v>
      </c>
      <c r="I88" s="25" t="n">
        <f aca="false">Seg!I47-Seg!I43</f>
        <v>0</v>
      </c>
      <c r="J88" s="25" t="n">
        <f aca="false">Seg!J47-Seg!J43</f>
        <v>0</v>
      </c>
      <c r="K88" s="25" t="n">
        <f aca="false">Seg!K47-Seg!K43</f>
        <v>0</v>
      </c>
      <c r="L88" s="25" t="n">
        <f aca="false">Seg!L47-Seg!L43</f>
        <v>0</v>
      </c>
      <c r="M88" s="25" t="n">
        <f aca="false">Seg!M47-Seg!M43</f>
        <v>0</v>
      </c>
    </row>
    <row r="89" customFormat="false" ht="17.15" hidden="false" customHeight="false" outlineLevel="0" collapsed="false">
      <c r="A89" s="0" t="s">
        <v>1028</v>
      </c>
      <c r="B89" s="0" t="s">
        <v>81</v>
      </c>
      <c r="F89" s="25" t="n">
        <f aca="false">m_svc*(F76-F88)+inc_m*F88-svc_sh*(Thesis!F68+Thesis!F69)</f>
        <v>51.3162770970767</v>
      </c>
      <c r="H89" s="25" t="n">
        <f aca="false">m_svc*(H76-H88)+inc_m*H88-svc_sh*(Thesis!H68+Thesis!H69)</f>
        <v>202.626689834714</v>
      </c>
      <c r="I89" s="25" t="n">
        <f aca="false">m_svc*(I76-I88)+inc_m*I88-svc_sh*(Thesis!I68+Thesis!I69)</f>
        <v>220.587641583902</v>
      </c>
      <c r="J89" s="25" t="n">
        <f aca="false">m_svc*(J76-J88)+inc_m*J88-svc_sh*(Thesis!J68+Thesis!J69)</f>
        <v>241.35345065545</v>
      </c>
      <c r="K89" s="25" t="n">
        <f aca="false">m_svc*(K76-K88)+inc_m*K88-svc_sh*(Thesis!K68+Thesis!K69)</f>
        <v>261.348498292711</v>
      </c>
      <c r="L89" s="25" t="n">
        <f aca="false">m_svc*(L76-L88)+inc_m*L88-svc_sh*(Thesis!L68+Thesis!L69)</f>
        <v>280.878845968729</v>
      </c>
      <c r="M89" s="25" t="n">
        <f aca="false">m_svc*(M76-M88)+inc_m*M88-svc_sh*(Thesis!M68+Thesis!M69)</f>
        <v>303.375448365796</v>
      </c>
      <c r="N89" s="7" t="s">
        <v>1029</v>
      </c>
    </row>
    <row r="90" customFormat="false" ht="17.15" hidden="false" customHeight="false" outlineLevel="0" collapsed="false">
      <c r="A90" s="0" t="s">
        <v>1030</v>
      </c>
      <c r="B90" s="0" t="s">
        <v>81</v>
      </c>
      <c r="F90" s="25" t="n">
        <f aca="false">Thesis!F77*sh_svc+Seg!F71+Thesis!F65*svc_sh</f>
        <v>8.49171790631294</v>
      </c>
      <c r="H90" s="25" t="n">
        <f aca="false">Thesis!H77*sh_svc+Seg!H71+Thesis!H65*svc_sh</f>
        <v>37.9250724467725</v>
      </c>
      <c r="I90" s="25" t="n">
        <f aca="false">Thesis!I77*sh_svc+Seg!I71+Thesis!I65*svc_sh</f>
        <v>54.0557975425516</v>
      </c>
      <c r="J90" s="25" t="n">
        <f aca="false">Thesis!J77*sh_svc+Seg!J71+Thesis!J65*svc_sh</f>
        <v>69.5252699483589</v>
      </c>
      <c r="K90" s="25" t="n">
        <f aca="false">Thesis!K77*sh_svc+Seg!K71+Thesis!K65*svc_sh</f>
        <v>80.8230966843867</v>
      </c>
      <c r="L90" s="25" t="n">
        <f aca="false">Thesis!L77*sh_svc+Seg!L71+Thesis!L65*svc_sh</f>
        <v>87.5525278054053</v>
      </c>
      <c r="M90" s="25" t="n">
        <f aca="false">Thesis!M77*sh_svc+Seg!M71+Thesis!M65*svc_sh</f>
        <v>97.9221275638182</v>
      </c>
    </row>
    <row r="91" customFormat="false" ht="17.15" hidden="false" customHeight="false" outlineLevel="0" collapsed="false">
      <c r="A91" s="5" t="s">
        <v>1031</v>
      </c>
      <c r="B91" s="7" t="s">
        <v>81</v>
      </c>
      <c r="C91" s="25" t="n">
        <f aca="false">Q!J18</f>
        <v>121.263</v>
      </c>
      <c r="D91" s="25" t="n">
        <f aca="false">Q!K18</f>
        <v>139.404</v>
      </c>
      <c r="E91" s="25" t="n">
        <f aca="false">Q!L18</f>
        <v>119.29</v>
      </c>
      <c r="F91" s="25" t="n">
        <f aca="false">F89-F90</f>
        <v>42.8245591907637</v>
      </c>
      <c r="G91" s="25" t="n">
        <f aca="false">E91+F91</f>
        <v>162.114559190764</v>
      </c>
      <c r="H91" s="25" t="n">
        <f aca="false">H89-H90</f>
        <v>164.701617387941</v>
      </c>
      <c r="I91" s="25" t="n">
        <f aca="false">I89-I90</f>
        <v>166.53184404135</v>
      </c>
      <c r="J91" s="25" t="n">
        <f aca="false">J89-J90</f>
        <v>171.828180707091</v>
      </c>
      <c r="K91" s="25" t="n">
        <f aca="false">K89-K90</f>
        <v>180.525401608325</v>
      </c>
      <c r="L91" s="25" t="n">
        <f aca="false">L89-L90</f>
        <v>193.326318163323</v>
      </c>
      <c r="M91" s="25" t="n">
        <f aca="false">M89-M90</f>
        <v>205.453320801978</v>
      </c>
    </row>
    <row r="92" customFormat="false" ht="17.15" hidden="false" customHeight="false" outlineLevel="0" collapsed="false">
      <c r="A92" s="0" t="s">
        <v>1032</v>
      </c>
      <c r="B92" s="0" t="s">
        <v>81</v>
      </c>
      <c r="F92" s="25" t="n">
        <f aca="false">Thesis!F41+F78*tpu_m+F79*m_co</f>
        <v>14.7226961937778</v>
      </c>
      <c r="H92" s="25" t="n">
        <f aca="false">Thesis!H41+H78*tpu_m+H79*m_co</f>
        <v>79.8146916798949</v>
      </c>
      <c r="I92" s="25" t="n">
        <f aca="false">Thesis!I41+I78*tpu_m+I79*m_co</f>
        <v>115.336077502105</v>
      </c>
      <c r="J92" s="25" t="n">
        <f aca="false">Thesis!J41+J78*tpu_m+J79*m_co</f>
        <v>146.435064784193</v>
      </c>
      <c r="K92" s="25" t="n">
        <f aca="false">Thesis!K41+K78*tpu_m+K79*m_co</f>
        <v>164.600162130281</v>
      </c>
      <c r="L92" s="25" t="n">
        <f aca="false">Thesis!L41+L78*tpu_m+L79*m_co</f>
        <v>179.669904616666</v>
      </c>
      <c r="M92" s="25" t="n">
        <f aca="false">Thesis!M41+M78*tpu_m+M79*m_co</f>
        <v>191.765827277362</v>
      </c>
      <c r="N92" s="7" t="s">
        <v>1033</v>
      </c>
    </row>
    <row r="93" customFormat="false" ht="17.15" hidden="false" customHeight="false" outlineLevel="0" collapsed="false">
      <c r="A93" s="0" t="s">
        <v>1034</v>
      </c>
      <c r="B93" s="0" t="s">
        <v>81</v>
      </c>
      <c r="F93" s="25" t="n">
        <f aca="false">Thesis!F77*sh_cloud+Thesis!F64+Seg!F72</f>
        <v>3.44467961049077</v>
      </c>
      <c r="H93" s="25" t="n">
        <f aca="false">Thesis!H77*sh_cloud+Thesis!H64+Seg!H72</f>
        <v>16.8466195029068</v>
      </c>
      <c r="I93" s="25" t="n">
        <f aca="false">Thesis!I77*sh_cloud+Thesis!I64+Seg!I72</f>
        <v>29.5603940296853</v>
      </c>
      <c r="J93" s="25" t="n">
        <f aca="false">Thesis!J77*sh_cloud+Thesis!J64+Seg!J72</f>
        <v>43.2176099191434</v>
      </c>
      <c r="K93" s="25" t="n">
        <f aca="false">Thesis!K77*sh_cloud+Thesis!K64+Seg!K72</f>
        <v>55.7883604639856</v>
      </c>
      <c r="L93" s="25" t="n">
        <f aca="false">Thesis!L77*sh_cloud+Thesis!L64+Seg!L72</f>
        <v>67.0924025892336</v>
      </c>
      <c r="M93" s="25" t="n">
        <f aca="false">Thesis!M77*sh_cloud+Thesis!M64+Seg!M72</f>
        <v>78.552724025231</v>
      </c>
    </row>
    <row r="94" customFormat="false" ht="17.15" hidden="false" customHeight="false" outlineLevel="0" collapsed="false">
      <c r="A94" s="5" t="s">
        <v>1035</v>
      </c>
      <c r="B94" s="7" t="s">
        <v>81</v>
      </c>
      <c r="C94" s="25" t="n">
        <f aca="false">Q!J19</f>
        <v>6.112</v>
      </c>
      <c r="D94" s="25" t="n">
        <f aca="false">Q!K19</f>
        <v>13.91</v>
      </c>
      <c r="E94" s="25" t="n">
        <f aca="false">Q!L19</f>
        <v>26.533</v>
      </c>
      <c r="F94" s="25" t="n">
        <f aca="false">F92-F93</f>
        <v>11.278016583287</v>
      </c>
      <c r="G94" s="25" t="n">
        <f aca="false">E94+F94</f>
        <v>37.811016583287</v>
      </c>
      <c r="H94" s="25" t="n">
        <f aca="false">H92-H93</f>
        <v>62.9680721769881</v>
      </c>
      <c r="I94" s="25" t="n">
        <f aca="false">I92-I93</f>
        <v>85.7756834724196</v>
      </c>
      <c r="J94" s="25" t="n">
        <f aca="false">J92-J93</f>
        <v>103.21745486505</v>
      </c>
      <c r="K94" s="25" t="n">
        <f aca="false">K92-K93</f>
        <v>108.811801666295</v>
      </c>
      <c r="L94" s="25" t="n">
        <f aca="false">L92-L93</f>
        <v>112.577502027432</v>
      </c>
      <c r="M94" s="25" t="n">
        <f aca="false">M92-M93</f>
        <v>113.213103252131</v>
      </c>
    </row>
    <row r="95" customFormat="false" ht="17.15" hidden="false" customHeight="false" outlineLevel="0" collapsed="false">
      <c r="A95" s="0" t="s">
        <v>1036</v>
      </c>
      <c r="B95" s="0" t="s">
        <v>81</v>
      </c>
      <c r="F95" s="25" t="n">
        <f aca="false">Thesis!F77*sh_ob+Seg!F73</f>
        <v>0.0237198901378849</v>
      </c>
      <c r="H95" s="25" t="n">
        <f aca="false">Thesis!H77*sh_ob+Seg!H73</f>
        <v>0.0972795605515397</v>
      </c>
      <c r="I95" s="25" t="n">
        <f aca="false">Thesis!I77*sh_ob+Seg!I73</f>
        <v>0.10717956055154</v>
      </c>
      <c r="J95" s="25" t="n">
        <f aca="false">Thesis!J77*sh_ob+Seg!J73</f>
        <v>0.113549736117897</v>
      </c>
      <c r="K95" s="25" t="n">
        <f aca="false">Thesis!K77*sh_ob+Seg!K73</f>
        <v>0.109927900546002</v>
      </c>
      <c r="L95" s="25" t="n">
        <f aca="false">Thesis!L77*sh_ob+Seg!L73</f>
        <v>0.0919578907325283</v>
      </c>
      <c r="M95" s="25" t="n">
        <f aca="false">Thesis!M77*sh_ob+Seg!M73</f>
        <v>0.0985898461930389</v>
      </c>
    </row>
    <row r="96" customFormat="false" ht="17.15" hidden="false" customHeight="false" outlineLevel="0" collapsed="false">
      <c r="A96" s="5" t="s">
        <v>1037</v>
      </c>
      <c r="B96" s="7" t="s">
        <v>81</v>
      </c>
      <c r="C96" s="25" t="n">
        <f aca="false">Q!J20</f>
        <v>-4.444</v>
      </c>
      <c r="D96" s="25" t="n">
        <f aca="false">Q!K20</f>
        <v>-7.515</v>
      </c>
      <c r="E96" s="25" t="n">
        <f aca="false">Q!L20</f>
        <v>-5.946</v>
      </c>
      <c r="F96" s="25" t="n">
        <f aca="false">ob_oi*0.25</f>
        <v>-2.25</v>
      </c>
      <c r="G96" s="25" t="n">
        <f aca="false">E96+F96</f>
        <v>-8.196</v>
      </c>
      <c r="H96" s="25" t="n">
        <f aca="false">ob_oi*1</f>
        <v>-9</v>
      </c>
      <c r="I96" s="25" t="n">
        <f aca="false">ob_oi*1</f>
        <v>-9</v>
      </c>
      <c r="J96" s="25" t="n">
        <f aca="false">ob_oi*1</f>
        <v>-9</v>
      </c>
      <c r="K96" s="25" t="n">
        <f aca="false">ob_oi*1</f>
        <v>-9</v>
      </c>
      <c r="L96" s="25" t="n">
        <f aca="false">ob_oi*1</f>
        <v>-9</v>
      </c>
      <c r="M96" s="25" t="n">
        <f aca="false">ob_oi*1</f>
        <v>-9</v>
      </c>
    </row>
    <row r="97" customFormat="false" ht="15" hidden="false" customHeight="false" outlineLevel="0" collapsed="false">
      <c r="A97" s="0" t="s">
        <v>1038</v>
      </c>
      <c r="B97" s="0" t="s">
        <v>81</v>
      </c>
      <c r="F97" s="25" t="n">
        <f aca="false">F96+F95</f>
        <v>-2.22628010986212</v>
      </c>
      <c r="H97" s="25" t="n">
        <f aca="false">H96+H95</f>
        <v>-8.90272043944846</v>
      </c>
      <c r="I97" s="25" t="n">
        <f aca="false">I96+I95</f>
        <v>-8.89282043944846</v>
      </c>
      <c r="J97" s="25" t="n">
        <f aca="false">J96+J95</f>
        <v>-8.8864502638821</v>
      </c>
      <c r="K97" s="25" t="n">
        <f aca="false">K96+K95</f>
        <v>-8.890072099454</v>
      </c>
      <c r="L97" s="25" t="n">
        <f aca="false">L96+L95</f>
        <v>-8.90804210926747</v>
      </c>
      <c r="M97" s="25" t="n">
        <f aca="false">M96+M95</f>
        <v>-8.90141015380696</v>
      </c>
    </row>
    <row r="98" customFormat="false" ht="17.15" hidden="false" customHeight="false" outlineLevel="0" collapsed="false">
      <c r="A98" s="0" t="s">
        <v>1039</v>
      </c>
      <c r="B98" s="0" t="s">
        <v>81</v>
      </c>
      <c r="F98" s="25" t="n">
        <f aca="false">Thesis!F65*(1-svc_sh)</f>
        <v>1.7681676090408</v>
      </c>
      <c r="H98" s="25" t="n">
        <f aca="false">Thesis!H65*(1-svc_sh)</f>
        <v>9.27346515332514</v>
      </c>
      <c r="I98" s="25" t="n">
        <f aca="false">Thesis!I65*(1-svc_sh)</f>
        <v>18.2272599874138</v>
      </c>
      <c r="J98" s="25" t="n">
        <f aca="false">Thesis!J65*(1-svc_sh)</f>
        <v>27.3234605716995</v>
      </c>
      <c r="K98" s="25" t="n">
        <f aca="false">Thesis!K65*(1-svc_sh)</f>
        <v>35.2885278760496</v>
      </c>
      <c r="L98" s="25" t="n">
        <f aca="false">Thesis!L65*(1-svc_sh)</f>
        <v>42.5785694894301</v>
      </c>
      <c r="M98" s="25" t="n">
        <f aca="false">Thesis!M65*(1-svc_sh)</f>
        <v>48.2852968407446</v>
      </c>
    </row>
    <row r="99" customFormat="false" ht="17.15" hidden="false" customHeight="false" outlineLevel="0" collapsed="false">
      <c r="A99" s="5" t="s">
        <v>1040</v>
      </c>
      <c r="B99" s="7" t="s">
        <v>81</v>
      </c>
      <c r="C99" s="25" t="n">
        <f aca="false">Q!J21</f>
        <v>-10.541</v>
      </c>
      <c r="D99" s="25" t="n">
        <f aca="false">Q!K21</f>
        <v>-16.76</v>
      </c>
      <c r="E99" s="25" t="n">
        <f aca="false">Q!L21</f>
        <v>-18.835</v>
      </c>
      <c r="F99" s="25" t="n">
        <f aca="false">F82-abc_rate*F83-Thesis!F72</f>
        <v>-11.7164836412834</v>
      </c>
      <c r="G99" s="25" t="n">
        <f aca="false">E99+F99</f>
        <v>-30.5514836412834</v>
      </c>
      <c r="H99" s="25" t="n">
        <f aca="false">H82-abc_rate*H83-Thesis!H72</f>
        <v>-54.2031500724184</v>
      </c>
      <c r="I99" s="25" t="n">
        <f aca="false">I82-abc_rate*I83-Thesis!I72</f>
        <v>-74.2617374214524</v>
      </c>
      <c r="J99" s="25" t="n">
        <f aca="false">J82-abc_rate*J83-Thesis!J72</f>
        <v>-91.1152661955345</v>
      </c>
      <c r="K99" s="25" t="n">
        <f aca="false">K82-abc_rate*K83-Thesis!K72</f>
        <v>-103.873154203779</v>
      </c>
      <c r="L99" s="25" t="n">
        <f aca="false">L82-abc_rate*L83-Thesis!L72</f>
        <v>-117.441017390494</v>
      </c>
      <c r="M99" s="25" t="n">
        <f aca="false">M82-abc_rate*M83-Thesis!M72</f>
        <v>-128.750501511911</v>
      </c>
    </row>
    <row r="100" customFormat="false" ht="15" hidden="false" customHeight="false" outlineLevel="0" collapsed="false">
      <c r="A100" s="0" t="s">
        <v>1041</v>
      </c>
      <c r="B100" s="0" t="s">
        <v>81</v>
      </c>
      <c r="F100" s="25" t="n">
        <f aca="false">F99+F98</f>
        <v>-9.94831603224258</v>
      </c>
      <c r="H100" s="25" t="n">
        <f aca="false">H99+H98</f>
        <v>-44.9296849190933</v>
      </c>
      <c r="I100" s="25" t="n">
        <f aca="false">I99+I98</f>
        <v>-56.0344774340386</v>
      </c>
      <c r="J100" s="25" t="n">
        <f aca="false">J99+J98</f>
        <v>-63.791805623835</v>
      </c>
      <c r="K100" s="25" t="n">
        <f aca="false">K99+K98</f>
        <v>-68.5846263277297</v>
      </c>
      <c r="L100" s="25" t="n">
        <f aca="false">L99+L98</f>
        <v>-74.8624479010636</v>
      </c>
      <c r="M100" s="25" t="n">
        <f aca="false">M99+M98</f>
        <v>-80.4652046711664</v>
      </c>
    </row>
    <row r="101" customFormat="false" ht="15" hidden="false" customHeight="false" outlineLevel="0" collapsed="false">
      <c r="A101" s="4" t="s">
        <v>1042</v>
      </c>
      <c r="B101" s="0" t="s">
        <v>81</v>
      </c>
      <c r="C101" s="25" t="n">
        <f aca="false">C91+C94+C96+C99</f>
        <v>112.39</v>
      </c>
      <c r="D101" s="25" t="n">
        <f aca="false">D91+D94+D96+D99</f>
        <v>129.039</v>
      </c>
      <c r="E101" s="25" t="n">
        <f aca="false">E91+E94+E96+E99</f>
        <v>121.042</v>
      </c>
      <c r="F101" s="25" t="n">
        <f aca="false">F91+F94+F96+F99</f>
        <v>40.1360921327673</v>
      </c>
      <c r="G101" s="25" t="n">
        <f aca="false">G91+G94+G96+G99</f>
        <v>161.178092132767</v>
      </c>
      <c r="H101" s="25" t="n">
        <f aca="false">H91+H94+H96+H99</f>
        <v>164.466539492511</v>
      </c>
      <c r="I101" s="25" t="n">
        <f aca="false">I91+I94+I96+I99</f>
        <v>169.045790092317</v>
      </c>
      <c r="J101" s="25" t="n">
        <f aca="false">J91+J94+J96+J99</f>
        <v>174.930369376607</v>
      </c>
      <c r="K101" s="25" t="n">
        <f aca="false">K91+K94+K96+K99</f>
        <v>176.464049070841</v>
      </c>
      <c r="L101" s="25" t="n">
        <f aca="false">L91+L94+L96+L99</f>
        <v>179.462802800262</v>
      </c>
      <c r="M101" s="25" t="n">
        <f aca="false">M91+M94+M96+M99</f>
        <v>180.915922542198</v>
      </c>
    </row>
    <row r="102" customFormat="false" ht="17.15" hidden="false" customHeight="false" outlineLevel="0" collapsed="false">
      <c r="A102" s="4" t="s">
        <v>1043</v>
      </c>
      <c r="B102" s="0" t="s">
        <v>81</v>
      </c>
      <c r="F102" s="25" t="n">
        <f aca="false">F89+F92+F97+F100</f>
        <v>53.8643771487497</v>
      </c>
      <c r="H102" s="25" t="n">
        <f aca="false">H89+H92+H97+H100</f>
        <v>228.608976156067</v>
      </c>
      <c r="I102" s="25" t="n">
        <f aca="false">I89+I92+I97+I100</f>
        <v>270.996421212519</v>
      </c>
      <c r="J102" s="25" t="n">
        <f aca="false">J89+J92+J97+J100</f>
        <v>315.110259551926</v>
      </c>
      <c r="K102" s="25" t="n">
        <f aca="false">K89+K92+K97+K100</f>
        <v>348.473961995808</v>
      </c>
      <c r="L102" s="25" t="n">
        <f aca="false">L89+L92+L97+L100</f>
        <v>376.778260575063</v>
      </c>
      <c r="M102" s="25" t="n">
        <f aca="false">M89+M92+M97+M100</f>
        <v>405.774660818185</v>
      </c>
    </row>
    <row r="103" customFormat="false" ht="17.15" hidden="false" customHeight="false" outlineLevel="0" collapsed="false">
      <c r="A103" s="4" t="s">
        <v>1044</v>
      </c>
      <c r="B103" s="0" t="s">
        <v>81</v>
      </c>
      <c r="C103" s="25" t="n">
        <f aca="false">Q!J43</f>
        <v>15.311</v>
      </c>
      <c r="D103" s="25" t="n">
        <f aca="false">Q!K43</f>
        <v>21.136</v>
      </c>
      <c r="E103" s="25" t="n">
        <f aca="false">Q!L43</f>
        <v>21.955</v>
      </c>
      <c r="F103" s="25" t="n">
        <f aca="false">Thesis!F77+Thesis!F63+Seg!F74</f>
        <v>13.7282850159824</v>
      </c>
      <c r="G103" s="25" t="n">
        <f aca="false">E103+F103</f>
        <v>35.6832850159824</v>
      </c>
      <c r="H103" s="25" t="n">
        <f aca="false">Thesis!H77+Thesis!H63+Seg!H74</f>
        <v>64.142436663556</v>
      </c>
      <c r="I103" s="25" t="n">
        <f aca="false">Thesis!I77+Thesis!I63+Seg!I74</f>
        <v>101.950631120202</v>
      </c>
      <c r="J103" s="25" t="n">
        <f aca="false">Thesis!J77+Thesis!J63+Seg!J74</f>
        <v>140.17989017532</v>
      </c>
      <c r="K103" s="25" t="n">
        <f aca="false">Thesis!K77+Thesis!K63+Seg!K74</f>
        <v>172.009912924968</v>
      </c>
      <c r="L103" s="25" t="n">
        <f aca="false">Thesis!L77+Thesis!L63+Seg!L74</f>
        <v>197.315457774801</v>
      </c>
      <c r="M103" s="25" t="n">
        <f aca="false">Thesis!M77+Thesis!M63+Seg!M74</f>
        <v>224.858738275987</v>
      </c>
      <c r="N103" s="7" t="s">
        <v>1045</v>
      </c>
    </row>
    <row r="104" customFormat="false" ht="17.15" hidden="false" customHeight="false" outlineLevel="0" collapsed="false">
      <c r="A104" s="4" t="s">
        <v>1046</v>
      </c>
      <c r="B104" s="0" t="s">
        <v>81</v>
      </c>
      <c r="F104" s="25" t="n">
        <f aca="false">Thesis!F63</f>
        <v>6.31488431800285</v>
      </c>
      <c r="G104" s="25" t="n">
        <f aca="false">F104</f>
        <v>6.31488431800285</v>
      </c>
      <c r="H104" s="25" t="n">
        <f aca="false">Thesis!H63</f>
        <v>33.1195184047327</v>
      </c>
      <c r="I104" s="25" t="n">
        <f aca="false">Thesis!I63</f>
        <v>65.0973570979064</v>
      </c>
      <c r="J104" s="25" t="n">
        <f aca="false">Thesis!J63</f>
        <v>97.5837877560696</v>
      </c>
      <c r="K104" s="25" t="n">
        <f aca="false">Thesis!K63</f>
        <v>126.030456700177</v>
      </c>
      <c r="L104" s="25" t="n">
        <f aca="false">Thesis!L63</f>
        <v>152.066319605107</v>
      </c>
      <c r="M104" s="25" t="n">
        <f aca="false">Thesis!M63</f>
        <v>172.447488716945</v>
      </c>
    </row>
    <row r="105" customFormat="false" ht="17.15" hidden="false" customHeight="false" outlineLevel="0" collapsed="false">
      <c r="A105" s="28" t="s">
        <v>815</v>
      </c>
      <c r="B105" s="30" t="s">
        <v>81</v>
      </c>
      <c r="C105" s="31" t="n">
        <f aca="false">Q!J22</f>
        <v>112.39</v>
      </c>
      <c r="D105" s="31" t="n">
        <f aca="false">Q!K22</f>
        <v>129.039</v>
      </c>
      <c r="E105" s="31" t="n">
        <f aca="false">Q!L22</f>
        <v>121.042</v>
      </c>
      <c r="F105" s="31" t="n">
        <f aca="false">F102-F103</f>
        <v>40.1360921327673</v>
      </c>
      <c r="G105" s="31" t="n">
        <f aca="false">E105+F105</f>
        <v>161.178092132767</v>
      </c>
      <c r="H105" s="31" t="n">
        <f aca="false">H102-H103</f>
        <v>164.466539492511</v>
      </c>
      <c r="I105" s="31" t="n">
        <f aca="false">I102-I103</f>
        <v>169.045790092317</v>
      </c>
      <c r="J105" s="31" t="n">
        <f aca="false">J102-J103</f>
        <v>174.930369376607</v>
      </c>
      <c r="K105" s="31" t="n">
        <f aca="false">K102-K103</f>
        <v>176.464049070841</v>
      </c>
      <c r="L105" s="31" t="n">
        <f aca="false">L102-L103</f>
        <v>179.462802800262</v>
      </c>
      <c r="M105" s="31" t="n">
        <f aca="false">M102-M103</f>
        <v>180.915922542198</v>
      </c>
      <c r="N105" s="32" t="s">
        <v>1047</v>
      </c>
    </row>
    <row r="106" customFormat="false" ht="15" hidden="false" customHeight="false" outlineLevel="0" collapsed="false">
      <c r="A106" s="4" t="s">
        <v>816</v>
      </c>
      <c r="B106" s="0" t="s">
        <v>81</v>
      </c>
      <c r="C106" s="21" t="n">
        <f aca="false">C101-C105</f>
        <v>0</v>
      </c>
      <c r="D106" s="21" t="n">
        <f aca="false">D101-D105</f>
        <v>0</v>
      </c>
      <c r="E106" s="21" t="n">
        <f aca="false">E101-E105</f>
        <v>0</v>
      </c>
      <c r="F106" s="21" t="n">
        <f aca="false">F101-F105</f>
        <v>0</v>
      </c>
      <c r="G106" s="21" t="n">
        <f aca="false">G101-G105</f>
        <v>0</v>
      </c>
      <c r="H106" s="21" t="n">
        <f aca="false">H101-H105</f>
        <v>0</v>
      </c>
      <c r="I106" s="21" t="n">
        <f aca="false">I101-I105</f>
        <v>0</v>
      </c>
      <c r="J106" s="21" t="n">
        <f aca="false">J101-J105</f>
        <v>0</v>
      </c>
      <c r="K106" s="21" t="n">
        <f aca="false">K101-K105</f>
        <v>0</v>
      </c>
      <c r="L106" s="21" t="n">
        <f aca="false">L101-L105</f>
        <v>0</v>
      </c>
      <c r="M106" s="21" t="n">
        <f aca="false">M101-M105</f>
        <v>0</v>
      </c>
    </row>
    <row r="107" customFormat="false" ht="17.15" hidden="false" customHeight="false" outlineLevel="0" collapsed="false">
      <c r="A107" s="4" t="s">
        <v>1048</v>
      </c>
      <c r="B107" s="0" t="s">
        <v>81</v>
      </c>
      <c r="F107" s="25" t="n">
        <f aca="false">Thesis!F80</f>
        <v>1.14948686725343</v>
      </c>
      <c r="G107" s="25" t="n">
        <f aca="false">F107</f>
        <v>1.14948686725343</v>
      </c>
      <c r="H107" s="25" t="n">
        <f aca="false">Thesis!H80</f>
        <v>28.718806457026</v>
      </c>
      <c r="I107" s="25" t="n">
        <f aca="false">Thesis!I80</f>
        <v>68.8957511379667</v>
      </c>
      <c r="J107" s="25" t="n">
        <f aca="false">Thesis!J80</f>
        <v>105.585181040499</v>
      </c>
      <c r="K107" s="25" t="n">
        <f aca="false">Thesis!K80</f>
        <v>133.277869051437</v>
      </c>
      <c r="L107" s="25" t="n">
        <f aca="false">Thesis!L80</f>
        <v>152.356369699918</v>
      </c>
      <c r="M107" s="25" t="n">
        <f aca="false">Thesis!M80</f>
        <v>163.010483476259</v>
      </c>
      <c r="N107" s="4" t="s">
        <v>1049</v>
      </c>
    </row>
    <row r="108" customFormat="false" ht="17.15" hidden="false" customHeight="false" outlineLevel="0" collapsed="false">
      <c r="A108" s="2" t="s">
        <v>1050</v>
      </c>
      <c r="B108" s="7" t="s">
        <v>81</v>
      </c>
      <c r="C108" s="25" t="n">
        <f aca="false">C105</f>
        <v>112.39</v>
      </c>
      <c r="D108" s="25" t="n">
        <f aca="false">D105</f>
        <v>129.039</v>
      </c>
      <c r="E108" s="25" t="n">
        <f aca="false">E105</f>
        <v>121.042</v>
      </c>
      <c r="F108" s="25" t="n">
        <f aca="false">F105+(internal_ai_reading=2)*F107</f>
        <v>41.2855790000208</v>
      </c>
      <c r="G108" s="25" t="n">
        <f aca="false">G105+(internal_ai_reading=2)*G107</f>
        <v>162.327579000021</v>
      </c>
      <c r="H108" s="25" t="n">
        <f aca="false">H105+(internal_ai_reading=2)*H107</f>
        <v>193.185345949537</v>
      </c>
      <c r="I108" s="25" t="n">
        <f aca="false">I105+(internal_ai_reading=2)*I107</f>
        <v>237.941541230284</v>
      </c>
      <c r="J108" s="25" t="n">
        <f aca="false">J105+(internal_ai_reading=2)*J107</f>
        <v>280.515550417106</v>
      </c>
      <c r="K108" s="25" t="n">
        <f aca="false">K105+(internal_ai_reading=2)*K107</f>
        <v>309.741918122278</v>
      </c>
      <c r="L108" s="25" t="n">
        <f aca="false">L105+(internal_ai_reading=2)*L107</f>
        <v>331.81917250018</v>
      </c>
      <c r="M108" s="25" t="n">
        <f aca="false">M105+(internal_ai_reading=2)*M107</f>
        <v>343.926406018457</v>
      </c>
    </row>
    <row r="109" customFormat="false" ht="15" hidden="false" customHeight="false" outlineLevel="0" collapsed="false">
      <c r="A109" s="4" t="s">
        <v>1051</v>
      </c>
      <c r="B109" s="0" t="s">
        <v>106</v>
      </c>
      <c r="C109" s="14" t="n">
        <f aca="false">C105/C83</f>
        <v>0.321097772114577</v>
      </c>
      <c r="D109" s="14" t="n">
        <f aca="false">D105/D83</f>
        <v>0.3203263859238</v>
      </c>
      <c r="E109" s="14" t="n">
        <f aca="false">E105/E83</f>
        <v>0.338797936568804</v>
      </c>
      <c r="F109" s="14" t="n">
        <f aca="false">F105/F83</f>
        <v>0.275651544115966</v>
      </c>
      <c r="G109" s="14" t="n">
        <f aca="false">G105/G83</f>
        <v>0.320514219562043</v>
      </c>
      <c r="H109" s="14" t="n">
        <f aca="false">H105/H83</f>
        <v>0.260560463679811</v>
      </c>
      <c r="I109" s="14" t="n">
        <f aca="false">I105/I83</f>
        <v>0.223534544714814</v>
      </c>
      <c r="J109" s="14" t="n">
        <f aca="false">J105/J83</f>
        <v>0.201466753492406</v>
      </c>
      <c r="K109" s="14" t="n">
        <f aca="false">K105/K83</f>
        <v>0.186898189806972</v>
      </c>
      <c r="L109" s="14" t="n">
        <f aca="false">L105/L83</f>
        <v>0.175823417258913</v>
      </c>
      <c r="M109" s="14" t="n">
        <f aca="false">M105/M83</f>
        <v>0.164710924447364</v>
      </c>
    </row>
    <row r="110" customFormat="false" ht="17.15" hidden="false" customHeight="false" outlineLevel="0" collapsed="false">
      <c r="A110" s="0" t="s">
        <v>1052</v>
      </c>
      <c r="B110" s="0" t="s">
        <v>106</v>
      </c>
      <c r="C110" s="14" t="n">
        <f aca="false">C91/C76</f>
        <v>0.397674876201095</v>
      </c>
      <c r="D110" s="14" t="n">
        <f aca="false">D91/D76</f>
        <v>0.406756516233321</v>
      </c>
      <c r="E110" s="14" t="n">
        <f aca="false">E91/E76</f>
        <v>0.425308133585759</v>
      </c>
      <c r="F110" s="14" t="n">
        <f aca="false">F91/F76</f>
        <v>0.392329723506404</v>
      </c>
      <c r="G110" s="14" t="n">
        <f aca="false">G91/G76</f>
        <v>0.416069343470386</v>
      </c>
      <c r="H110" s="14" t="n">
        <f aca="false">H91/H76</f>
        <v>0.376026084385572</v>
      </c>
      <c r="I110" s="14" t="n">
        <f aca="false">I91/I76</f>
        <v>0.342655009647779</v>
      </c>
      <c r="J110" s="14" t="n">
        <f aca="false">J91/J76</f>
        <v>0.32307504872756</v>
      </c>
      <c r="K110" s="14" t="n">
        <f aca="false">K91/K76</f>
        <v>0.314687070003525</v>
      </c>
      <c r="L110" s="14" t="n">
        <f aca="false">L91/L76</f>
        <v>0.312328559856729</v>
      </c>
      <c r="M110" s="14" t="n">
        <f aca="false">M91/M76</f>
        <v>0.307518612040319</v>
      </c>
    </row>
    <row r="111" customFormat="false" ht="17.15" hidden="false" customHeight="false" outlineLevel="0" collapsed="false">
      <c r="A111" s="0" t="s">
        <v>1053</v>
      </c>
      <c r="B111" s="0" t="s">
        <v>106</v>
      </c>
      <c r="C111" s="14" t="n">
        <f aca="false">C94/C80</f>
        <v>0.141386569201231</v>
      </c>
      <c r="D111" s="14" t="n">
        <f aca="false">D94/D80</f>
        <v>0.236947449109957</v>
      </c>
      <c r="E111" s="14" t="n">
        <f aca="false">E94/E80</f>
        <v>0.351407191576717</v>
      </c>
      <c r="F111" s="14" t="n">
        <f aca="false">F94/F80</f>
        <v>0.312670778035838</v>
      </c>
      <c r="G111" s="14" t="n">
        <f aca="false">G94/G80</f>
        <v>0.338884485814341</v>
      </c>
      <c r="H111" s="14" t="n">
        <f aca="false">H94/H80</f>
        <v>0.328648283294202</v>
      </c>
      <c r="I111" s="14" t="n">
        <f aca="false">I94/I80</f>
        <v>0.319539017431576</v>
      </c>
      <c r="J111" s="14" t="n">
        <f aca="false">J94/J80</f>
        <v>0.308635253525808</v>
      </c>
      <c r="K111" s="14" t="n">
        <f aca="false">K94/K80</f>
        <v>0.295438859702769</v>
      </c>
      <c r="L111" s="14" t="n">
        <f aca="false">L94/L80</f>
        <v>0.281926344815525</v>
      </c>
      <c r="M111" s="14" t="n">
        <f aca="false">M94/M80</f>
        <v>0.2647120169072</v>
      </c>
    </row>
    <row r="112" customFormat="false" ht="17.15" hidden="false" customHeight="false" outlineLevel="0" collapsed="false">
      <c r="A112" s="4" t="s">
        <v>1054</v>
      </c>
      <c r="B112" s="0" t="s">
        <v>81</v>
      </c>
      <c r="F112" s="25" t="n">
        <f aca="false">r_cash*CF!F63*0.25</f>
        <v>1.659631</v>
      </c>
      <c r="G112" s="25" t="n">
        <f aca="false">F112</f>
        <v>1.659631</v>
      </c>
      <c r="H112" s="25" t="n">
        <f aca="false">r_cash*CF!H63*1</f>
        <v>6.22324507063239</v>
      </c>
      <c r="I112" s="25" t="n">
        <f aca="false">r_cash*CF!I63*1</f>
        <v>3.08544584711881</v>
      </c>
      <c r="J112" s="25" t="n">
        <f aca="false">r_cash*CF!J63*1</f>
        <v>1.9</v>
      </c>
      <c r="K112" s="25" t="n">
        <f aca="false">r_cash*CF!K63*1</f>
        <v>2.25881425192188</v>
      </c>
      <c r="L112" s="25" t="n">
        <f aca="false">r_cash*CF!L63*1</f>
        <v>4.64269956747606</v>
      </c>
      <c r="M112" s="25" t="n">
        <f aca="false">r_cash*CF!M63*1</f>
        <v>8.89844649868841</v>
      </c>
    </row>
    <row r="113" customFormat="false" ht="17.15" hidden="false" customHeight="false" outlineLevel="0" collapsed="false">
      <c r="A113" s="4" t="s">
        <v>1055</v>
      </c>
      <c r="B113" s="0" t="s">
        <v>81</v>
      </c>
      <c r="F113" s="25" t="n">
        <f aca="false">r_debt*CF!F70*0.25</f>
        <v>1.51746</v>
      </c>
      <c r="G113" s="25" t="n">
        <f aca="false">F113</f>
        <v>1.51746</v>
      </c>
      <c r="H113" s="25" t="n">
        <f aca="false">r_debt*CF!H70*1</f>
        <v>6.06984</v>
      </c>
      <c r="I113" s="25" t="n">
        <f aca="false">r_debt*CF!I70*1</f>
        <v>6.02184</v>
      </c>
      <c r="J113" s="25" t="n">
        <f aca="false">r_debt*CF!J70*1</f>
        <v>6.69266545858512</v>
      </c>
      <c r="K113" s="25" t="n">
        <f aca="false">r_debt*CF!K70*1</f>
        <v>6.60799345858511</v>
      </c>
      <c r="L113" s="25" t="n">
        <f aca="false">r_debt*CF!L70*1</f>
        <v>6.26306545858511</v>
      </c>
      <c r="M113" s="25" t="n">
        <f aca="false">r_debt*CF!M70*1</f>
        <v>6.02306545858511</v>
      </c>
    </row>
    <row r="114" customFormat="false" ht="17.15" hidden="false" customHeight="false" outlineLevel="0" collapsed="false">
      <c r="A114" s="4" t="s">
        <v>1056</v>
      </c>
      <c r="B114" s="0" t="s">
        <v>81</v>
      </c>
      <c r="D114" s="25" t="n">
        <f aca="false">SUM(Q!C33:F33)</f>
        <v>24.08</v>
      </c>
      <c r="E114" s="25" t="n">
        <f aca="false">Q!L33</f>
        <v>127.282</v>
      </c>
      <c r="F114" s="27" t="n">
        <v>0</v>
      </c>
      <c r="G114" s="25" t="n">
        <f aca="false">E114+F114</f>
        <v>127.282</v>
      </c>
      <c r="H114" s="27" t="n">
        <v>0</v>
      </c>
      <c r="I114" s="27" t="n">
        <v>0</v>
      </c>
      <c r="J114" s="27" t="n">
        <v>0</v>
      </c>
      <c r="K114" s="27" t="n">
        <v>0</v>
      </c>
      <c r="L114" s="27" t="n">
        <v>0</v>
      </c>
      <c r="M114" s="27" t="n">
        <v>0</v>
      </c>
      <c r="N114" s="7" t="s">
        <v>1057</v>
      </c>
    </row>
    <row r="115" customFormat="false" ht="15" hidden="false" customHeight="false" outlineLevel="0" collapsed="false">
      <c r="A115" s="4" t="s">
        <v>1058</v>
      </c>
      <c r="B115" s="0" t="s">
        <v>81</v>
      </c>
      <c r="C115" s="25" t="n">
        <f aca="false">Q!J32</f>
        <v>7.425</v>
      </c>
      <c r="D115" s="25" t="n">
        <f aca="false">Q!K32</f>
        <v>29.787</v>
      </c>
      <c r="E115" s="25" t="n">
        <f aca="false">Q!L32</f>
        <v>127.478</v>
      </c>
      <c r="F115" s="25" t="n">
        <f aca="false">F112-F113+F114</f>
        <v>0.142171</v>
      </c>
      <c r="G115" s="25" t="n">
        <f aca="false">E115+F115</f>
        <v>127.620171</v>
      </c>
      <c r="H115" s="25" t="n">
        <f aca="false">H112-H113+H114</f>
        <v>0.15340507063239</v>
      </c>
      <c r="I115" s="25" t="n">
        <f aca="false">I112-I113+I114</f>
        <v>-2.93639415288119</v>
      </c>
      <c r="J115" s="25" t="n">
        <f aca="false">J112-J113+J114</f>
        <v>-4.79266545858511</v>
      </c>
      <c r="K115" s="25" t="n">
        <f aca="false">K112-K113+K114</f>
        <v>-4.34917920666324</v>
      </c>
      <c r="L115" s="25" t="n">
        <f aca="false">L112-L113+L114</f>
        <v>-1.62036589110905</v>
      </c>
      <c r="M115" s="25" t="n">
        <f aca="false">M112-M113+M114</f>
        <v>2.87538104010329</v>
      </c>
    </row>
    <row r="116" customFormat="false" ht="15" hidden="false" customHeight="false" outlineLevel="0" collapsed="false">
      <c r="A116" s="4" t="s">
        <v>826</v>
      </c>
      <c r="B116" s="0" t="s">
        <v>81</v>
      </c>
      <c r="C116" s="25" t="n">
        <f aca="false">C105+C115</f>
        <v>119.815</v>
      </c>
      <c r="D116" s="25" t="n">
        <f aca="false">D105+D115</f>
        <v>158.826</v>
      </c>
      <c r="E116" s="25" t="n">
        <f aca="false">E105+E115</f>
        <v>248.52</v>
      </c>
      <c r="F116" s="25" t="n">
        <f aca="false">F105+F115</f>
        <v>40.2782631327673</v>
      </c>
      <c r="G116" s="25" t="n">
        <f aca="false">G105+G115</f>
        <v>288.798263132767</v>
      </c>
      <c r="H116" s="25" t="n">
        <f aca="false">H105+H115</f>
        <v>164.619944563143</v>
      </c>
      <c r="I116" s="25" t="n">
        <f aca="false">I105+I115</f>
        <v>166.109395939436</v>
      </c>
      <c r="J116" s="25" t="n">
        <f aca="false">J105+J115</f>
        <v>170.137703918021</v>
      </c>
      <c r="K116" s="25" t="n">
        <f aca="false">K105+K115</f>
        <v>172.114869864177</v>
      </c>
      <c r="L116" s="25" t="n">
        <f aca="false">L105+L115</f>
        <v>177.842436909153</v>
      </c>
      <c r="M116" s="25" t="n">
        <f aca="false">M105+M115</f>
        <v>183.791303582301</v>
      </c>
    </row>
    <row r="117" customFormat="false" ht="15" hidden="false" customHeight="false" outlineLevel="0" collapsed="false">
      <c r="A117" s="4" t="s">
        <v>828</v>
      </c>
      <c r="B117" s="0" t="s">
        <v>81</v>
      </c>
      <c r="C117" s="25" t="n">
        <f aca="false">Q!J36</f>
        <v>19.697</v>
      </c>
      <c r="D117" s="25" t="n">
        <f aca="false">Q!K36</f>
        <v>26.656</v>
      </c>
      <c r="E117" s="25" t="n">
        <f aca="false">Q!L36</f>
        <v>47.281</v>
      </c>
      <c r="F117" s="25" t="n">
        <f aca="false">F116*tax</f>
        <v>6.76674820630491</v>
      </c>
      <c r="G117" s="25" t="n">
        <f aca="false">E117+F117</f>
        <v>54.0477482063049</v>
      </c>
      <c r="H117" s="25" t="n">
        <f aca="false">H116*tax</f>
        <v>27.6561506866081</v>
      </c>
      <c r="I117" s="25" t="n">
        <f aca="false">I116*tax</f>
        <v>27.9063785178253</v>
      </c>
      <c r="J117" s="25" t="n">
        <f aca="false">J116*tax</f>
        <v>28.5831342582276</v>
      </c>
      <c r="K117" s="25" t="n">
        <f aca="false">K116*tax</f>
        <v>28.9152981371818</v>
      </c>
      <c r="L117" s="25" t="n">
        <f aca="false">L116*tax</f>
        <v>29.8775294007377</v>
      </c>
      <c r="M117" s="25" t="n">
        <f aca="false">M116*tax</f>
        <v>30.8769390018266</v>
      </c>
    </row>
    <row r="118" customFormat="false" ht="15" hidden="false" customHeight="false" outlineLevel="0" collapsed="false">
      <c r="A118" s="2" t="s">
        <v>829</v>
      </c>
      <c r="B118" s="7" t="s">
        <v>81</v>
      </c>
      <c r="C118" s="25" t="n">
        <f aca="false">C116-C117</f>
        <v>100.118</v>
      </c>
      <c r="D118" s="25" t="n">
        <f aca="false">D116-D117</f>
        <v>132.17</v>
      </c>
      <c r="E118" s="25" t="n">
        <f aca="false">E116-E117</f>
        <v>201.239</v>
      </c>
      <c r="F118" s="25" t="n">
        <f aca="false">F116-F117</f>
        <v>33.5115149264624</v>
      </c>
      <c r="G118" s="25" t="n">
        <f aca="false">G116-G117</f>
        <v>234.750514926462</v>
      </c>
      <c r="H118" s="25" t="n">
        <f aca="false">H116-H117</f>
        <v>136.963793876535</v>
      </c>
      <c r="I118" s="25" t="n">
        <f aca="false">I116-I117</f>
        <v>138.203017421611</v>
      </c>
      <c r="J118" s="25" t="n">
        <f aca="false">J116-J117</f>
        <v>141.554569659794</v>
      </c>
      <c r="K118" s="25" t="n">
        <f aca="false">K116-K117</f>
        <v>143.199571726996</v>
      </c>
      <c r="L118" s="25" t="n">
        <f aca="false">L116-L117</f>
        <v>147.964907508415</v>
      </c>
      <c r="M118" s="25" t="n">
        <f aca="false">M116-M117</f>
        <v>152.914364580475</v>
      </c>
    </row>
    <row r="119" customFormat="false" ht="17.15" hidden="false" customHeight="false" outlineLevel="0" collapsed="false">
      <c r="A119" s="4" t="s">
        <v>1059</v>
      </c>
      <c r="B119" s="0" t="s">
        <v>81</v>
      </c>
      <c r="C119" s="21" t="n">
        <f aca="false">C118-Q!J37</f>
        <v>0</v>
      </c>
      <c r="D119" s="21" t="n">
        <f aca="false">D118-Q!K37</f>
        <v>0</v>
      </c>
      <c r="E119" s="21" t="n">
        <f aca="false">E118-Q!L37</f>
        <v>0</v>
      </c>
    </row>
    <row r="120" customFormat="false" ht="15" hidden="false" customHeight="false" outlineLevel="0" collapsed="false">
      <c r="A120" s="4" t="s">
        <v>1060</v>
      </c>
      <c r="B120" s="0" t="s">
        <v>81</v>
      </c>
      <c r="E120" s="25" t="n">
        <f aca="false">pref_1H</f>
        <v>0.384</v>
      </c>
      <c r="F120" s="25" t="n">
        <f aca="false">pref_2H</f>
        <v>0.301</v>
      </c>
      <c r="G120" s="25" t="n">
        <f aca="false">E120+F120</f>
        <v>0.685</v>
      </c>
      <c r="H120" s="25" t="n">
        <f aca="false">pref_27</f>
        <v>1.203</v>
      </c>
      <c r="I120" s="25" t="n">
        <f aca="false">pref_28</f>
        <v>1.203</v>
      </c>
      <c r="J120" s="25" t="n">
        <f aca="false">pref_29</f>
        <v>0.602</v>
      </c>
      <c r="K120" s="27" t="n">
        <v>0</v>
      </c>
      <c r="L120" s="27" t="n">
        <v>0</v>
      </c>
      <c r="M120" s="27" t="n">
        <v>0</v>
      </c>
    </row>
    <row r="121" customFormat="false" ht="15" hidden="false" customHeight="false" outlineLevel="0" collapsed="false">
      <c r="A121" s="4" t="s">
        <v>1061</v>
      </c>
      <c r="B121" s="0" t="s">
        <v>81</v>
      </c>
      <c r="E121" s="25" t="n">
        <f aca="false">E118-E120</f>
        <v>200.855</v>
      </c>
      <c r="F121" s="25" t="n">
        <f aca="false">F118-F120</f>
        <v>33.2105149264624</v>
      </c>
      <c r="G121" s="25" t="n">
        <f aca="false">G118-G120</f>
        <v>234.065514926462</v>
      </c>
      <c r="H121" s="25" t="n">
        <f aca="false">H118-H120</f>
        <v>135.760793876535</v>
      </c>
      <c r="I121" s="25" t="n">
        <f aca="false">I118-I120</f>
        <v>137.000017421611</v>
      </c>
      <c r="J121" s="25" t="n">
        <f aca="false">J118-J120</f>
        <v>140.952569659794</v>
      </c>
      <c r="K121" s="25" t="n">
        <f aca="false">K118-K120</f>
        <v>143.199571726996</v>
      </c>
      <c r="L121" s="25" t="n">
        <f aca="false">L118-L120</f>
        <v>147.964907508415</v>
      </c>
      <c r="M121" s="25" t="n">
        <f aca="false">M118-M120</f>
        <v>152.914364580475</v>
      </c>
    </row>
    <row r="122" customFormat="false" ht="17.15" hidden="false" customHeight="false" outlineLevel="0" collapsed="false">
      <c r="A122" s="4" t="s">
        <v>1062</v>
      </c>
      <c r="B122" s="4" t="s">
        <v>64</v>
      </c>
      <c r="E122" s="21" t="n">
        <f aca="false">sh_dil_q2+(sh_out-sh_basic_q2)</f>
        <v>12.406</v>
      </c>
      <c r="F122" s="21" t="n">
        <f aca="false">E122*(1+dil*0.25)-CF!F66/CF!F73</f>
        <v>12.437015</v>
      </c>
      <c r="H122" s="21" t="n">
        <f aca="false">F122*(1+dil*1)-CF!H66/CF!H73</f>
        <v>12.5156761069993</v>
      </c>
      <c r="I122" s="21" t="n">
        <f aca="false">H122*(1+dil*1)-CF!I66/CF!I73</f>
        <v>12.6408328680693</v>
      </c>
      <c r="J122" s="21" t="n">
        <f aca="false">I122*(1+dil*1)-CF!J66/CF!J73+conv_sh</f>
        <v>12.7847134889295</v>
      </c>
      <c r="K122" s="21" t="n">
        <f aca="false">J122*(1+dil*1)-CF!K66/CF!K73</f>
        <v>12.879099067052</v>
      </c>
      <c r="L122" s="21" t="n">
        <f aca="false">K122*(1+dil*1)-CF!L66/CF!L73</f>
        <v>12.9777326403384</v>
      </c>
      <c r="M122" s="21" t="n">
        <f aca="false">L122*(1+dil*1)-CF!M66/CF!M73</f>
        <v>13.0803304236734</v>
      </c>
      <c r="N122" s="7" t="s">
        <v>1063</v>
      </c>
    </row>
    <row r="123" customFormat="false" ht="15" hidden="false" customHeight="false" outlineLevel="0" collapsed="false">
      <c r="A123" s="4" t="s">
        <v>1064</v>
      </c>
      <c r="B123" s="4" t="s">
        <v>64</v>
      </c>
      <c r="C123" s="21" t="n">
        <f aca="false">Q!J39</f>
        <v>12.447</v>
      </c>
      <c r="D123" s="21" t="n">
        <f aca="false">Q!K39</f>
        <v>12.23</v>
      </c>
      <c r="E123" s="21" t="n">
        <f aca="false">Q!L39</f>
        <v>12.324</v>
      </c>
      <c r="F123" s="21" t="n">
        <f aca="false">E122*(1+dil*0.125)</f>
        <v>12.4215075</v>
      </c>
      <c r="G123" s="21" t="n">
        <f aca="false">0.75*E123+0.25*F123</f>
        <v>12.348376875</v>
      </c>
      <c r="H123" s="21" t="n">
        <f aca="false">(F122+H122)/2</f>
        <v>12.4763455534997</v>
      </c>
      <c r="I123" s="21" t="n">
        <f aca="false">(H122+I122)/2</f>
        <v>12.5782544875343</v>
      </c>
      <c r="J123" s="21" t="n">
        <f aca="false">(I122+J122)/2</f>
        <v>12.7127731784994</v>
      </c>
      <c r="K123" s="21" t="n">
        <f aca="false">(J122+K122)/2</f>
        <v>12.8319062779908</v>
      </c>
      <c r="L123" s="21" t="n">
        <f aca="false">(K122+L122)/2</f>
        <v>12.9284158536952</v>
      </c>
      <c r="M123" s="21" t="n">
        <f aca="false">(L122+M122)/2</f>
        <v>13.0290315320059</v>
      </c>
    </row>
    <row r="124" customFormat="false" ht="17.15" hidden="false" customHeight="false" outlineLevel="0" collapsed="false">
      <c r="A124" s="5" t="s">
        <v>1065</v>
      </c>
      <c r="B124" s="7" t="s">
        <v>54</v>
      </c>
      <c r="C124" s="23" t="n">
        <f aca="false">C118/C123</f>
        <v>8.04354462922793</v>
      </c>
      <c r="D124" s="23" t="n">
        <f aca="false">D118/D123</f>
        <v>10.807031888798</v>
      </c>
      <c r="E124" s="23" t="n">
        <f aca="false">E121/E123</f>
        <v>16.2978740668614</v>
      </c>
      <c r="F124" s="23" t="n">
        <f aca="false">F121/F123</f>
        <v>2.67362998625267</v>
      </c>
      <c r="G124" s="23" t="n">
        <f aca="false">G121/G123</f>
        <v>18.955164496181</v>
      </c>
      <c r="H124" s="23" t="n">
        <f aca="false">H121/H123</f>
        <v>10.881455093912</v>
      </c>
      <c r="I124" s="23" t="n">
        <f aca="false">I121/I123</f>
        <v>10.8918147233692</v>
      </c>
      <c r="J124" s="23" t="n">
        <f aca="false">J121/J123</f>
        <v>11.0874761691006</v>
      </c>
      <c r="K124" s="23" t="n">
        <f aca="false">K121/K123</f>
        <v>11.1596491296551</v>
      </c>
      <c r="L124" s="23" t="n">
        <f aca="false">L121/L123</f>
        <v>11.4449371974776</v>
      </c>
      <c r="M124" s="23" t="n">
        <f aca="false">M121/M123</f>
        <v>11.7364336869428</v>
      </c>
    </row>
    <row r="125" customFormat="false" ht="17.15" hidden="false" customHeight="false" outlineLevel="0" collapsed="false">
      <c r="A125" s="0" t="s">
        <v>1066</v>
      </c>
      <c r="B125" s="0" t="s">
        <v>54</v>
      </c>
      <c r="E125" s="23" t="n">
        <f aca="false">(E121-E114*(1-tax_eq))/E123</f>
        <v>8.13877150275885</v>
      </c>
      <c r="F125" s="23" t="n">
        <f aca="false">(F121-F114*(1-tax_eq))/F123</f>
        <v>2.67362998625267</v>
      </c>
      <c r="G125" s="23" t="n">
        <f aca="false">(G121-G114*(1-tax_eq))/G123</f>
        <v>10.8121687795881</v>
      </c>
      <c r="H125" s="23" t="n">
        <f aca="false">(H121-H114*(1-tax_eq))/H123</f>
        <v>10.881455093912</v>
      </c>
      <c r="I125" s="23" t="n">
        <f aca="false">(I121-I114*(1-tax_eq))/I123</f>
        <v>10.8918147233692</v>
      </c>
      <c r="J125" s="23" t="n">
        <f aca="false">(J121-J114*(1-tax_eq))/J123</f>
        <v>11.0874761691006</v>
      </c>
      <c r="K125" s="23" t="n">
        <f aca="false">(K121-K114*(1-tax_eq))/K123</f>
        <v>11.1596491296551</v>
      </c>
      <c r="L125" s="23" t="n">
        <f aca="false">(L121-L114*(1-tax_eq))/L123</f>
        <v>11.4449371974776</v>
      </c>
      <c r="M125" s="23" t="n">
        <f aca="false">(M121-M114*(1-tax_eq))/M123</f>
        <v>11.7364336869428</v>
      </c>
      <c r="N125" s="4" t="s">
        <v>1067</v>
      </c>
    </row>
    <row r="126" customFormat="false" ht="17.15" hidden="false" customHeight="false" outlineLevel="0" collapsed="false">
      <c r="A126" s="0" t="s">
        <v>1068</v>
      </c>
      <c r="B126" s="0" t="s">
        <v>54</v>
      </c>
      <c r="F126" s="23" t="n">
        <f aca="false">(F121+(internal_ai_reading=2)*F107*(1-tax))/F123</f>
        <v>2.75062330397637</v>
      </c>
      <c r="G126" s="23" t="n">
        <f aca="false">(G121+(internal_ai_reading=2)*G107*(1-tax))/G123</f>
        <v>19.0326137903867</v>
      </c>
      <c r="H126" s="23" t="n">
        <f aca="false">(H121+(internal_ai_reading=2)*H107*(1-tax))/H123</f>
        <v>12.7966029927728</v>
      </c>
      <c r="I126" s="23" t="n">
        <f aca="false">(I121+(internal_ai_reading=2)*I107*(1-tax))/I123</f>
        <v>15.4489863884517</v>
      </c>
      <c r="J126" s="23" t="n">
        <f aca="false">(J121+(internal_ai_reading=2)*J107*(1-tax))/J123</f>
        <v>17.9976026530897</v>
      </c>
      <c r="K126" s="23" t="n">
        <f aca="false">(K121+(internal_ai_reading=2)*K107*(1-tax))/K123</f>
        <v>19.8011700890926</v>
      </c>
      <c r="L126" s="23" t="n">
        <f aca="false">(L121+(internal_ai_reading=2)*L107*(1-tax))/L123</f>
        <v>21.2497347090072</v>
      </c>
      <c r="M126" s="23" t="n">
        <f aca="false">(M121+(internal_ai_reading=2)*M107*(1-tax))/M123</f>
        <v>22.1458583566955</v>
      </c>
      <c r="N126" s="4" t="s">
        <v>1069</v>
      </c>
    </row>
    <row r="127" customFormat="false" ht="15" hidden="false" customHeight="false" outlineLevel="0" collapsed="false">
      <c r="A127" s="4" t="s">
        <v>1070</v>
      </c>
      <c r="B127" s="0" t="s">
        <v>81</v>
      </c>
      <c r="C127" s="25" t="n">
        <f aca="false">Q!J44</f>
        <v>22.785</v>
      </c>
      <c r="D127" s="25" t="n">
        <f aca="false">Q!K44</f>
        <v>24.953</v>
      </c>
      <c r="E127" s="25" t="n">
        <f aca="false">Q!L44</f>
        <v>23.338</v>
      </c>
      <c r="F127" s="25" t="n">
        <f aca="false">F83*sbc_r</f>
        <v>9.39148717946017</v>
      </c>
      <c r="G127" s="25" t="n">
        <f aca="false">E127+F127</f>
        <v>32.7294871794602</v>
      </c>
      <c r="H127" s="25" t="n">
        <f aca="false">H83*sbc_r</f>
        <v>40.7125918009675</v>
      </c>
      <c r="I127" s="25" t="n">
        <f aca="false">I83*sbc_r</f>
        <v>48.7774875013843</v>
      </c>
      <c r="J127" s="25" t="n">
        <f aca="false">J83*sbc_r</f>
        <v>56.0043214535466</v>
      </c>
      <c r="K127" s="25" t="n">
        <f aca="false">K83*sbc_r</f>
        <v>60.8990979357502</v>
      </c>
      <c r="L127" s="25" t="n">
        <f aca="false">L83*sbc_r</f>
        <v>65.8350915997234</v>
      </c>
      <c r="M127" s="25" t="n">
        <f aca="false">M83*sbc_r</f>
        <v>70.8457987417877</v>
      </c>
    </row>
    <row r="129" customFormat="false" ht="17.15" hidden="false" customHeight="false" outlineLevel="0" collapsed="false">
      <c r="A129" s="28" t="s">
        <v>1020</v>
      </c>
    </row>
    <row r="130" customFormat="false" ht="15" hidden="false" customHeight="false" outlineLevel="0" collapsed="false">
      <c r="A130" s="3" t="s">
        <v>43</v>
      </c>
      <c r="B130" s="3" t="s">
        <v>44</v>
      </c>
      <c r="C130" s="20" t="s">
        <v>905</v>
      </c>
      <c r="D130" s="20" t="s">
        <v>906</v>
      </c>
      <c r="E130" s="20" t="s">
        <v>907</v>
      </c>
      <c r="F130" s="20" t="s">
        <v>908</v>
      </c>
      <c r="G130" s="20" t="s">
        <v>909</v>
      </c>
      <c r="H130" s="20" t="s">
        <v>910</v>
      </c>
      <c r="I130" s="20" t="s">
        <v>911</v>
      </c>
      <c r="J130" s="20" t="s">
        <v>912</v>
      </c>
      <c r="K130" s="20" t="s">
        <v>913</v>
      </c>
      <c r="L130" s="20" t="s">
        <v>914</v>
      </c>
      <c r="M130" s="20" t="s">
        <v>915</v>
      </c>
      <c r="N130" s="3" t="s">
        <v>50</v>
      </c>
    </row>
    <row r="131" customFormat="false" ht="15" hidden="false" customHeight="false" outlineLevel="0" collapsed="false">
      <c r="A131" s="0" t="s">
        <v>796</v>
      </c>
      <c r="B131" s="0" t="s">
        <v>81</v>
      </c>
      <c r="C131" s="25" t="n">
        <f aca="false">Seg!C83</f>
        <v>198.084</v>
      </c>
      <c r="D131" s="25" t="n">
        <f aca="false">Seg!D83</f>
        <v>224.532</v>
      </c>
      <c r="E131" s="25" t="n">
        <f aca="false">Seg!E83</f>
        <v>187.02</v>
      </c>
      <c r="F131" s="25" t="n">
        <f aca="false">Seg!F83</f>
        <v>73.2001308116737</v>
      </c>
      <c r="G131" s="25" t="n">
        <f aca="false">Seg!G83</f>
        <v>260.220130811674</v>
      </c>
      <c r="H131" s="25" t="n">
        <f aca="false">Seg!H83</f>
        <v>274.874546157058</v>
      </c>
      <c r="I131" s="25" t="n">
        <f aca="false">Seg!I83</f>
        <v>284.249298177628</v>
      </c>
      <c r="J131" s="25" t="n">
        <f aca="false">Seg!J83</f>
        <v>287.569024095777</v>
      </c>
      <c r="K131" s="25" t="n">
        <f aca="false">Seg!K83</f>
        <v>284.405307646266</v>
      </c>
      <c r="L131" s="25" t="n">
        <f aca="false">Seg!L83</f>
        <v>307.157732257967</v>
      </c>
      <c r="M131" s="25" t="n">
        <f aca="false">Seg!M83</f>
        <v>331.730350838604</v>
      </c>
    </row>
    <row r="132" customFormat="false" ht="15" hidden="false" customHeight="false" outlineLevel="0" collapsed="false">
      <c r="A132" s="0" t="s">
        <v>799</v>
      </c>
      <c r="B132" s="0" t="s">
        <v>81</v>
      </c>
      <c r="C132" s="25" t="n">
        <f aca="false">Seg!C85</f>
        <v>36.147</v>
      </c>
      <c r="D132" s="25" t="n">
        <f aca="false">Seg!D85</f>
        <v>40.367</v>
      </c>
      <c r="E132" s="25" t="n">
        <f aca="false">Seg!E85</f>
        <v>32.145</v>
      </c>
      <c r="F132" s="25" t="n">
        <f aca="false">Seg!F85</f>
        <v>12.5574479560027</v>
      </c>
      <c r="G132" s="25" t="n">
        <f aca="false">Seg!G85</f>
        <v>44.7024479560027</v>
      </c>
      <c r="H132" s="25" t="n">
        <f aca="false">Seg!H85</f>
        <v>49.0556486301966</v>
      </c>
      <c r="I132" s="25" t="n">
        <f aca="false">Seg!I85</f>
        <v>53.5485477838786</v>
      </c>
      <c r="J132" s="25" t="n">
        <f aca="false">Seg!J85</f>
        <v>58.1426866566148</v>
      </c>
      <c r="K132" s="25" t="n">
        <f aca="false">Seg!K85</f>
        <v>62.794101589144</v>
      </c>
      <c r="L132" s="25" t="n">
        <f aca="false">Seg!L85</f>
        <v>67.8176297162755</v>
      </c>
      <c r="M132" s="25" t="n">
        <f aca="false">Seg!M85</f>
        <v>73.2430400935775</v>
      </c>
    </row>
    <row r="133" customFormat="false" ht="15" hidden="false" customHeight="false" outlineLevel="0" collapsed="false">
      <c r="A133" s="0" t="s">
        <v>800</v>
      </c>
      <c r="B133" s="0" t="s">
        <v>81</v>
      </c>
      <c r="C133" s="25" t="n">
        <f aca="false">Seg!C87</f>
        <v>30.359</v>
      </c>
      <c r="D133" s="25" t="n">
        <f aca="false">Seg!D87</f>
        <v>29.792</v>
      </c>
      <c r="E133" s="25" t="n">
        <f aca="false">Seg!E87</f>
        <v>21.729</v>
      </c>
      <c r="F133" s="25" t="n">
        <f aca="false">Seg!F87</f>
        <v>7.73354488936426</v>
      </c>
      <c r="G133" s="25" t="n">
        <f aca="false">Seg!G87</f>
        <v>29.4625448893643</v>
      </c>
      <c r="H133" s="25" t="n">
        <f aca="false">Seg!H87</f>
        <v>29.1959166378503</v>
      </c>
      <c r="I133" s="25" t="n">
        <f aca="false">Seg!I87</f>
        <v>29.0197730803554</v>
      </c>
      <c r="J133" s="25" t="n">
        <f aca="false">Seg!J87</f>
        <v>28.9322326525025</v>
      </c>
      <c r="K133" s="25" t="n">
        <f aca="false">Seg!K87</f>
        <v>28.9322326525025</v>
      </c>
      <c r="L133" s="25" t="n">
        <f aca="false">Seg!L87</f>
        <v>28.9322326525025</v>
      </c>
      <c r="M133" s="25" t="n">
        <f aca="false">Seg!M87</f>
        <v>28.9322326525025</v>
      </c>
    </row>
    <row r="134" customFormat="false" ht="15" hidden="false" customHeight="false" outlineLevel="0" collapsed="false">
      <c r="A134" s="0" t="s">
        <v>801</v>
      </c>
      <c r="B134" s="0" t="s">
        <v>81</v>
      </c>
      <c r="C134" s="25" t="n">
        <f aca="false">Seg!C89</f>
        <v>40.34</v>
      </c>
      <c r="D134" s="25" t="n">
        <f aca="false">Seg!D89</f>
        <v>48.03</v>
      </c>
      <c r="E134" s="25" t="n">
        <f aca="false">Seg!E89</f>
        <v>39.585</v>
      </c>
      <c r="F134" s="25" t="n">
        <f aca="false">Seg!F89</f>
        <v>15.6633875230552</v>
      </c>
      <c r="G134" s="25" t="n">
        <f aca="false">Seg!G89</f>
        <v>55.2483875230552</v>
      </c>
      <c r="H134" s="25" t="n">
        <f aca="false">Seg!H89</f>
        <v>62.9936216261504</v>
      </c>
      <c r="I134" s="25" t="n">
        <f aca="false">Seg!I89</f>
        <v>70.9807645048962</v>
      </c>
      <c r="J134" s="25" t="n">
        <f aca="false">Seg!J89</f>
        <v>79.0297306046472</v>
      </c>
      <c r="K134" s="25" t="n">
        <f aca="false">Seg!K89</f>
        <v>86.9327036651119</v>
      </c>
      <c r="L134" s="25" t="n">
        <f aca="false">Seg!L89</f>
        <v>95.6259740316231</v>
      </c>
      <c r="M134" s="25" t="n">
        <f aca="false">Seg!M89</f>
        <v>105.188571434785</v>
      </c>
    </row>
    <row r="135" customFormat="false" ht="15" hidden="false" customHeight="false" outlineLevel="0" collapsed="false">
      <c r="A135" s="29" t="s">
        <v>995</v>
      </c>
      <c r="B135" s="30" t="s">
        <v>81</v>
      </c>
      <c r="C135" s="31" t="n">
        <f aca="false">Seg!C90</f>
        <v>304.93</v>
      </c>
      <c r="D135" s="31" t="n">
        <f aca="false">Seg!D90</f>
        <v>342.721</v>
      </c>
      <c r="E135" s="31" t="n">
        <f aca="false">Seg!E90</f>
        <v>280.479</v>
      </c>
      <c r="F135" s="31" t="n">
        <f aca="false">Seg!F90</f>
        <v>109.154511180096</v>
      </c>
      <c r="G135" s="31" t="n">
        <f aca="false">Seg!G90</f>
        <v>389.633511180096</v>
      </c>
      <c r="H135" s="31" t="n">
        <f aca="false">Seg!H90</f>
        <v>416.119733051255</v>
      </c>
      <c r="I135" s="31" t="n">
        <f aca="false">Seg!I90</f>
        <v>437.798383546758</v>
      </c>
      <c r="J135" s="31" t="n">
        <f aca="false">Seg!J90</f>
        <v>453.673674009542</v>
      </c>
      <c r="K135" s="31" t="n">
        <f aca="false">Seg!K90</f>
        <v>463.064345553024</v>
      </c>
      <c r="L135" s="31" t="n">
        <f aca="false">Seg!L90</f>
        <v>499.533568658368</v>
      </c>
      <c r="M135" s="31" t="n">
        <f aca="false">Seg!M90</f>
        <v>539.09419501947</v>
      </c>
      <c r="N135" s="30"/>
    </row>
    <row r="136" customFormat="false" ht="17.15" hidden="false" customHeight="false" outlineLevel="0" collapsed="false">
      <c r="A136" s="0" t="s">
        <v>996</v>
      </c>
      <c r="B136" s="0" t="s">
        <v>81</v>
      </c>
      <c r="E136" s="25" t="n">
        <f aca="false">Seg!E91</f>
        <v>13.1190558790519</v>
      </c>
      <c r="F136" s="25" t="n">
        <f aca="false">Seg!F91</f>
        <v>6.05015497275625</v>
      </c>
      <c r="G136" s="25" t="n">
        <f aca="false">Seg!G91</f>
        <v>19.1692108518081</v>
      </c>
      <c r="H136" s="25" t="n">
        <f aca="false">Seg!H91</f>
        <v>36.6157989143902</v>
      </c>
      <c r="I136" s="25" t="n">
        <f aca="false">Seg!I91</f>
        <v>57.2951603365358</v>
      </c>
      <c r="J136" s="25" t="n">
        <f aca="false">Seg!J91</f>
        <v>76.1794729031624</v>
      </c>
      <c r="K136" s="25" t="n">
        <f aca="false">Seg!K91</f>
        <v>90.4330979280781</v>
      </c>
      <c r="L136" s="25" t="n">
        <f aca="false">Seg!L91</f>
        <v>100.252938969643</v>
      </c>
      <c r="M136" s="25" t="n">
        <f aca="false">Seg!M91</f>
        <v>105.736687700744</v>
      </c>
    </row>
    <row r="137" customFormat="false" ht="17.15" hidden="false" customHeight="false" outlineLevel="0" collapsed="false">
      <c r="A137" s="0" t="s">
        <v>998</v>
      </c>
      <c r="B137" s="0" t="s">
        <v>81</v>
      </c>
      <c r="E137" s="25" t="n">
        <f aca="false">Seg!E92</f>
        <v>0</v>
      </c>
      <c r="F137" s="25" t="n">
        <f aca="false">Seg!F92</f>
        <v>1</v>
      </c>
      <c r="G137" s="25" t="n">
        <f aca="false">Seg!G92</f>
        <v>1</v>
      </c>
      <c r="H137" s="25" t="n">
        <f aca="false">Seg!H92</f>
        <v>13</v>
      </c>
      <c r="I137" s="25" t="n">
        <f aca="false">Seg!I92</f>
        <v>13</v>
      </c>
      <c r="J137" s="25" t="n">
        <f aca="false">Seg!J92</f>
        <v>13</v>
      </c>
      <c r="K137" s="25" t="n">
        <f aca="false">Seg!K92</f>
        <v>13</v>
      </c>
      <c r="L137" s="25" t="n">
        <f aca="false">Seg!L92</f>
        <v>13</v>
      </c>
      <c r="M137" s="25" t="n">
        <f aca="false">Seg!M92</f>
        <v>13</v>
      </c>
    </row>
    <row r="138" customFormat="false" ht="17.15" hidden="false" customHeight="false" outlineLevel="0" collapsed="false">
      <c r="A138" s="0" t="s">
        <v>1002</v>
      </c>
      <c r="B138" s="0" t="s">
        <v>81</v>
      </c>
      <c r="E138" s="25" t="n">
        <f aca="false">Seg!E94</f>
        <v>62.3859441209481</v>
      </c>
      <c r="F138" s="25" t="n">
        <f aca="false">Seg!F94</f>
        <v>29.0197862418792</v>
      </c>
      <c r="G138" s="25" t="n">
        <f aca="false">Seg!G94</f>
        <v>91.4057303628273</v>
      </c>
      <c r="H138" s="25" t="n">
        <f aca="false">Seg!H94</f>
        <v>141.981344225469</v>
      </c>
      <c r="I138" s="25" t="n">
        <f aca="false">Seg!I94</f>
        <v>198.140551088868</v>
      </c>
      <c r="J138" s="25" t="n">
        <f aca="false">Seg!J94</f>
        <v>245.252364308909</v>
      </c>
      <c r="K138" s="25" t="n">
        <f aca="false">Seg!K94</f>
        <v>264.872553453622</v>
      </c>
      <c r="L138" s="25" t="n">
        <f aca="false">Seg!L94</f>
        <v>286.062357729912</v>
      </c>
      <c r="M138" s="25" t="n">
        <f aca="false">Seg!M94</f>
        <v>308.947346348305</v>
      </c>
    </row>
    <row r="139" customFormat="false" ht="15" hidden="false" customHeight="false" outlineLevel="0" collapsed="false">
      <c r="A139" s="29" t="s">
        <v>1004</v>
      </c>
      <c r="B139" s="30" t="s">
        <v>81</v>
      </c>
      <c r="C139" s="31" t="n">
        <f aca="false">Seg!C95</f>
        <v>43.229</v>
      </c>
      <c r="D139" s="31" t="n">
        <f aca="false">Seg!D95</f>
        <v>58.705</v>
      </c>
      <c r="E139" s="31" t="n">
        <f aca="false">Seg!E95</f>
        <v>75.505</v>
      </c>
      <c r="F139" s="31" t="n">
        <f aca="false">Seg!F95</f>
        <v>36.0699412146354</v>
      </c>
      <c r="G139" s="31" t="n">
        <f aca="false">Seg!G95</f>
        <v>111.574941214635</v>
      </c>
      <c r="H139" s="31" t="n">
        <f aca="false">Seg!H95</f>
        <v>191.597143139859</v>
      </c>
      <c r="I139" s="31" t="n">
        <f aca="false">Seg!I95</f>
        <v>268.435711425404</v>
      </c>
      <c r="J139" s="31" t="n">
        <f aca="false">Seg!J95</f>
        <v>334.431837212072</v>
      </c>
      <c r="K139" s="31" t="n">
        <f aca="false">Seg!K95</f>
        <v>368.3056513817</v>
      </c>
      <c r="L139" s="31" t="n">
        <f aca="false">Seg!L95</f>
        <v>399.315296699555</v>
      </c>
      <c r="M139" s="31" t="n">
        <f aca="false">Seg!M95</f>
        <v>427.684034049048</v>
      </c>
      <c r="N139" s="30"/>
    </row>
    <row r="140" customFormat="false" ht="15" hidden="false" customHeight="false" outlineLevel="0" collapsed="false">
      <c r="A140" s="29" t="s">
        <v>1005</v>
      </c>
      <c r="B140" s="30" t="s">
        <v>81</v>
      </c>
      <c r="C140" s="31" t="n">
        <f aca="false">Seg!C96</f>
        <v>1.648</v>
      </c>
      <c r="D140" s="31" t="n">
        <f aca="false">Seg!D96</f>
        <v>1.537</v>
      </c>
      <c r="E140" s="31" t="n">
        <f aca="false">Seg!E96</f>
        <v>1.165</v>
      </c>
      <c r="F140" s="31" t="n">
        <f aca="false">Seg!F96</f>
        <v>0.38</v>
      </c>
      <c r="G140" s="31" t="n">
        <f aca="false">Seg!G96</f>
        <v>1.545</v>
      </c>
      <c r="H140" s="31" t="n">
        <f aca="false">Seg!H96</f>
        <v>1.6</v>
      </c>
      <c r="I140" s="31" t="n">
        <f aca="false">Seg!I96</f>
        <v>1.8</v>
      </c>
      <c r="J140" s="31" t="n">
        <f aca="false">Seg!J96</f>
        <v>2</v>
      </c>
      <c r="K140" s="31" t="n">
        <f aca="false">Seg!K96</f>
        <v>2.2</v>
      </c>
      <c r="L140" s="31" t="n">
        <f aca="false">Seg!L96</f>
        <v>2.4</v>
      </c>
      <c r="M140" s="31" t="n">
        <f aca="false">Seg!M96</f>
        <v>2.6</v>
      </c>
      <c r="N140" s="30"/>
    </row>
    <row r="141" customFormat="false" ht="15" hidden="false" customHeight="false" outlineLevel="0" collapsed="false">
      <c r="A141" s="0" t="s">
        <v>1006</v>
      </c>
      <c r="B141" s="0" t="s">
        <v>81</v>
      </c>
      <c r="C141" s="25" t="n">
        <f aca="false">Seg!C97</f>
        <v>0.211</v>
      </c>
      <c r="D141" s="25" t="n">
        <f aca="false">Seg!D97</f>
        <v>-0.127</v>
      </c>
      <c r="E141" s="25" t="n">
        <f aca="false">Seg!E97</f>
        <v>0.12</v>
      </c>
      <c r="F141" s="25" t="n">
        <f aca="false">Seg!F97</f>
        <v>0</v>
      </c>
      <c r="G141" s="25" t="n">
        <f aca="false">Seg!G97</f>
        <v>0.12</v>
      </c>
      <c r="H141" s="25" t="n">
        <f aca="false">Seg!H97</f>
        <v>0</v>
      </c>
      <c r="I141" s="25" t="n">
        <f aca="false">Seg!I97</f>
        <v>0</v>
      </c>
      <c r="J141" s="25" t="n">
        <f aca="false">Seg!J97</f>
        <v>0</v>
      </c>
      <c r="K141" s="25" t="n">
        <f aca="false">Seg!K97</f>
        <v>0</v>
      </c>
      <c r="L141" s="25" t="n">
        <f aca="false">Seg!L97</f>
        <v>0</v>
      </c>
      <c r="M141" s="25" t="n">
        <f aca="false">Seg!M97</f>
        <v>0</v>
      </c>
    </row>
    <row r="142" customFormat="false" ht="15" hidden="false" customHeight="false" outlineLevel="0" collapsed="false">
      <c r="A142" s="2" t="s">
        <v>808</v>
      </c>
      <c r="B142" s="7" t="s">
        <v>81</v>
      </c>
      <c r="C142" s="25" t="n">
        <f aca="false">Seg!C98</f>
        <v>350.018</v>
      </c>
      <c r="D142" s="25" t="n">
        <f aca="false">Seg!D98</f>
        <v>402.836</v>
      </c>
      <c r="E142" s="25" t="n">
        <f aca="false">Seg!E98</f>
        <v>357.269</v>
      </c>
      <c r="F142" s="25" t="n">
        <f aca="false">Seg!F98</f>
        <v>145.604452394731</v>
      </c>
      <c r="G142" s="25" t="n">
        <f aca="false">Seg!G98</f>
        <v>502.873452394731</v>
      </c>
      <c r="H142" s="25" t="n">
        <f aca="false">Seg!H98</f>
        <v>609.316876191114</v>
      </c>
      <c r="I142" s="25" t="n">
        <f aca="false">Seg!I98</f>
        <v>708.034094972162</v>
      </c>
      <c r="J142" s="25" t="n">
        <f aca="false">Seg!J98</f>
        <v>790.105511221613</v>
      </c>
      <c r="K142" s="25" t="n">
        <f aca="false">Seg!K98</f>
        <v>833.569996934724</v>
      </c>
      <c r="L142" s="25" t="n">
        <f aca="false">Seg!L98</f>
        <v>901.248865357923</v>
      </c>
      <c r="M142" s="25" t="n">
        <f aca="false">Seg!M98</f>
        <v>969.378229068518</v>
      </c>
    </row>
    <row r="143" customFormat="false" ht="15" hidden="false" customHeight="false" outlineLevel="0" collapsed="false">
      <c r="A143" s="4" t="s">
        <v>1026</v>
      </c>
      <c r="B143" s="0" t="s">
        <v>106</v>
      </c>
      <c r="D143" s="14" t="n">
        <f aca="false">D142/C142-1</f>
        <v>0.150900810815444</v>
      </c>
      <c r="G143" s="14" t="n">
        <f aca="false">G142/D142-1</f>
        <v>0.248332950368714</v>
      </c>
      <c r="H143" s="14" t="n">
        <f aca="false">H142/G142-1</f>
        <v>0.211670397968891</v>
      </c>
      <c r="I143" s="14" t="n">
        <f aca="false">I142/H142-1</f>
        <v>0.162012940455771</v>
      </c>
      <c r="J143" s="14" t="n">
        <f aca="false">J142/I142-1</f>
        <v>0.115914497384025</v>
      </c>
      <c r="K143" s="14" t="n">
        <f aca="false">K142/J142-1</f>
        <v>0.0550109891600539</v>
      </c>
      <c r="L143" s="14" t="n">
        <f aca="false">L142/K142-1</f>
        <v>0.0811915839966326</v>
      </c>
      <c r="M143" s="14" t="n">
        <f aca="false">M142/L142-1</f>
        <v>0.0755943960978398</v>
      </c>
    </row>
    <row r="144" customFormat="false" ht="17.15" hidden="false" customHeight="false" outlineLevel="0" collapsed="false">
      <c r="A144" s="4" t="s">
        <v>803</v>
      </c>
      <c r="B144" s="0" t="s">
        <v>81</v>
      </c>
      <c r="C144" s="21" t="n">
        <f aca="false">C131+C132+C133+C134-C135</f>
        <v>0</v>
      </c>
      <c r="D144" s="21" t="n">
        <f aca="false">D131+D132+D133+D134-D135</f>
        <v>0</v>
      </c>
      <c r="E144" s="21" t="n">
        <f aca="false">E131+E132+E133+E134-E135</f>
        <v>0</v>
      </c>
      <c r="F144" s="21" t="n">
        <f aca="false">F131+F132+F133+F134-F135</f>
        <v>0</v>
      </c>
      <c r="G144" s="21" t="n">
        <f aca="false">G131+G132+G133+G134-G135</f>
        <v>0</v>
      </c>
      <c r="H144" s="21" t="n">
        <f aca="false">H131+H132+H133+H134-H135</f>
        <v>0</v>
      </c>
      <c r="I144" s="21" t="n">
        <f aca="false">I131+I132+I133+I134-I135</f>
        <v>0</v>
      </c>
      <c r="J144" s="21" t="n">
        <f aca="false">J131+J132+J133+J134-J135</f>
        <v>0</v>
      </c>
      <c r="K144" s="21" t="n">
        <f aca="false">K131+K132+K133+K134-K135</f>
        <v>0</v>
      </c>
      <c r="L144" s="21" t="n">
        <f aca="false">L131+L132+L133+L134-L135</f>
        <v>0</v>
      </c>
      <c r="M144" s="21" t="n">
        <f aca="false">M131+M132+M133+M134-M135</f>
        <v>0</v>
      </c>
    </row>
    <row r="145" customFormat="false" ht="17.15" hidden="false" customHeight="false" outlineLevel="0" collapsed="false">
      <c r="A145" s="4" t="s">
        <v>1008</v>
      </c>
      <c r="B145" s="0" t="s">
        <v>81</v>
      </c>
      <c r="E145" s="21" t="n">
        <f aca="false">E136+E137+E138-E139</f>
        <v>0</v>
      </c>
      <c r="F145" s="21" t="n">
        <f aca="false">F136+F137+F138-F139</f>
        <v>0</v>
      </c>
      <c r="G145" s="21" t="n">
        <f aca="false">G136+G137+G138-G139</f>
        <v>0</v>
      </c>
      <c r="H145" s="21" t="n">
        <f aca="false">H136+H137+H138-H139</f>
        <v>0</v>
      </c>
      <c r="I145" s="21" t="n">
        <f aca="false">I136+I137+I138-I139</f>
        <v>0</v>
      </c>
      <c r="J145" s="21" t="n">
        <f aca="false">J136+J137+J138-J139</f>
        <v>0</v>
      </c>
      <c r="K145" s="21" t="n">
        <f aca="false">K136+K137+K138-K139</f>
        <v>0</v>
      </c>
      <c r="L145" s="21" t="n">
        <f aca="false">L136+L137+L138-L139</f>
        <v>0</v>
      </c>
      <c r="M145" s="21" t="n">
        <f aca="false">M136+M137+M138-M139</f>
        <v>0</v>
      </c>
    </row>
    <row r="146" customFormat="false" ht="15" hidden="false" customHeight="false" outlineLevel="0" collapsed="false">
      <c r="A146" s="4" t="s">
        <v>809</v>
      </c>
      <c r="B146" s="0" t="s">
        <v>81</v>
      </c>
      <c r="C146" s="21" t="n">
        <f aca="false">C135+C139+C140+C141-C142</f>
        <v>0</v>
      </c>
      <c r="D146" s="21" t="n">
        <f aca="false">D135+D139+D140+D141-D142</f>
        <v>0</v>
      </c>
      <c r="E146" s="21" t="n">
        <f aca="false">E135+E139+E140+E141-E142</f>
        <v>0</v>
      </c>
      <c r="F146" s="21" t="n">
        <f aca="false">F135+F139+F140+F141-F142</f>
        <v>0</v>
      </c>
      <c r="G146" s="21" t="n">
        <f aca="false">G135+G139+G140+G141-G142</f>
        <v>0</v>
      </c>
      <c r="H146" s="21" t="n">
        <f aca="false">H135+H139+H140+H141-H142</f>
        <v>0</v>
      </c>
      <c r="I146" s="21" t="n">
        <f aca="false">I135+I139+I140+I141-I142</f>
        <v>0</v>
      </c>
      <c r="J146" s="21" t="n">
        <f aca="false">J135+J139+J140+J141-J142</f>
        <v>0</v>
      </c>
      <c r="K146" s="21" t="n">
        <f aca="false">K135+K139+K140+K141-K142</f>
        <v>0</v>
      </c>
      <c r="L146" s="21" t="n">
        <f aca="false">L135+L139+L140+L141-L142</f>
        <v>0</v>
      </c>
      <c r="M146" s="21" t="n">
        <f aca="false">M135+M139+M140+M141-M142</f>
        <v>0</v>
      </c>
    </row>
    <row r="147" customFormat="false" ht="17.15" hidden="false" customHeight="false" outlineLevel="0" collapsed="false">
      <c r="A147" s="0" t="s">
        <v>1027</v>
      </c>
      <c r="B147" s="0" t="s">
        <v>81</v>
      </c>
      <c r="F147" s="25" t="n">
        <f aca="false">Seg!F83-Seg!F79</f>
        <v>0</v>
      </c>
      <c r="G147" s="25" t="n">
        <f aca="false">F147</f>
        <v>0</v>
      </c>
      <c r="H147" s="25" t="n">
        <f aca="false">Seg!H83-Seg!H79</f>
        <v>-21.8860974672962</v>
      </c>
      <c r="I147" s="25" t="n">
        <f aca="false">Seg!I83-Seg!I79</f>
        <v>-48.2060213283697</v>
      </c>
      <c r="J147" s="25" t="n">
        <f aca="false">Seg!J83-Seg!J79</f>
        <v>-78.1785423217455</v>
      </c>
      <c r="K147" s="25" t="n">
        <f aca="false">Seg!K83-Seg!K79</f>
        <v>-110.602064084659</v>
      </c>
      <c r="L147" s="25" t="n">
        <f aca="false">Seg!L83-Seg!L79</f>
        <v>-119.450229211432</v>
      </c>
      <c r="M147" s="25" t="n">
        <f aca="false">Seg!M83-Seg!M79</f>
        <v>-129.006247548346</v>
      </c>
    </row>
    <row r="148" customFormat="false" ht="17.15" hidden="false" customHeight="false" outlineLevel="0" collapsed="false">
      <c r="A148" s="0" t="s">
        <v>1028</v>
      </c>
      <c r="B148" s="0" t="s">
        <v>81</v>
      </c>
      <c r="F148" s="25" t="n">
        <f aca="false">m_svc*(F135-F147)+inc_m*F147-svc_sh*(Thesis!F68+Thesis!F69)</f>
        <v>51.3162770970767</v>
      </c>
      <c r="H148" s="25" t="n">
        <f aca="false">m_svc*(H135-H147)+inc_m*H147-svc_sh*(Thesis!H68+Thesis!H69)</f>
        <v>187.306421607607</v>
      </c>
      <c r="I148" s="25" t="n">
        <f aca="false">m_svc*(I135-I147)+inc_m*I147-svc_sh*(Thesis!I68+Thesis!I69)</f>
        <v>186.843426654043</v>
      </c>
      <c r="J148" s="25" t="n">
        <f aca="false">m_svc*(J135-J147)+inc_m*J147-svc_sh*(Thesis!J68+Thesis!J69)</f>
        <v>186.628471030228</v>
      </c>
      <c r="K148" s="25" t="n">
        <f aca="false">m_svc*(K135-K147)+inc_m*K147-svc_sh*(Thesis!K68+Thesis!K69)</f>
        <v>183.92705343345</v>
      </c>
      <c r="L148" s="25" t="n">
        <f aca="false">m_svc*(L135-L147)+inc_m*L147-svc_sh*(Thesis!L68+Thesis!L69)</f>
        <v>197.263685520726</v>
      </c>
      <c r="M148" s="25" t="n">
        <f aca="false">m_svc*(M135-M147)+inc_m*M147-svc_sh*(Thesis!M68+Thesis!M69)</f>
        <v>213.071075081953</v>
      </c>
      <c r="N148" s="7" t="s">
        <v>1029</v>
      </c>
    </row>
    <row r="149" customFormat="false" ht="17.15" hidden="false" customHeight="false" outlineLevel="0" collapsed="false">
      <c r="A149" s="0" t="s">
        <v>1030</v>
      </c>
      <c r="B149" s="0" t="s">
        <v>81</v>
      </c>
      <c r="F149" s="25" t="n">
        <f aca="false">Thesis!F77*sh_svc+Seg!F107+Thesis!F65*svc_sh</f>
        <v>8.49171790631294</v>
      </c>
      <c r="H149" s="25" t="n">
        <f aca="false">Thesis!H77*sh_svc+Seg!H107+Thesis!H65*svc_sh</f>
        <v>37.8922433005716</v>
      </c>
      <c r="I149" s="25" t="n">
        <f aca="false">Thesis!I77*sh_svc+Seg!I107+Thesis!I65*svc_sh</f>
        <v>53.8521719257553</v>
      </c>
      <c r="J149" s="25" t="n">
        <f aca="false">Thesis!J77*sh_svc+Seg!J107+Thesis!J65*svc_sh</f>
        <v>68.9874494221023</v>
      </c>
      <c r="K149" s="25" t="n">
        <f aca="false">Thesis!K77*sh_svc+Seg!K107+Thesis!K65*svc_sh</f>
        <v>79.7675696215552</v>
      </c>
      <c r="L149" s="25" t="n">
        <f aca="false">Thesis!L77*sh_svc+Seg!L107+Thesis!L65*svc_sh</f>
        <v>85.8201161103757</v>
      </c>
      <c r="M149" s="25" t="n">
        <f aca="false">Thesis!M77*sh_svc+Seg!M107+Thesis!M65*svc_sh</f>
        <v>95.4586804660146</v>
      </c>
    </row>
    <row r="150" customFormat="false" ht="17.15" hidden="false" customHeight="false" outlineLevel="0" collapsed="false">
      <c r="A150" s="5" t="s">
        <v>1031</v>
      </c>
      <c r="B150" s="7" t="s">
        <v>81</v>
      </c>
      <c r="C150" s="25" t="n">
        <f aca="false">Q!J18</f>
        <v>121.263</v>
      </c>
      <c r="D150" s="25" t="n">
        <f aca="false">Q!K18</f>
        <v>139.404</v>
      </c>
      <c r="E150" s="25" t="n">
        <f aca="false">Q!L18</f>
        <v>119.29</v>
      </c>
      <c r="F150" s="25" t="n">
        <f aca="false">F148-F149</f>
        <v>42.8245591907637</v>
      </c>
      <c r="G150" s="25" t="n">
        <f aca="false">E150+F150</f>
        <v>162.114559190764</v>
      </c>
      <c r="H150" s="25" t="n">
        <f aca="false">H148-H149</f>
        <v>149.414178307035</v>
      </c>
      <c r="I150" s="25" t="n">
        <f aca="false">I148-I149</f>
        <v>132.991254728288</v>
      </c>
      <c r="J150" s="25" t="n">
        <f aca="false">J148-J149</f>
        <v>117.641021608126</v>
      </c>
      <c r="K150" s="25" t="n">
        <f aca="false">K148-K149</f>
        <v>104.159483811895</v>
      </c>
      <c r="L150" s="25" t="n">
        <f aca="false">L148-L149</f>
        <v>111.443569410351</v>
      </c>
      <c r="M150" s="25" t="n">
        <f aca="false">M148-M149</f>
        <v>117.612394615939</v>
      </c>
    </row>
    <row r="151" customFormat="false" ht="17.15" hidden="false" customHeight="false" outlineLevel="0" collapsed="false">
      <c r="A151" s="0" t="s">
        <v>1032</v>
      </c>
      <c r="B151" s="0" t="s">
        <v>81</v>
      </c>
      <c r="F151" s="25" t="n">
        <f aca="false">Thesis!F41+F137*tpu_m+F138*m_co</f>
        <v>14.7226961937778</v>
      </c>
      <c r="H151" s="25" t="n">
        <f aca="false">Thesis!H41+H137*tpu_m+H138*m_co</f>
        <v>79.8146916798949</v>
      </c>
      <c r="I151" s="25" t="n">
        <f aca="false">Thesis!I41+I137*tpu_m+I138*m_co</f>
        <v>115.336077502105</v>
      </c>
      <c r="J151" s="25" t="n">
        <f aca="false">Thesis!J41+J137*tpu_m+J138*m_co</f>
        <v>146.435064784193</v>
      </c>
      <c r="K151" s="25" t="n">
        <f aca="false">Thesis!K41+K137*tpu_m+K138*m_co</f>
        <v>164.600162130281</v>
      </c>
      <c r="L151" s="25" t="n">
        <f aca="false">Thesis!L41+L137*tpu_m+L138*m_co</f>
        <v>179.669904616666</v>
      </c>
      <c r="M151" s="25" t="n">
        <f aca="false">Thesis!M41+M137*tpu_m+M138*m_co</f>
        <v>191.765827277362</v>
      </c>
      <c r="N151" s="7" t="s">
        <v>1033</v>
      </c>
    </row>
    <row r="152" customFormat="false" ht="17.15" hidden="false" customHeight="false" outlineLevel="0" collapsed="false">
      <c r="A152" s="0" t="s">
        <v>1034</v>
      </c>
      <c r="B152" s="0" t="s">
        <v>81</v>
      </c>
      <c r="F152" s="25" t="n">
        <f aca="false">Thesis!F77*sh_cloud+Thesis!F64+Seg!F108</f>
        <v>3.44467961049077</v>
      </c>
      <c r="H152" s="25" t="n">
        <f aca="false">Thesis!H77*sh_cloud+Thesis!H64+Seg!H108</f>
        <v>16.8466195029068</v>
      </c>
      <c r="I152" s="25" t="n">
        <f aca="false">Thesis!I77*sh_cloud+Thesis!I64+Seg!I108</f>
        <v>29.5603940296853</v>
      </c>
      <c r="J152" s="25" t="n">
        <f aca="false">Thesis!J77*sh_cloud+Thesis!J64+Seg!J108</f>
        <v>43.2176099191434</v>
      </c>
      <c r="K152" s="25" t="n">
        <f aca="false">Thesis!K77*sh_cloud+Thesis!K64+Seg!K108</f>
        <v>55.7883604639856</v>
      </c>
      <c r="L152" s="25" t="n">
        <f aca="false">Thesis!L77*sh_cloud+Thesis!L64+Seg!L108</f>
        <v>67.0924025892336</v>
      </c>
      <c r="M152" s="25" t="n">
        <f aca="false">Thesis!M77*sh_cloud+Thesis!M64+Seg!M108</f>
        <v>78.552724025231</v>
      </c>
    </row>
    <row r="153" customFormat="false" ht="17.15" hidden="false" customHeight="false" outlineLevel="0" collapsed="false">
      <c r="A153" s="5" t="s">
        <v>1035</v>
      </c>
      <c r="B153" s="7" t="s">
        <v>81</v>
      </c>
      <c r="C153" s="25" t="n">
        <f aca="false">Q!J19</f>
        <v>6.112</v>
      </c>
      <c r="D153" s="25" t="n">
        <f aca="false">Q!K19</f>
        <v>13.91</v>
      </c>
      <c r="E153" s="25" t="n">
        <f aca="false">Q!L19</f>
        <v>26.533</v>
      </c>
      <c r="F153" s="25" t="n">
        <f aca="false">F151-F152</f>
        <v>11.278016583287</v>
      </c>
      <c r="G153" s="25" t="n">
        <f aca="false">E153+F153</f>
        <v>37.811016583287</v>
      </c>
      <c r="H153" s="25" t="n">
        <f aca="false">H151-H152</f>
        <v>62.9680721769881</v>
      </c>
      <c r="I153" s="25" t="n">
        <f aca="false">I151-I152</f>
        <v>85.7756834724196</v>
      </c>
      <c r="J153" s="25" t="n">
        <f aca="false">J151-J152</f>
        <v>103.21745486505</v>
      </c>
      <c r="K153" s="25" t="n">
        <f aca="false">K151-K152</f>
        <v>108.811801666295</v>
      </c>
      <c r="L153" s="25" t="n">
        <f aca="false">L151-L152</f>
        <v>112.577502027432</v>
      </c>
      <c r="M153" s="25" t="n">
        <f aca="false">M151-M152</f>
        <v>113.213103252131</v>
      </c>
    </row>
    <row r="154" customFormat="false" ht="17.15" hidden="false" customHeight="false" outlineLevel="0" collapsed="false">
      <c r="A154" s="0" t="s">
        <v>1036</v>
      </c>
      <c r="B154" s="0" t="s">
        <v>81</v>
      </c>
      <c r="F154" s="25" t="n">
        <f aca="false">Thesis!F77*sh_ob+Seg!F109</f>
        <v>0.0237198901378849</v>
      </c>
      <c r="H154" s="25" t="n">
        <f aca="false">Thesis!H77*sh_ob+Seg!H109</f>
        <v>0.0972795605515397</v>
      </c>
      <c r="I154" s="25" t="n">
        <f aca="false">Thesis!I77*sh_ob+Seg!I109</f>
        <v>0.10717956055154</v>
      </c>
      <c r="J154" s="25" t="n">
        <f aca="false">Thesis!J77*sh_ob+Seg!J109</f>
        <v>0.113549736117897</v>
      </c>
      <c r="K154" s="25" t="n">
        <f aca="false">Thesis!K77*sh_ob+Seg!K109</f>
        <v>0.109927900546002</v>
      </c>
      <c r="L154" s="25" t="n">
        <f aca="false">Thesis!L77*sh_ob+Seg!L109</f>
        <v>0.0919578907325283</v>
      </c>
      <c r="M154" s="25" t="n">
        <f aca="false">Thesis!M77*sh_ob+Seg!M109</f>
        <v>0.0985898461930389</v>
      </c>
    </row>
    <row r="155" customFormat="false" ht="17.15" hidden="false" customHeight="false" outlineLevel="0" collapsed="false">
      <c r="A155" s="5" t="s">
        <v>1037</v>
      </c>
      <c r="B155" s="7" t="s">
        <v>81</v>
      </c>
      <c r="C155" s="25" t="n">
        <f aca="false">Q!J20</f>
        <v>-4.444</v>
      </c>
      <c r="D155" s="25" t="n">
        <f aca="false">Q!K20</f>
        <v>-7.515</v>
      </c>
      <c r="E155" s="25" t="n">
        <f aca="false">Q!L20</f>
        <v>-5.946</v>
      </c>
      <c r="F155" s="25" t="n">
        <f aca="false">ob_oi*0.25</f>
        <v>-2.25</v>
      </c>
      <c r="G155" s="25" t="n">
        <f aca="false">E155+F155</f>
        <v>-8.196</v>
      </c>
      <c r="H155" s="25" t="n">
        <f aca="false">ob_oi*1</f>
        <v>-9</v>
      </c>
      <c r="I155" s="25" t="n">
        <f aca="false">ob_oi*1</f>
        <v>-9</v>
      </c>
      <c r="J155" s="25" t="n">
        <f aca="false">ob_oi*1</f>
        <v>-9</v>
      </c>
      <c r="K155" s="25" t="n">
        <f aca="false">ob_oi*1</f>
        <v>-9</v>
      </c>
      <c r="L155" s="25" t="n">
        <f aca="false">ob_oi*1</f>
        <v>-9</v>
      </c>
      <c r="M155" s="25" t="n">
        <f aca="false">ob_oi*1</f>
        <v>-9</v>
      </c>
    </row>
    <row r="156" customFormat="false" ht="15" hidden="false" customHeight="false" outlineLevel="0" collapsed="false">
      <c r="A156" s="0" t="s">
        <v>1038</v>
      </c>
      <c r="B156" s="0" t="s">
        <v>81</v>
      </c>
      <c r="F156" s="25" t="n">
        <f aca="false">F155+F154</f>
        <v>-2.22628010986212</v>
      </c>
      <c r="H156" s="25" t="n">
        <f aca="false">H155+H154</f>
        <v>-8.90272043944846</v>
      </c>
      <c r="I156" s="25" t="n">
        <f aca="false">I155+I154</f>
        <v>-8.89282043944846</v>
      </c>
      <c r="J156" s="25" t="n">
        <f aca="false">J155+J154</f>
        <v>-8.8864502638821</v>
      </c>
      <c r="K156" s="25" t="n">
        <f aca="false">K155+K154</f>
        <v>-8.890072099454</v>
      </c>
      <c r="L156" s="25" t="n">
        <f aca="false">L155+L154</f>
        <v>-8.90804210926747</v>
      </c>
      <c r="M156" s="25" t="n">
        <f aca="false">M155+M154</f>
        <v>-8.90141015380696</v>
      </c>
    </row>
    <row r="157" customFormat="false" ht="17.15" hidden="false" customHeight="false" outlineLevel="0" collapsed="false">
      <c r="A157" s="0" t="s">
        <v>1039</v>
      </c>
      <c r="B157" s="0" t="s">
        <v>81</v>
      </c>
      <c r="F157" s="25" t="n">
        <f aca="false">Thesis!F65*(1-svc_sh)</f>
        <v>1.7681676090408</v>
      </c>
      <c r="H157" s="25" t="n">
        <f aca="false">Thesis!H65*(1-svc_sh)</f>
        <v>9.27346515332514</v>
      </c>
      <c r="I157" s="25" t="n">
        <f aca="false">Thesis!I65*(1-svc_sh)</f>
        <v>18.2272599874138</v>
      </c>
      <c r="J157" s="25" t="n">
        <f aca="false">Thesis!J65*(1-svc_sh)</f>
        <v>27.3234605716995</v>
      </c>
      <c r="K157" s="25" t="n">
        <f aca="false">Thesis!K65*(1-svc_sh)</f>
        <v>35.2885278760496</v>
      </c>
      <c r="L157" s="25" t="n">
        <f aca="false">Thesis!L65*(1-svc_sh)</f>
        <v>42.5785694894301</v>
      </c>
      <c r="M157" s="25" t="n">
        <f aca="false">Thesis!M65*(1-svc_sh)</f>
        <v>48.2852968407446</v>
      </c>
    </row>
    <row r="158" customFormat="false" ht="17.15" hidden="false" customHeight="false" outlineLevel="0" collapsed="false">
      <c r="A158" s="5" t="s">
        <v>1040</v>
      </c>
      <c r="B158" s="7" t="s">
        <v>81</v>
      </c>
      <c r="C158" s="25" t="n">
        <f aca="false">Q!J21</f>
        <v>-10.541</v>
      </c>
      <c r="D158" s="25" t="n">
        <f aca="false">Q!K21</f>
        <v>-16.76</v>
      </c>
      <c r="E158" s="25" t="n">
        <f aca="false">Q!L21</f>
        <v>-18.835</v>
      </c>
      <c r="F158" s="25" t="n">
        <f aca="false">F141-abc_rate*F142-Thesis!F72</f>
        <v>-11.7164836412834</v>
      </c>
      <c r="G158" s="25" t="n">
        <f aca="false">E158+F158</f>
        <v>-30.5514836412834</v>
      </c>
      <c r="H158" s="25" t="n">
        <f aca="false">H141-abc_rate*H142-Thesis!H72</f>
        <v>-52.8899842243807</v>
      </c>
      <c r="I158" s="25" t="n">
        <f aca="false">I141-abc_rate*I142-Thesis!I72</f>
        <v>-71.3693761417503</v>
      </c>
      <c r="J158" s="25" t="n">
        <f aca="false">J141-abc_rate*J142-Thesis!J72</f>
        <v>-86.4245536562298</v>
      </c>
      <c r="K158" s="25" t="n">
        <f aca="false">K141-abc_rate*K142-Thesis!K72</f>
        <v>-97.2370303586997</v>
      </c>
      <c r="L158" s="25" t="n">
        <f aca="false">L141-abc_rate*L142-Thesis!L72</f>
        <v>-110.274003637808</v>
      </c>
      <c r="M158" s="25" t="n">
        <f aca="false">M141-abc_rate*M142-Thesis!M72</f>
        <v>-121.01012665901</v>
      </c>
    </row>
    <row r="159" customFormat="false" ht="15" hidden="false" customHeight="false" outlineLevel="0" collapsed="false">
      <c r="A159" s="0" t="s">
        <v>1041</v>
      </c>
      <c r="B159" s="0" t="s">
        <v>81</v>
      </c>
      <c r="F159" s="25" t="n">
        <f aca="false">F158+F157</f>
        <v>-9.94831603224258</v>
      </c>
      <c r="H159" s="25" t="n">
        <f aca="false">H158+H157</f>
        <v>-43.6165190710555</v>
      </c>
      <c r="I159" s="25" t="n">
        <f aca="false">I158+I157</f>
        <v>-53.1421161543365</v>
      </c>
      <c r="J159" s="25" t="n">
        <f aca="false">J158+J157</f>
        <v>-59.1010930845303</v>
      </c>
      <c r="K159" s="25" t="n">
        <f aca="false">K158+K157</f>
        <v>-61.9485024826501</v>
      </c>
      <c r="L159" s="25" t="n">
        <f aca="false">L158+L157</f>
        <v>-67.6954341483777</v>
      </c>
      <c r="M159" s="25" t="n">
        <f aca="false">M158+M157</f>
        <v>-72.7248298182657</v>
      </c>
    </row>
    <row r="160" customFormat="false" ht="15" hidden="false" customHeight="false" outlineLevel="0" collapsed="false">
      <c r="A160" s="4" t="s">
        <v>1042</v>
      </c>
      <c r="B160" s="0" t="s">
        <v>81</v>
      </c>
      <c r="C160" s="25" t="n">
        <f aca="false">C150+C153+C155+C158</f>
        <v>112.39</v>
      </c>
      <c r="D160" s="25" t="n">
        <f aca="false">D150+D153+D155+D158</f>
        <v>129.039</v>
      </c>
      <c r="E160" s="25" t="n">
        <f aca="false">E150+E153+E155+E158</f>
        <v>121.042</v>
      </c>
      <c r="F160" s="25" t="n">
        <f aca="false">F150+F153+F155+F158</f>
        <v>40.1360921327673</v>
      </c>
      <c r="G160" s="25" t="n">
        <f aca="false">G150+G153+G155+G158</f>
        <v>161.178092132767</v>
      </c>
      <c r="H160" s="25" t="n">
        <f aca="false">H150+H153+H155+H158</f>
        <v>150.492266259642</v>
      </c>
      <c r="I160" s="25" t="n">
        <f aca="false">I150+I153+I155+I158</f>
        <v>138.397562058957</v>
      </c>
      <c r="J160" s="25" t="n">
        <f aca="false">J150+J153+J155+J158</f>
        <v>125.433922816946</v>
      </c>
      <c r="K160" s="25" t="n">
        <f aca="false">K150+K153+K155+K158</f>
        <v>106.73425511949</v>
      </c>
      <c r="L160" s="25" t="n">
        <f aca="false">L150+L153+L155+L158</f>
        <v>104.747067799975</v>
      </c>
      <c r="M160" s="25" t="n">
        <f aca="false">M150+M153+M155+M158</f>
        <v>100.81537120906</v>
      </c>
    </row>
    <row r="161" customFormat="false" ht="17.15" hidden="false" customHeight="false" outlineLevel="0" collapsed="false">
      <c r="A161" s="4" t="s">
        <v>1043</v>
      </c>
      <c r="B161" s="0" t="s">
        <v>81</v>
      </c>
      <c r="F161" s="25" t="n">
        <f aca="false">F148+F151+F156+F159</f>
        <v>53.8643771487497</v>
      </c>
      <c r="H161" s="25" t="n">
        <f aca="false">H148+H151+H156+H159</f>
        <v>214.601873776997</v>
      </c>
      <c r="I161" s="25" t="n">
        <f aca="false">I148+I151+I156+I159</f>
        <v>240.144567562363</v>
      </c>
      <c r="J161" s="25" t="n">
        <f aca="false">J148+J151+J156+J159</f>
        <v>265.075992466009</v>
      </c>
      <c r="K161" s="25" t="n">
        <f aca="false">K148+K151+K156+K159</f>
        <v>277.688640981627</v>
      </c>
      <c r="L161" s="25" t="n">
        <f aca="false">L148+L151+L156+L159</f>
        <v>300.330113879747</v>
      </c>
      <c r="M161" s="25" t="n">
        <f aca="false">M148+M151+M156+M159</f>
        <v>323.210662387243</v>
      </c>
    </row>
    <row r="162" customFormat="false" ht="17.15" hidden="false" customHeight="false" outlineLevel="0" collapsed="false">
      <c r="A162" s="4" t="s">
        <v>1044</v>
      </c>
      <c r="B162" s="0" t="s">
        <v>81</v>
      </c>
      <c r="C162" s="25" t="n">
        <f aca="false">Q!J43</f>
        <v>15.311</v>
      </c>
      <c r="D162" s="25" t="n">
        <f aca="false">Q!K43</f>
        <v>21.136</v>
      </c>
      <c r="E162" s="25" t="n">
        <f aca="false">Q!L43</f>
        <v>21.955</v>
      </c>
      <c r="F162" s="25" t="n">
        <f aca="false">Thesis!F77+Thesis!F63+Seg!F110</f>
        <v>13.7282850159824</v>
      </c>
      <c r="G162" s="25" t="n">
        <f aca="false">E162+F162</f>
        <v>35.6832850159824</v>
      </c>
      <c r="H162" s="25" t="n">
        <f aca="false">Thesis!H77+Thesis!H63+Seg!H110</f>
        <v>64.109607517355</v>
      </c>
      <c r="I162" s="25" t="n">
        <f aca="false">Thesis!I77+Thesis!I63+Seg!I110</f>
        <v>101.747005503406</v>
      </c>
      <c r="J162" s="25" t="n">
        <f aca="false">Thesis!J77+Thesis!J63+Seg!J110</f>
        <v>139.642069649063</v>
      </c>
      <c r="K162" s="25" t="n">
        <f aca="false">Thesis!K77+Thesis!K63+Seg!K110</f>
        <v>170.954385862136</v>
      </c>
      <c r="L162" s="25" t="n">
        <f aca="false">Thesis!L77+Thesis!L63+Seg!L110</f>
        <v>195.583046079772</v>
      </c>
      <c r="M162" s="25" t="n">
        <f aca="false">Thesis!M77+Thesis!M63+Seg!M110</f>
        <v>222.395291178183</v>
      </c>
      <c r="N162" s="7" t="s">
        <v>1045</v>
      </c>
    </row>
    <row r="163" customFormat="false" ht="17.15" hidden="false" customHeight="false" outlineLevel="0" collapsed="false">
      <c r="A163" s="4" t="s">
        <v>1046</v>
      </c>
      <c r="B163" s="0" t="s">
        <v>81</v>
      </c>
      <c r="F163" s="25" t="n">
        <f aca="false">Thesis!F63</f>
        <v>6.31488431800285</v>
      </c>
      <c r="G163" s="25" t="n">
        <f aca="false">F163</f>
        <v>6.31488431800285</v>
      </c>
      <c r="H163" s="25" t="n">
        <f aca="false">Thesis!H63</f>
        <v>33.1195184047327</v>
      </c>
      <c r="I163" s="25" t="n">
        <f aca="false">Thesis!I63</f>
        <v>65.0973570979064</v>
      </c>
      <c r="J163" s="25" t="n">
        <f aca="false">Thesis!J63</f>
        <v>97.5837877560696</v>
      </c>
      <c r="K163" s="25" t="n">
        <f aca="false">Thesis!K63</f>
        <v>126.030456700177</v>
      </c>
      <c r="L163" s="25" t="n">
        <f aca="false">Thesis!L63</f>
        <v>152.066319605107</v>
      </c>
      <c r="M163" s="25" t="n">
        <f aca="false">Thesis!M63</f>
        <v>172.447488716945</v>
      </c>
    </row>
    <row r="164" customFormat="false" ht="17.15" hidden="false" customHeight="false" outlineLevel="0" collapsed="false">
      <c r="A164" s="28" t="s">
        <v>815</v>
      </c>
      <c r="B164" s="30" t="s">
        <v>81</v>
      </c>
      <c r="C164" s="31" t="n">
        <f aca="false">Q!J22</f>
        <v>112.39</v>
      </c>
      <c r="D164" s="31" t="n">
        <f aca="false">Q!K22</f>
        <v>129.039</v>
      </c>
      <c r="E164" s="31" t="n">
        <f aca="false">Q!L22</f>
        <v>121.042</v>
      </c>
      <c r="F164" s="31" t="n">
        <f aca="false">F161-F162</f>
        <v>40.1360921327673</v>
      </c>
      <c r="G164" s="31" t="n">
        <f aca="false">E164+F164</f>
        <v>161.178092132767</v>
      </c>
      <c r="H164" s="31" t="n">
        <f aca="false">H161-H162</f>
        <v>150.492266259642</v>
      </c>
      <c r="I164" s="31" t="n">
        <f aca="false">I161-I162</f>
        <v>138.397562058957</v>
      </c>
      <c r="J164" s="31" t="n">
        <f aca="false">J161-J162</f>
        <v>125.433922816946</v>
      </c>
      <c r="K164" s="31" t="n">
        <f aca="false">K161-K162</f>
        <v>106.73425511949</v>
      </c>
      <c r="L164" s="31" t="n">
        <f aca="false">L161-L162</f>
        <v>104.747067799975</v>
      </c>
      <c r="M164" s="31" t="n">
        <f aca="false">M161-M162</f>
        <v>100.81537120906</v>
      </c>
      <c r="N164" s="32" t="s">
        <v>1047</v>
      </c>
    </row>
    <row r="165" customFormat="false" ht="15" hidden="false" customHeight="false" outlineLevel="0" collapsed="false">
      <c r="A165" s="4" t="s">
        <v>816</v>
      </c>
      <c r="B165" s="0" t="s">
        <v>81</v>
      </c>
      <c r="C165" s="21" t="n">
        <f aca="false">C160-C164</f>
        <v>0</v>
      </c>
      <c r="D165" s="21" t="n">
        <f aca="false">D160-D164</f>
        <v>0</v>
      </c>
      <c r="E165" s="21" t="n">
        <f aca="false">E160-E164</f>
        <v>0</v>
      </c>
      <c r="F165" s="21" t="n">
        <f aca="false">F160-F164</f>
        <v>0</v>
      </c>
      <c r="G165" s="21" t="n">
        <f aca="false">G160-G164</f>
        <v>0</v>
      </c>
      <c r="H165" s="21" t="n">
        <f aca="false">H160-H164</f>
        <v>0</v>
      </c>
      <c r="I165" s="21" t="n">
        <f aca="false">I160-I164</f>
        <v>0</v>
      </c>
      <c r="J165" s="21" t="n">
        <f aca="false">J160-J164</f>
        <v>0</v>
      </c>
      <c r="K165" s="21" t="n">
        <f aca="false">K160-K164</f>
        <v>0</v>
      </c>
      <c r="L165" s="21" t="n">
        <f aca="false">L160-L164</f>
        <v>0</v>
      </c>
      <c r="M165" s="21" t="n">
        <f aca="false">M160-M164</f>
        <v>0</v>
      </c>
    </row>
    <row r="166" customFormat="false" ht="17.15" hidden="false" customHeight="false" outlineLevel="0" collapsed="false">
      <c r="A166" s="4" t="s">
        <v>1048</v>
      </c>
      <c r="B166" s="0" t="s">
        <v>81</v>
      </c>
      <c r="F166" s="25" t="n">
        <f aca="false">Thesis!F80</f>
        <v>1.14948686725343</v>
      </c>
      <c r="G166" s="25" t="n">
        <f aca="false">F166</f>
        <v>1.14948686725343</v>
      </c>
      <c r="H166" s="25" t="n">
        <f aca="false">Thesis!H80</f>
        <v>28.718806457026</v>
      </c>
      <c r="I166" s="25" t="n">
        <f aca="false">Thesis!I80</f>
        <v>68.8957511379667</v>
      </c>
      <c r="J166" s="25" t="n">
        <f aca="false">Thesis!J80</f>
        <v>105.585181040499</v>
      </c>
      <c r="K166" s="25" t="n">
        <f aca="false">Thesis!K80</f>
        <v>133.277869051437</v>
      </c>
      <c r="L166" s="25" t="n">
        <f aca="false">Thesis!L80</f>
        <v>152.356369699918</v>
      </c>
      <c r="M166" s="25" t="n">
        <f aca="false">Thesis!M80</f>
        <v>163.010483476259</v>
      </c>
      <c r="N166" s="4" t="s">
        <v>1049</v>
      </c>
    </row>
    <row r="167" customFormat="false" ht="17.15" hidden="false" customHeight="false" outlineLevel="0" collapsed="false">
      <c r="A167" s="2" t="s">
        <v>1050</v>
      </c>
      <c r="B167" s="7" t="s">
        <v>81</v>
      </c>
      <c r="C167" s="25" t="n">
        <f aca="false">C164</f>
        <v>112.39</v>
      </c>
      <c r="D167" s="25" t="n">
        <f aca="false">D164</f>
        <v>129.039</v>
      </c>
      <c r="E167" s="25" t="n">
        <f aca="false">E164</f>
        <v>121.042</v>
      </c>
      <c r="F167" s="25" t="n">
        <f aca="false">F164+(internal_ai_reading=2)*F166</f>
        <v>41.2855790000208</v>
      </c>
      <c r="G167" s="25" t="n">
        <f aca="false">G164+(internal_ai_reading=2)*G166</f>
        <v>162.327579000021</v>
      </c>
      <c r="H167" s="25" t="n">
        <f aca="false">H164+(internal_ai_reading=2)*H166</f>
        <v>179.211072716668</v>
      </c>
      <c r="I167" s="25" t="n">
        <f aca="false">I164+(internal_ai_reading=2)*I166</f>
        <v>207.293313196924</v>
      </c>
      <c r="J167" s="25" t="n">
        <f aca="false">J164+(internal_ai_reading=2)*J166</f>
        <v>231.019103857445</v>
      </c>
      <c r="K167" s="25" t="n">
        <f aca="false">K164+(internal_ai_reading=2)*K166</f>
        <v>240.012124170928</v>
      </c>
      <c r="L167" s="25" t="n">
        <f aca="false">L164+(internal_ai_reading=2)*L166</f>
        <v>257.103437499894</v>
      </c>
      <c r="M167" s="25" t="n">
        <f aca="false">M164+(internal_ai_reading=2)*M166</f>
        <v>263.825854685319</v>
      </c>
    </row>
    <row r="168" customFormat="false" ht="15" hidden="false" customHeight="false" outlineLevel="0" collapsed="false">
      <c r="A168" s="4" t="s">
        <v>1051</v>
      </c>
      <c r="B168" s="0" t="s">
        <v>106</v>
      </c>
      <c r="C168" s="14" t="n">
        <f aca="false">C164/C142</f>
        <v>0.321097772114577</v>
      </c>
      <c r="D168" s="14" t="n">
        <f aca="false">D164/D142</f>
        <v>0.3203263859238</v>
      </c>
      <c r="E168" s="14" t="n">
        <f aca="false">E164/E142</f>
        <v>0.338797936568804</v>
      </c>
      <c r="F168" s="14" t="n">
        <f aca="false">F164/F142</f>
        <v>0.275651544115966</v>
      </c>
      <c r="G168" s="14" t="n">
        <f aca="false">G164/G142</f>
        <v>0.320514219562043</v>
      </c>
      <c r="H168" s="14" t="n">
        <f aca="false">H164/H142</f>
        <v>0.246985225816132</v>
      </c>
      <c r="I168" s="14" t="n">
        <f aca="false">I164/I142</f>
        <v>0.19546736949779</v>
      </c>
      <c r="J168" s="14" t="n">
        <f aca="false">J164/J142</f>
        <v>0.158755914286698</v>
      </c>
      <c r="K168" s="14" t="n">
        <f aca="false">K164/K142</f>
        <v>0.128044741907678</v>
      </c>
      <c r="L168" s="14" t="n">
        <f aca="false">L164/L142</f>
        <v>0.116224354699604</v>
      </c>
      <c r="M168" s="14" t="n">
        <f aca="false">M164/M142</f>
        <v>0.104000036503743</v>
      </c>
    </row>
    <row r="169" customFormat="false" ht="17.15" hidden="false" customHeight="false" outlineLevel="0" collapsed="false">
      <c r="A169" s="0" t="s">
        <v>1052</v>
      </c>
      <c r="B169" s="0" t="s">
        <v>106</v>
      </c>
      <c r="C169" s="14" t="n">
        <f aca="false">C150/C135</f>
        <v>0.397674876201095</v>
      </c>
      <c r="D169" s="14" t="n">
        <f aca="false">D150/D135</f>
        <v>0.406756516233321</v>
      </c>
      <c r="E169" s="14" t="n">
        <f aca="false">E150/E135</f>
        <v>0.425308133585759</v>
      </c>
      <c r="F169" s="14" t="n">
        <f aca="false">F150/F135</f>
        <v>0.392329723506404</v>
      </c>
      <c r="G169" s="14" t="n">
        <f aca="false">G150/G135</f>
        <v>0.416069343470386</v>
      </c>
      <c r="H169" s="14" t="n">
        <f aca="false">H150/H135</f>
        <v>0.359065351723253</v>
      </c>
      <c r="I169" s="14" t="n">
        <f aca="false">I150/I135</f>
        <v>0.303772831801888</v>
      </c>
      <c r="J169" s="14" t="n">
        <f aca="false">J150/J135</f>
        <v>0.259307577996364</v>
      </c>
      <c r="K169" s="14" t="n">
        <f aca="false">K150/K135</f>
        <v>0.224935227279268</v>
      </c>
      <c r="L169" s="14" t="n">
        <f aca="false">L150/L135</f>
        <v>0.223095256059893</v>
      </c>
      <c r="M169" s="14" t="n">
        <f aca="false">M150/M135</f>
        <v>0.218166687199611</v>
      </c>
    </row>
    <row r="170" customFormat="false" ht="17.15" hidden="false" customHeight="false" outlineLevel="0" collapsed="false">
      <c r="A170" s="0" t="s">
        <v>1053</v>
      </c>
      <c r="B170" s="0" t="s">
        <v>106</v>
      </c>
      <c r="C170" s="14" t="n">
        <f aca="false">C153/C139</f>
        <v>0.141386569201231</v>
      </c>
      <c r="D170" s="14" t="n">
        <f aca="false">D153/D139</f>
        <v>0.236947449109957</v>
      </c>
      <c r="E170" s="14" t="n">
        <f aca="false">E153/E139</f>
        <v>0.351407191576717</v>
      </c>
      <c r="F170" s="14" t="n">
        <f aca="false">F153/F139</f>
        <v>0.312670778035838</v>
      </c>
      <c r="G170" s="14" t="n">
        <f aca="false">G153/G139</f>
        <v>0.338884485814341</v>
      </c>
      <c r="H170" s="14" t="n">
        <f aca="false">H153/H139</f>
        <v>0.328648283294202</v>
      </c>
      <c r="I170" s="14" t="n">
        <f aca="false">I153/I139</f>
        <v>0.319539017431576</v>
      </c>
      <c r="J170" s="14" t="n">
        <f aca="false">J153/J139</f>
        <v>0.308635253525808</v>
      </c>
      <c r="K170" s="14" t="n">
        <f aca="false">K153/K139</f>
        <v>0.295438859702769</v>
      </c>
      <c r="L170" s="14" t="n">
        <f aca="false">L153/L139</f>
        <v>0.281926344815525</v>
      </c>
      <c r="M170" s="14" t="n">
        <f aca="false">M153/M139</f>
        <v>0.2647120169072</v>
      </c>
    </row>
    <row r="171" customFormat="false" ht="17.15" hidden="false" customHeight="false" outlineLevel="0" collapsed="false">
      <c r="A171" s="4" t="s">
        <v>1054</v>
      </c>
      <c r="B171" s="0" t="s">
        <v>81</v>
      </c>
      <c r="F171" s="25" t="n">
        <f aca="false">r_cash*CF!F95*0.25</f>
        <v>1.659631</v>
      </c>
      <c r="G171" s="25" t="n">
        <f aca="false">F171</f>
        <v>1.659631</v>
      </c>
      <c r="H171" s="25" t="n">
        <f aca="false">r_cash*CF!H95*1</f>
        <v>6.22324507063239</v>
      </c>
      <c r="I171" s="25" t="n">
        <f aca="false">r_cash*CF!I95*1</f>
        <v>2.62891463543194</v>
      </c>
      <c r="J171" s="25" t="n">
        <f aca="false">r_cash*CF!J95*1</f>
        <v>1.9</v>
      </c>
      <c r="K171" s="25" t="n">
        <f aca="false">r_cash*CF!K95*1</f>
        <v>1.9</v>
      </c>
      <c r="L171" s="25" t="n">
        <f aca="false">r_cash*CF!L95*1</f>
        <v>1.90782018027452</v>
      </c>
      <c r="M171" s="25" t="n">
        <f aca="false">r_cash*CF!M95*1</f>
        <v>3.53790043868388</v>
      </c>
    </row>
    <row r="172" customFormat="false" ht="17.15" hidden="false" customHeight="false" outlineLevel="0" collapsed="false">
      <c r="A172" s="4" t="s">
        <v>1055</v>
      </c>
      <c r="B172" s="0" t="s">
        <v>81</v>
      </c>
      <c r="F172" s="25" t="n">
        <f aca="false">r_debt*CF!F102*0.25</f>
        <v>1.51746</v>
      </c>
      <c r="G172" s="25" t="n">
        <f aca="false">F172</f>
        <v>1.51746</v>
      </c>
      <c r="H172" s="25" t="n">
        <f aca="false">r_debt*CF!H102*1</f>
        <v>6.06984</v>
      </c>
      <c r="I172" s="25" t="n">
        <f aca="false">r_debt*CF!I102*1</f>
        <v>6.02184</v>
      </c>
      <c r="J172" s="25" t="n">
        <f aca="false">r_debt*CF!J102*1</f>
        <v>8.5465039274849</v>
      </c>
      <c r="K172" s="25" t="n">
        <f aca="false">r_debt*CF!K102*1</f>
        <v>9.30270837351797</v>
      </c>
      <c r="L172" s="25" t="n">
        <f aca="false">r_debt*CF!L102*1</f>
        <v>8.95778037351797</v>
      </c>
      <c r="M172" s="25" t="n">
        <f aca="false">r_debt*CF!M102*1</f>
        <v>8.71778037351797</v>
      </c>
    </row>
    <row r="173" customFormat="false" ht="17.15" hidden="false" customHeight="false" outlineLevel="0" collapsed="false">
      <c r="A173" s="4" t="s">
        <v>1056</v>
      </c>
      <c r="B173" s="0" t="s">
        <v>81</v>
      </c>
      <c r="D173" s="25" t="n">
        <f aca="false">SUM(Q!C33:F33)</f>
        <v>24.08</v>
      </c>
      <c r="E173" s="25" t="n">
        <f aca="false">Q!L33</f>
        <v>127.282</v>
      </c>
      <c r="F173" s="27" t="n">
        <v>0</v>
      </c>
      <c r="G173" s="25" t="n">
        <f aca="false">E173+F173</f>
        <v>127.282</v>
      </c>
      <c r="H173" s="27" t="n">
        <v>0</v>
      </c>
      <c r="I173" s="27" t="n">
        <v>0</v>
      </c>
      <c r="J173" s="27" t="n">
        <v>0</v>
      </c>
      <c r="K173" s="27" t="n">
        <v>0</v>
      </c>
      <c r="L173" s="27" t="n">
        <v>0</v>
      </c>
      <c r="M173" s="27" t="n">
        <v>0</v>
      </c>
      <c r="N173" s="7" t="s">
        <v>1057</v>
      </c>
    </row>
    <row r="174" customFormat="false" ht="15" hidden="false" customHeight="false" outlineLevel="0" collapsed="false">
      <c r="A174" s="4" t="s">
        <v>1058</v>
      </c>
      <c r="B174" s="0" t="s">
        <v>81</v>
      </c>
      <c r="C174" s="25" t="n">
        <f aca="false">Q!J32</f>
        <v>7.425</v>
      </c>
      <c r="D174" s="25" t="n">
        <f aca="false">Q!K32</f>
        <v>29.787</v>
      </c>
      <c r="E174" s="25" t="n">
        <f aca="false">Q!L32</f>
        <v>127.478</v>
      </c>
      <c r="F174" s="25" t="n">
        <f aca="false">F171-F172+F173</f>
        <v>0.142171</v>
      </c>
      <c r="G174" s="25" t="n">
        <f aca="false">E174+F174</f>
        <v>127.620171</v>
      </c>
      <c r="H174" s="25" t="n">
        <f aca="false">H171-H172+H173</f>
        <v>0.15340507063239</v>
      </c>
      <c r="I174" s="25" t="n">
        <f aca="false">I171-I172+I173</f>
        <v>-3.39292536456806</v>
      </c>
      <c r="J174" s="25" t="n">
        <f aca="false">J171-J172+J173</f>
        <v>-6.6465039274849</v>
      </c>
      <c r="K174" s="25" t="n">
        <f aca="false">K171-K172+K173</f>
        <v>-7.40270837351797</v>
      </c>
      <c r="L174" s="25" t="n">
        <f aca="false">L171-L172+L173</f>
        <v>-7.04996019324345</v>
      </c>
      <c r="M174" s="25" t="n">
        <f aca="false">M171-M172+M173</f>
        <v>-5.1798799348341</v>
      </c>
    </row>
    <row r="175" customFormat="false" ht="15" hidden="false" customHeight="false" outlineLevel="0" collapsed="false">
      <c r="A175" s="4" t="s">
        <v>826</v>
      </c>
      <c r="B175" s="0" t="s">
        <v>81</v>
      </c>
      <c r="C175" s="25" t="n">
        <f aca="false">C164+C174</f>
        <v>119.815</v>
      </c>
      <c r="D175" s="25" t="n">
        <f aca="false">D164+D174</f>
        <v>158.826</v>
      </c>
      <c r="E175" s="25" t="n">
        <f aca="false">E164+E174</f>
        <v>248.52</v>
      </c>
      <c r="F175" s="25" t="n">
        <f aca="false">F164+F174</f>
        <v>40.2782631327673</v>
      </c>
      <c r="G175" s="25" t="n">
        <f aca="false">G164+G174</f>
        <v>288.798263132767</v>
      </c>
      <c r="H175" s="25" t="n">
        <f aca="false">H164+H174</f>
        <v>150.645671330275</v>
      </c>
      <c r="I175" s="25" t="n">
        <f aca="false">I164+I174</f>
        <v>135.004636694389</v>
      </c>
      <c r="J175" s="25" t="n">
        <f aca="false">J164+J174</f>
        <v>118.787418889461</v>
      </c>
      <c r="K175" s="25" t="n">
        <f aca="false">K164+K174</f>
        <v>99.3315467459724</v>
      </c>
      <c r="L175" s="25" t="n">
        <f aca="false">L164+L174</f>
        <v>97.6971076067319</v>
      </c>
      <c r="M175" s="25" t="n">
        <f aca="false">M164+M174</f>
        <v>95.6354912742257</v>
      </c>
    </row>
    <row r="176" customFormat="false" ht="15" hidden="false" customHeight="false" outlineLevel="0" collapsed="false">
      <c r="A176" s="4" t="s">
        <v>828</v>
      </c>
      <c r="B176" s="0" t="s">
        <v>81</v>
      </c>
      <c r="C176" s="25" t="n">
        <f aca="false">Q!J36</f>
        <v>19.697</v>
      </c>
      <c r="D176" s="25" t="n">
        <f aca="false">Q!K36</f>
        <v>26.656</v>
      </c>
      <c r="E176" s="25" t="n">
        <f aca="false">Q!L36</f>
        <v>47.281</v>
      </c>
      <c r="F176" s="25" t="n">
        <f aca="false">F175*tax</f>
        <v>6.76674820630491</v>
      </c>
      <c r="G176" s="25" t="n">
        <f aca="false">E176+F176</f>
        <v>54.0477482063049</v>
      </c>
      <c r="H176" s="25" t="n">
        <f aca="false">H175*tax</f>
        <v>25.3084727834862</v>
      </c>
      <c r="I176" s="25" t="n">
        <f aca="false">I175*tax</f>
        <v>22.6807789646573</v>
      </c>
      <c r="J176" s="25" t="n">
        <f aca="false">J175*tax</f>
        <v>19.9562863734295</v>
      </c>
      <c r="K176" s="25" t="n">
        <f aca="false">K175*tax</f>
        <v>16.6876998533234</v>
      </c>
      <c r="L176" s="25" t="n">
        <f aca="false">L175*tax</f>
        <v>16.413114077931</v>
      </c>
      <c r="M176" s="25" t="n">
        <f aca="false">M175*tax</f>
        <v>16.0667625340699</v>
      </c>
    </row>
    <row r="177" customFormat="false" ht="15" hidden="false" customHeight="false" outlineLevel="0" collapsed="false">
      <c r="A177" s="2" t="s">
        <v>829</v>
      </c>
      <c r="B177" s="7" t="s">
        <v>81</v>
      </c>
      <c r="C177" s="25" t="n">
        <f aca="false">C175-C176</f>
        <v>100.118</v>
      </c>
      <c r="D177" s="25" t="n">
        <f aca="false">D175-D176</f>
        <v>132.17</v>
      </c>
      <c r="E177" s="25" t="n">
        <f aca="false">E175-E176</f>
        <v>201.239</v>
      </c>
      <c r="F177" s="25" t="n">
        <f aca="false">F175-F176</f>
        <v>33.5115149264624</v>
      </c>
      <c r="G177" s="25" t="n">
        <f aca="false">G175-G176</f>
        <v>234.750514926462</v>
      </c>
      <c r="H177" s="25" t="n">
        <f aca="false">H175-H176</f>
        <v>125.337198546789</v>
      </c>
      <c r="I177" s="25" t="n">
        <f aca="false">I175-I176</f>
        <v>112.323857729732</v>
      </c>
      <c r="J177" s="25" t="n">
        <f aca="false">J175-J176</f>
        <v>98.8311325160316</v>
      </c>
      <c r="K177" s="25" t="n">
        <f aca="false">K175-K176</f>
        <v>82.643846892649</v>
      </c>
      <c r="L177" s="25" t="n">
        <f aca="false">L175-L176</f>
        <v>81.2839935288009</v>
      </c>
      <c r="M177" s="25" t="n">
        <f aca="false">M175-M176</f>
        <v>79.5687287401558</v>
      </c>
    </row>
    <row r="178" customFormat="false" ht="17.15" hidden="false" customHeight="false" outlineLevel="0" collapsed="false">
      <c r="A178" s="4" t="s">
        <v>1059</v>
      </c>
      <c r="B178" s="0" t="s">
        <v>81</v>
      </c>
      <c r="C178" s="21" t="n">
        <f aca="false">C177-Q!J37</f>
        <v>0</v>
      </c>
      <c r="D178" s="21" t="n">
        <f aca="false">D177-Q!K37</f>
        <v>0</v>
      </c>
      <c r="E178" s="21" t="n">
        <f aca="false">E177-Q!L37</f>
        <v>0</v>
      </c>
    </row>
    <row r="179" customFormat="false" ht="15" hidden="false" customHeight="false" outlineLevel="0" collapsed="false">
      <c r="A179" s="4" t="s">
        <v>1060</v>
      </c>
      <c r="B179" s="0" t="s">
        <v>81</v>
      </c>
      <c r="E179" s="25" t="n">
        <f aca="false">pref_1H</f>
        <v>0.384</v>
      </c>
      <c r="F179" s="25" t="n">
        <f aca="false">pref_2H</f>
        <v>0.301</v>
      </c>
      <c r="G179" s="25" t="n">
        <f aca="false">E179+F179</f>
        <v>0.685</v>
      </c>
      <c r="H179" s="25" t="n">
        <f aca="false">pref_27</f>
        <v>1.203</v>
      </c>
      <c r="I179" s="25" t="n">
        <f aca="false">pref_28</f>
        <v>1.203</v>
      </c>
      <c r="J179" s="25" t="n">
        <f aca="false">pref_29</f>
        <v>0.602</v>
      </c>
      <c r="K179" s="27" t="n">
        <v>0</v>
      </c>
      <c r="L179" s="27" t="n">
        <v>0</v>
      </c>
      <c r="M179" s="27" t="n">
        <v>0</v>
      </c>
    </row>
    <row r="180" customFormat="false" ht="15" hidden="false" customHeight="false" outlineLevel="0" collapsed="false">
      <c r="A180" s="4" t="s">
        <v>1061</v>
      </c>
      <c r="B180" s="0" t="s">
        <v>81</v>
      </c>
      <c r="E180" s="25" t="n">
        <f aca="false">E177-E179</f>
        <v>200.855</v>
      </c>
      <c r="F180" s="25" t="n">
        <f aca="false">F177-F179</f>
        <v>33.2105149264624</v>
      </c>
      <c r="G180" s="25" t="n">
        <f aca="false">G177-G179</f>
        <v>234.065514926462</v>
      </c>
      <c r="H180" s="25" t="n">
        <f aca="false">H177-H179</f>
        <v>124.134198546789</v>
      </c>
      <c r="I180" s="25" t="n">
        <f aca="false">I177-I179</f>
        <v>111.120857729732</v>
      </c>
      <c r="J180" s="25" t="n">
        <f aca="false">J177-J179</f>
        <v>98.2291325160316</v>
      </c>
      <c r="K180" s="25" t="n">
        <f aca="false">K177-K179</f>
        <v>82.643846892649</v>
      </c>
      <c r="L180" s="25" t="n">
        <f aca="false">L177-L179</f>
        <v>81.2839935288009</v>
      </c>
      <c r="M180" s="25" t="n">
        <f aca="false">M177-M179</f>
        <v>79.5687287401558</v>
      </c>
    </row>
    <row r="181" customFormat="false" ht="17.15" hidden="false" customHeight="false" outlineLevel="0" collapsed="false">
      <c r="A181" s="4" t="s">
        <v>1062</v>
      </c>
      <c r="B181" s="4" t="s">
        <v>64</v>
      </c>
      <c r="E181" s="21" t="n">
        <f aca="false">sh_dil_q2+(sh_out-sh_basic_q2)</f>
        <v>12.406</v>
      </c>
      <c r="F181" s="21" t="n">
        <f aca="false">E181*(1+dil*0.25)-CF!F98/CF!F105</f>
        <v>12.437015</v>
      </c>
      <c r="H181" s="21" t="n">
        <f aca="false">F181*(1+dil*1)-CF!H98/CF!H105</f>
        <v>12.5156761069993</v>
      </c>
      <c r="I181" s="21" t="n">
        <f aca="false">H181*(1+dil*1)-CF!I98/CF!I105</f>
        <v>12.6408328680693</v>
      </c>
      <c r="J181" s="21" t="n">
        <f aca="false">I181*(1+dil*1)-CF!J98/CF!J105+conv_sh</f>
        <v>12.82184119675</v>
      </c>
      <c r="K181" s="21" t="n">
        <f aca="false">J181*(1+dil*1)-CF!K98/CF!K105</f>
        <v>12.9165980519507</v>
      </c>
      <c r="L181" s="21" t="n">
        <f aca="false">K181*(1+dil*1)-CF!L98/CF!L105</f>
        <v>13.0156066150861</v>
      </c>
      <c r="M181" s="21" t="n">
        <f aca="false">L181*(1+dil*1)-CF!M98/CF!M105</f>
        <v>13.1185831381685</v>
      </c>
      <c r="N181" s="7" t="s">
        <v>1063</v>
      </c>
    </row>
    <row r="182" customFormat="false" ht="15" hidden="false" customHeight="false" outlineLevel="0" collapsed="false">
      <c r="A182" s="4" t="s">
        <v>1064</v>
      </c>
      <c r="B182" s="4" t="s">
        <v>64</v>
      </c>
      <c r="C182" s="21" t="n">
        <f aca="false">Q!J39</f>
        <v>12.447</v>
      </c>
      <c r="D182" s="21" t="n">
        <f aca="false">Q!K39</f>
        <v>12.23</v>
      </c>
      <c r="E182" s="21" t="n">
        <f aca="false">Q!L39</f>
        <v>12.324</v>
      </c>
      <c r="F182" s="21" t="n">
        <f aca="false">E181*(1+dil*0.125)</f>
        <v>12.4215075</v>
      </c>
      <c r="G182" s="21" t="n">
        <f aca="false">0.75*E182+0.25*F182</f>
        <v>12.348376875</v>
      </c>
      <c r="H182" s="21" t="n">
        <f aca="false">(F181+H181)/2</f>
        <v>12.4763455534997</v>
      </c>
      <c r="I182" s="21" t="n">
        <f aca="false">(H181+I181)/2</f>
        <v>12.5782544875343</v>
      </c>
      <c r="J182" s="21" t="n">
        <f aca="false">(I181+J181)/2</f>
        <v>12.7313370324097</v>
      </c>
      <c r="K182" s="21" t="n">
        <f aca="false">(J181+K181)/2</f>
        <v>12.8692196243504</v>
      </c>
      <c r="L182" s="21" t="n">
        <f aca="false">(K181+L181)/2</f>
        <v>12.9661023335184</v>
      </c>
      <c r="M182" s="21" t="n">
        <f aca="false">(L181+M181)/2</f>
        <v>13.0670948766273</v>
      </c>
    </row>
    <row r="183" customFormat="false" ht="17.15" hidden="false" customHeight="false" outlineLevel="0" collapsed="false">
      <c r="A183" s="5" t="s">
        <v>1065</v>
      </c>
      <c r="B183" s="7" t="s">
        <v>54</v>
      </c>
      <c r="C183" s="23" t="n">
        <f aca="false">C177/C182</f>
        <v>8.04354462922793</v>
      </c>
      <c r="D183" s="23" t="n">
        <f aca="false">D177/D182</f>
        <v>10.807031888798</v>
      </c>
      <c r="E183" s="23" t="n">
        <f aca="false">E180/E182</f>
        <v>16.2978740668614</v>
      </c>
      <c r="F183" s="23" t="n">
        <f aca="false">F180/F182</f>
        <v>2.67362998625267</v>
      </c>
      <c r="G183" s="23" t="n">
        <f aca="false">G180/G182</f>
        <v>18.955164496181</v>
      </c>
      <c r="H183" s="23" t="n">
        <f aca="false">H180/H182</f>
        <v>9.94956399808665</v>
      </c>
      <c r="I183" s="23" t="n">
        <f aca="false">I180/I182</f>
        <v>8.83436233857869</v>
      </c>
      <c r="J183" s="23" t="n">
        <f aca="false">J180/J182</f>
        <v>7.71553940218326</v>
      </c>
      <c r="K183" s="23" t="n">
        <f aca="false">K180/K182</f>
        <v>6.42182271380895</v>
      </c>
      <c r="L183" s="23" t="n">
        <f aca="false">L180/L182</f>
        <v>6.26896128366004</v>
      </c>
      <c r="M183" s="23" t="n">
        <f aca="false">M180/M182</f>
        <v>6.0892439743801</v>
      </c>
    </row>
    <row r="184" customFormat="false" ht="17.15" hidden="false" customHeight="false" outlineLevel="0" collapsed="false">
      <c r="A184" s="0" t="s">
        <v>1066</v>
      </c>
      <c r="B184" s="0" t="s">
        <v>54</v>
      </c>
      <c r="E184" s="23" t="n">
        <f aca="false">(E180-E173*(1-tax_eq))/E182</f>
        <v>8.13877150275885</v>
      </c>
      <c r="F184" s="23" t="n">
        <f aca="false">(F180-F173*(1-tax_eq))/F182</f>
        <v>2.67362998625267</v>
      </c>
      <c r="G184" s="23" t="n">
        <f aca="false">(G180-G173*(1-tax_eq))/G182</f>
        <v>10.8121687795881</v>
      </c>
      <c r="H184" s="23" t="n">
        <f aca="false">(H180-H173*(1-tax_eq))/H182</f>
        <v>9.94956399808665</v>
      </c>
      <c r="I184" s="23" t="n">
        <f aca="false">(I180-I173*(1-tax_eq))/I182</f>
        <v>8.83436233857869</v>
      </c>
      <c r="J184" s="23" t="n">
        <f aca="false">(J180-J173*(1-tax_eq))/J182</f>
        <v>7.71553940218326</v>
      </c>
      <c r="K184" s="23" t="n">
        <f aca="false">(K180-K173*(1-tax_eq))/K182</f>
        <v>6.42182271380895</v>
      </c>
      <c r="L184" s="23" t="n">
        <f aca="false">(L180-L173*(1-tax_eq))/L182</f>
        <v>6.26896128366004</v>
      </c>
      <c r="M184" s="23" t="n">
        <f aca="false">(M180-M173*(1-tax_eq))/M182</f>
        <v>6.0892439743801</v>
      </c>
      <c r="N184" s="4" t="s">
        <v>1067</v>
      </c>
    </row>
    <row r="185" customFormat="false" ht="17.15" hidden="false" customHeight="false" outlineLevel="0" collapsed="false">
      <c r="A185" s="0" t="s">
        <v>1068</v>
      </c>
      <c r="B185" s="0" t="s">
        <v>54</v>
      </c>
      <c r="F185" s="23" t="n">
        <f aca="false">(F180+(internal_ai_reading=2)*F166*(1-tax))/F182</f>
        <v>2.75062330397637</v>
      </c>
      <c r="G185" s="23" t="n">
        <f aca="false">(G180+(internal_ai_reading=2)*G166*(1-tax))/G182</f>
        <v>19.0326137903867</v>
      </c>
      <c r="H185" s="23" t="n">
        <f aca="false">(H180+(internal_ai_reading=2)*H166*(1-tax))/H182</f>
        <v>11.8647118969474</v>
      </c>
      <c r="I185" s="23" t="n">
        <f aca="false">(I180+(internal_ai_reading=2)*I166*(1-tax))/I182</f>
        <v>13.3915340036612</v>
      </c>
      <c r="J185" s="23" t="n">
        <f aca="false">(J180+(internal_ai_reading=2)*J166*(1-tax))/J182</f>
        <v>14.6155900725934</v>
      </c>
      <c r="K185" s="23" t="n">
        <f aca="false">(K180+(internal_ai_reading=2)*K166*(1-tax))/K182</f>
        <v>15.0382882251273</v>
      </c>
      <c r="L185" s="23" t="n">
        <f aca="false">(L180+(internal_ai_reading=2)*L166*(1-tax))/L182</f>
        <v>16.0452607705649</v>
      </c>
      <c r="M185" s="23" t="n">
        <f aca="false">(M180+(internal_ai_reading=2)*M166*(1-tax))/M182</f>
        <v>16.4683468685387</v>
      </c>
      <c r="N185" s="4" t="s">
        <v>1069</v>
      </c>
    </row>
    <row r="186" customFormat="false" ht="15" hidden="false" customHeight="false" outlineLevel="0" collapsed="false">
      <c r="A186" s="4" t="s">
        <v>1070</v>
      </c>
      <c r="B186" s="0" t="s">
        <v>81</v>
      </c>
      <c r="C186" s="25" t="n">
        <f aca="false">Q!J44</f>
        <v>22.785</v>
      </c>
      <c r="D186" s="25" t="n">
        <f aca="false">Q!K44</f>
        <v>24.953</v>
      </c>
      <c r="E186" s="25" t="n">
        <f aca="false">Q!L44</f>
        <v>23.338</v>
      </c>
      <c r="F186" s="25" t="n">
        <f aca="false">F142*sbc_r</f>
        <v>9.39148717946017</v>
      </c>
      <c r="G186" s="25" t="n">
        <f aca="false">E186+F186</f>
        <v>32.7294871794602</v>
      </c>
      <c r="H186" s="25" t="n">
        <f aca="false">H142*sbc_r</f>
        <v>39.3009385143269</v>
      </c>
      <c r="I186" s="25" t="n">
        <f aca="false">I142*sbc_r</f>
        <v>45.6681991257044</v>
      </c>
      <c r="J186" s="25" t="n">
        <f aca="false">J142*sbc_r</f>
        <v>50.9618054737941</v>
      </c>
      <c r="K186" s="25" t="n">
        <f aca="false">K142*sbc_r</f>
        <v>53.7652648022897</v>
      </c>
      <c r="L186" s="25" t="n">
        <f aca="false">L142*sbc_r</f>
        <v>58.130551815586</v>
      </c>
      <c r="M186" s="25" t="n">
        <f aca="false">M142*sbc_r</f>
        <v>62.5248957749194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1071</v>
      </c>
    </row>
    <row r="2" customFormat="false" ht="17.15" hidden="false" customHeight="false" outlineLevel="0" collapsed="false">
      <c r="A2" s="0" t="s">
        <v>1072</v>
      </c>
    </row>
    <row r="4" customFormat="false" ht="17.15" hidden="false" customHeight="false" outlineLevel="0" collapsed="false">
      <c r="A4" s="2" t="s">
        <v>1073</v>
      </c>
    </row>
    <row r="5" customFormat="false" ht="17.15" hidden="false" customHeight="false" outlineLevel="0" collapsed="false">
      <c r="A5" s="3" t="s">
        <v>43</v>
      </c>
      <c r="B5" s="3" t="s">
        <v>1074</v>
      </c>
      <c r="C5" s="3" t="s">
        <v>1075</v>
      </c>
      <c r="D5" s="3" t="s">
        <v>1076</v>
      </c>
      <c r="E5" s="3" t="s">
        <v>50</v>
      </c>
    </row>
    <row r="6" customFormat="false" ht="17.15" hidden="false" customHeight="false" outlineLevel="0" collapsed="false">
      <c r="A6" s="4" t="s">
        <v>1077</v>
      </c>
      <c r="B6" s="24" t="n">
        <f aca="false">SUM(G26:K26)</f>
        <v>77.6808833563397</v>
      </c>
      <c r="C6" s="24" t="n">
        <f aca="false">SUM(G58:K58)</f>
        <v>-0.648225979925059</v>
      </c>
      <c r="D6" s="24" t="n">
        <f aca="false">SUM(G90:K90)</f>
        <v>-145.76163023054</v>
      </c>
      <c r="E6" s="7" t="s">
        <v>1078</v>
      </c>
    </row>
    <row r="7" customFormat="false" ht="15" hidden="false" customHeight="false" outlineLevel="0" collapsed="false">
      <c r="A7" s="4" t="s">
        <v>1079</v>
      </c>
      <c r="B7" s="24" t="n">
        <f aca="false">SUM(G35:K35)</f>
        <v>0</v>
      </c>
      <c r="C7" s="24" t="n">
        <f aca="false">SUM(G67:K67)</f>
        <v>16.6515303871899</v>
      </c>
      <c r="D7" s="24" t="n">
        <f aca="false">SUM(G99:K99)</f>
        <v>72.7914244482911</v>
      </c>
    </row>
    <row r="8" customFormat="false" ht="17.15" hidden="false" customHeight="false" outlineLevel="0" collapsed="false">
      <c r="A8" s="4" t="s">
        <v>1080</v>
      </c>
      <c r="B8" s="24" t="n">
        <f aca="false">SUM(G34:K34)</f>
        <v>54.5072184287822</v>
      </c>
      <c r="C8" s="24" t="n">
        <f aca="false">SUM(G66:K66)</f>
        <v>51.009</v>
      </c>
      <c r="D8" s="24" t="n">
        <f aca="false">SUM(G98:K98)</f>
        <v>34.006</v>
      </c>
    </row>
    <row r="9" customFormat="false" ht="17.15" hidden="false" customHeight="false" outlineLevel="0" collapsed="false">
      <c r="A9" s="4" t="s">
        <v>1081</v>
      </c>
      <c r="B9" s="0" t="str">
        <f aca="false">IF(B7&gt;0.001,"需要舉債"&amp;IF(B8&lt;4*bb_t-0.001,"且減少回購",""),IF(B8&lt;4*bb_t-0.001,"不需舉債，但須減少回購","不需舉債，回購照目標"))</f>
        <v>不需舉債，但須減少回購</v>
      </c>
      <c r="C9" s="0" t="str">
        <f aca="false">IF(C7&gt;0.001,"需要舉債"&amp;IF(C8&lt;4*bb_t-0.001,"且減少回購",""),IF(C8&lt;4*bb_t-0.001,"不需舉債，但須減少回購","不需舉債，回購照目標"))</f>
        <v>需要舉債且減少回購</v>
      </c>
      <c r="D9" s="0" t="str">
        <f aca="false">IF(D7&gt;0.001,"需要舉債"&amp;IF(D8&lt;4*bb_t-0.001,"且減少回購",""),IF(D8&lt;4*bb_t-0.001,"不需舉債，但須減少回購","不需舉債，回購照目標"))</f>
        <v>需要舉債且減少回購</v>
      </c>
      <c r="E9" s="4" t="s">
        <v>1082</v>
      </c>
    </row>
    <row r="10" customFormat="false" ht="17.15" hidden="false" customHeight="false" outlineLevel="0" collapsed="false">
      <c r="A10" s="4" t="s">
        <v>1083</v>
      </c>
      <c r="B10" s="21" t="n">
        <f aca="false">B6-(G26+H26+I26+J26+K26)</f>
        <v>0</v>
      </c>
      <c r="C10" s="21" t="n">
        <f aca="false">C6-(G58+H58+I58+J58+K58)</f>
        <v>1.4210854715202E-014</v>
      </c>
      <c r="D10" s="21" t="n">
        <f aca="false">D6-(G90+H90+I90+J90+K90)</f>
        <v>0</v>
      </c>
    </row>
    <row r="11" customFormat="false" ht="17.15" hidden="false" customHeight="false" outlineLevel="0" collapsed="false">
      <c r="A11" s="28" t="s">
        <v>983</v>
      </c>
    </row>
    <row r="12" customFormat="false" ht="15" hidden="false" customHeight="false" outlineLevel="0" collapsed="false">
      <c r="A12" s="3" t="s">
        <v>43</v>
      </c>
      <c r="B12" s="3" t="s">
        <v>44</v>
      </c>
      <c r="C12" s="20" t="s">
        <v>905</v>
      </c>
      <c r="D12" s="20" t="s">
        <v>906</v>
      </c>
      <c r="E12" s="20" t="s">
        <v>907</v>
      </c>
      <c r="F12" s="20" t="s">
        <v>908</v>
      </c>
      <c r="G12" s="20" t="s">
        <v>909</v>
      </c>
      <c r="H12" s="20" t="s">
        <v>910</v>
      </c>
      <c r="I12" s="20" t="s">
        <v>911</v>
      </c>
      <c r="J12" s="20" t="s">
        <v>912</v>
      </c>
      <c r="K12" s="20" t="s">
        <v>913</v>
      </c>
      <c r="L12" s="20" t="s">
        <v>914</v>
      </c>
      <c r="M12" s="20" t="s">
        <v>915</v>
      </c>
      <c r="N12" s="3" t="s">
        <v>50</v>
      </c>
    </row>
    <row r="13" customFormat="false" ht="15" hidden="false" customHeight="false" outlineLevel="0" collapsed="false">
      <c r="A13" s="4" t="s">
        <v>829</v>
      </c>
      <c r="B13" s="0" t="s">
        <v>81</v>
      </c>
      <c r="C13" s="25" t="n">
        <f aca="false">PL!C59</f>
        <v>100.118</v>
      </c>
      <c r="D13" s="25" t="n">
        <f aca="false">PL!D59</f>
        <v>132.17</v>
      </c>
      <c r="E13" s="25" t="n">
        <f aca="false">PL!E59</f>
        <v>201.239</v>
      </c>
      <c r="F13" s="25" t="n">
        <f aca="false">PL!F59</f>
        <v>33.5115149264624</v>
      </c>
      <c r="G13" s="25" t="n">
        <f aca="false">PL!G59</f>
        <v>234.750514926462</v>
      </c>
      <c r="H13" s="25" t="n">
        <f aca="false">PL!H59</f>
        <v>142.924887244753</v>
      </c>
      <c r="I13" s="25" t="n">
        <f aca="false">PL!I59</f>
        <v>151.808327716732</v>
      </c>
      <c r="J13" s="25" t="n">
        <f aca="false">PL!J59</f>
        <v>164.441853887288</v>
      </c>
      <c r="K13" s="25" t="n">
        <f aca="false">PL!K59</f>
        <v>176.741791275203</v>
      </c>
      <c r="L13" s="25" t="n">
        <f aca="false">PL!L59</f>
        <v>184.897868614211</v>
      </c>
      <c r="M13" s="25" t="n">
        <f aca="false">PL!M59</f>
        <v>193.536305288311</v>
      </c>
    </row>
    <row r="14" customFormat="false" ht="15" hidden="false" customHeight="false" outlineLevel="0" collapsed="false">
      <c r="A14" s="4" t="s">
        <v>1084</v>
      </c>
      <c r="B14" s="0" t="s">
        <v>81</v>
      </c>
      <c r="C14" s="25" t="n">
        <f aca="false">PL!C44</f>
        <v>15.311</v>
      </c>
      <c r="D14" s="25" t="n">
        <f aca="false">PL!D44</f>
        <v>21.136</v>
      </c>
      <c r="E14" s="25" t="n">
        <f aca="false">PL!E44</f>
        <v>21.955</v>
      </c>
      <c r="F14" s="25" t="n">
        <f aca="false">PL!F44</f>
        <v>13.7282850159824</v>
      </c>
      <c r="G14" s="25" t="n">
        <f aca="false">PL!G44</f>
        <v>35.6832850159824</v>
      </c>
      <c r="H14" s="25" t="n">
        <f aca="false">PL!H44</f>
        <v>64.1592685563116</v>
      </c>
      <c r="I14" s="25" t="n">
        <f aca="false">PL!I44</f>
        <v>102.055983268393</v>
      </c>
      <c r="J14" s="25" t="n">
        <f aca="false">PL!J44</f>
        <v>140.462578954395</v>
      </c>
      <c r="K14" s="25" t="n">
        <f aca="false">PL!K44</f>
        <v>172.574229616107</v>
      </c>
      <c r="L14" s="25" t="n">
        <f aca="false">PL!L44</f>
        <v>198.254478458764</v>
      </c>
      <c r="M14" s="25" t="n">
        <f aca="false">PL!M44</f>
        <v>226.202439272199</v>
      </c>
    </row>
    <row r="15" customFormat="false" ht="15" hidden="false" customHeight="false" outlineLevel="0" collapsed="false">
      <c r="A15" s="4" t="s">
        <v>1085</v>
      </c>
      <c r="B15" s="0" t="s">
        <v>81</v>
      </c>
      <c r="C15" s="25" t="n">
        <f aca="false">PL!C68</f>
        <v>22.785</v>
      </c>
      <c r="D15" s="25" t="n">
        <f aca="false">PL!D68</f>
        <v>24.953</v>
      </c>
      <c r="E15" s="25" t="n">
        <f aca="false">PL!E68</f>
        <v>23.338</v>
      </c>
      <c r="F15" s="25" t="n">
        <f aca="false">PL!F68</f>
        <v>9.39148717946017</v>
      </c>
      <c r="G15" s="25" t="n">
        <f aca="false">PL!G68</f>
        <v>32.7294871794602</v>
      </c>
      <c r="H15" s="25" t="n">
        <f aca="false">PL!H68</f>
        <v>41.4363631894569</v>
      </c>
      <c r="I15" s="25" t="n">
        <f aca="false">PL!I68</f>
        <v>50.4125443196297</v>
      </c>
      <c r="J15" s="25" t="n">
        <f aca="false">PL!J68</f>
        <v>58.7246261268342</v>
      </c>
      <c r="K15" s="25" t="n">
        <f aca="false">PL!K68</f>
        <v>64.8481841346301</v>
      </c>
      <c r="L15" s="25" t="n">
        <f aca="false">PL!L68</f>
        <v>70.1001046945137</v>
      </c>
      <c r="M15" s="25" t="n">
        <f aca="false">PL!M68</f>
        <v>75.4520128841613</v>
      </c>
    </row>
    <row r="16" customFormat="false" ht="17.15" hidden="false" customHeight="false" outlineLevel="0" collapsed="false">
      <c r="A16" s="4" t="s">
        <v>1086</v>
      </c>
      <c r="B16" s="0" t="s">
        <v>81</v>
      </c>
      <c r="F16" s="25" t="n">
        <f aca="false">wc_2h</f>
        <v>4.707</v>
      </c>
      <c r="G16" s="25" t="n">
        <f aca="false">F16</f>
        <v>4.707</v>
      </c>
      <c r="H16" s="25" t="n">
        <f aca="false">wc_k*(PL!H24-PL!G24)</f>
        <v>1.63274416227848</v>
      </c>
      <c r="I16" s="25" t="n">
        <f aca="false">wc_k*(PL!I24-PL!H24)</f>
        <v>1.62823750733367</v>
      </c>
      <c r="J16" s="25" t="n">
        <f aca="false">wc_k*(PL!J24-PL!I24)</f>
        <v>1.50777297898128</v>
      </c>
      <c r="K16" s="25" t="n">
        <f aca="false">wc_k*(PL!K24-PL!J24)</f>
        <v>1.11078494094902</v>
      </c>
      <c r="L16" s="25" t="n">
        <f aca="false">wc_k*(PL!L24-PL!K24)</f>
        <v>0.952673962025387</v>
      </c>
      <c r="M16" s="25" t="n">
        <f aca="false">wc_k*(PL!M24-PL!L24)</f>
        <v>0.970811253005846</v>
      </c>
      <c r="N16" s="7" t="s">
        <v>1087</v>
      </c>
    </row>
    <row r="17" customFormat="false" ht="15" hidden="false" customHeight="false" outlineLevel="0" collapsed="false">
      <c r="A17" s="4" t="s">
        <v>1088</v>
      </c>
      <c r="B17" s="0" t="s">
        <v>81</v>
      </c>
      <c r="C17" s="25" t="n">
        <f aca="false">Q!J45-C13-C14-C15</f>
        <v>-12.915</v>
      </c>
      <c r="D17" s="25" t="n">
        <f aca="false">Q!K45-D13-D14-D15</f>
        <v>-13.546</v>
      </c>
      <c r="E17" s="25" t="n">
        <f aca="false">Q!L45-E13-E14-E15</f>
        <v>-119.383</v>
      </c>
      <c r="F17" s="27" t="n">
        <v>0</v>
      </c>
      <c r="G17" s="25" t="n">
        <f aca="false">E17+F17</f>
        <v>-119.383</v>
      </c>
      <c r="H17" s="27" t="n">
        <v>0</v>
      </c>
      <c r="I17" s="27" t="n">
        <v>0</v>
      </c>
      <c r="J17" s="27" t="n">
        <v>0</v>
      </c>
      <c r="K17" s="27" t="n">
        <v>0</v>
      </c>
      <c r="L17" s="27" t="n">
        <v>0</v>
      </c>
      <c r="M17" s="27" t="n">
        <v>0</v>
      </c>
    </row>
    <row r="18" customFormat="false" ht="15" hidden="false" customHeight="false" outlineLevel="0" collapsed="false">
      <c r="A18" s="2" t="s">
        <v>836</v>
      </c>
      <c r="B18" s="7" t="s">
        <v>81</v>
      </c>
      <c r="C18" s="25" t="n">
        <f aca="false">C13+C14+C15+C16+C17</f>
        <v>125.299</v>
      </c>
      <c r="D18" s="25" t="n">
        <f aca="false">D13+D14+D15+D16+D17</f>
        <v>164.713</v>
      </c>
      <c r="E18" s="25" t="n">
        <f aca="false">E13+E14+E15+E16+E17</f>
        <v>127.149</v>
      </c>
      <c r="F18" s="25" t="n">
        <f aca="false">F13+F14+F15+F16+F17</f>
        <v>61.338287121905</v>
      </c>
      <c r="G18" s="25" t="n">
        <f aca="false">G13+G14+G15+G16+G17</f>
        <v>188.487287121905</v>
      </c>
      <c r="H18" s="25" t="n">
        <f aca="false">H13+H14+H15+H16+H17</f>
        <v>250.1532631528</v>
      </c>
      <c r="I18" s="25" t="n">
        <f aca="false">I13+I14+I15+I16+I17</f>
        <v>305.905092812089</v>
      </c>
      <c r="J18" s="25" t="n">
        <f aca="false">J13+J14+J15+J16+J17</f>
        <v>365.136831947499</v>
      </c>
      <c r="K18" s="25" t="n">
        <f aca="false">K13+K14+K15+K16+K17</f>
        <v>415.274989966889</v>
      </c>
      <c r="L18" s="25" t="n">
        <f aca="false">L13+L14+L15+L16+L17</f>
        <v>454.205125729514</v>
      </c>
      <c r="M18" s="25" t="n">
        <f aca="false">M13+M14+M15+M16+M17</f>
        <v>496.161568697677</v>
      </c>
    </row>
    <row r="19" customFormat="false" ht="17.15" hidden="false" customHeight="false" outlineLevel="0" collapsed="false">
      <c r="A19" s="4" t="s">
        <v>1089</v>
      </c>
      <c r="B19" s="0" t="s">
        <v>81</v>
      </c>
      <c r="F19" s="25" t="n">
        <f aca="false">Thesis!F52</f>
        <v>55.6709720808184</v>
      </c>
      <c r="G19" s="25" t="n">
        <f aca="false">F19</f>
        <v>55.6709720808184</v>
      </c>
      <c r="H19" s="25" t="n">
        <f aca="false">Thesis!H52</f>
        <v>235.59252098031</v>
      </c>
      <c r="I19" s="25" t="n">
        <f aca="false">Thesis!I52</f>
        <v>248.50246087524</v>
      </c>
      <c r="J19" s="25" t="n">
        <f aca="false">Thesis!J52</f>
        <v>211.479266347978</v>
      </c>
      <c r="K19" s="25" t="n">
        <f aca="false">Thesis!K52</f>
        <v>184.143041660444</v>
      </c>
      <c r="L19" s="25" t="n">
        <f aca="false">Thesis!L52</f>
        <v>168.80410958306</v>
      </c>
      <c r="M19" s="25" t="n">
        <f aca="false">Thesis!M52</f>
        <v>172.256097979583</v>
      </c>
    </row>
    <row r="20" customFormat="false" ht="17.15" hidden="false" customHeight="false" outlineLevel="0" collapsed="false">
      <c r="A20" s="4" t="s">
        <v>1090</v>
      </c>
      <c r="B20" s="0" t="s">
        <v>81</v>
      </c>
      <c r="F20" s="25" t="n">
        <f aca="false">Seg!F34</f>
        <v>12.3760279191816</v>
      </c>
      <c r="G20" s="25" t="n">
        <f aca="false">F20</f>
        <v>12.3760279191816</v>
      </c>
      <c r="H20" s="25" t="n">
        <f aca="false">Seg!H34</f>
        <v>55.4458943864296</v>
      </c>
      <c r="I20" s="25" t="n">
        <f aca="false">Seg!I34</f>
        <v>70.4173575970212</v>
      </c>
      <c r="J20" s="25" t="n">
        <f aca="false">Seg!J34</f>
        <v>83.6121218168103</v>
      </c>
      <c r="K20" s="25" t="n">
        <f aca="false">Seg!K34</f>
        <v>91.200063826083</v>
      </c>
      <c r="L20" s="25" t="n">
        <f aca="false">Seg!L34</f>
        <v>98.4629534598358</v>
      </c>
      <c r="M20" s="25" t="n">
        <f aca="false">Seg!M34</f>
        <v>106.316346188729</v>
      </c>
    </row>
    <row r="21" customFormat="false" ht="15" hidden="false" customHeight="false" outlineLevel="0" collapsed="false">
      <c r="A21" s="2" t="s">
        <v>1091</v>
      </c>
      <c r="B21" s="7" t="s">
        <v>81</v>
      </c>
      <c r="C21" s="25" t="n">
        <f aca="false">Q!J46</f>
        <v>52.535</v>
      </c>
      <c r="D21" s="25" t="n">
        <f aca="false">Q!K46</f>
        <v>91.447</v>
      </c>
      <c r="E21" s="25" t="n">
        <f aca="false">Q!L46</f>
        <v>131.953</v>
      </c>
      <c r="F21" s="25" t="n">
        <f aca="false">F19+F20</f>
        <v>68.047</v>
      </c>
      <c r="G21" s="25" t="n">
        <f aca="false">E21+F21</f>
        <v>200</v>
      </c>
      <c r="H21" s="25" t="n">
        <f aca="false">H19+H20</f>
        <v>291.03841536674</v>
      </c>
      <c r="I21" s="25" t="n">
        <f aca="false">I19+I20</f>
        <v>318.919818472261</v>
      </c>
      <c r="J21" s="25" t="n">
        <f aca="false">J19+J20</f>
        <v>295.091388164788</v>
      </c>
      <c r="K21" s="25" t="n">
        <f aca="false">K19+K20</f>
        <v>275.343105486527</v>
      </c>
      <c r="L21" s="25" t="n">
        <f aca="false">L19+L20</f>
        <v>267.267063042896</v>
      </c>
      <c r="M21" s="25" t="n">
        <f aca="false">M19+M20</f>
        <v>278.572444168312</v>
      </c>
    </row>
    <row r="22" customFormat="false" ht="17.15" hidden="false" customHeight="false" outlineLevel="0" collapsed="false">
      <c r="A22" s="4" t="s">
        <v>1092</v>
      </c>
      <c r="B22" s="0" t="s">
        <v>81</v>
      </c>
      <c r="E22" s="25" t="n">
        <f aca="false">lease_1H</f>
        <v>0.943</v>
      </c>
      <c r="F22" s="25" t="n">
        <f aca="false">lease_2H</f>
        <v>0.103</v>
      </c>
      <c r="G22" s="25" t="n">
        <f aca="false">E22+F22</f>
        <v>1.046</v>
      </c>
      <c r="H22" s="25" t="n">
        <f aca="false">lease_27</f>
        <v>0.387</v>
      </c>
      <c r="I22" s="25" t="n">
        <f aca="false">lease_28</f>
        <v>0.377</v>
      </c>
      <c r="J22" s="25" t="n">
        <f aca="false">lease_29</f>
        <v>0.356</v>
      </c>
      <c r="K22" s="25" t="n">
        <f aca="false">lease_30</f>
        <v>0.285</v>
      </c>
      <c r="L22" s="25" t="n">
        <f aca="false">lease_31</f>
        <v>0.25</v>
      </c>
      <c r="M22" s="25" t="n">
        <f aca="false">lease_32</f>
        <v>0.25</v>
      </c>
      <c r="N22" s="7" t="s">
        <v>1093</v>
      </c>
    </row>
    <row r="23" customFormat="false" ht="15" hidden="false" customHeight="false" outlineLevel="0" collapsed="false">
      <c r="A23" s="28" t="s">
        <v>1094</v>
      </c>
      <c r="B23" s="30" t="s">
        <v>81</v>
      </c>
      <c r="C23" s="31" t="n">
        <f aca="false">C18-C21-N(C22)</f>
        <v>72.764</v>
      </c>
      <c r="D23" s="31" t="n">
        <f aca="false">D18-D21-N(D22)</f>
        <v>73.266</v>
      </c>
      <c r="E23" s="31" t="n">
        <f aca="false">E18-E21-N(E22)</f>
        <v>-5.747</v>
      </c>
      <c r="F23" s="31" t="n">
        <f aca="false">F18-F21-N(F22)</f>
        <v>-6.81171287809502</v>
      </c>
      <c r="G23" s="31" t="n">
        <f aca="false">G18-G21-N(G22)</f>
        <v>-12.558712878095</v>
      </c>
      <c r="H23" s="31" t="n">
        <f aca="false">H18-H21-N(H22)</f>
        <v>-41.2721522139398</v>
      </c>
      <c r="I23" s="31" t="n">
        <f aca="false">I18-I21-N(I22)</f>
        <v>-13.3917256601722</v>
      </c>
      <c r="J23" s="31" t="n">
        <f aca="false">J18-J21-N(J22)</f>
        <v>69.6894437827106</v>
      </c>
      <c r="K23" s="31" t="n">
        <f aca="false">K18-K21-N(K22)</f>
        <v>139.646884480362</v>
      </c>
      <c r="L23" s="31" t="n">
        <f aca="false">L18-L21-N(L22)</f>
        <v>186.688062686618</v>
      </c>
      <c r="M23" s="31" t="n">
        <f aca="false">M18-M21-N(M22)</f>
        <v>217.339124529365</v>
      </c>
      <c r="N23" s="30"/>
    </row>
    <row r="24" customFormat="false" ht="17.15" hidden="false" customHeight="false" outlineLevel="0" collapsed="false">
      <c r="A24" s="4" t="s">
        <v>1095</v>
      </c>
      <c r="B24" s="0" t="s">
        <v>81</v>
      </c>
      <c r="C24" s="25" t="n">
        <f aca="false">Q!J50</f>
        <v>7.363</v>
      </c>
      <c r="D24" s="25" t="n">
        <f aca="false">Q!K50</f>
        <v>10.049</v>
      </c>
      <c r="E24" s="25" t="n">
        <f aca="false">Q!L50-pref_paid_1H</f>
        <v>7.866</v>
      </c>
      <c r="F24" s="25" t="n">
        <f aca="false">dps/4*sh_out</f>
        <v>2.70468</v>
      </c>
      <c r="G24" s="25" t="n">
        <f aca="false">E24+F24</f>
        <v>10.57068</v>
      </c>
      <c r="H24" s="25" t="n">
        <f aca="false">dps*(1+dps_g)^(2027-2026)*PL!F63</f>
        <v>11.49180186</v>
      </c>
      <c r="I24" s="25" t="n">
        <f aca="false">dps*(1+dps_g)^(2028-2026)*PL!H63</f>
        <v>12.1427089590107</v>
      </c>
      <c r="J24" s="25" t="n">
        <f aca="false">dps*(1+dps_g)^(2029-2026)*PL!I63</f>
        <v>12.8687086516917</v>
      </c>
      <c r="K24" s="25" t="n">
        <f aca="false">dps*(1+dps_g)^(2030-2026)*PL!J63</f>
        <v>13.6659546838235</v>
      </c>
      <c r="L24" s="25" t="n">
        <f aca="false">dps*(1+dps_g)^(2031-2026)*PL!K63</f>
        <v>14.4551633383953</v>
      </c>
      <c r="M24" s="25" t="n">
        <f aca="false">dps*(1+dps_g)^(2032-2026)*PL!L63</f>
        <v>15.2941365556275</v>
      </c>
      <c r="N24" s="7" t="s">
        <v>1096</v>
      </c>
    </row>
    <row r="25" customFormat="false" ht="15" hidden="false" customHeight="false" outlineLevel="0" collapsed="false">
      <c r="A25" s="4" t="s">
        <v>1060</v>
      </c>
      <c r="B25" s="0" t="s">
        <v>81</v>
      </c>
      <c r="E25" s="25" t="n">
        <f aca="false">PL!E61</f>
        <v>0.384</v>
      </c>
      <c r="F25" s="25" t="n">
        <f aca="false">PL!F61</f>
        <v>0.301</v>
      </c>
      <c r="G25" s="25" t="n">
        <f aca="false">PL!G61</f>
        <v>0.685</v>
      </c>
      <c r="H25" s="25" t="n">
        <f aca="false">PL!H61</f>
        <v>1.203</v>
      </c>
      <c r="I25" s="25" t="n">
        <f aca="false">PL!I61</f>
        <v>1.203</v>
      </c>
      <c r="J25" s="25" t="n">
        <f aca="false">PL!J61</f>
        <v>0.602</v>
      </c>
      <c r="K25" s="25" t="n">
        <f aca="false">PL!K61</f>
        <v>0</v>
      </c>
      <c r="L25" s="25" t="n">
        <f aca="false">PL!L61</f>
        <v>0</v>
      </c>
      <c r="M25" s="25" t="n">
        <f aca="false">PL!M61</f>
        <v>0</v>
      </c>
    </row>
    <row r="26" customFormat="false" ht="15" hidden="false" customHeight="false" outlineLevel="0" collapsed="false">
      <c r="A26" s="2" t="s">
        <v>1097</v>
      </c>
      <c r="B26" s="7" t="s">
        <v>81</v>
      </c>
      <c r="C26" s="25" t="n">
        <f aca="false">C23-C24-N(C25)</f>
        <v>65.401</v>
      </c>
      <c r="D26" s="25" t="n">
        <f aca="false">D23-D24-N(D25)</f>
        <v>63.217</v>
      </c>
      <c r="E26" s="25" t="n">
        <f aca="false">E23-E24-N(E25)</f>
        <v>-13.997</v>
      </c>
      <c r="F26" s="25" t="n">
        <f aca="false">F23-F24-N(F25)</f>
        <v>-9.81739287809502</v>
      </c>
      <c r="G26" s="25" t="n">
        <f aca="false">G23-G24-N(G25)</f>
        <v>-23.814392878095</v>
      </c>
      <c r="H26" s="25" t="n">
        <f aca="false">H23-H24-N(H25)</f>
        <v>-53.9669540739398</v>
      </c>
      <c r="I26" s="25" t="n">
        <f aca="false">I23-I24-N(I25)</f>
        <v>-26.737434619183</v>
      </c>
      <c r="J26" s="25" t="n">
        <f aca="false">J23-J24-N(J25)</f>
        <v>56.2187351310189</v>
      </c>
      <c r="K26" s="25" t="n">
        <f aca="false">K23-K24-N(K25)</f>
        <v>125.980929796539</v>
      </c>
      <c r="L26" s="25" t="n">
        <f aca="false">L23-L24-N(L25)</f>
        <v>172.232899348223</v>
      </c>
      <c r="M26" s="25" t="n">
        <f aca="false">M23-M24-N(M25)</f>
        <v>202.044987973738</v>
      </c>
    </row>
    <row r="27" customFormat="false" ht="17.15" hidden="false" customHeight="false" outlineLevel="0" collapsed="false">
      <c r="A27" s="4" t="s">
        <v>1098</v>
      </c>
      <c r="B27" s="0" t="s">
        <v>81</v>
      </c>
      <c r="E27" s="25" t="n">
        <f aca="false">anth_1H</f>
        <v>57.267</v>
      </c>
      <c r="F27" s="25" t="n">
        <f aca="false">anth_2H</f>
        <v>1.111</v>
      </c>
      <c r="G27" s="25" t="n">
        <f aca="false">E27+F27</f>
        <v>58.378</v>
      </c>
      <c r="H27" s="25" t="n">
        <f aca="false">anth_27</f>
        <v>4.444</v>
      </c>
      <c r="I27" s="25" t="n">
        <f aca="false">anth_28</f>
        <v>4.444</v>
      </c>
      <c r="J27" s="25" t="n">
        <f aca="false">anth_29</f>
        <v>4.444</v>
      </c>
      <c r="K27" s="25" t="n">
        <f aca="false">anth_30</f>
        <v>4.444</v>
      </c>
      <c r="L27" s="25" t="n">
        <f aca="false">anth_31</f>
        <v>0</v>
      </c>
      <c r="M27" s="25" t="n">
        <f aca="false">anth_32</f>
        <v>0</v>
      </c>
      <c r="N27" s="7" t="s">
        <v>1099</v>
      </c>
    </row>
    <row r="28" customFormat="false" ht="17.15" hidden="false" customHeight="false" outlineLevel="0" collapsed="false">
      <c r="A28" s="4" t="s">
        <v>1100</v>
      </c>
      <c r="B28" s="0" t="s">
        <v>81</v>
      </c>
      <c r="E28" s="25" t="n">
        <f aca="false">mat_1H</f>
        <v>8.879</v>
      </c>
      <c r="F28" s="25" t="n">
        <f aca="false">mat_2H</f>
        <v>0</v>
      </c>
      <c r="G28" s="25" t="n">
        <f aca="false">E28+F28</f>
        <v>8.879</v>
      </c>
      <c r="H28" s="25" t="n">
        <f aca="false">mat_27</f>
        <v>1</v>
      </c>
      <c r="I28" s="25" t="n">
        <f aca="false">mat_28</f>
        <v>2.676</v>
      </c>
      <c r="J28" s="25" t="n">
        <f aca="false">mat_29</f>
        <v>1.764</v>
      </c>
      <c r="K28" s="25" t="n">
        <f aca="false">mat_30</f>
        <v>7.186</v>
      </c>
      <c r="L28" s="25" t="n">
        <f aca="false">mat_31</f>
        <v>5</v>
      </c>
      <c r="M28" s="25" t="n">
        <f aca="false">mat_32</f>
        <v>5</v>
      </c>
      <c r="N28" s="7" t="s">
        <v>1101</v>
      </c>
    </row>
    <row r="29" customFormat="false" ht="17.15" hidden="false" customHeight="false" outlineLevel="0" collapsed="false">
      <c r="A29" s="4" t="s">
        <v>1102</v>
      </c>
      <c r="B29" s="0" t="s">
        <v>81</v>
      </c>
      <c r="E29" s="25" t="n">
        <f aca="false">newd_1H</f>
        <v>85.222</v>
      </c>
      <c r="F29" s="25" t="n">
        <f aca="false">debt_new_2h</f>
        <v>0</v>
      </c>
      <c r="G29" s="25" t="n">
        <f aca="false">E29+F29</f>
        <v>85.222</v>
      </c>
      <c r="H29" s="27" t="n">
        <v>0</v>
      </c>
      <c r="I29" s="27" t="n">
        <v>0</v>
      </c>
      <c r="J29" s="27" t="n">
        <v>0</v>
      </c>
      <c r="K29" s="27" t="n">
        <v>0</v>
      </c>
      <c r="L29" s="27" t="n">
        <v>0</v>
      </c>
      <c r="M29" s="27" t="n">
        <v>0</v>
      </c>
      <c r="N29" s="7" t="s">
        <v>1103</v>
      </c>
    </row>
    <row r="30" customFormat="false" ht="17.15" hidden="false" customHeight="false" outlineLevel="0" collapsed="false">
      <c r="A30" s="4" t="s">
        <v>1104</v>
      </c>
      <c r="B30" s="0" t="s">
        <v>81</v>
      </c>
      <c r="E30" s="25" t="n">
        <f aca="false">eq_1H</f>
        <v>61.933</v>
      </c>
      <c r="F30" s="27" t="n">
        <v>0</v>
      </c>
      <c r="G30" s="25" t="n">
        <f aca="false">E30+F30</f>
        <v>61.933</v>
      </c>
      <c r="H30" s="27" t="n">
        <v>0</v>
      </c>
      <c r="I30" s="27" t="n">
        <v>0</v>
      </c>
      <c r="J30" s="27" t="n">
        <v>0</v>
      </c>
      <c r="K30" s="27" t="n">
        <v>0</v>
      </c>
      <c r="L30" s="27" t="n">
        <v>0</v>
      </c>
      <c r="M30" s="27" t="n">
        <v>0</v>
      </c>
      <c r="N30" s="7" t="s">
        <v>1105</v>
      </c>
    </row>
    <row r="31" customFormat="false" ht="15" hidden="false" customHeight="false" outlineLevel="0" collapsed="false">
      <c r="A31" s="4" t="s">
        <v>1106</v>
      </c>
      <c r="B31" s="0" t="s">
        <v>81</v>
      </c>
      <c r="E31" s="25" t="n">
        <f aca="false">cash_ye25</f>
        <v>120.53</v>
      </c>
      <c r="F31" s="25" t="n">
        <f aca="false">E36</f>
        <v>174.698</v>
      </c>
      <c r="H31" s="25" t="n">
        <f aca="false">F36</f>
        <v>163.769607121905</v>
      </c>
      <c r="I31" s="25" t="n">
        <f aca="false">H36</f>
        <v>87.3556530479652</v>
      </c>
      <c r="J31" s="25" t="n">
        <f aca="false">I36</f>
        <v>50</v>
      </c>
      <c r="K31" s="25" t="n">
        <f aca="false">J36</f>
        <v>83.0077351310189</v>
      </c>
      <c r="L31" s="25" t="n">
        <f aca="false">K36</f>
        <v>180.355664927557</v>
      </c>
      <c r="M31" s="25" t="n">
        <f aca="false">L36</f>
        <v>330.58556427578</v>
      </c>
    </row>
    <row r="32" customFormat="false" ht="17.15" hidden="false" customHeight="false" outlineLevel="0" collapsed="false">
      <c r="A32" s="4" t="s">
        <v>1107</v>
      </c>
      <c r="B32" s="0" t="s">
        <v>81</v>
      </c>
      <c r="E32" s="25" t="n">
        <f aca="false">cash_0-(E31+E23-E24-E25-E27-E28+E29+E30)</f>
        <v>-12.844</v>
      </c>
      <c r="F32" s="27" t="n">
        <v>0</v>
      </c>
      <c r="H32" s="27" t="n">
        <v>0</v>
      </c>
      <c r="I32" s="27" t="n">
        <v>0</v>
      </c>
      <c r="J32" s="27" t="n">
        <v>0</v>
      </c>
      <c r="K32" s="27" t="n">
        <v>0</v>
      </c>
      <c r="L32" s="27" t="n">
        <v>0</v>
      </c>
      <c r="M32" s="27" t="n">
        <v>0</v>
      </c>
    </row>
    <row r="33" customFormat="false" ht="15" hidden="false" customHeight="false" outlineLevel="0" collapsed="false">
      <c r="A33" s="4" t="s">
        <v>1108</v>
      </c>
      <c r="B33" s="0" t="s">
        <v>81</v>
      </c>
      <c r="E33" s="25" t="n">
        <f aca="false">E31+E23-E24-E25-E27-E28+E29+E30+E32</f>
        <v>174.698</v>
      </c>
      <c r="F33" s="25" t="n">
        <f aca="false">F31+F23-F24-F25-F27-F28+F29+F30+F32</f>
        <v>163.769607121905</v>
      </c>
      <c r="H33" s="25" t="n">
        <f aca="false">H31+H23-H24-H25-H27-H28+H29+H30+H32</f>
        <v>104.358653047965</v>
      </c>
      <c r="I33" s="25" t="n">
        <f aca="false">I31+I23-I24-I25-I27-I28+I29+I30+I32</f>
        <v>53.4982184287822</v>
      </c>
      <c r="J33" s="25" t="n">
        <f aca="false">J31+J23-J24-J25-J27-J28+J29+J30+J32</f>
        <v>100.010735131019</v>
      </c>
      <c r="K33" s="25" t="n">
        <f aca="false">K31+K23-K24-K25-K27-K28+K29+K30+K32</f>
        <v>197.358664927557</v>
      </c>
      <c r="L33" s="25" t="n">
        <f aca="false">L31+L23-L24-L25-L27-L28+L29+L30+L32</f>
        <v>347.58856427578</v>
      </c>
      <c r="M33" s="25" t="n">
        <f aca="false">M31+M23-M24-M25-M27-M28+M29+M30+M32</f>
        <v>527.630552249518</v>
      </c>
    </row>
    <row r="34" customFormat="false" ht="17.15" hidden="false" customHeight="false" outlineLevel="0" collapsed="false">
      <c r="A34" s="4" t="s">
        <v>840</v>
      </c>
      <c r="B34" s="0" t="s">
        <v>81</v>
      </c>
      <c r="E34" s="25" t="n">
        <f aca="false">Q!L49</f>
        <v>0</v>
      </c>
      <c r="F34" s="27" t="n">
        <v>0</v>
      </c>
      <c r="G34" s="25" t="n">
        <f aca="false">E34+F34</f>
        <v>0</v>
      </c>
      <c r="H34" s="25" t="n">
        <f aca="false">MAX(0,MIN(bb_t,H33-min_cash))</f>
        <v>17.003</v>
      </c>
      <c r="I34" s="25" t="n">
        <f aca="false">MAX(0,MIN(bb_t,I33-min_cash))</f>
        <v>3.49821842878221</v>
      </c>
      <c r="J34" s="25" t="n">
        <f aca="false">MAX(0,MIN(bb_t,J33-min_cash))</f>
        <v>17.003</v>
      </c>
      <c r="K34" s="25" t="n">
        <f aca="false">MAX(0,MIN(bb_t,K33-min_cash))</f>
        <v>17.003</v>
      </c>
      <c r="L34" s="25" t="n">
        <f aca="false">MAX(0,MIN(bb_t,L33-min_cash))</f>
        <v>17.003</v>
      </c>
      <c r="M34" s="25" t="n">
        <f aca="false">MAX(0,MIN(bb_t,M33-min_cash))</f>
        <v>17.003</v>
      </c>
      <c r="N34" s="7" t="s">
        <v>1109</v>
      </c>
    </row>
    <row r="35" customFormat="false" ht="15" hidden="false" customHeight="false" outlineLevel="0" collapsed="false">
      <c r="A35" s="4" t="s">
        <v>1110</v>
      </c>
      <c r="B35" s="0" t="s">
        <v>81</v>
      </c>
      <c r="E35" s="27" t="n">
        <v>0</v>
      </c>
      <c r="F35" s="25" t="n">
        <f aca="false">MAX(0,min_cash-(F33-F34))</f>
        <v>0</v>
      </c>
      <c r="G35" s="25" t="n">
        <f aca="false">E35+F35</f>
        <v>0</v>
      </c>
      <c r="H35" s="25" t="n">
        <f aca="false">MAX(0,min_cash-(H33-H34))</f>
        <v>0</v>
      </c>
      <c r="I35" s="25" t="n">
        <f aca="false">MAX(0,min_cash-(I33-I34))</f>
        <v>0</v>
      </c>
      <c r="J35" s="25" t="n">
        <f aca="false">MAX(0,min_cash-(J33-J34))</f>
        <v>0</v>
      </c>
      <c r="K35" s="25" t="n">
        <f aca="false">MAX(0,min_cash-(K33-K34))</f>
        <v>0</v>
      </c>
      <c r="L35" s="25" t="n">
        <f aca="false">MAX(0,min_cash-(L33-L34))</f>
        <v>0</v>
      </c>
      <c r="M35" s="25" t="n">
        <f aca="false">MAX(0,min_cash-(M33-M34))</f>
        <v>0</v>
      </c>
    </row>
    <row r="36" customFormat="false" ht="15" hidden="false" customHeight="false" outlineLevel="0" collapsed="false">
      <c r="A36" s="4" t="s">
        <v>1111</v>
      </c>
      <c r="B36" s="0" t="s">
        <v>81</v>
      </c>
      <c r="E36" s="25" t="n">
        <f aca="false">E33-E34+E35</f>
        <v>174.698</v>
      </c>
      <c r="F36" s="25" t="n">
        <f aca="false">F33-F34+F35</f>
        <v>163.769607121905</v>
      </c>
      <c r="H36" s="25" t="n">
        <f aca="false">H33-H34+H35</f>
        <v>87.3556530479652</v>
      </c>
      <c r="I36" s="25" t="n">
        <f aca="false">I33-I34+I35</f>
        <v>50</v>
      </c>
      <c r="J36" s="25" t="n">
        <f aca="false">J33-J34+J35</f>
        <v>83.0077351310189</v>
      </c>
      <c r="K36" s="25" t="n">
        <f aca="false">K33-K34+K35</f>
        <v>180.355664927557</v>
      </c>
      <c r="L36" s="25" t="n">
        <f aca="false">L33-L34+L35</f>
        <v>330.58556427578</v>
      </c>
      <c r="M36" s="25" t="n">
        <f aca="false">M33-M34+M35</f>
        <v>510.627552249518</v>
      </c>
    </row>
    <row r="37" customFormat="false" ht="17.15" hidden="false" customHeight="false" outlineLevel="0" collapsed="false">
      <c r="A37" s="4" t="s">
        <v>1112</v>
      </c>
      <c r="B37" s="0" t="s">
        <v>81</v>
      </c>
      <c r="E37" s="21" t="n">
        <f aca="false">E36-cash_0</f>
        <v>0</v>
      </c>
    </row>
    <row r="38" customFormat="false" ht="17.15" hidden="false" customHeight="false" outlineLevel="0" collapsed="false">
      <c r="A38" s="4" t="s">
        <v>1113</v>
      </c>
      <c r="B38" s="0" t="s">
        <v>81</v>
      </c>
      <c r="E38" s="25" t="n">
        <f aca="false">debt_ye25</f>
        <v>49.085</v>
      </c>
      <c r="F38" s="25" t="n">
        <f aca="false">E39</f>
        <v>126.455</v>
      </c>
      <c r="H38" s="25" t="n">
        <f aca="false">F39</f>
        <v>126.455</v>
      </c>
      <c r="I38" s="25" t="n">
        <f aca="false">H39</f>
        <v>125.455</v>
      </c>
      <c r="J38" s="25" t="n">
        <f aca="false">I39</f>
        <v>122.779</v>
      </c>
      <c r="K38" s="25" t="n">
        <f aca="false">J39</f>
        <v>121.015</v>
      </c>
      <c r="L38" s="25" t="n">
        <f aca="false">K39</f>
        <v>113.829</v>
      </c>
      <c r="M38" s="25" t="n">
        <f aca="false">L39</f>
        <v>108.829</v>
      </c>
      <c r="N38" s="7" t="s">
        <v>1114</v>
      </c>
    </row>
    <row r="39" customFormat="false" ht="17.15" hidden="false" customHeight="false" outlineLevel="0" collapsed="false">
      <c r="A39" s="4" t="s">
        <v>1115</v>
      </c>
      <c r="B39" s="0" t="s">
        <v>81</v>
      </c>
      <c r="E39" s="25" t="n">
        <f aca="false">debt_0</f>
        <v>126.455</v>
      </c>
      <c r="F39" s="25" t="n">
        <f aca="false">F38-F28+F29+F35</f>
        <v>126.455</v>
      </c>
      <c r="H39" s="25" t="n">
        <f aca="false">H38-H28+H29+H35</f>
        <v>125.455</v>
      </c>
      <c r="I39" s="25" t="n">
        <f aca="false">I38-I28+I29+I35</f>
        <v>122.779</v>
      </c>
      <c r="J39" s="25" t="n">
        <f aca="false">J38-J28+J29+J35</f>
        <v>121.015</v>
      </c>
      <c r="K39" s="25" t="n">
        <f aca="false">K38-K28+K29+K35</f>
        <v>113.829</v>
      </c>
      <c r="L39" s="25" t="n">
        <f aca="false">L38-L28+L29+L35</f>
        <v>108.829</v>
      </c>
      <c r="M39" s="25" t="n">
        <f aca="false">M38-M28+M29+M35</f>
        <v>103.829</v>
      </c>
      <c r="N39" s="7" t="s">
        <v>1116</v>
      </c>
    </row>
    <row r="40" customFormat="false" ht="15" hidden="false" customHeight="false" outlineLevel="0" collapsed="false">
      <c r="A40" s="4" t="s">
        <v>1117</v>
      </c>
      <c r="B40" s="0" t="s">
        <v>81</v>
      </c>
      <c r="E40" s="25" t="n">
        <f aca="false">E36-E39</f>
        <v>48.243</v>
      </c>
      <c r="F40" s="25" t="n">
        <f aca="false">F36-F39</f>
        <v>37.314607121905</v>
      </c>
      <c r="H40" s="25" t="n">
        <f aca="false">H36-H39</f>
        <v>-38.0993469520348</v>
      </c>
      <c r="I40" s="25" t="n">
        <f aca="false">I36-I39</f>
        <v>-72.779</v>
      </c>
      <c r="J40" s="25" t="n">
        <f aca="false">J36-J39</f>
        <v>-38.0072648689811</v>
      </c>
      <c r="K40" s="25" t="n">
        <f aca="false">K36-K39</f>
        <v>66.5266649275575</v>
      </c>
      <c r="L40" s="25" t="n">
        <f aca="false">L36-L39</f>
        <v>221.75656427578</v>
      </c>
      <c r="M40" s="25" t="n">
        <f aca="false">M36-M39</f>
        <v>406.798552249518</v>
      </c>
    </row>
    <row r="41" customFormat="false" ht="17.15" hidden="false" customHeight="false" outlineLevel="0" collapsed="false">
      <c r="A41" s="4" t="s">
        <v>1118</v>
      </c>
      <c r="B41" s="0" t="s">
        <v>54</v>
      </c>
      <c r="F41" s="23" t="n">
        <f aca="false">px_val</f>
        <v>344.08</v>
      </c>
      <c r="H41" s="23" t="n">
        <f aca="false">px_val*(1+ke)^(2027+mid-t_val)</f>
        <v>371.983285665033</v>
      </c>
      <c r="I41" s="23" t="n">
        <f aca="false">px_val*(1+ke)^(2028+mid-t_val)</f>
        <v>412.738918291098</v>
      </c>
      <c r="J41" s="23" t="n">
        <f aca="false">px_val*(1+ke)^(2029+mid-t_val)</f>
        <v>457.959863351244</v>
      </c>
      <c r="K41" s="23" t="n">
        <f aca="false">px_val*(1+ke)^(2030+mid-t_val)</f>
        <v>508.135354206587</v>
      </c>
      <c r="L41" s="23" t="n">
        <f aca="false">px_val*(1+ke)^(2031+mid-t_val)</f>
        <v>563.808226129674</v>
      </c>
      <c r="M41" s="23" t="n">
        <f aca="false">px_val*(1+ke)^(2032+mid-t_val)</f>
        <v>625.580789094737</v>
      </c>
    </row>
    <row r="43" customFormat="false" ht="17.15" hidden="false" customHeight="false" outlineLevel="0" collapsed="false">
      <c r="A43" s="28" t="s">
        <v>1018</v>
      </c>
    </row>
    <row r="44" customFormat="false" ht="15" hidden="false" customHeight="false" outlineLevel="0" collapsed="false">
      <c r="A44" s="3" t="s">
        <v>43</v>
      </c>
      <c r="B44" s="3" t="s">
        <v>44</v>
      </c>
      <c r="C44" s="20" t="s">
        <v>905</v>
      </c>
      <c r="D44" s="20" t="s">
        <v>906</v>
      </c>
      <c r="E44" s="20" t="s">
        <v>907</v>
      </c>
      <c r="F44" s="20" t="s">
        <v>908</v>
      </c>
      <c r="G44" s="20" t="s">
        <v>909</v>
      </c>
      <c r="H44" s="20" t="s">
        <v>910</v>
      </c>
      <c r="I44" s="20" t="s">
        <v>911</v>
      </c>
      <c r="J44" s="20" t="s">
        <v>912</v>
      </c>
      <c r="K44" s="20" t="s">
        <v>913</v>
      </c>
      <c r="L44" s="20" t="s">
        <v>914</v>
      </c>
      <c r="M44" s="20" t="s">
        <v>915</v>
      </c>
      <c r="N44" s="3" t="s">
        <v>50</v>
      </c>
    </row>
    <row r="45" customFormat="false" ht="15" hidden="false" customHeight="false" outlineLevel="0" collapsed="false">
      <c r="A45" s="4" t="s">
        <v>829</v>
      </c>
      <c r="B45" s="0" t="s">
        <v>81</v>
      </c>
      <c r="C45" s="25" t="n">
        <f aca="false">PL!C118</f>
        <v>100.118</v>
      </c>
      <c r="D45" s="25" t="n">
        <f aca="false">PL!D118</f>
        <v>132.17</v>
      </c>
      <c r="E45" s="25" t="n">
        <f aca="false">PL!E118</f>
        <v>201.239</v>
      </c>
      <c r="F45" s="25" t="n">
        <f aca="false">PL!F118</f>
        <v>33.5115149264624</v>
      </c>
      <c r="G45" s="25" t="n">
        <f aca="false">PL!G118</f>
        <v>234.750514926462</v>
      </c>
      <c r="H45" s="25" t="n">
        <f aca="false">PL!H118</f>
        <v>136.963793876535</v>
      </c>
      <c r="I45" s="25" t="n">
        <f aca="false">PL!I118</f>
        <v>138.203017421611</v>
      </c>
      <c r="J45" s="25" t="n">
        <f aca="false">PL!J118</f>
        <v>141.554569659794</v>
      </c>
      <c r="K45" s="25" t="n">
        <f aca="false">PL!K118</f>
        <v>143.199571726996</v>
      </c>
      <c r="L45" s="25" t="n">
        <f aca="false">PL!L118</f>
        <v>147.964907508415</v>
      </c>
      <c r="M45" s="25" t="n">
        <f aca="false">PL!M118</f>
        <v>152.914364580475</v>
      </c>
    </row>
    <row r="46" customFormat="false" ht="15" hidden="false" customHeight="false" outlineLevel="0" collapsed="false">
      <c r="A46" s="4" t="s">
        <v>1084</v>
      </c>
      <c r="B46" s="0" t="s">
        <v>81</v>
      </c>
      <c r="C46" s="25" t="n">
        <f aca="false">PL!C103</f>
        <v>15.311</v>
      </c>
      <c r="D46" s="25" t="n">
        <f aca="false">PL!D103</f>
        <v>21.136</v>
      </c>
      <c r="E46" s="25" t="n">
        <f aca="false">PL!E103</f>
        <v>21.955</v>
      </c>
      <c r="F46" s="25" t="n">
        <f aca="false">PL!F103</f>
        <v>13.7282850159824</v>
      </c>
      <c r="G46" s="25" t="n">
        <f aca="false">PL!G103</f>
        <v>35.6832850159824</v>
      </c>
      <c r="H46" s="25" t="n">
        <f aca="false">PL!H103</f>
        <v>64.142436663556</v>
      </c>
      <c r="I46" s="25" t="n">
        <f aca="false">PL!I103</f>
        <v>101.950631120202</v>
      </c>
      <c r="J46" s="25" t="n">
        <f aca="false">PL!J103</f>
        <v>140.17989017532</v>
      </c>
      <c r="K46" s="25" t="n">
        <f aca="false">PL!K103</f>
        <v>172.009912924968</v>
      </c>
      <c r="L46" s="25" t="n">
        <f aca="false">PL!L103</f>
        <v>197.315457774801</v>
      </c>
      <c r="M46" s="25" t="n">
        <f aca="false">PL!M103</f>
        <v>224.858738275987</v>
      </c>
    </row>
    <row r="47" customFormat="false" ht="15" hidden="false" customHeight="false" outlineLevel="0" collapsed="false">
      <c r="A47" s="4" t="s">
        <v>1085</v>
      </c>
      <c r="B47" s="0" t="s">
        <v>81</v>
      </c>
      <c r="C47" s="25" t="n">
        <f aca="false">PL!C127</f>
        <v>22.785</v>
      </c>
      <c r="D47" s="25" t="n">
        <f aca="false">PL!D127</f>
        <v>24.953</v>
      </c>
      <c r="E47" s="25" t="n">
        <f aca="false">PL!E127</f>
        <v>23.338</v>
      </c>
      <c r="F47" s="25" t="n">
        <f aca="false">PL!F127</f>
        <v>9.39148717946017</v>
      </c>
      <c r="G47" s="25" t="n">
        <f aca="false">PL!G127</f>
        <v>32.7294871794602</v>
      </c>
      <c r="H47" s="25" t="n">
        <f aca="false">PL!H127</f>
        <v>40.7125918009675</v>
      </c>
      <c r="I47" s="25" t="n">
        <f aca="false">PL!I127</f>
        <v>48.7774875013843</v>
      </c>
      <c r="J47" s="25" t="n">
        <f aca="false">PL!J127</f>
        <v>56.0043214535466</v>
      </c>
      <c r="K47" s="25" t="n">
        <f aca="false">PL!K127</f>
        <v>60.8990979357502</v>
      </c>
      <c r="L47" s="25" t="n">
        <f aca="false">PL!L127</f>
        <v>65.8350915997234</v>
      </c>
      <c r="M47" s="25" t="n">
        <f aca="false">PL!M127</f>
        <v>70.8457987417877</v>
      </c>
    </row>
    <row r="48" customFormat="false" ht="17.15" hidden="false" customHeight="false" outlineLevel="0" collapsed="false">
      <c r="A48" s="4" t="s">
        <v>1086</v>
      </c>
      <c r="B48" s="0" t="s">
        <v>81</v>
      </c>
      <c r="F48" s="25" t="n">
        <f aca="false">wc_2h</f>
        <v>4.707</v>
      </c>
      <c r="G48" s="25" t="n">
        <f aca="false">F48</f>
        <v>4.707</v>
      </c>
      <c r="H48" s="25" t="n">
        <f aca="false">wc_k*(PL!H83-PL!G83)</f>
        <v>1.50145539878505</v>
      </c>
      <c r="I48" s="25" t="n">
        <f aca="false">wc_k*(PL!I83-PL!H83)</f>
        <v>1.46293456891282</v>
      </c>
      <c r="J48" s="25" t="n">
        <f aca="false">wc_k*(PL!J83-PL!I83)</f>
        <v>1.31091406574108</v>
      </c>
      <c r="K48" s="25" t="n">
        <f aca="false">wc_k*(PL!K83-PL!J83)</f>
        <v>0.887889687469483</v>
      </c>
      <c r="L48" s="25" t="n">
        <f aca="false">wc_k*(PL!L83-PL!K83)</f>
        <v>0.895366292534664</v>
      </c>
      <c r="M48" s="25" t="n">
        <f aca="false">wc_k*(PL!M83-PL!L83)</f>
        <v>0.908918969955864</v>
      </c>
      <c r="N48" s="7" t="s">
        <v>1087</v>
      </c>
    </row>
    <row r="49" customFormat="false" ht="15" hidden="false" customHeight="false" outlineLevel="0" collapsed="false">
      <c r="A49" s="4" t="s">
        <v>1088</v>
      </c>
      <c r="B49" s="0" t="s">
        <v>81</v>
      </c>
      <c r="C49" s="25" t="n">
        <f aca="false">Q!J45-C45-C46-C47</f>
        <v>-12.915</v>
      </c>
      <c r="D49" s="25" t="n">
        <f aca="false">Q!K45-D45-D46-D47</f>
        <v>-13.546</v>
      </c>
      <c r="E49" s="25" t="n">
        <f aca="false">Q!L45-E45-E46-E47</f>
        <v>-119.383</v>
      </c>
      <c r="F49" s="27" t="n">
        <v>0</v>
      </c>
      <c r="G49" s="25" t="n">
        <f aca="false">E49+F49</f>
        <v>-119.383</v>
      </c>
      <c r="H49" s="27" t="n">
        <v>0</v>
      </c>
      <c r="I49" s="27" t="n">
        <v>0</v>
      </c>
      <c r="J49" s="27" t="n">
        <v>0</v>
      </c>
      <c r="K49" s="27" t="n">
        <v>0</v>
      </c>
      <c r="L49" s="27" t="n">
        <v>0</v>
      </c>
      <c r="M49" s="27" t="n">
        <v>0</v>
      </c>
    </row>
    <row r="50" customFormat="false" ht="15" hidden="false" customHeight="false" outlineLevel="0" collapsed="false">
      <c r="A50" s="2" t="s">
        <v>836</v>
      </c>
      <c r="B50" s="7" t="s">
        <v>81</v>
      </c>
      <c r="C50" s="25" t="n">
        <f aca="false">C45+C46+C47+C48+C49</f>
        <v>125.299</v>
      </c>
      <c r="D50" s="25" t="n">
        <f aca="false">D45+D46+D47+D48+D49</f>
        <v>164.713</v>
      </c>
      <c r="E50" s="25" t="n">
        <f aca="false">E45+E46+E47+E48+E49</f>
        <v>127.149</v>
      </c>
      <c r="F50" s="25" t="n">
        <f aca="false">F45+F46+F47+F48+F49</f>
        <v>61.338287121905</v>
      </c>
      <c r="G50" s="25" t="n">
        <f aca="false">G45+G46+G47+G48+G49</f>
        <v>188.487287121905</v>
      </c>
      <c r="H50" s="25" t="n">
        <f aca="false">H45+H46+H47+H48+H49</f>
        <v>243.320277739844</v>
      </c>
      <c r="I50" s="25" t="n">
        <f aca="false">I45+I46+I47+I48+I49</f>
        <v>290.39407061211</v>
      </c>
      <c r="J50" s="25" t="n">
        <f aca="false">J45+J46+J47+J48+J49</f>
        <v>339.049695354401</v>
      </c>
      <c r="K50" s="25" t="n">
        <f aca="false">K45+K46+K47+K48+K49</f>
        <v>376.996472275183</v>
      </c>
      <c r="L50" s="25" t="n">
        <f aca="false">L45+L46+L47+L48+L49</f>
        <v>412.010823175475</v>
      </c>
      <c r="M50" s="25" t="n">
        <f aca="false">M45+M46+M47+M48+M49</f>
        <v>449.527820568205</v>
      </c>
    </row>
    <row r="51" customFormat="false" ht="17.15" hidden="false" customHeight="false" outlineLevel="0" collapsed="false">
      <c r="A51" s="4" t="s">
        <v>1089</v>
      </c>
      <c r="B51" s="0" t="s">
        <v>81</v>
      </c>
      <c r="F51" s="25" t="n">
        <f aca="false">Thesis!F52</f>
        <v>55.6709720808184</v>
      </c>
      <c r="G51" s="25" t="n">
        <f aca="false">F51</f>
        <v>55.6709720808184</v>
      </c>
      <c r="H51" s="25" t="n">
        <f aca="false">Thesis!H52</f>
        <v>235.59252098031</v>
      </c>
      <c r="I51" s="25" t="n">
        <f aca="false">Thesis!I52</f>
        <v>248.50246087524</v>
      </c>
      <c r="J51" s="25" t="n">
        <f aca="false">Thesis!J52</f>
        <v>211.479266347978</v>
      </c>
      <c r="K51" s="25" t="n">
        <f aca="false">Thesis!K52</f>
        <v>184.143041660444</v>
      </c>
      <c r="L51" s="25" t="n">
        <f aca="false">Thesis!L52</f>
        <v>168.80410958306</v>
      </c>
      <c r="M51" s="25" t="n">
        <f aca="false">Thesis!M52</f>
        <v>172.256097979583</v>
      </c>
    </row>
    <row r="52" customFormat="false" ht="17.15" hidden="false" customHeight="false" outlineLevel="0" collapsed="false">
      <c r="A52" s="4" t="s">
        <v>1090</v>
      </c>
      <c r="B52" s="0" t="s">
        <v>81</v>
      </c>
      <c r="F52" s="25" t="n">
        <f aca="false">Seg!F70</f>
        <v>12.3760279191816</v>
      </c>
      <c r="G52" s="25" t="n">
        <f aca="false">F52</f>
        <v>12.3760279191816</v>
      </c>
      <c r="H52" s="25" t="n">
        <f aca="false">Seg!H70</f>
        <v>54.7726186762069</v>
      </c>
      <c r="I52" s="25" t="n">
        <f aca="false">Seg!I70</f>
        <v>68.8963745102813</v>
      </c>
      <c r="J52" s="25" t="n">
        <f aca="false">Seg!J70</f>
        <v>81.0816058416591</v>
      </c>
      <c r="K52" s="25" t="n">
        <f aca="false">Seg!K70</f>
        <v>87.5264952689854</v>
      </c>
      <c r="L52" s="25" t="n">
        <f aca="false">Seg!L70</f>
        <v>94.4954994181704</v>
      </c>
      <c r="M52" s="25" t="n">
        <f aca="false">Seg!M70</f>
        <v>102.03149582373</v>
      </c>
    </row>
    <row r="53" customFormat="false" ht="15" hidden="false" customHeight="false" outlineLevel="0" collapsed="false">
      <c r="A53" s="2" t="s">
        <v>1091</v>
      </c>
      <c r="B53" s="7" t="s">
        <v>81</v>
      </c>
      <c r="C53" s="25" t="n">
        <f aca="false">Q!J46</f>
        <v>52.535</v>
      </c>
      <c r="D53" s="25" t="n">
        <f aca="false">Q!K46</f>
        <v>91.447</v>
      </c>
      <c r="E53" s="25" t="n">
        <f aca="false">Q!L46</f>
        <v>131.953</v>
      </c>
      <c r="F53" s="25" t="n">
        <f aca="false">F51+F52</f>
        <v>68.047</v>
      </c>
      <c r="G53" s="25" t="n">
        <f aca="false">E53+F53</f>
        <v>200</v>
      </c>
      <c r="H53" s="25" t="n">
        <f aca="false">H51+H52</f>
        <v>290.365139656517</v>
      </c>
      <c r="I53" s="25" t="n">
        <f aca="false">I51+I52</f>
        <v>317.398835385521</v>
      </c>
      <c r="J53" s="25" t="n">
        <f aca="false">J51+J52</f>
        <v>292.560872189637</v>
      </c>
      <c r="K53" s="25" t="n">
        <f aca="false">K51+K52</f>
        <v>271.669536929429</v>
      </c>
      <c r="L53" s="25" t="n">
        <f aca="false">L51+L52</f>
        <v>263.29960900123</v>
      </c>
      <c r="M53" s="25" t="n">
        <f aca="false">M51+M52</f>
        <v>274.287593803313</v>
      </c>
    </row>
    <row r="54" customFormat="false" ht="17.15" hidden="false" customHeight="false" outlineLevel="0" collapsed="false">
      <c r="A54" s="4" t="s">
        <v>1092</v>
      </c>
      <c r="B54" s="0" t="s">
        <v>81</v>
      </c>
      <c r="E54" s="25" t="n">
        <f aca="false">lease_1H</f>
        <v>0.943</v>
      </c>
      <c r="F54" s="25" t="n">
        <f aca="false">lease_2H</f>
        <v>0.103</v>
      </c>
      <c r="G54" s="25" t="n">
        <f aca="false">E54+F54</f>
        <v>1.046</v>
      </c>
      <c r="H54" s="25" t="n">
        <f aca="false">lease_27</f>
        <v>0.387</v>
      </c>
      <c r="I54" s="25" t="n">
        <f aca="false">lease_28</f>
        <v>0.377</v>
      </c>
      <c r="J54" s="25" t="n">
        <f aca="false">lease_29</f>
        <v>0.356</v>
      </c>
      <c r="K54" s="25" t="n">
        <f aca="false">lease_30</f>
        <v>0.285</v>
      </c>
      <c r="L54" s="25" t="n">
        <f aca="false">lease_31</f>
        <v>0.25</v>
      </c>
      <c r="M54" s="25" t="n">
        <f aca="false">lease_32</f>
        <v>0.25</v>
      </c>
      <c r="N54" s="7" t="s">
        <v>1093</v>
      </c>
    </row>
    <row r="55" customFormat="false" ht="15" hidden="false" customHeight="false" outlineLevel="0" collapsed="false">
      <c r="A55" s="28" t="s">
        <v>1094</v>
      </c>
      <c r="B55" s="30" t="s">
        <v>81</v>
      </c>
      <c r="C55" s="31" t="n">
        <f aca="false">C50-C53-N(C54)</f>
        <v>72.764</v>
      </c>
      <c r="D55" s="31" t="n">
        <f aca="false">D50-D53-N(D54)</f>
        <v>73.266</v>
      </c>
      <c r="E55" s="31" t="n">
        <f aca="false">E50-E53-N(E54)</f>
        <v>-5.747</v>
      </c>
      <c r="F55" s="31" t="n">
        <f aca="false">F50-F53-N(F54)</f>
        <v>-6.81171287809502</v>
      </c>
      <c r="G55" s="31" t="n">
        <f aca="false">G50-G53-N(G54)</f>
        <v>-12.558712878095</v>
      </c>
      <c r="H55" s="31" t="n">
        <f aca="false">H50-H53-N(H54)</f>
        <v>-47.4318619166731</v>
      </c>
      <c r="I55" s="31" t="n">
        <f aca="false">I50-I53-N(I54)</f>
        <v>-27.3817647734111</v>
      </c>
      <c r="J55" s="31" t="n">
        <f aca="false">J50-J53-N(J54)</f>
        <v>46.1328231647645</v>
      </c>
      <c r="K55" s="31" t="n">
        <f aca="false">K50-K53-N(K54)</f>
        <v>105.041935345754</v>
      </c>
      <c r="L55" s="31" t="n">
        <f aca="false">L50-L53-N(L54)</f>
        <v>148.461214174244</v>
      </c>
      <c r="M55" s="31" t="n">
        <f aca="false">M50-M53-N(M54)</f>
        <v>174.990226764892</v>
      </c>
      <c r="N55" s="30"/>
    </row>
    <row r="56" customFormat="false" ht="17.15" hidden="false" customHeight="false" outlineLevel="0" collapsed="false">
      <c r="A56" s="4" t="s">
        <v>1095</v>
      </c>
      <c r="B56" s="0" t="s">
        <v>81</v>
      </c>
      <c r="C56" s="25" t="n">
        <f aca="false">Q!J50</f>
        <v>7.363</v>
      </c>
      <c r="D56" s="25" t="n">
        <f aca="false">Q!K50</f>
        <v>10.049</v>
      </c>
      <c r="E56" s="25" t="n">
        <f aca="false">Q!L50-pref_paid_1H</f>
        <v>7.866</v>
      </c>
      <c r="F56" s="25" t="n">
        <f aca="false">dps/4*sh_out</f>
        <v>2.70468</v>
      </c>
      <c r="G56" s="25" t="n">
        <f aca="false">E56+F56</f>
        <v>10.57068</v>
      </c>
      <c r="H56" s="25" t="n">
        <f aca="false">dps*(1+dps_g)^(2027-2026)*PL!F122</f>
        <v>11.49180186</v>
      </c>
      <c r="I56" s="25" t="n">
        <f aca="false">dps*(1+dps_g)^(2028-2026)*PL!H122</f>
        <v>12.1427089590107</v>
      </c>
      <c r="J56" s="25" t="n">
        <f aca="false">dps*(1+dps_g)^(2029-2026)*PL!I122</f>
        <v>12.8773428510309</v>
      </c>
      <c r="K56" s="25" t="n">
        <f aca="false">dps*(1+dps_g)^(2030-2026)*PL!J122</f>
        <v>13.6751112522228</v>
      </c>
      <c r="L56" s="25" t="n">
        <f aca="false">dps*(1+dps_g)^(2031-2026)*PL!K122</f>
        <v>14.4648738791827</v>
      </c>
      <c r="M56" s="25" t="n">
        <f aca="false">dps*(1+dps_g)^(2032-2026)*PL!L122</f>
        <v>15.3044345841326</v>
      </c>
      <c r="N56" s="7" t="s">
        <v>1096</v>
      </c>
    </row>
    <row r="57" customFormat="false" ht="15" hidden="false" customHeight="false" outlineLevel="0" collapsed="false">
      <c r="A57" s="4" t="s">
        <v>1060</v>
      </c>
      <c r="B57" s="0" t="s">
        <v>81</v>
      </c>
      <c r="E57" s="25" t="n">
        <f aca="false">PL!E120</f>
        <v>0.384</v>
      </c>
      <c r="F57" s="25" t="n">
        <f aca="false">PL!F120</f>
        <v>0.301</v>
      </c>
      <c r="G57" s="25" t="n">
        <f aca="false">PL!G120</f>
        <v>0.685</v>
      </c>
      <c r="H57" s="25" t="n">
        <f aca="false">PL!H120</f>
        <v>1.203</v>
      </c>
      <c r="I57" s="25" t="n">
        <f aca="false">PL!I120</f>
        <v>1.203</v>
      </c>
      <c r="J57" s="25" t="n">
        <f aca="false">PL!J120</f>
        <v>0.602</v>
      </c>
      <c r="K57" s="25" t="n">
        <f aca="false">PL!K120</f>
        <v>0</v>
      </c>
      <c r="L57" s="25" t="n">
        <f aca="false">PL!L120</f>
        <v>0</v>
      </c>
      <c r="M57" s="25" t="n">
        <f aca="false">PL!M120</f>
        <v>0</v>
      </c>
    </row>
    <row r="58" customFormat="false" ht="15" hidden="false" customHeight="false" outlineLevel="0" collapsed="false">
      <c r="A58" s="2" t="s">
        <v>1097</v>
      </c>
      <c r="B58" s="7" t="s">
        <v>81</v>
      </c>
      <c r="C58" s="25" t="n">
        <f aca="false">C55-C56-N(C57)</f>
        <v>65.401</v>
      </c>
      <c r="D58" s="25" t="n">
        <f aca="false">D55-D56-N(D57)</f>
        <v>63.217</v>
      </c>
      <c r="E58" s="25" t="n">
        <f aca="false">E55-E56-N(E57)</f>
        <v>-13.997</v>
      </c>
      <c r="F58" s="25" t="n">
        <f aca="false">F55-F56-N(F57)</f>
        <v>-9.81739287809502</v>
      </c>
      <c r="G58" s="25" t="n">
        <f aca="false">G55-G56-N(G57)</f>
        <v>-23.814392878095</v>
      </c>
      <c r="H58" s="25" t="n">
        <f aca="false">H55-H56-N(H57)</f>
        <v>-60.1266637766731</v>
      </c>
      <c r="I58" s="25" t="n">
        <f aca="false">I55-I56-N(I57)</f>
        <v>-40.7274737324219</v>
      </c>
      <c r="J58" s="25" t="n">
        <f aca="false">J55-J56-N(J57)</f>
        <v>32.6534803137336</v>
      </c>
      <c r="K58" s="25" t="n">
        <f aca="false">K55-K56-N(K57)</f>
        <v>91.3668240935312</v>
      </c>
      <c r="L58" s="25" t="n">
        <f aca="false">L55-L56-N(L57)</f>
        <v>133.996340295062</v>
      </c>
      <c r="M58" s="25" t="n">
        <f aca="false">M55-M56-N(M57)</f>
        <v>159.685792180759</v>
      </c>
    </row>
    <row r="59" customFormat="false" ht="17.15" hidden="false" customHeight="false" outlineLevel="0" collapsed="false">
      <c r="A59" s="4" t="s">
        <v>1098</v>
      </c>
      <c r="B59" s="0" t="s">
        <v>81</v>
      </c>
      <c r="E59" s="25" t="n">
        <f aca="false">anth_1H</f>
        <v>57.267</v>
      </c>
      <c r="F59" s="25" t="n">
        <f aca="false">anth_2H</f>
        <v>1.111</v>
      </c>
      <c r="G59" s="25" t="n">
        <f aca="false">E59+F59</f>
        <v>58.378</v>
      </c>
      <c r="H59" s="25" t="n">
        <f aca="false">anth_27</f>
        <v>4.444</v>
      </c>
      <c r="I59" s="25" t="n">
        <f aca="false">anth_28</f>
        <v>4.444</v>
      </c>
      <c r="J59" s="25" t="n">
        <f aca="false">anth_29</f>
        <v>4.444</v>
      </c>
      <c r="K59" s="25" t="n">
        <f aca="false">anth_30</f>
        <v>4.444</v>
      </c>
      <c r="L59" s="25" t="n">
        <f aca="false">anth_31</f>
        <v>0</v>
      </c>
      <c r="M59" s="25" t="n">
        <f aca="false">anth_32</f>
        <v>0</v>
      </c>
      <c r="N59" s="7" t="s">
        <v>1099</v>
      </c>
    </row>
    <row r="60" customFormat="false" ht="17.15" hidden="false" customHeight="false" outlineLevel="0" collapsed="false">
      <c r="A60" s="4" t="s">
        <v>1100</v>
      </c>
      <c r="B60" s="0" t="s">
        <v>81</v>
      </c>
      <c r="E60" s="25" t="n">
        <f aca="false">mat_1H</f>
        <v>8.879</v>
      </c>
      <c r="F60" s="25" t="n">
        <f aca="false">mat_2H</f>
        <v>0</v>
      </c>
      <c r="G60" s="25" t="n">
        <f aca="false">E60+F60</f>
        <v>8.879</v>
      </c>
      <c r="H60" s="25" t="n">
        <f aca="false">mat_27</f>
        <v>1</v>
      </c>
      <c r="I60" s="25" t="n">
        <f aca="false">mat_28</f>
        <v>2.676</v>
      </c>
      <c r="J60" s="25" t="n">
        <f aca="false">mat_29</f>
        <v>1.764</v>
      </c>
      <c r="K60" s="25" t="n">
        <f aca="false">mat_30</f>
        <v>7.186</v>
      </c>
      <c r="L60" s="25" t="n">
        <f aca="false">mat_31</f>
        <v>5</v>
      </c>
      <c r="M60" s="25" t="n">
        <f aca="false">mat_32</f>
        <v>5</v>
      </c>
      <c r="N60" s="7" t="s">
        <v>1101</v>
      </c>
    </row>
    <row r="61" customFormat="false" ht="17.15" hidden="false" customHeight="false" outlineLevel="0" collapsed="false">
      <c r="A61" s="4" t="s">
        <v>1102</v>
      </c>
      <c r="B61" s="0" t="s">
        <v>81</v>
      </c>
      <c r="E61" s="25" t="n">
        <f aca="false">newd_1H</f>
        <v>85.222</v>
      </c>
      <c r="F61" s="25" t="n">
        <f aca="false">debt_new_2h</f>
        <v>0</v>
      </c>
      <c r="G61" s="25" t="n">
        <f aca="false">E61+F61</f>
        <v>85.222</v>
      </c>
      <c r="H61" s="27" t="n">
        <v>0</v>
      </c>
      <c r="I61" s="27" t="n">
        <v>0</v>
      </c>
      <c r="J61" s="27" t="n">
        <v>0</v>
      </c>
      <c r="K61" s="27" t="n">
        <v>0</v>
      </c>
      <c r="L61" s="27" t="n">
        <v>0</v>
      </c>
      <c r="M61" s="27" t="n">
        <v>0</v>
      </c>
      <c r="N61" s="7" t="s">
        <v>1103</v>
      </c>
    </row>
    <row r="62" customFormat="false" ht="17.15" hidden="false" customHeight="false" outlineLevel="0" collapsed="false">
      <c r="A62" s="4" t="s">
        <v>1104</v>
      </c>
      <c r="B62" s="0" t="s">
        <v>81</v>
      </c>
      <c r="E62" s="25" t="n">
        <f aca="false">eq_1H</f>
        <v>61.933</v>
      </c>
      <c r="F62" s="27" t="n">
        <v>0</v>
      </c>
      <c r="G62" s="25" t="n">
        <f aca="false">E62+F62</f>
        <v>61.933</v>
      </c>
      <c r="H62" s="27" t="n">
        <v>0</v>
      </c>
      <c r="I62" s="27" t="n">
        <v>0</v>
      </c>
      <c r="J62" s="27" t="n">
        <v>0</v>
      </c>
      <c r="K62" s="27" t="n">
        <v>0</v>
      </c>
      <c r="L62" s="27" t="n">
        <v>0</v>
      </c>
      <c r="M62" s="27" t="n">
        <v>0</v>
      </c>
      <c r="N62" s="7" t="s">
        <v>1105</v>
      </c>
    </row>
    <row r="63" customFormat="false" ht="15" hidden="false" customHeight="false" outlineLevel="0" collapsed="false">
      <c r="A63" s="4" t="s">
        <v>1106</v>
      </c>
      <c r="B63" s="0" t="s">
        <v>81</v>
      </c>
      <c r="E63" s="25" t="n">
        <f aca="false">cash_ye25</f>
        <v>120.53</v>
      </c>
      <c r="F63" s="25" t="n">
        <f aca="false">E68</f>
        <v>174.698</v>
      </c>
      <c r="H63" s="25" t="n">
        <f aca="false">F68</f>
        <v>163.769607121905</v>
      </c>
      <c r="I63" s="25" t="n">
        <f aca="false">H68</f>
        <v>81.195943345232</v>
      </c>
      <c r="J63" s="25" t="n">
        <f aca="false">I68</f>
        <v>50</v>
      </c>
      <c r="K63" s="25" t="n">
        <f aca="false">J68</f>
        <v>59.4424803137336</v>
      </c>
      <c r="L63" s="25" t="n">
        <f aca="false">K68</f>
        <v>122.176304407265</v>
      </c>
      <c r="M63" s="25" t="n">
        <f aca="false">L68</f>
        <v>234.169644702327</v>
      </c>
    </row>
    <row r="64" customFormat="false" ht="17.15" hidden="false" customHeight="false" outlineLevel="0" collapsed="false">
      <c r="A64" s="4" t="s">
        <v>1107</v>
      </c>
      <c r="B64" s="0" t="s">
        <v>81</v>
      </c>
      <c r="E64" s="25" t="n">
        <f aca="false">cash_0-(E63+E55-E56-E57-E59-E60+E61+E62)</f>
        <v>-12.844</v>
      </c>
      <c r="F64" s="27" t="n">
        <v>0</v>
      </c>
      <c r="H64" s="27" t="n">
        <v>0</v>
      </c>
      <c r="I64" s="27" t="n">
        <v>0</v>
      </c>
      <c r="J64" s="27" t="n">
        <v>0</v>
      </c>
      <c r="K64" s="27" t="n">
        <v>0</v>
      </c>
      <c r="L64" s="27" t="n">
        <v>0</v>
      </c>
      <c r="M64" s="27" t="n">
        <v>0</v>
      </c>
    </row>
    <row r="65" customFormat="false" ht="15" hidden="false" customHeight="false" outlineLevel="0" collapsed="false">
      <c r="A65" s="4" t="s">
        <v>1108</v>
      </c>
      <c r="B65" s="0" t="s">
        <v>81</v>
      </c>
      <c r="E65" s="25" t="n">
        <f aca="false">E63+E55-E56-E57-E59-E60+E61+E62+E64</f>
        <v>174.698</v>
      </c>
      <c r="F65" s="25" t="n">
        <f aca="false">F63+F55-F56-F57-F59-F60+F61+F62+F64</f>
        <v>163.769607121905</v>
      </c>
      <c r="H65" s="25" t="n">
        <f aca="false">H63+H55-H56-H57-H59-H60+H61+H62+H64</f>
        <v>98.198943345232</v>
      </c>
      <c r="I65" s="25" t="n">
        <f aca="false">I63+I55-I56-I57-I59-I60+I61+I62+I64</f>
        <v>33.3484696128101</v>
      </c>
      <c r="J65" s="25" t="n">
        <f aca="false">J63+J55-J56-J57-J59-J60+J61+J62+J64</f>
        <v>76.4454803137336</v>
      </c>
      <c r="K65" s="25" t="n">
        <f aca="false">K63+K55-K56-K57-K59-K60+K61+K62+K64</f>
        <v>139.179304407265</v>
      </c>
      <c r="L65" s="25" t="n">
        <f aca="false">L63+L55-L56-L57-L59-L60+L61+L62+L64</f>
        <v>251.172644702327</v>
      </c>
      <c r="M65" s="25" t="n">
        <f aca="false">M63+M55-M56-M57-M59-M60+M61+M62+M64</f>
        <v>388.855436883086</v>
      </c>
    </row>
    <row r="66" customFormat="false" ht="17.15" hidden="false" customHeight="false" outlineLevel="0" collapsed="false">
      <c r="A66" s="4" t="s">
        <v>840</v>
      </c>
      <c r="B66" s="0" t="s">
        <v>81</v>
      </c>
      <c r="E66" s="25" t="n">
        <f aca="false">Q!L49</f>
        <v>0</v>
      </c>
      <c r="F66" s="27" t="n">
        <v>0</v>
      </c>
      <c r="G66" s="25" t="n">
        <f aca="false">E66+F66</f>
        <v>0</v>
      </c>
      <c r="H66" s="25" t="n">
        <f aca="false">MAX(0,MIN(bb_t,H65-min_cash))</f>
        <v>17.003</v>
      </c>
      <c r="I66" s="25" t="n">
        <f aca="false">MAX(0,MIN(bb_t,I65-min_cash))</f>
        <v>0</v>
      </c>
      <c r="J66" s="25" t="n">
        <f aca="false">MAX(0,MIN(bb_t,J65-min_cash))</f>
        <v>17.003</v>
      </c>
      <c r="K66" s="25" t="n">
        <f aca="false">MAX(0,MIN(bb_t,K65-min_cash))</f>
        <v>17.003</v>
      </c>
      <c r="L66" s="25" t="n">
        <f aca="false">MAX(0,MIN(bb_t,L65-min_cash))</f>
        <v>17.003</v>
      </c>
      <c r="M66" s="25" t="n">
        <f aca="false">MAX(0,MIN(bb_t,M65-min_cash))</f>
        <v>17.003</v>
      </c>
      <c r="N66" s="7" t="s">
        <v>1109</v>
      </c>
    </row>
    <row r="67" customFormat="false" ht="15" hidden="false" customHeight="false" outlineLevel="0" collapsed="false">
      <c r="A67" s="4" t="s">
        <v>1110</v>
      </c>
      <c r="B67" s="0" t="s">
        <v>81</v>
      </c>
      <c r="E67" s="27" t="n">
        <v>0</v>
      </c>
      <c r="F67" s="25" t="n">
        <f aca="false">MAX(0,min_cash-(F65-F66))</f>
        <v>0</v>
      </c>
      <c r="G67" s="25" t="n">
        <f aca="false">E67+F67</f>
        <v>0</v>
      </c>
      <c r="H67" s="25" t="n">
        <f aca="false">MAX(0,min_cash-(H65-H66))</f>
        <v>0</v>
      </c>
      <c r="I67" s="25" t="n">
        <f aca="false">MAX(0,min_cash-(I65-I66))</f>
        <v>16.6515303871899</v>
      </c>
      <c r="J67" s="25" t="n">
        <f aca="false">MAX(0,min_cash-(J65-J66))</f>
        <v>0</v>
      </c>
      <c r="K67" s="25" t="n">
        <f aca="false">MAX(0,min_cash-(K65-K66))</f>
        <v>0</v>
      </c>
      <c r="L67" s="25" t="n">
        <f aca="false">MAX(0,min_cash-(L65-L66))</f>
        <v>0</v>
      </c>
      <c r="M67" s="25" t="n">
        <f aca="false">MAX(0,min_cash-(M65-M66))</f>
        <v>0</v>
      </c>
    </row>
    <row r="68" customFormat="false" ht="15" hidden="false" customHeight="false" outlineLevel="0" collapsed="false">
      <c r="A68" s="4" t="s">
        <v>1111</v>
      </c>
      <c r="B68" s="0" t="s">
        <v>81</v>
      </c>
      <c r="E68" s="25" t="n">
        <f aca="false">E65-E66+E67</f>
        <v>174.698</v>
      </c>
      <c r="F68" s="25" t="n">
        <f aca="false">F65-F66+F67</f>
        <v>163.769607121905</v>
      </c>
      <c r="H68" s="25" t="n">
        <f aca="false">H65-H66+H67</f>
        <v>81.195943345232</v>
      </c>
      <c r="I68" s="25" t="n">
        <f aca="false">I65-I66+I67</f>
        <v>50</v>
      </c>
      <c r="J68" s="25" t="n">
        <f aca="false">J65-J66+J67</f>
        <v>59.4424803137336</v>
      </c>
      <c r="K68" s="25" t="n">
        <f aca="false">K65-K66+K67</f>
        <v>122.176304407265</v>
      </c>
      <c r="L68" s="25" t="n">
        <f aca="false">L65-L66+L67</f>
        <v>234.169644702327</v>
      </c>
      <c r="M68" s="25" t="n">
        <f aca="false">M65-M66+M67</f>
        <v>371.852436883086</v>
      </c>
    </row>
    <row r="69" customFormat="false" ht="17.15" hidden="false" customHeight="false" outlineLevel="0" collapsed="false">
      <c r="A69" s="4" t="s">
        <v>1112</v>
      </c>
      <c r="B69" s="0" t="s">
        <v>81</v>
      </c>
      <c r="E69" s="21" t="n">
        <f aca="false">E68-cash_0</f>
        <v>0</v>
      </c>
    </row>
    <row r="70" customFormat="false" ht="17.15" hidden="false" customHeight="false" outlineLevel="0" collapsed="false">
      <c r="A70" s="4" t="s">
        <v>1113</v>
      </c>
      <c r="B70" s="0" t="s">
        <v>81</v>
      </c>
      <c r="E70" s="25" t="n">
        <f aca="false">debt_ye25</f>
        <v>49.085</v>
      </c>
      <c r="F70" s="25" t="n">
        <f aca="false">E71</f>
        <v>126.455</v>
      </c>
      <c r="H70" s="25" t="n">
        <f aca="false">F71</f>
        <v>126.455</v>
      </c>
      <c r="I70" s="25" t="n">
        <f aca="false">H71</f>
        <v>125.455</v>
      </c>
      <c r="J70" s="25" t="n">
        <f aca="false">I71</f>
        <v>139.43053038719</v>
      </c>
      <c r="K70" s="25" t="n">
        <f aca="false">J71</f>
        <v>137.66653038719</v>
      </c>
      <c r="L70" s="25" t="n">
        <f aca="false">K71</f>
        <v>130.48053038719</v>
      </c>
      <c r="M70" s="25" t="n">
        <f aca="false">L71</f>
        <v>125.48053038719</v>
      </c>
      <c r="N70" s="7" t="s">
        <v>1114</v>
      </c>
    </row>
    <row r="71" customFormat="false" ht="17.15" hidden="false" customHeight="false" outlineLevel="0" collapsed="false">
      <c r="A71" s="4" t="s">
        <v>1115</v>
      </c>
      <c r="B71" s="0" t="s">
        <v>81</v>
      </c>
      <c r="E71" s="25" t="n">
        <f aca="false">debt_0</f>
        <v>126.455</v>
      </c>
      <c r="F71" s="25" t="n">
        <f aca="false">F70-F60+F61+F67</f>
        <v>126.455</v>
      </c>
      <c r="H71" s="25" t="n">
        <f aca="false">H70-H60+H61+H67</f>
        <v>125.455</v>
      </c>
      <c r="I71" s="25" t="n">
        <f aca="false">I70-I60+I61+I67</f>
        <v>139.43053038719</v>
      </c>
      <c r="J71" s="25" t="n">
        <f aca="false">J70-J60+J61+J67</f>
        <v>137.66653038719</v>
      </c>
      <c r="K71" s="25" t="n">
        <f aca="false">K70-K60+K61+K67</f>
        <v>130.48053038719</v>
      </c>
      <c r="L71" s="25" t="n">
        <f aca="false">L70-L60+L61+L67</f>
        <v>125.48053038719</v>
      </c>
      <c r="M71" s="25" t="n">
        <f aca="false">M70-M60+M61+M67</f>
        <v>120.48053038719</v>
      </c>
      <c r="N71" s="7" t="s">
        <v>1116</v>
      </c>
    </row>
    <row r="72" customFormat="false" ht="15" hidden="false" customHeight="false" outlineLevel="0" collapsed="false">
      <c r="A72" s="4" t="s">
        <v>1117</v>
      </c>
      <c r="B72" s="0" t="s">
        <v>81</v>
      </c>
      <c r="E72" s="25" t="n">
        <f aca="false">E68-E71</f>
        <v>48.243</v>
      </c>
      <c r="F72" s="25" t="n">
        <f aca="false">F68-F71</f>
        <v>37.314607121905</v>
      </c>
      <c r="H72" s="25" t="n">
        <f aca="false">H68-H71</f>
        <v>-44.259056654768</v>
      </c>
      <c r="I72" s="25" t="n">
        <f aca="false">I68-I71</f>
        <v>-89.4305303871899</v>
      </c>
      <c r="J72" s="25" t="n">
        <f aca="false">J68-J71</f>
        <v>-78.2240500734563</v>
      </c>
      <c r="K72" s="25" t="n">
        <f aca="false">K68-K71</f>
        <v>-8.30422597992505</v>
      </c>
      <c r="L72" s="25" t="n">
        <f aca="false">L68-L71</f>
        <v>108.689114315137</v>
      </c>
      <c r="M72" s="25" t="n">
        <f aca="false">M68-M71</f>
        <v>251.371906495896</v>
      </c>
    </row>
    <row r="73" customFormat="false" ht="17.15" hidden="false" customHeight="false" outlineLevel="0" collapsed="false">
      <c r="A73" s="4" t="s">
        <v>1118</v>
      </c>
      <c r="B73" s="0" t="s">
        <v>54</v>
      </c>
      <c r="F73" s="23" t="n">
        <f aca="false">px_val</f>
        <v>344.08</v>
      </c>
      <c r="H73" s="23" t="n">
        <f aca="false">px_val*(1+ke)^(2027+mid-t_val)</f>
        <v>371.983285665033</v>
      </c>
      <c r="I73" s="23" t="n">
        <f aca="false">px_val*(1+ke)^(2028+mid-t_val)</f>
        <v>412.738918291098</v>
      </c>
      <c r="J73" s="23" t="n">
        <f aca="false">px_val*(1+ke)^(2029+mid-t_val)</f>
        <v>457.959863351244</v>
      </c>
      <c r="K73" s="23" t="n">
        <f aca="false">px_val*(1+ke)^(2030+mid-t_val)</f>
        <v>508.135354206587</v>
      </c>
      <c r="L73" s="23" t="n">
        <f aca="false">px_val*(1+ke)^(2031+mid-t_val)</f>
        <v>563.808226129674</v>
      </c>
      <c r="M73" s="23" t="n">
        <f aca="false">px_val*(1+ke)^(2032+mid-t_val)</f>
        <v>625.580789094737</v>
      </c>
    </row>
    <row r="75" customFormat="false" ht="17.15" hidden="false" customHeight="false" outlineLevel="0" collapsed="false">
      <c r="A75" s="28" t="s">
        <v>1020</v>
      </c>
    </row>
    <row r="76" customFormat="false" ht="15" hidden="false" customHeight="false" outlineLevel="0" collapsed="false">
      <c r="A76" s="3" t="s">
        <v>43</v>
      </c>
      <c r="B76" s="3" t="s">
        <v>44</v>
      </c>
      <c r="C76" s="20" t="s">
        <v>905</v>
      </c>
      <c r="D76" s="20" t="s">
        <v>906</v>
      </c>
      <c r="E76" s="20" t="s">
        <v>907</v>
      </c>
      <c r="F76" s="20" t="s">
        <v>908</v>
      </c>
      <c r="G76" s="20" t="s">
        <v>909</v>
      </c>
      <c r="H76" s="20" t="s">
        <v>910</v>
      </c>
      <c r="I76" s="20" t="s">
        <v>911</v>
      </c>
      <c r="J76" s="20" t="s">
        <v>912</v>
      </c>
      <c r="K76" s="20" t="s">
        <v>913</v>
      </c>
      <c r="L76" s="20" t="s">
        <v>914</v>
      </c>
      <c r="M76" s="20" t="s">
        <v>915</v>
      </c>
      <c r="N76" s="3" t="s">
        <v>50</v>
      </c>
    </row>
    <row r="77" customFormat="false" ht="15" hidden="false" customHeight="false" outlineLevel="0" collapsed="false">
      <c r="A77" s="4" t="s">
        <v>829</v>
      </c>
      <c r="B77" s="0" t="s">
        <v>81</v>
      </c>
      <c r="C77" s="25" t="n">
        <f aca="false">PL!C177</f>
        <v>100.118</v>
      </c>
      <c r="D77" s="25" t="n">
        <f aca="false">PL!D177</f>
        <v>132.17</v>
      </c>
      <c r="E77" s="25" t="n">
        <f aca="false">PL!E177</f>
        <v>201.239</v>
      </c>
      <c r="F77" s="25" t="n">
        <f aca="false">PL!F177</f>
        <v>33.5115149264624</v>
      </c>
      <c r="G77" s="25" t="n">
        <f aca="false">PL!G177</f>
        <v>234.750514926462</v>
      </c>
      <c r="H77" s="25" t="n">
        <f aca="false">PL!H177</f>
        <v>125.337198546789</v>
      </c>
      <c r="I77" s="25" t="n">
        <f aca="false">PL!I177</f>
        <v>112.323857729732</v>
      </c>
      <c r="J77" s="25" t="n">
        <f aca="false">PL!J177</f>
        <v>98.8311325160316</v>
      </c>
      <c r="K77" s="25" t="n">
        <f aca="false">PL!K177</f>
        <v>82.643846892649</v>
      </c>
      <c r="L77" s="25" t="n">
        <f aca="false">PL!L177</f>
        <v>81.2839935288009</v>
      </c>
      <c r="M77" s="25" t="n">
        <f aca="false">PL!M177</f>
        <v>79.5687287401558</v>
      </c>
    </row>
    <row r="78" customFormat="false" ht="15" hidden="false" customHeight="false" outlineLevel="0" collapsed="false">
      <c r="A78" s="4" t="s">
        <v>1084</v>
      </c>
      <c r="B78" s="0" t="s">
        <v>81</v>
      </c>
      <c r="C78" s="25" t="n">
        <f aca="false">PL!C162</f>
        <v>15.311</v>
      </c>
      <c r="D78" s="25" t="n">
        <f aca="false">PL!D162</f>
        <v>21.136</v>
      </c>
      <c r="E78" s="25" t="n">
        <f aca="false">PL!E162</f>
        <v>21.955</v>
      </c>
      <c r="F78" s="25" t="n">
        <f aca="false">PL!F162</f>
        <v>13.7282850159824</v>
      </c>
      <c r="G78" s="25" t="n">
        <f aca="false">PL!G162</f>
        <v>35.6832850159824</v>
      </c>
      <c r="H78" s="25" t="n">
        <f aca="false">PL!H162</f>
        <v>64.109607517355</v>
      </c>
      <c r="I78" s="25" t="n">
        <f aca="false">PL!I162</f>
        <v>101.747005503406</v>
      </c>
      <c r="J78" s="25" t="n">
        <f aca="false">PL!J162</f>
        <v>139.642069649063</v>
      </c>
      <c r="K78" s="25" t="n">
        <f aca="false">PL!K162</f>
        <v>170.954385862136</v>
      </c>
      <c r="L78" s="25" t="n">
        <f aca="false">PL!L162</f>
        <v>195.583046079772</v>
      </c>
      <c r="M78" s="25" t="n">
        <f aca="false">PL!M162</f>
        <v>222.395291178183</v>
      </c>
    </row>
    <row r="79" customFormat="false" ht="15" hidden="false" customHeight="false" outlineLevel="0" collapsed="false">
      <c r="A79" s="4" t="s">
        <v>1085</v>
      </c>
      <c r="B79" s="0" t="s">
        <v>81</v>
      </c>
      <c r="C79" s="25" t="n">
        <f aca="false">PL!C186</f>
        <v>22.785</v>
      </c>
      <c r="D79" s="25" t="n">
        <f aca="false">PL!D186</f>
        <v>24.953</v>
      </c>
      <c r="E79" s="25" t="n">
        <f aca="false">PL!E186</f>
        <v>23.338</v>
      </c>
      <c r="F79" s="25" t="n">
        <f aca="false">PL!F186</f>
        <v>9.39148717946017</v>
      </c>
      <c r="G79" s="25" t="n">
        <f aca="false">PL!G186</f>
        <v>32.7294871794602</v>
      </c>
      <c r="H79" s="25" t="n">
        <f aca="false">PL!H186</f>
        <v>39.3009385143269</v>
      </c>
      <c r="I79" s="25" t="n">
        <f aca="false">PL!I186</f>
        <v>45.6681991257044</v>
      </c>
      <c r="J79" s="25" t="n">
        <f aca="false">PL!J186</f>
        <v>50.9618054737941</v>
      </c>
      <c r="K79" s="25" t="n">
        <f aca="false">PL!K186</f>
        <v>53.7652648022897</v>
      </c>
      <c r="L79" s="25" t="n">
        <f aca="false">PL!L186</f>
        <v>58.130551815586</v>
      </c>
      <c r="M79" s="25" t="n">
        <f aca="false">PL!M186</f>
        <v>62.5248957749194</v>
      </c>
    </row>
    <row r="80" customFormat="false" ht="17.15" hidden="false" customHeight="false" outlineLevel="0" collapsed="false">
      <c r="A80" s="4" t="s">
        <v>1086</v>
      </c>
      <c r="B80" s="0" t="s">
        <v>81</v>
      </c>
      <c r="F80" s="25" t="n">
        <f aca="false">wc_2h</f>
        <v>4.707</v>
      </c>
      <c r="G80" s="25" t="n">
        <f aca="false">F80</f>
        <v>4.707</v>
      </c>
      <c r="H80" s="25" t="n">
        <f aca="false">wc_k*(PL!H142-PL!G142)</f>
        <v>1.24538805841768</v>
      </c>
      <c r="I80" s="25" t="n">
        <f aca="false">wc_k*(PL!I142-PL!H142)</f>
        <v>1.15499145973826</v>
      </c>
      <c r="J80" s="25" t="n">
        <f aca="false">wc_k*(PL!J142-PL!I142)</f>
        <v>0.960235570118582</v>
      </c>
      <c r="K80" s="25" t="n">
        <f aca="false">wc_k*(PL!K142-PL!J142)</f>
        <v>0.508534482843399</v>
      </c>
      <c r="L80" s="25" t="n">
        <f aca="false">wc_k*(PL!L142-PL!K142)</f>
        <v>0.791842760551422</v>
      </c>
      <c r="M80" s="25" t="n">
        <f aca="false">wc_k*(PL!M142-PL!L142)</f>
        <v>0.797113555413967</v>
      </c>
      <c r="N80" s="7" t="s">
        <v>1087</v>
      </c>
    </row>
    <row r="81" customFormat="false" ht="15" hidden="false" customHeight="false" outlineLevel="0" collapsed="false">
      <c r="A81" s="4" t="s">
        <v>1088</v>
      </c>
      <c r="B81" s="0" t="s">
        <v>81</v>
      </c>
      <c r="C81" s="25" t="n">
        <f aca="false">Q!J45-C77-C78-C79</f>
        <v>-12.915</v>
      </c>
      <c r="D81" s="25" t="n">
        <f aca="false">Q!K45-D77-D78-D79</f>
        <v>-13.546</v>
      </c>
      <c r="E81" s="25" t="n">
        <f aca="false">Q!L45-E77-E78-E79</f>
        <v>-119.383</v>
      </c>
      <c r="F81" s="27" t="n">
        <v>0</v>
      </c>
      <c r="G81" s="25" t="n">
        <f aca="false">E81+F81</f>
        <v>-119.383</v>
      </c>
      <c r="H81" s="27" t="n">
        <v>0</v>
      </c>
      <c r="I81" s="27" t="n">
        <v>0</v>
      </c>
      <c r="J81" s="27" t="n">
        <v>0</v>
      </c>
      <c r="K81" s="27" t="n">
        <v>0</v>
      </c>
      <c r="L81" s="27" t="n">
        <v>0</v>
      </c>
      <c r="M81" s="27" t="n">
        <v>0</v>
      </c>
    </row>
    <row r="82" customFormat="false" ht="15" hidden="false" customHeight="false" outlineLevel="0" collapsed="false">
      <c r="A82" s="2" t="s">
        <v>836</v>
      </c>
      <c r="B82" s="7" t="s">
        <v>81</v>
      </c>
      <c r="C82" s="25" t="n">
        <f aca="false">C77+C78+C79+C80+C81</f>
        <v>125.299</v>
      </c>
      <c r="D82" s="25" t="n">
        <f aca="false">D77+D78+D79+D80+D81</f>
        <v>164.713</v>
      </c>
      <c r="E82" s="25" t="n">
        <f aca="false">E77+E78+E79+E80+E81</f>
        <v>127.149</v>
      </c>
      <c r="F82" s="25" t="n">
        <f aca="false">F77+F78+F79+F80+F81</f>
        <v>61.338287121905</v>
      </c>
      <c r="G82" s="25" t="n">
        <f aca="false">G77+G78+G79+G80+G81</f>
        <v>188.487287121905</v>
      </c>
      <c r="H82" s="25" t="n">
        <f aca="false">H77+H78+H79+H80+H81</f>
        <v>229.993132636888</v>
      </c>
      <c r="I82" s="25" t="n">
        <f aca="false">I77+I78+I79+I80+I81</f>
        <v>260.89405381858</v>
      </c>
      <c r="J82" s="25" t="n">
        <f aca="false">J77+J78+J79+J80+J81</f>
        <v>290.395243209007</v>
      </c>
      <c r="K82" s="25" t="n">
        <f aca="false">K77+K78+K79+K80+K81</f>
        <v>307.872032039919</v>
      </c>
      <c r="L82" s="25" t="n">
        <f aca="false">L77+L78+L79+L80+L81</f>
        <v>335.78943418471</v>
      </c>
      <c r="M82" s="25" t="n">
        <f aca="false">M77+M78+M79+M80+M81</f>
        <v>365.286029248672</v>
      </c>
    </row>
    <row r="83" customFormat="false" ht="17.15" hidden="false" customHeight="false" outlineLevel="0" collapsed="false">
      <c r="A83" s="4" t="s">
        <v>1089</v>
      </c>
      <c r="B83" s="0" t="s">
        <v>81</v>
      </c>
      <c r="F83" s="25" t="n">
        <f aca="false">Thesis!F52</f>
        <v>55.6709720808184</v>
      </c>
      <c r="G83" s="25" t="n">
        <f aca="false">F83</f>
        <v>55.6709720808184</v>
      </c>
      <c r="H83" s="25" t="n">
        <f aca="false">Thesis!H52</f>
        <v>235.59252098031</v>
      </c>
      <c r="I83" s="25" t="n">
        <f aca="false">Thesis!I52</f>
        <v>248.50246087524</v>
      </c>
      <c r="J83" s="25" t="n">
        <f aca="false">Thesis!J52</f>
        <v>211.479266347978</v>
      </c>
      <c r="K83" s="25" t="n">
        <f aca="false">Thesis!K52</f>
        <v>184.143041660444</v>
      </c>
      <c r="L83" s="25" t="n">
        <f aca="false">Thesis!L52</f>
        <v>168.80410958306</v>
      </c>
      <c r="M83" s="25" t="n">
        <f aca="false">Thesis!M52</f>
        <v>172.256097979583</v>
      </c>
    </row>
    <row r="84" customFormat="false" ht="17.15" hidden="false" customHeight="false" outlineLevel="0" collapsed="false">
      <c r="A84" s="4" t="s">
        <v>1090</v>
      </c>
      <c r="B84" s="0" t="s">
        <v>81</v>
      </c>
      <c r="F84" s="25" t="n">
        <f aca="false">Seg!F106</f>
        <v>12.3760279191816</v>
      </c>
      <c r="G84" s="25" t="n">
        <f aca="false">F84</f>
        <v>12.3760279191816</v>
      </c>
      <c r="H84" s="25" t="n">
        <f aca="false">Seg!H106</f>
        <v>53.4594528281691</v>
      </c>
      <c r="I84" s="25" t="n">
        <f aca="false">Seg!I106</f>
        <v>66.0040132305791</v>
      </c>
      <c r="J84" s="25" t="n">
        <f aca="false">Seg!J106</f>
        <v>76.3908933023544</v>
      </c>
      <c r="K84" s="25" t="n">
        <f aca="false">Seg!K106</f>
        <v>80.8903714239059</v>
      </c>
      <c r="L84" s="25" t="n">
        <f aca="false">Seg!L106</f>
        <v>87.3284856654845</v>
      </c>
      <c r="M84" s="25" t="n">
        <f aca="false">Seg!M106</f>
        <v>94.2911209708292</v>
      </c>
    </row>
    <row r="85" customFormat="false" ht="15" hidden="false" customHeight="false" outlineLevel="0" collapsed="false">
      <c r="A85" s="2" t="s">
        <v>1091</v>
      </c>
      <c r="B85" s="7" t="s">
        <v>81</v>
      </c>
      <c r="C85" s="25" t="n">
        <f aca="false">Q!J46</f>
        <v>52.535</v>
      </c>
      <c r="D85" s="25" t="n">
        <f aca="false">Q!K46</f>
        <v>91.447</v>
      </c>
      <c r="E85" s="25" t="n">
        <f aca="false">Q!L46</f>
        <v>131.953</v>
      </c>
      <c r="F85" s="25" t="n">
        <f aca="false">F83+F84</f>
        <v>68.047</v>
      </c>
      <c r="G85" s="25" t="n">
        <f aca="false">E85+F85</f>
        <v>200</v>
      </c>
      <c r="H85" s="25" t="n">
        <f aca="false">H83+H84</f>
        <v>289.051973808479</v>
      </c>
      <c r="I85" s="25" t="n">
        <f aca="false">I83+I84</f>
        <v>314.506474105819</v>
      </c>
      <c r="J85" s="25" t="n">
        <f aca="false">J83+J84</f>
        <v>287.870159650332</v>
      </c>
      <c r="K85" s="25" t="n">
        <f aca="false">K83+K84</f>
        <v>265.03341308435</v>
      </c>
      <c r="L85" s="25" t="n">
        <f aca="false">L83+L84</f>
        <v>256.132595248544</v>
      </c>
      <c r="M85" s="25" t="n">
        <f aca="false">M83+M84</f>
        <v>266.547218950413</v>
      </c>
    </row>
    <row r="86" customFormat="false" ht="17.15" hidden="false" customHeight="false" outlineLevel="0" collapsed="false">
      <c r="A86" s="4" t="s">
        <v>1092</v>
      </c>
      <c r="B86" s="0" t="s">
        <v>81</v>
      </c>
      <c r="E86" s="25" t="n">
        <f aca="false">lease_1H</f>
        <v>0.943</v>
      </c>
      <c r="F86" s="25" t="n">
        <f aca="false">lease_2H</f>
        <v>0.103</v>
      </c>
      <c r="G86" s="25" t="n">
        <f aca="false">E86+F86</f>
        <v>1.046</v>
      </c>
      <c r="H86" s="25" t="n">
        <f aca="false">lease_27</f>
        <v>0.387</v>
      </c>
      <c r="I86" s="25" t="n">
        <f aca="false">lease_28</f>
        <v>0.377</v>
      </c>
      <c r="J86" s="25" t="n">
        <f aca="false">lease_29</f>
        <v>0.356</v>
      </c>
      <c r="K86" s="25" t="n">
        <f aca="false">lease_30</f>
        <v>0.285</v>
      </c>
      <c r="L86" s="25" t="n">
        <f aca="false">lease_31</f>
        <v>0.25</v>
      </c>
      <c r="M86" s="25" t="n">
        <f aca="false">lease_32</f>
        <v>0.25</v>
      </c>
      <c r="N86" s="7" t="s">
        <v>1093</v>
      </c>
    </row>
    <row r="87" customFormat="false" ht="15" hidden="false" customHeight="false" outlineLevel="0" collapsed="false">
      <c r="A87" s="28" t="s">
        <v>1094</v>
      </c>
      <c r="B87" s="30" t="s">
        <v>81</v>
      </c>
      <c r="C87" s="31" t="n">
        <f aca="false">C82-C85-N(C86)</f>
        <v>72.764</v>
      </c>
      <c r="D87" s="31" t="n">
        <f aca="false">D82-D85-N(D86)</f>
        <v>73.266</v>
      </c>
      <c r="E87" s="31" t="n">
        <f aca="false">E82-E85-N(E86)</f>
        <v>-5.747</v>
      </c>
      <c r="F87" s="31" t="n">
        <f aca="false">F82-F85-N(F86)</f>
        <v>-6.81171287809502</v>
      </c>
      <c r="G87" s="31" t="n">
        <f aca="false">G82-G85-N(G86)</f>
        <v>-12.558712878095</v>
      </c>
      <c r="H87" s="31" t="n">
        <f aca="false">H82-H85-N(H86)</f>
        <v>-59.4458411715908</v>
      </c>
      <c r="I87" s="31" t="n">
        <f aca="false">I82-I85-N(I86)</f>
        <v>-53.9894202872388</v>
      </c>
      <c r="J87" s="31" t="n">
        <f aca="false">J82-J85-N(J86)</f>
        <v>2.16908355867519</v>
      </c>
      <c r="K87" s="31" t="n">
        <f aca="false">K82-K85-N(K86)</f>
        <v>42.5536189555689</v>
      </c>
      <c r="L87" s="31" t="n">
        <f aca="false">L82-L85-N(L86)</f>
        <v>79.406838936166</v>
      </c>
      <c r="M87" s="31" t="n">
        <f aca="false">M82-M85-N(M86)</f>
        <v>98.4888102982598</v>
      </c>
      <c r="N87" s="30"/>
    </row>
    <row r="88" customFormat="false" ht="17.15" hidden="false" customHeight="false" outlineLevel="0" collapsed="false">
      <c r="A88" s="4" t="s">
        <v>1095</v>
      </c>
      <c r="B88" s="0" t="s">
        <v>81</v>
      </c>
      <c r="C88" s="25" t="n">
        <f aca="false">Q!J50</f>
        <v>7.363</v>
      </c>
      <c r="D88" s="25" t="n">
        <f aca="false">Q!K50</f>
        <v>10.049</v>
      </c>
      <c r="E88" s="25" t="n">
        <f aca="false">Q!L50-pref_paid_1H</f>
        <v>7.866</v>
      </c>
      <c r="F88" s="25" t="n">
        <f aca="false">dps/4*sh_out</f>
        <v>2.70468</v>
      </c>
      <c r="G88" s="25" t="n">
        <f aca="false">E88+F88</f>
        <v>10.57068</v>
      </c>
      <c r="H88" s="25" t="n">
        <f aca="false">dps*(1+dps_g)^(2027-2026)*PL!F181</f>
        <v>11.49180186</v>
      </c>
      <c r="I88" s="25" t="n">
        <f aca="false">dps*(1+dps_g)^(2028-2026)*PL!H181</f>
        <v>12.1427089590107</v>
      </c>
      <c r="J88" s="25" t="n">
        <f aca="false">dps*(1+dps_g)^(2029-2026)*PL!I181</f>
        <v>12.8773428510309</v>
      </c>
      <c r="K88" s="25" t="n">
        <f aca="false">dps*(1+dps_g)^(2030-2026)*PL!J181</f>
        <v>13.7148247378183</v>
      </c>
      <c r="L88" s="25" t="n">
        <f aca="false">dps*(1+dps_g)^(2031-2026)*PL!K181</f>
        <v>14.5069900306567</v>
      </c>
      <c r="M88" s="25" t="n">
        <f aca="false">dps*(1+dps_g)^(2032-2026)*PL!L181</f>
        <v>15.3490987627708</v>
      </c>
      <c r="N88" s="7" t="s">
        <v>1096</v>
      </c>
    </row>
    <row r="89" customFormat="false" ht="15" hidden="false" customHeight="false" outlineLevel="0" collapsed="false">
      <c r="A89" s="4" t="s">
        <v>1060</v>
      </c>
      <c r="B89" s="0" t="s">
        <v>81</v>
      </c>
      <c r="E89" s="25" t="n">
        <f aca="false">PL!E179</f>
        <v>0.384</v>
      </c>
      <c r="F89" s="25" t="n">
        <f aca="false">PL!F179</f>
        <v>0.301</v>
      </c>
      <c r="G89" s="25" t="n">
        <f aca="false">PL!G179</f>
        <v>0.685</v>
      </c>
      <c r="H89" s="25" t="n">
        <f aca="false">PL!H179</f>
        <v>1.203</v>
      </c>
      <c r="I89" s="25" t="n">
        <f aca="false">PL!I179</f>
        <v>1.203</v>
      </c>
      <c r="J89" s="25" t="n">
        <f aca="false">PL!J179</f>
        <v>0.602</v>
      </c>
      <c r="K89" s="25" t="n">
        <f aca="false">PL!K179</f>
        <v>0</v>
      </c>
      <c r="L89" s="25" t="n">
        <f aca="false">PL!L179</f>
        <v>0</v>
      </c>
      <c r="M89" s="25" t="n">
        <f aca="false">PL!M179</f>
        <v>0</v>
      </c>
    </row>
    <row r="90" customFormat="false" ht="15" hidden="false" customHeight="false" outlineLevel="0" collapsed="false">
      <c r="A90" s="2" t="s">
        <v>1097</v>
      </c>
      <c r="B90" s="7" t="s">
        <v>81</v>
      </c>
      <c r="C90" s="25" t="n">
        <f aca="false">C87-C88-N(C89)</f>
        <v>65.401</v>
      </c>
      <c r="D90" s="25" t="n">
        <f aca="false">D87-D88-N(D89)</f>
        <v>63.217</v>
      </c>
      <c r="E90" s="25" t="n">
        <f aca="false">E87-E88-N(E89)</f>
        <v>-13.997</v>
      </c>
      <c r="F90" s="25" t="n">
        <f aca="false">F87-F88-N(F89)</f>
        <v>-9.81739287809502</v>
      </c>
      <c r="G90" s="25" t="n">
        <f aca="false">G87-G88-N(G89)</f>
        <v>-23.814392878095</v>
      </c>
      <c r="H90" s="25" t="n">
        <f aca="false">H87-H88-N(H89)</f>
        <v>-72.1406430315908</v>
      </c>
      <c r="I90" s="25" t="n">
        <f aca="false">I87-I88-N(I89)</f>
        <v>-67.3351292462496</v>
      </c>
      <c r="J90" s="25" t="n">
        <f aca="false">J87-J88-N(J89)</f>
        <v>-11.3102592923557</v>
      </c>
      <c r="K90" s="25" t="n">
        <f aca="false">K87-K88-N(K89)</f>
        <v>28.8387942177507</v>
      </c>
      <c r="L90" s="25" t="n">
        <f aca="false">L87-L88-N(L89)</f>
        <v>64.8998489055093</v>
      </c>
      <c r="M90" s="25" t="n">
        <f aca="false">M87-M88-N(M89)</f>
        <v>83.139711535489</v>
      </c>
    </row>
    <row r="91" customFormat="false" ht="17.15" hidden="false" customHeight="false" outlineLevel="0" collapsed="false">
      <c r="A91" s="4" t="s">
        <v>1098</v>
      </c>
      <c r="B91" s="0" t="s">
        <v>81</v>
      </c>
      <c r="E91" s="25" t="n">
        <f aca="false">anth_1H</f>
        <v>57.267</v>
      </c>
      <c r="F91" s="25" t="n">
        <f aca="false">anth_2H</f>
        <v>1.111</v>
      </c>
      <c r="G91" s="25" t="n">
        <f aca="false">E91+F91</f>
        <v>58.378</v>
      </c>
      <c r="H91" s="25" t="n">
        <f aca="false">anth_27</f>
        <v>4.444</v>
      </c>
      <c r="I91" s="25" t="n">
        <f aca="false">anth_28</f>
        <v>4.444</v>
      </c>
      <c r="J91" s="25" t="n">
        <f aca="false">anth_29</f>
        <v>4.444</v>
      </c>
      <c r="K91" s="25" t="n">
        <f aca="false">anth_30</f>
        <v>4.444</v>
      </c>
      <c r="L91" s="25" t="n">
        <f aca="false">anth_31</f>
        <v>0</v>
      </c>
      <c r="M91" s="25" t="n">
        <f aca="false">anth_32</f>
        <v>0</v>
      </c>
      <c r="N91" s="7" t="s">
        <v>1099</v>
      </c>
    </row>
    <row r="92" customFormat="false" ht="17.15" hidden="false" customHeight="false" outlineLevel="0" collapsed="false">
      <c r="A92" s="4" t="s">
        <v>1100</v>
      </c>
      <c r="B92" s="0" t="s">
        <v>81</v>
      </c>
      <c r="E92" s="25" t="n">
        <f aca="false">mat_1H</f>
        <v>8.879</v>
      </c>
      <c r="F92" s="25" t="n">
        <f aca="false">mat_2H</f>
        <v>0</v>
      </c>
      <c r="G92" s="25" t="n">
        <f aca="false">E92+F92</f>
        <v>8.879</v>
      </c>
      <c r="H92" s="25" t="n">
        <f aca="false">mat_27</f>
        <v>1</v>
      </c>
      <c r="I92" s="25" t="n">
        <f aca="false">mat_28</f>
        <v>2.676</v>
      </c>
      <c r="J92" s="25" t="n">
        <f aca="false">mat_29</f>
        <v>1.764</v>
      </c>
      <c r="K92" s="25" t="n">
        <f aca="false">mat_30</f>
        <v>7.186</v>
      </c>
      <c r="L92" s="25" t="n">
        <f aca="false">mat_31</f>
        <v>5</v>
      </c>
      <c r="M92" s="25" t="n">
        <f aca="false">mat_32</f>
        <v>5</v>
      </c>
      <c r="N92" s="7" t="s">
        <v>1101</v>
      </c>
    </row>
    <row r="93" customFormat="false" ht="17.15" hidden="false" customHeight="false" outlineLevel="0" collapsed="false">
      <c r="A93" s="4" t="s">
        <v>1102</v>
      </c>
      <c r="B93" s="0" t="s">
        <v>81</v>
      </c>
      <c r="E93" s="25" t="n">
        <f aca="false">newd_1H</f>
        <v>85.222</v>
      </c>
      <c r="F93" s="25" t="n">
        <f aca="false">debt_new_2h</f>
        <v>0</v>
      </c>
      <c r="G93" s="25" t="n">
        <f aca="false">E93+F93</f>
        <v>85.222</v>
      </c>
      <c r="H93" s="27" t="n">
        <v>0</v>
      </c>
      <c r="I93" s="27" t="n">
        <v>0</v>
      </c>
      <c r="J93" s="27" t="n">
        <v>0</v>
      </c>
      <c r="K93" s="27" t="n">
        <v>0</v>
      </c>
      <c r="L93" s="27" t="n">
        <v>0</v>
      </c>
      <c r="M93" s="27" t="n">
        <v>0</v>
      </c>
      <c r="N93" s="7" t="s">
        <v>1103</v>
      </c>
    </row>
    <row r="94" customFormat="false" ht="17.15" hidden="false" customHeight="false" outlineLevel="0" collapsed="false">
      <c r="A94" s="4" t="s">
        <v>1104</v>
      </c>
      <c r="B94" s="0" t="s">
        <v>81</v>
      </c>
      <c r="E94" s="25" t="n">
        <f aca="false">eq_1H</f>
        <v>61.933</v>
      </c>
      <c r="F94" s="27" t="n">
        <v>0</v>
      </c>
      <c r="G94" s="25" t="n">
        <f aca="false">E94+F94</f>
        <v>61.933</v>
      </c>
      <c r="H94" s="27" t="n">
        <v>0</v>
      </c>
      <c r="I94" s="27" t="n">
        <v>0</v>
      </c>
      <c r="J94" s="27" t="n">
        <v>0</v>
      </c>
      <c r="K94" s="27" t="n">
        <v>0</v>
      </c>
      <c r="L94" s="27" t="n">
        <v>0</v>
      </c>
      <c r="M94" s="27" t="n">
        <v>0</v>
      </c>
      <c r="N94" s="7" t="s">
        <v>1105</v>
      </c>
    </row>
    <row r="95" customFormat="false" ht="15" hidden="false" customHeight="false" outlineLevel="0" collapsed="false">
      <c r="A95" s="4" t="s">
        <v>1106</v>
      </c>
      <c r="B95" s="0" t="s">
        <v>81</v>
      </c>
      <c r="E95" s="25" t="n">
        <f aca="false">cash_ye25</f>
        <v>120.53</v>
      </c>
      <c r="F95" s="25" t="n">
        <f aca="false">E100</f>
        <v>174.698</v>
      </c>
      <c r="H95" s="25" t="n">
        <f aca="false">F100</f>
        <v>163.769607121905</v>
      </c>
      <c r="I95" s="25" t="n">
        <f aca="false">H100</f>
        <v>69.1819640903142</v>
      </c>
      <c r="J95" s="25" t="n">
        <f aca="false">I100</f>
        <v>50</v>
      </c>
      <c r="K95" s="25" t="n">
        <f aca="false">J100</f>
        <v>50</v>
      </c>
      <c r="L95" s="25" t="n">
        <f aca="false">K100</f>
        <v>50.2057942177506</v>
      </c>
      <c r="M95" s="25" t="n">
        <f aca="false">L100</f>
        <v>93.1026431232599</v>
      </c>
    </row>
    <row r="96" customFormat="false" ht="17.15" hidden="false" customHeight="false" outlineLevel="0" collapsed="false">
      <c r="A96" s="4" t="s">
        <v>1107</v>
      </c>
      <c r="B96" s="0" t="s">
        <v>81</v>
      </c>
      <c r="E96" s="25" t="n">
        <f aca="false">cash_0-(E95+E87-E88-E89-E91-E92+E93+E94)</f>
        <v>-12.844</v>
      </c>
      <c r="F96" s="27" t="n">
        <v>0</v>
      </c>
      <c r="H96" s="27" t="n">
        <v>0</v>
      </c>
      <c r="I96" s="27" t="n">
        <v>0</v>
      </c>
      <c r="J96" s="27" t="n">
        <v>0</v>
      </c>
      <c r="K96" s="27" t="n">
        <v>0</v>
      </c>
      <c r="L96" s="27" t="n">
        <v>0</v>
      </c>
      <c r="M96" s="27" t="n">
        <v>0</v>
      </c>
    </row>
    <row r="97" customFormat="false" ht="15" hidden="false" customHeight="false" outlineLevel="0" collapsed="false">
      <c r="A97" s="4" t="s">
        <v>1108</v>
      </c>
      <c r="B97" s="0" t="s">
        <v>81</v>
      </c>
      <c r="E97" s="25" t="n">
        <f aca="false">E95+E87-E88-E89-E91-E92+E93+E94+E96</f>
        <v>174.698</v>
      </c>
      <c r="F97" s="25" t="n">
        <f aca="false">F95+F87-F88-F89-F91-F92+F93+F94+F96</f>
        <v>163.769607121905</v>
      </c>
      <c r="H97" s="25" t="n">
        <f aca="false">H95+H87-H88-H89-H91-H92+H93+H94+H96</f>
        <v>86.1849640903142</v>
      </c>
      <c r="I97" s="25" t="n">
        <f aca="false">I95+I87-I88-I89-I91-I92+I93+I94+I96</f>
        <v>-5.27316515593536</v>
      </c>
      <c r="J97" s="25" t="n">
        <f aca="false">J95+J87-J88-J89-J91-J92+J93+J94+J96</f>
        <v>32.4817407076443</v>
      </c>
      <c r="K97" s="25" t="n">
        <f aca="false">K95+K87-K88-K89-K91-K92+K93+K94+K96</f>
        <v>67.2087942177506</v>
      </c>
      <c r="L97" s="25" t="n">
        <f aca="false">L95+L87-L88-L89-L91-L92+L93+L94+L96</f>
        <v>110.10564312326</v>
      </c>
      <c r="M97" s="25" t="n">
        <f aca="false">M95+M87-M88-M89-M91-M92+M93+M94+M96</f>
        <v>171.242354658749</v>
      </c>
    </row>
    <row r="98" customFormat="false" ht="17.15" hidden="false" customHeight="false" outlineLevel="0" collapsed="false">
      <c r="A98" s="4" t="s">
        <v>840</v>
      </c>
      <c r="B98" s="0" t="s">
        <v>81</v>
      </c>
      <c r="E98" s="25" t="n">
        <f aca="false">Q!L49</f>
        <v>0</v>
      </c>
      <c r="F98" s="27" t="n">
        <v>0</v>
      </c>
      <c r="G98" s="25" t="n">
        <f aca="false">E98+F98</f>
        <v>0</v>
      </c>
      <c r="H98" s="25" t="n">
        <f aca="false">MAX(0,MIN(bb_t,H97-min_cash))</f>
        <v>17.003</v>
      </c>
      <c r="I98" s="25" t="n">
        <f aca="false">MAX(0,MIN(bb_t,I97-min_cash))</f>
        <v>0</v>
      </c>
      <c r="J98" s="25" t="n">
        <f aca="false">MAX(0,MIN(bb_t,J97-min_cash))</f>
        <v>0</v>
      </c>
      <c r="K98" s="25" t="n">
        <f aca="false">MAX(0,MIN(bb_t,K97-min_cash))</f>
        <v>17.003</v>
      </c>
      <c r="L98" s="25" t="n">
        <f aca="false">MAX(0,MIN(bb_t,L97-min_cash))</f>
        <v>17.003</v>
      </c>
      <c r="M98" s="25" t="n">
        <f aca="false">MAX(0,MIN(bb_t,M97-min_cash))</f>
        <v>17.003</v>
      </c>
      <c r="N98" s="7" t="s">
        <v>1109</v>
      </c>
    </row>
    <row r="99" customFormat="false" ht="15" hidden="false" customHeight="false" outlineLevel="0" collapsed="false">
      <c r="A99" s="4" t="s">
        <v>1110</v>
      </c>
      <c r="B99" s="0" t="s">
        <v>81</v>
      </c>
      <c r="E99" s="27" t="n">
        <v>0</v>
      </c>
      <c r="F99" s="25" t="n">
        <f aca="false">MAX(0,min_cash-(F97-F98))</f>
        <v>0</v>
      </c>
      <c r="G99" s="25" t="n">
        <f aca="false">E99+F99</f>
        <v>0</v>
      </c>
      <c r="H99" s="25" t="n">
        <f aca="false">MAX(0,min_cash-(H97-H98))</f>
        <v>0</v>
      </c>
      <c r="I99" s="25" t="n">
        <f aca="false">MAX(0,min_cash-(I97-I98))</f>
        <v>55.2731651559354</v>
      </c>
      <c r="J99" s="25" t="n">
        <f aca="false">MAX(0,min_cash-(J97-J98))</f>
        <v>17.5182592923557</v>
      </c>
      <c r="K99" s="25" t="n">
        <f aca="false">MAX(0,min_cash-(K97-K98))</f>
        <v>0</v>
      </c>
      <c r="L99" s="25" t="n">
        <f aca="false">MAX(0,min_cash-(L97-L98))</f>
        <v>0</v>
      </c>
      <c r="M99" s="25" t="n">
        <f aca="false">MAX(0,min_cash-(M97-M98))</f>
        <v>0</v>
      </c>
    </row>
    <row r="100" customFormat="false" ht="15" hidden="false" customHeight="false" outlineLevel="0" collapsed="false">
      <c r="A100" s="4" t="s">
        <v>1111</v>
      </c>
      <c r="B100" s="0" t="s">
        <v>81</v>
      </c>
      <c r="E100" s="25" t="n">
        <f aca="false">E97-E98+E99</f>
        <v>174.698</v>
      </c>
      <c r="F100" s="25" t="n">
        <f aca="false">F97-F98+F99</f>
        <v>163.769607121905</v>
      </c>
      <c r="H100" s="25" t="n">
        <f aca="false">H97-H98+H99</f>
        <v>69.1819640903142</v>
      </c>
      <c r="I100" s="25" t="n">
        <f aca="false">I97-I98+I99</f>
        <v>50</v>
      </c>
      <c r="J100" s="25" t="n">
        <f aca="false">J97-J98+J99</f>
        <v>50</v>
      </c>
      <c r="K100" s="25" t="n">
        <f aca="false">K97-K98+K99</f>
        <v>50.2057942177506</v>
      </c>
      <c r="L100" s="25" t="n">
        <f aca="false">L97-L98+L99</f>
        <v>93.1026431232599</v>
      </c>
      <c r="M100" s="25" t="n">
        <f aca="false">M97-M98+M99</f>
        <v>154.239354658749</v>
      </c>
    </row>
    <row r="101" customFormat="false" ht="17.15" hidden="false" customHeight="false" outlineLevel="0" collapsed="false">
      <c r="A101" s="4" t="s">
        <v>1112</v>
      </c>
      <c r="B101" s="0" t="s">
        <v>81</v>
      </c>
      <c r="E101" s="21" t="n">
        <f aca="false">E100-cash_0</f>
        <v>0</v>
      </c>
    </row>
    <row r="102" customFormat="false" ht="17.15" hidden="false" customHeight="false" outlineLevel="0" collapsed="false">
      <c r="A102" s="4" t="s">
        <v>1113</v>
      </c>
      <c r="B102" s="0" t="s">
        <v>81</v>
      </c>
      <c r="E102" s="25" t="n">
        <f aca="false">debt_ye25</f>
        <v>49.085</v>
      </c>
      <c r="F102" s="25" t="n">
        <f aca="false">E103</f>
        <v>126.455</v>
      </c>
      <c r="H102" s="25" t="n">
        <f aca="false">F103</f>
        <v>126.455</v>
      </c>
      <c r="I102" s="25" t="n">
        <f aca="false">H103</f>
        <v>125.455</v>
      </c>
      <c r="J102" s="25" t="n">
        <f aca="false">I103</f>
        <v>178.052165155935</v>
      </c>
      <c r="K102" s="25" t="n">
        <f aca="false">J103</f>
        <v>193.806424448291</v>
      </c>
      <c r="L102" s="25" t="n">
        <f aca="false">K103</f>
        <v>186.620424448291</v>
      </c>
      <c r="M102" s="25" t="n">
        <f aca="false">L103</f>
        <v>181.620424448291</v>
      </c>
      <c r="N102" s="7" t="s">
        <v>1114</v>
      </c>
    </row>
    <row r="103" customFormat="false" ht="17.15" hidden="false" customHeight="false" outlineLevel="0" collapsed="false">
      <c r="A103" s="4" t="s">
        <v>1115</v>
      </c>
      <c r="B103" s="0" t="s">
        <v>81</v>
      </c>
      <c r="E103" s="25" t="n">
        <f aca="false">debt_0</f>
        <v>126.455</v>
      </c>
      <c r="F103" s="25" t="n">
        <f aca="false">F102-F92+F93+F99</f>
        <v>126.455</v>
      </c>
      <c r="H103" s="25" t="n">
        <f aca="false">H102-H92+H93+H99</f>
        <v>125.455</v>
      </c>
      <c r="I103" s="25" t="n">
        <f aca="false">I102-I92+I93+I99</f>
        <v>178.052165155935</v>
      </c>
      <c r="J103" s="25" t="n">
        <f aca="false">J102-J92+J93+J99</f>
        <v>193.806424448291</v>
      </c>
      <c r="K103" s="25" t="n">
        <f aca="false">K102-K92+K93+K99</f>
        <v>186.620424448291</v>
      </c>
      <c r="L103" s="25" t="n">
        <f aca="false">L102-L92+L93+L99</f>
        <v>181.620424448291</v>
      </c>
      <c r="M103" s="25" t="n">
        <f aca="false">M102-M92+M93+M99</f>
        <v>176.620424448291</v>
      </c>
      <c r="N103" s="7" t="s">
        <v>1116</v>
      </c>
    </row>
    <row r="104" customFormat="false" ht="15" hidden="false" customHeight="false" outlineLevel="0" collapsed="false">
      <c r="A104" s="4" t="s">
        <v>1117</v>
      </c>
      <c r="B104" s="0" t="s">
        <v>81</v>
      </c>
      <c r="E104" s="25" t="n">
        <f aca="false">E100-E103</f>
        <v>48.243</v>
      </c>
      <c r="F104" s="25" t="n">
        <f aca="false">F100-F103</f>
        <v>37.314607121905</v>
      </c>
      <c r="H104" s="25" t="n">
        <f aca="false">H100-H103</f>
        <v>-56.2730359096858</v>
      </c>
      <c r="I104" s="25" t="n">
        <f aca="false">I100-I103</f>
        <v>-128.052165155935</v>
      </c>
      <c r="J104" s="25" t="n">
        <f aca="false">J100-J103</f>
        <v>-143.806424448291</v>
      </c>
      <c r="K104" s="25" t="n">
        <f aca="false">K100-K103</f>
        <v>-136.41463023054</v>
      </c>
      <c r="L104" s="25" t="n">
        <f aca="false">L100-L103</f>
        <v>-88.5177813250312</v>
      </c>
      <c r="M104" s="25" t="n">
        <f aca="false">M100-M103</f>
        <v>-22.3810697895421</v>
      </c>
    </row>
    <row r="105" customFormat="false" ht="17.15" hidden="false" customHeight="false" outlineLevel="0" collapsed="false">
      <c r="A105" s="4" t="s">
        <v>1118</v>
      </c>
      <c r="B105" s="0" t="s">
        <v>54</v>
      </c>
      <c r="F105" s="23" t="n">
        <f aca="false">px_val</f>
        <v>344.08</v>
      </c>
      <c r="H105" s="23" t="n">
        <f aca="false">px_val*(1+ke)^(2027+mid-t_val)</f>
        <v>371.983285665033</v>
      </c>
      <c r="I105" s="23" t="n">
        <f aca="false">px_val*(1+ke)^(2028+mid-t_val)</f>
        <v>412.738918291098</v>
      </c>
      <c r="J105" s="23" t="n">
        <f aca="false">px_val*(1+ke)^(2029+mid-t_val)</f>
        <v>457.959863351244</v>
      </c>
      <c r="K105" s="23" t="n">
        <f aca="false">px_val*(1+ke)^(2030+mid-t_val)</f>
        <v>508.135354206587</v>
      </c>
      <c r="L105" s="23" t="n">
        <f aca="false">px_val*(1+ke)^(2031+mid-t_val)</f>
        <v>563.808226129674</v>
      </c>
      <c r="M105" s="23" t="n">
        <f aca="false">px_val*(1+ke)^(2032+mid-t_val)</f>
        <v>625.580789094737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3"/>
    <col collapsed="false" customWidth="true" hidden="false" outlineLevel="0" max="5" min="5" style="0" width="60"/>
    <col collapsed="false" customWidth="true" hidden="false" outlineLevel="0" max="13" min="6" style="0" width="12"/>
  </cols>
  <sheetData>
    <row r="1" customFormat="false" ht="17.15" hidden="false" customHeight="false" outlineLevel="0" collapsed="false">
      <c r="A1" s="0" t="s">
        <v>1119</v>
      </c>
    </row>
    <row r="2" customFormat="false" ht="17.15" hidden="false" customHeight="false" outlineLevel="0" collapsed="false">
      <c r="A2" s="0" t="s">
        <v>1120</v>
      </c>
    </row>
    <row r="4" customFormat="false" ht="17.15" hidden="false" customHeight="false" outlineLevel="0" collapsed="false">
      <c r="A4" s="5" t="s">
        <v>1121</v>
      </c>
    </row>
    <row r="5" customFormat="false" ht="15" hidden="false" customHeight="false" outlineLevel="0" collapsed="false">
      <c r="A5" s="3" t="s">
        <v>43</v>
      </c>
      <c r="B5" s="3" t="s">
        <v>847</v>
      </c>
      <c r="C5" s="3" t="s">
        <v>1122</v>
      </c>
      <c r="D5" s="3" t="s">
        <v>1122</v>
      </c>
      <c r="E5" s="3" t="s">
        <v>50</v>
      </c>
    </row>
    <row r="6" customFormat="false" ht="17.15" hidden="false" customHeight="false" outlineLevel="0" collapsed="false">
      <c r="A6" s="9" t="s">
        <v>1123</v>
      </c>
      <c r="B6" s="33" t="n">
        <f aca="false">tp_wA*B109+tp_wB*C109+tp_wC*D109</f>
        <v>189.104344023161</v>
      </c>
      <c r="C6" s="9"/>
      <c r="D6" s="9"/>
      <c r="E6" s="9"/>
    </row>
    <row r="7" customFormat="false" ht="17.15" hidden="false" customHeight="false" outlineLevel="0" collapsed="false">
      <c r="A7" s="0" t="s">
        <v>1124</v>
      </c>
      <c r="B7" s="25" t="n">
        <f aca="false">tp_wA*B153+tp_wB*C153+tp_wC*D153</f>
        <v>327.315708029379</v>
      </c>
      <c r="E7" s="4" t="s">
        <v>1125</v>
      </c>
    </row>
    <row r="8" customFormat="false" ht="17.15" hidden="false" customHeight="false" outlineLevel="0" collapsed="false">
      <c r="A8" s="34" t="s">
        <v>1126</v>
      </c>
      <c r="B8" s="33" t="n">
        <f aca="false">w_dcf*B6+(1-w_dcf)*B7</f>
        <v>258.21002602627</v>
      </c>
      <c r="C8" s="9"/>
      <c r="D8" s="9"/>
      <c r="E8" s="9" t="str">
        <f aca="false">"DCF 權重 "&amp;TEXT(w_dcf,"0%")&amp;"、分部加總 "&amp;TEXT(1-w_dcf,"0%")&amp;"；自用 AI 讀法 "&amp;internal_ai_reading</f>
        <v>DCF 權重 50%、分部加總 50%；自用 AI 讀法 2</v>
      </c>
    </row>
    <row r="9" customFormat="false" ht="17.15" hidden="false" customHeight="false" outlineLevel="0" collapsed="false">
      <c r="A9" s="4" t="s">
        <v>53</v>
      </c>
      <c r="B9" s="25" t="n">
        <f aca="false">px</f>
        <v>324.89</v>
      </c>
      <c r="E9" s="7" t="s">
        <v>1127</v>
      </c>
    </row>
    <row r="10" customFormat="false" ht="17.15" hidden="false" customHeight="false" outlineLevel="0" collapsed="false">
      <c r="A10" s="4" t="s">
        <v>1128</v>
      </c>
      <c r="B10" s="25" t="n">
        <f aca="false">cons_tp</f>
        <v>429.12</v>
      </c>
      <c r="E10" s="7" t="s">
        <v>1129</v>
      </c>
    </row>
    <row r="11" customFormat="false" ht="15" hidden="false" customHeight="false" outlineLevel="0" collapsed="false">
      <c r="A11" s="34" t="s">
        <v>1130</v>
      </c>
      <c r="B11" s="35" t="n">
        <f aca="false">B8/px-1</f>
        <v>-0.205238616066146</v>
      </c>
      <c r="C11" s="9"/>
      <c r="D11" s="9"/>
      <c r="E11" s="9"/>
    </row>
    <row r="12" customFormat="false" ht="17.15" hidden="false" customHeight="false" outlineLevel="0" collapsed="false">
      <c r="A12" s="4" t="s">
        <v>1131</v>
      </c>
      <c r="B12" s="14" t="n">
        <f aca="false">B7/px-1</f>
        <v>0.00746624404992069</v>
      </c>
    </row>
    <row r="13" customFormat="false" ht="17.15" hidden="false" customHeight="false" outlineLevel="0" collapsed="false">
      <c r="A13" s="4" t="s">
        <v>1132</v>
      </c>
      <c r="B13" s="36" t="str">
        <f aca="false">IF(B11&gt;=0.5,"大於 50%",IF(B11&gt;=0.25,"25%–50%",IF(B11&gt;=0,"0%–25%",IF(B11&gt;-0.25,"0%～−25%",IF(B11&gt;-0.5,"−25%～−50%","小於 −50%")))))</f>
        <v>0%～−25%</v>
      </c>
      <c r="E13" s="4" t="s">
        <v>1133</v>
      </c>
    </row>
    <row r="14" customFormat="false" ht="17.15" hidden="false" customHeight="false" outlineLevel="0" collapsed="false">
      <c r="A14" s="34" t="s">
        <v>1134</v>
      </c>
      <c r="B14" s="37" t="str">
        <f aca="false">IF(B11&gt;=0.5,"強力買進",IF(B11&gt;=0.25,"買進",IF(B11&gt;-0.25,"中立",IF(B11&gt;-0.5,"放空","強力放空"))))</f>
        <v>中立</v>
      </c>
      <c r="C14" s="9"/>
      <c r="D14" s="9"/>
      <c r="E14" s="10" t="s">
        <v>1135</v>
      </c>
    </row>
    <row r="15" customFormat="false" ht="17.15" hidden="false" customHeight="false" outlineLevel="0" collapsed="false">
      <c r="A15" s="4" t="s">
        <v>1136</v>
      </c>
      <c r="B15" s="25" t="n">
        <f aca="false">D109</f>
        <v>149.346874196369</v>
      </c>
      <c r="C15" s="25" t="n">
        <f aca="false">B109</f>
        <v>218.809807147016</v>
      </c>
      <c r="E15" s="7" t="s">
        <v>1137</v>
      </c>
    </row>
    <row r="16" customFormat="false" ht="17.15" hidden="false" customHeight="false" outlineLevel="0" collapsed="false">
      <c r="A16" s="4" t="s">
        <v>1138</v>
      </c>
      <c r="B16" s="25" t="n">
        <f aca="false">D109</f>
        <v>149.346874196369</v>
      </c>
      <c r="E16" s="4" t="s">
        <v>1139</v>
      </c>
    </row>
    <row r="17" customFormat="false" ht="17.15" hidden="false" customHeight="false" outlineLevel="0" collapsed="false">
      <c r="A17" s="4" t="s">
        <v>1140</v>
      </c>
      <c r="B17" s="25" t="n">
        <f aca="false">w_dcf*B109+(1-w_dcf)*B153</f>
        <v>281.862110501483</v>
      </c>
      <c r="C17" s="25" t="n">
        <f aca="false">w_dcf*C109+(1-w_dcf)*C153</f>
        <v>262.349902904745</v>
      </c>
      <c r="D17" s="25" t="n">
        <f aca="false">w_dcf*D109+(1-w_dcf)*D153</f>
        <v>226.278187794106</v>
      </c>
    </row>
    <row r="18" customFormat="false" ht="17.15" hidden="false" customHeight="false" outlineLevel="0" collapsed="false">
      <c r="A18" s="4" t="s">
        <v>1141</v>
      </c>
      <c r="B18" s="14" t="n">
        <f aca="false">B17/px-1</f>
        <v>-0.132438331430691</v>
      </c>
      <c r="C18" s="14" t="n">
        <f aca="false">C17/px-1</f>
        <v>-0.192496220552356</v>
      </c>
      <c r="D18" s="14" t="n">
        <f aca="false">D17/px-1</f>
        <v>-0.303523691729181</v>
      </c>
    </row>
    <row r="19" customFormat="false" ht="17.15" hidden="false" customHeight="false" outlineLevel="0" collapsed="false">
      <c r="A19" s="0" t="s">
        <v>1142</v>
      </c>
      <c r="B19" s="14" t="n">
        <f aca="false">B100</f>
        <v>0.77307907650376</v>
      </c>
      <c r="C19" s="14" t="n">
        <f aca="false">C100</f>
        <v>0.78701101022312</v>
      </c>
      <c r="D19" s="14" t="n">
        <f aca="false">D100</f>
        <v>0.827629508458117</v>
      </c>
    </row>
    <row r="20" customFormat="false" ht="17.15" hidden="false" customHeight="false" outlineLevel="0" collapsed="false">
      <c r="A20" s="4" t="s">
        <v>1143</v>
      </c>
      <c r="B20" s="25" t="n">
        <f aca="false">w_dcf*(tp_wA*B108+tp_wB*C108+tp_wC*D108)+(1-w_dcf)*(tp_wA*B152+tp_wB*C152+tp_wC*D152)</f>
        <v>258.21002602627</v>
      </c>
      <c r="C20" s="14" t="n">
        <f aca="false">B20/px-1</f>
        <v>-0.205238616066146</v>
      </c>
      <c r="D20" s="36" t="str">
        <f aca="false">IF(C20&gt;=0.5,"強力買進",IF(C20&gt;=0.25,"買進",IF(C20&gt;-0.25,"中立",IF(C20&gt;-0.5,"放空","強力放空"))))</f>
        <v>中立</v>
      </c>
      <c r="E20" s="4" t="s">
        <v>1144</v>
      </c>
    </row>
    <row r="21" customFormat="false" ht="17.15" hidden="false" customHeight="false" outlineLevel="0" collapsed="false">
      <c r="A21" s="4" t="s">
        <v>1145</v>
      </c>
      <c r="B21" s="25" t="n">
        <f aca="false">w_dcf*(tp_wA*B107+tp_wB*C107+tp_wC*D107)+(1-w_dcf)*(tp_wA*B151+tp_wB*C151+tp_wC*D151)</f>
        <v>188.30917325153</v>
      </c>
      <c r="C21" s="14" t="n">
        <f aca="false">B21/px-1</f>
        <v>-0.420390983866756</v>
      </c>
      <c r="D21" s="36" t="str">
        <f aca="false">IF(C21&gt;=0.5,"強力買進",IF(C21&gt;=0.25,"買進",IF(C21&gt;-0.25,"中立",IF(C21&gt;-0.5,"放空","強力放空"))))</f>
        <v>放空</v>
      </c>
      <c r="E21" s="4" t="s">
        <v>1146</v>
      </c>
    </row>
    <row r="22" customFormat="false" ht="17.15" hidden="false" customHeight="false" outlineLevel="0" collapsed="false">
      <c r="A22" s="4" t="s">
        <v>1147</v>
      </c>
      <c r="B22" s="25" t="n">
        <f aca="false">tp_wA*B107+tp_wB*C107+tp_wC*D107</f>
        <v>92.805814986799</v>
      </c>
      <c r="C22" s="25" t="n">
        <f aca="false">tp_wA*B108+tp_wB*C108+tp_wC*D108</f>
        <v>189.104344023161</v>
      </c>
    </row>
    <row r="23" customFormat="false" ht="17.15" hidden="false" customHeight="false" outlineLevel="0" collapsed="false">
      <c r="A23" s="4" t="s">
        <v>1148</v>
      </c>
      <c r="B23" s="25" t="n">
        <f aca="false">tp_wA*B151+tp_wB*C151+tp_wC*D151</f>
        <v>283.81253151626</v>
      </c>
      <c r="C23" s="25" t="n">
        <f aca="false">tp_wA*B152+tp_wB*C152+tp_wC*D152</f>
        <v>327.315708029379</v>
      </c>
    </row>
    <row r="24" customFormat="false" ht="17.15" hidden="false" customHeight="false" outlineLevel="0" collapsed="false">
      <c r="A24" s="4" t="s">
        <v>1149</v>
      </c>
      <c r="B24" s="36" t="s">
        <v>1150</v>
      </c>
    </row>
    <row r="25" customFormat="false" ht="17.15" hidden="false" customHeight="false" outlineLevel="0" collapsed="false">
      <c r="A25" s="4" t="s">
        <v>1151</v>
      </c>
      <c r="B25" s="21" t="n">
        <f aca="false">ROUND(tp_wA+tp_wB+tp_wC,6)</f>
        <v>1</v>
      </c>
    </row>
    <row r="26" customFormat="false" ht="17.15" hidden="false" customHeight="false" outlineLevel="0" collapsed="false">
      <c r="A26" s="4" t="s">
        <v>1152</v>
      </c>
      <c r="B26" s="21" t="n">
        <f aca="false">B8-IF(internal_ai_reading=2,B20,B21)</f>
        <v>0</v>
      </c>
    </row>
    <row r="32" customFormat="false" ht="17.15" hidden="false" customHeight="false" outlineLevel="0" collapsed="false">
      <c r="A32" s="5" t="s">
        <v>1153</v>
      </c>
    </row>
    <row r="33" customFormat="false" ht="15" hidden="false" customHeight="false" outlineLevel="0" collapsed="false">
      <c r="A33" s="3" t="s">
        <v>43</v>
      </c>
      <c r="B33" s="3" t="s">
        <v>847</v>
      </c>
      <c r="C33" s="3"/>
      <c r="D33" s="3"/>
      <c r="E33" s="3" t="s">
        <v>50</v>
      </c>
    </row>
    <row r="34" customFormat="false" ht="17.15" hidden="false" customHeight="false" outlineLevel="0" collapsed="false">
      <c r="A34" s="4" t="s">
        <v>1154</v>
      </c>
      <c r="B34" s="24" t="n">
        <f aca="false">px_val*sh_out</f>
        <v>4230.11952</v>
      </c>
      <c r="E34" s="7" t="s">
        <v>1155</v>
      </c>
    </row>
    <row r="35" customFormat="false" ht="17.15" hidden="false" customHeight="false" outlineLevel="0" collapsed="false">
      <c r="A35" s="4" t="s">
        <v>1156</v>
      </c>
      <c r="B35" s="24" t="n">
        <f aca="false">debt_0+fin_lease</f>
        <v>129.045</v>
      </c>
    </row>
    <row r="36" customFormat="false" ht="17.15" hidden="false" customHeight="false" outlineLevel="0" collapsed="false">
      <c r="A36" s="4" t="s">
        <v>1157</v>
      </c>
      <c r="B36" s="38" t="n">
        <f aca="false">rf+beta*erp</f>
        <v>0.109563075</v>
      </c>
      <c r="E36" s="0" t="str">
        <f aca="false">"β（Blume 調整、兩來源中位數）"&amp;TEXT(beta,"0.000")</f>
        <v>β（Blume 調整、兩來源中位數）1.193</v>
      </c>
    </row>
    <row r="37" customFormat="false" ht="17.15" hidden="false" customHeight="false" outlineLevel="0" collapsed="false">
      <c r="A37" s="4" t="s">
        <v>1158</v>
      </c>
      <c r="B37" s="38" t="n">
        <f aca="false">kd*(1-tax_w)</f>
        <v>0.0465088</v>
      </c>
    </row>
    <row r="38" customFormat="false" ht="17.15" hidden="false" customHeight="false" outlineLevel="0" collapsed="false">
      <c r="A38" s="5" t="s">
        <v>1159</v>
      </c>
      <c r="B38" s="38" t="n">
        <f aca="false">(B34*ke+B35*B37)/(B34+B35)+wacc_adj</f>
        <v>0.107696469855816</v>
      </c>
      <c r="E38" s="4" t="s">
        <v>1160</v>
      </c>
    </row>
    <row r="39" customFormat="false" ht="17.15" hidden="false" customHeight="false" outlineLevel="0" collapsed="false">
      <c r="A39" s="4" t="s">
        <v>1161</v>
      </c>
      <c r="B39" s="38" t="n">
        <f aca="false">wacc+ronic_sp</f>
        <v>0.107696469855816</v>
      </c>
      <c r="E39" s="4" t="s">
        <v>1162</v>
      </c>
    </row>
    <row r="41" customFormat="false" ht="17.15" hidden="false" customHeight="false" outlineLevel="0" collapsed="false">
      <c r="A41" s="5" t="s">
        <v>1163</v>
      </c>
    </row>
    <row r="42" customFormat="false" ht="17.15" hidden="false" customHeight="false" outlineLevel="0" collapsed="false">
      <c r="A42" s="28" t="s">
        <v>983</v>
      </c>
    </row>
    <row r="43" customFormat="false" ht="15" hidden="false" customHeight="false" outlineLevel="0" collapsed="false">
      <c r="A43" s="3" t="s">
        <v>43</v>
      </c>
      <c r="B43" s="3"/>
      <c r="C43" s="3"/>
      <c r="D43" s="3"/>
      <c r="E43" s="3" t="s">
        <v>50</v>
      </c>
      <c r="F43" s="20" t="s">
        <v>908</v>
      </c>
      <c r="G43" s="3"/>
      <c r="H43" s="20" t="s">
        <v>910</v>
      </c>
      <c r="I43" s="20" t="s">
        <v>911</v>
      </c>
      <c r="J43" s="20" t="s">
        <v>912</v>
      </c>
      <c r="K43" s="20" t="s">
        <v>913</v>
      </c>
      <c r="L43" s="20" t="s">
        <v>914</v>
      </c>
      <c r="M43" s="20" t="s">
        <v>915</v>
      </c>
    </row>
    <row r="44" customFormat="false" ht="17.15" hidden="false" customHeight="false" outlineLevel="0" collapsed="false">
      <c r="A44" s="4" t="s">
        <v>1164</v>
      </c>
      <c r="F44" s="25" t="n">
        <f aca="false">PL!F46</f>
        <v>40.1360921327673</v>
      </c>
      <c r="H44" s="25" t="n">
        <f aca="false">PL!H46</f>
        <v>171.631315175465</v>
      </c>
      <c r="I44" s="25" t="n">
        <f aca="false">PL!I46</f>
        <v>185.164257536019</v>
      </c>
      <c r="J44" s="25" t="n">
        <f aca="false">PL!J46</f>
        <v>201.639850999145</v>
      </c>
      <c r="K44" s="25" t="n">
        <f aca="false">PL!K46</f>
        <v>215.08446365541</v>
      </c>
      <c r="L44" s="25" t="n">
        <f aca="false">PL!L46</f>
        <v>220.843291894064</v>
      </c>
      <c r="M44" s="25" t="n">
        <f aca="false">PL!M46</f>
        <v>225.277292105971</v>
      </c>
    </row>
    <row r="45" customFormat="false" ht="17.15" hidden="false" customHeight="false" outlineLevel="0" collapsed="false">
      <c r="A45" s="0" t="s">
        <v>1165</v>
      </c>
      <c r="F45" s="25" t="n">
        <f aca="false">(F44+sbc_add*PL!F68)*(1-tax)</f>
        <v>33.3932286544624</v>
      </c>
      <c r="H45" s="25" t="n">
        <f aca="false">(H44+sbc_add*PL!H68)*(1-tax)</f>
        <v>142.797254225987</v>
      </c>
      <c r="I45" s="25" t="n">
        <f aca="false">(I44+sbc_add*PL!I68)*(1-tax)</f>
        <v>154.056662269968</v>
      </c>
      <c r="J45" s="25" t="n">
        <f aca="false">(J44+sbc_add*PL!J68)*(1-tax)</f>
        <v>167.764356031288</v>
      </c>
      <c r="K45" s="25" t="n">
        <f aca="false">(K44+sbc_add*PL!K68)*(1-tax)</f>
        <v>178.950273761301</v>
      </c>
      <c r="L45" s="25" t="n">
        <f aca="false">(L44+sbc_add*PL!L68)*(1-tax)</f>
        <v>183.741618855861</v>
      </c>
      <c r="M45" s="25" t="n">
        <f aca="false">(M44+sbc_add*PL!M68)*(1-tax)</f>
        <v>187.430707032168</v>
      </c>
    </row>
    <row r="46" customFormat="false" ht="15" hidden="false" customHeight="false" outlineLevel="0" collapsed="false">
      <c r="A46" s="4" t="s">
        <v>1166</v>
      </c>
      <c r="F46" s="25" t="n">
        <f aca="false">PL!F44</f>
        <v>13.7282850159824</v>
      </c>
      <c r="H46" s="25" t="n">
        <f aca="false">PL!H44</f>
        <v>64.1592685563116</v>
      </c>
      <c r="I46" s="25" t="n">
        <f aca="false">PL!I44</f>
        <v>102.055983268393</v>
      </c>
      <c r="J46" s="25" t="n">
        <f aca="false">PL!J44</f>
        <v>140.462578954395</v>
      </c>
      <c r="K46" s="25" t="n">
        <f aca="false">PL!K44</f>
        <v>172.574229616107</v>
      </c>
      <c r="L46" s="25" t="n">
        <f aca="false">PL!L44</f>
        <v>198.254478458764</v>
      </c>
      <c r="M46" s="25" t="n">
        <f aca="false">PL!M44</f>
        <v>226.202439272199</v>
      </c>
    </row>
    <row r="47" customFormat="false" ht="15" hidden="false" customHeight="false" outlineLevel="0" collapsed="false">
      <c r="A47" s="4" t="s">
        <v>1167</v>
      </c>
      <c r="F47" s="25" t="n">
        <f aca="false">CF!F21</f>
        <v>68.047</v>
      </c>
      <c r="H47" s="25" t="n">
        <f aca="false">CF!H21</f>
        <v>291.03841536674</v>
      </c>
      <c r="I47" s="25" t="n">
        <f aca="false">CF!I21</f>
        <v>318.919818472261</v>
      </c>
      <c r="J47" s="25" t="n">
        <f aca="false">CF!J21</f>
        <v>295.091388164788</v>
      </c>
      <c r="K47" s="25" t="n">
        <f aca="false">CF!K21</f>
        <v>275.343105486527</v>
      </c>
      <c r="L47" s="25" t="n">
        <f aca="false">CF!L21</f>
        <v>267.267063042896</v>
      </c>
      <c r="M47" s="25" t="n">
        <f aca="false">CF!M21</f>
        <v>278.572444168312</v>
      </c>
    </row>
    <row r="48" customFormat="false" ht="15" hidden="false" customHeight="false" outlineLevel="0" collapsed="false">
      <c r="A48" s="4" t="s">
        <v>1168</v>
      </c>
      <c r="F48" s="25" t="n">
        <f aca="false">CF!F16</f>
        <v>4.707</v>
      </c>
      <c r="H48" s="25" t="n">
        <f aca="false">CF!H16</f>
        <v>1.63274416227848</v>
      </c>
      <c r="I48" s="25" t="n">
        <f aca="false">CF!I16</f>
        <v>1.62823750733367</v>
      </c>
      <c r="J48" s="25" t="n">
        <f aca="false">CF!J16</f>
        <v>1.50777297898128</v>
      </c>
      <c r="K48" s="25" t="n">
        <f aca="false">CF!K16</f>
        <v>1.11078494094902</v>
      </c>
      <c r="L48" s="25" t="n">
        <f aca="false">CF!L16</f>
        <v>0.952673962025387</v>
      </c>
      <c r="M48" s="25" t="n">
        <f aca="false">CF!M16</f>
        <v>0.970811253005846</v>
      </c>
    </row>
    <row r="49" customFormat="false" ht="17.15" hidden="false" customHeight="false" outlineLevel="0" collapsed="false">
      <c r="A49" s="0" t="s">
        <v>1169</v>
      </c>
      <c r="E49" s="4" t="s">
        <v>1170</v>
      </c>
      <c r="F49" s="25" t="n">
        <f aca="false">PL!F37*(1-tax)+PL!F36-Seg!F33</f>
        <v>-1.87108010986211</v>
      </c>
      <c r="H49" s="25" t="n">
        <f aca="false">PL!H37*(1-tax)+PL!H36-Seg!H33</f>
        <v>-7.48672043944846</v>
      </c>
      <c r="I49" s="25" t="n">
        <f aca="false">PL!I37*(1-tax)+PL!I36-Seg!I33</f>
        <v>-7.48882043944846</v>
      </c>
      <c r="J49" s="25" t="n">
        <f aca="false">PL!J37*(1-tax)+PL!J36-Seg!J33</f>
        <v>-7.4944502638821</v>
      </c>
      <c r="K49" s="25" t="n">
        <f aca="false">PL!K37*(1-tax)+PL!K36-Seg!K33</f>
        <v>-7.510072099454</v>
      </c>
      <c r="L49" s="25" t="n">
        <f aca="false">PL!L37*(1-tax)+PL!L36-Seg!L33</f>
        <v>-7.54004210926747</v>
      </c>
      <c r="M49" s="25" t="n">
        <f aca="false">PL!M37*(1-tax)+PL!M36-Seg!M33</f>
        <v>-7.54541015380696</v>
      </c>
    </row>
    <row r="50" customFormat="false" ht="17.15" hidden="false" customHeight="false" outlineLevel="0" collapsed="false">
      <c r="A50" s="4" t="s">
        <v>1171</v>
      </c>
      <c r="E50" s="4" t="s">
        <v>1172</v>
      </c>
      <c r="F50" s="25" t="n">
        <f aca="false">F45+F46-F47+F48-F49</f>
        <v>-14.3474062196931</v>
      </c>
      <c r="H50" s="25" t="n">
        <f aca="false">H45+H46-H47+H48-H49</f>
        <v>-74.9624279827144</v>
      </c>
      <c r="I50" s="25" t="n">
        <f aca="false">I45+I46-I47+I48-I49</f>
        <v>-53.690114987118</v>
      </c>
      <c r="J50" s="25" t="n">
        <f aca="false">J45+J46-J47+J48-J49</f>
        <v>22.1377700637584</v>
      </c>
      <c r="K50" s="25" t="n">
        <f aca="false">K45+K46-K47+K48-K49</f>
        <v>84.8022549312837</v>
      </c>
      <c r="L50" s="25" t="n">
        <f aca="false">L45+L46-L47+L48-L49</f>
        <v>123.221750343022</v>
      </c>
      <c r="M50" s="25" t="n">
        <f aca="false">M45+M46-M47+M48-M49</f>
        <v>143.576923542868</v>
      </c>
    </row>
    <row r="51" customFormat="false" ht="17.15" hidden="false" customHeight="false" outlineLevel="0" collapsed="false">
      <c r="A51" s="4" t="s">
        <v>1173</v>
      </c>
      <c r="E51" s="4" t="s">
        <v>1174</v>
      </c>
      <c r="F51" s="25" t="n">
        <f aca="false">F45-PL!F37*(1-tax)</f>
        <v>35.2652286544624</v>
      </c>
      <c r="H51" s="25" t="n">
        <f aca="false">H45-PL!H37*(1-tax)</f>
        <v>150.285254225987</v>
      </c>
      <c r="I51" s="25" t="n">
        <f aca="false">I45-PL!I37*(1-tax)</f>
        <v>161.544662269968</v>
      </c>
      <c r="J51" s="25" t="n">
        <f aca="false">J45-PL!J37*(1-tax)</f>
        <v>175.252356031288</v>
      </c>
      <c r="K51" s="25" t="n">
        <f aca="false">K45-PL!K37*(1-tax)</f>
        <v>186.438273761301</v>
      </c>
      <c r="L51" s="25" t="n">
        <f aca="false">L45-PL!L37*(1-tax)</f>
        <v>191.229618855861</v>
      </c>
      <c r="M51" s="25" t="n">
        <f aca="false">M45-PL!M37*(1-tax)</f>
        <v>194.918707032168</v>
      </c>
    </row>
    <row r="52" customFormat="false" ht="17.15" hidden="false" customHeight="false" outlineLevel="0" collapsed="false">
      <c r="A52" s="4" t="s">
        <v>1175</v>
      </c>
      <c r="E52" s="4" t="s">
        <v>1176</v>
      </c>
      <c r="F52" s="25" t="n">
        <f aca="false">(PL!F48+Thesis!F69)*(1-tax)</f>
        <v>3.25269307355486</v>
      </c>
      <c r="H52" s="25" t="n">
        <f aca="false">(PL!H48+Thesis!H69)*(1-tax)</f>
        <v>33.0793269722457</v>
      </c>
      <c r="I52" s="25" t="n">
        <f aca="false">(PL!I48+Thesis!I69)*(1-tax)</f>
        <v>66.5065449467883</v>
      </c>
      <c r="J52" s="25" t="n">
        <f aca="false">(PL!J48+Thesis!J69)*(1-tax)</f>
        <v>92.4395106256954</v>
      </c>
      <c r="K52" s="25" t="n">
        <f aca="false">(PL!K48+Thesis!K69)*(1-tax)</f>
        <v>110.887187050796</v>
      </c>
      <c r="L52" s="25" t="n">
        <f aca="false">(PL!L48+Thesis!L69)*(1-tax)</f>
        <v>126.760499590332</v>
      </c>
      <c r="M52" s="25" t="n">
        <f aca="false">(PL!M48+Thesis!M69)*(1-tax)</f>
        <v>135.624722252248</v>
      </c>
    </row>
    <row r="53" customFormat="false" ht="17.15" hidden="false" customHeight="false" outlineLevel="0" collapsed="false">
      <c r="A53" s="4" t="s">
        <v>1177</v>
      </c>
      <c r="F53" s="23" t="n">
        <f aca="false">t_q4</f>
        <v>0.125</v>
      </c>
      <c r="H53" s="23" t="n">
        <f aca="false">2027+mid-t_val</f>
        <v>0.75</v>
      </c>
      <c r="I53" s="23" t="n">
        <f aca="false">2028+mid-t_val</f>
        <v>1.75</v>
      </c>
      <c r="J53" s="23" t="n">
        <f aca="false">2029+mid-t_val</f>
        <v>2.75</v>
      </c>
      <c r="K53" s="23" t="n">
        <f aca="false">2030+mid-t_val</f>
        <v>3.75</v>
      </c>
      <c r="L53" s="23" t="n">
        <f aca="false">2031+mid-t_val</f>
        <v>4.75</v>
      </c>
      <c r="M53" s="23" t="n">
        <f aca="false">2032+mid-t_val</f>
        <v>5.75</v>
      </c>
    </row>
    <row r="54" customFormat="false" ht="17.15" hidden="false" customHeight="false" outlineLevel="0" collapsed="false">
      <c r="A54" s="4" t="s">
        <v>1178</v>
      </c>
      <c r="F54" s="13" t="n">
        <f aca="false">1/(1+wacc)^F53</f>
        <v>0.987296059236418</v>
      </c>
      <c r="H54" s="13" t="n">
        <f aca="false">1/(1+wacc)^H53</f>
        <v>0.92615658999454</v>
      </c>
      <c r="I54" s="13" t="n">
        <f aca="false">1/(1+wacc)^I53</f>
        <v>0.836110446497219</v>
      </c>
      <c r="J54" s="13" t="n">
        <f aca="false">1/(1+wacc)^J53</f>
        <v>0.754819094626212</v>
      </c>
      <c r="K54" s="13" t="n">
        <f aca="false">1/(1+wacc)^K53</f>
        <v>0.681431344386666</v>
      </c>
      <c r="L54" s="13" t="n">
        <f aca="false">1/(1+wacc)^L53</f>
        <v>0.615178763253948</v>
      </c>
      <c r="M54" s="13" t="n">
        <f aca="false">1/(1+wacc)^M53</f>
        <v>0.555367630027767</v>
      </c>
    </row>
    <row r="55" customFormat="false" ht="15" hidden="false" customHeight="false" outlineLevel="0" collapsed="false">
      <c r="A55" s="4" t="s">
        <v>1179</v>
      </c>
      <c r="F55" s="25" t="n">
        <f aca="false">F50*F54</f>
        <v>-14.165137620967</v>
      </c>
      <c r="H55" s="25" t="n">
        <f aca="false">H50*H54</f>
        <v>-69.4269466781821</v>
      </c>
      <c r="I55" s="25" t="n">
        <f aca="false">I50*I54</f>
        <v>-44.8908660143662</v>
      </c>
      <c r="J55" s="25" t="n">
        <f aca="false">J50*J54</f>
        <v>16.7100115565694</v>
      </c>
      <c r="K55" s="25" t="n">
        <f aca="false">K50*K54</f>
        <v>57.7869145848454</v>
      </c>
      <c r="L55" s="25" t="n">
        <f aca="false">L50*L54</f>
        <v>75.8034039820073</v>
      </c>
      <c r="M55" s="25" t="n">
        <f aca="false">M50*M54</f>
        <v>79.7379757546804</v>
      </c>
    </row>
    <row r="56" customFormat="false" ht="15" hidden="false" customHeight="false" outlineLevel="0" collapsed="false">
      <c r="A56" s="4" t="s">
        <v>1180</v>
      </c>
      <c r="F56" s="25" t="n">
        <f aca="false">F52*F54</f>
        <v>3.2113710534263</v>
      </c>
      <c r="H56" s="25" t="n">
        <f aca="false">H52*H54</f>
        <v>30.6366366679294</v>
      </c>
      <c r="I56" s="25" t="n">
        <f aca="false">I52*I54</f>
        <v>55.6068169904465</v>
      </c>
      <c r="J56" s="25" t="n">
        <f aca="false">J52*J54</f>
        <v>69.7751077181776</v>
      </c>
      <c r="K56" s="25" t="n">
        <f aca="false">K52*K54</f>
        <v>75.5620049472795</v>
      </c>
      <c r="L56" s="25" t="n">
        <f aca="false">L52*L54</f>
        <v>77.9803673674331</v>
      </c>
      <c r="M56" s="25" t="n">
        <f aca="false">M52*M54</f>
        <v>75.321580570405</v>
      </c>
    </row>
    <row r="58" customFormat="false" ht="17.15" hidden="false" customHeight="false" outlineLevel="0" collapsed="false">
      <c r="A58" s="28" t="s">
        <v>1018</v>
      </c>
    </row>
    <row r="59" customFormat="false" ht="15" hidden="false" customHeight="false" outlineLevel="0" collapsed="false">
      <c r="A59" s="3" t="s">
        <v>43</v>
      </c>
      <c r="B59" s="3"/>
      <c r="C59" s="3"/>
      <c r="D59" s="3"/>
      <c r="E59" s="3" t="s">
        <v>50</v>
      </c>
      <c r="F59" s="20" t="s">
        <v>908</v>
      </c>
      <c r="G59" s="3"/>
      <c r="H59" s="20" t="s">
        <v>910</v>
      </c>
      <c r="I59" s="20" t="s">
        <v>911</v>
      </c>
      <c r="J59" s="20" t="s">
        <v>912</v>
      </c>
      <c r="K59" s="20" t="s">
        <v>913</v>
      </c>
      <c r="L59" s="20" t="s">
        <v>914</v>
      </c>
      <c r="M59" s="20" t="s">
        <v>915</v>
      </c>
    </row>
    <row r="60" customFormat="false" ht="17.15" hidden="false" customHeight="false" outlineLevel="0" collapsed="false">
      <c r="A60" s="4" t="s">
        <v>1164</v>
      </c>
      <c r="F60" s="25" t="n">
        <f aca="false">PL!F105</f>
        <v>40.1360921327673</v>
      </c>
      <c r="H60" s="25" t="n">
        <f aca="false">PL!H105</f>
        <v>164.466539492511</v>
      </c>
      <c r="I60" s="25" t="n">
        <f aca="false">PL!I105</f>
        <v>169.045790092317</v>
      </c>
      <c r="J60" s="25" t="n">
        <f aca="false">PL!J105</f>
        <v>174.930369376607</v>
      </c>
      <c r="K60" s="25" t="n">
        <f aca="false">PL!K105</f>
        <v>176.464049070841</v>
      </c>
      <c r="L60" s="25" t="n">
        <f aca="false">PL!L105</f>
        <v>179.462802800262</v>
      </c>
      <c r="M60" s="25" t="n">
        <f aca="false">PL!M105</f>
        <v>180.915922542198</v>
      </c>
    </row>
    <row r="61" customFormat="false" ht="17.15" hidden="false" customHeight="false" outlineLevel="0" collapsed="false">
      <c r="A61" s="0" t="s">
        <v>1165</v>
      </c>
      <c r="F61" s="25" t="n">
        <f aca="false">(F60+sbc_add*PL!F127)*(1-tax)</f>
        <v>33.3932286544624</v>
      </c>
      <c r="H61" s="25" t="n">
        <f aca="false">(H60+sbc_add*PL!H127)*(1-tax)</f>
        <v>136.836160857769</v>
      </c>
      <c r="I61" s="25" t="n">
        <f aca="false">(I60+sbc_add*PL!I127)*(1-tax)</f>
        <v>140.646097356808</v>
      </c>
      <c r="J61" s="25" t="n">
        <f aca="false">(J60+sbc_add*PL!J127)*(1-tax)</f>
        <v>145.542067321337</v>
      </c>
      <c r="K61" s="25" t="n">
        <f aca="false">(K60+sbc_add*PL!K127)*(1-tax)</f>
        <v>146.818088826939</v>
      </c>
      <c r="L61" s="25" t="n">
        <f aca="false">(L60+sbc_add*PL!L127)*(1-tax)</f>
        <v>149.313051929818</v>
      </c>
      <c r="M61" s="25" t="n">
        <f aca="false">(M60+sbc_add*PL!M127)*(1-tax)</f>
        <v>150.522047555109</v>
      </c>
    </row>
    <row r="62" customFormat="false" ht="15" hidden="false" customHeight="false" outlineLevel="0" collapsed="false">
      <c r="A62" s="4" t="s">
        <v>1166</v>
      </c>
      <c r="F62" s="25" t="n">
        <f aca="false">PL!F103</f>
        <v>13.7282850159824</v>
      </c>
      <c r="H62" s="25" t="n">
        <f aca="false">PL!H103</f>
        <v>64.142436663556</v>
      </c>
      <c r="I62" s="25" t="n">
        <f aca="false">PL!I103</f>
        <v>101.950631120202</v>
      </c>
      <c r="J62" s="25" t="n">
        <f aca="false">PL!J103</f>
        <v>140.17989017532</v>
      </c>
      <c r="K62" s="25" t="n">
        <f aca="false">PL!K103</f>
        <v>172.009912924968</v>
      </c>
      <c r="L62" s="25" t="n">
        <f aca="false">PL!L103</f>
        <v>197.315457774801</v>
      </c>
      <c r="M62" s="25" t="n">
        <f aca="false">PL!M103</f>
        <v>224.858738275987</v>
      </c>
    </row>
    <row r="63" customFormat="false" ht="15" hidden="false" customHeight="false" outlineLevel="0" collapsed="false">
      <c r="A63" s="4" t="s">
        <v>1167</v>
      </c>
      <c r="F63" s="25" t="n">
        <f aca="false">CF!F53</f>
        <v>68.047</v>
      </c>
      <c r="H63" s="25" t="n">
        <f aca="false">CF!H53</f>
        <v>290.365139656517</v>
      </c>
      <c r="I63" s="25" t="n">
        <f aca="false">CF!I53</f>
        <v>317.398835385521</v>
      </c>
      <c r="J63" s="25" t="n">
        <f aca="false">CF!J53</f>
        <v>292.560872189637</v>
      </c>
      <c r="K63" s="25" t="n">
        <f aca="false">CF!K53</f>
        <v>271.669536929429</v>
      </c>
      <c r="L63" s="25" t="n">
        <f aca="false">CF!L53</f>
        <v>263.29960900123</v>
      </c>
      <c r="M63" s="25" t="n">
        <f aca="false">CF!M53</f>
        <v>274.287593803313</v>
      </c>
    </row>
    <row r="64" customFormat="false" ht="15" hidden="false" customHeight="false" outlineLevel="0" collapsed="false">
      <c r="A64" s="4" t="s">
        <v>1168</v>
      </c>
      <c r="F64" s="25" t="n">
        <f aca="false">CF!F48</f>
        <v>4.707</v>
      </c>
      <c r="H64" s="25" t="n">
        <f aca="false">CF!H48</f>
        <v>1.50145539878505</v>
      </c>
      <c r="I64" s="25" t="n">
        <f aca="false">CF!I48</f>
        <v>1.46293456891282</v>
      </c>
      <c r="J64" s="25" t="n">
        <f aca="false">CF!J48</f>
        <v>1.31091406574108</v>
      </c>
      <c r="K64" s="25" t="n">
        <f aca="false">CF!K48</f>
        <v>0.887889687469483</v>
      </c>
      <c r="L64" s="25" t="n">
        <f aca="false">CF!L48</f>
        <v>0.895366292534664</v>
      </c>
      <c r="M64" s="25" t="n">
        <f aca="false">CF!M48</f>
        <v>0.908918969955864</v>
      </c>
    </row>
    <row r="65" customFormat="false" ht="17.15" hidden="false" customHeight="false" outlineLevel="0" collapsed="false">
      <c r="A65" s="0" t="s">
        <v>1169</v>
      </c>
      <c r="E65" s="4" t="s">
        <v>1170</v>
      </c>
      <c r="F65" s="25" t="n">
        <f aca="false">PL!F96*(1-tax)+PL!F95-Seg!F69</f>
        <v>-1.87108010986211</v>
      </c>
      <c r="H65" s="25" t="n">
        <f aca="false">PL!H96*(1-tax)+PL!H95-Seg!H69</f>
        <v>-7.48672043944846</v>
      </c>
      <c r="I65" s="25" t="n">
        <f aca="false">PL!I96*(1-tax)+PL!I95-Seg!I69</f>
        <v>-7.48882043944846</v>
      </c>
      <c r="J65" s="25" t="n">
        <f aca="false">PL!J96*(1-tax)+PL!J95-Seg!J69</f>
        <v>-7.4944502638821</v>
      </c>
      <c r="K65" s="25" t="n">
        <f aca="false">PL!K96*(1-tax)+PL!K95-Seg!K69</f>
        <v>-7.510072099454</v>
      </c>
      <c r="L65" s="25" t="n">
        <f aca="false">PL!L96*(1-tax)+PL!L95-Seg!L69</f>
        <v>-7.54004210926747</v>
      </c>
      <c r="M65" s="25" t="n">
        <f aca="false">PL!M96*(1-tax)+PL!M95-Seg!M69</f>
        <v>-7.54541015380696</v>
      </c>
    </row>
    <row r="66" customFormat="false" ht="17.15" hidden="false" customHeight="false" outlineLevel="0" collapsed="false">
      <c r="A66" s="4" t="s">
        <v>1171</v>
      </c>
      <c r="E66" s="4" t="s">
        <v>1172</v>
      </c>
      <c r="F66" s="25" t="n">
        <f aca="false">F61+F62-F63+F64-F65</f>
        <v>-14.3474062196931</v>
      </c>
      <c r="H66" s="25" t="n">
        <f aca="false">H61+H62-H63+H64-H65</f>
        <v>-80.3983662969582</v>
      </c>
      <c r="I66" s="25" t="n">
        <f aca="false">I61+I62-I63+I64-I65</f>
        <v>-65.8503519001498</v>
      </c>
      <c r="J66" s="25" t="n">
        <f aca="false">J61+J62-J63+J64-J65</f>
        <v>1.96644963664269</v>
      </c>
      <c r="K66" s="25" t="n">
        <f aca="false">K61+K62-K63+K64-K65</f>
        <v>55.5564266094016</v>
      </c>
      <c r="L66" s="25" t="n">
        <f aca="false">L61+L62-L63+L64-L65</f>
        <v>91.7643091051913</v>
      </c>
      <c r="M66" s="25" t="n">
        <f aca="false">M61+M62-M63+M64-M65</f>
        <v>109.547521151545</v>
      </c>
    </row>
    <row r="67" customFormat="false" ht="17.15" hidden="false" customHeight="false" outlineLevel="0" collapsed="false">
      <c r="A67" s="4" t="s">
        <v>1173</v>
      </c>
      <c r="E67" s="4" t="s">
        <v>1174</v>
      </c>
      <c r="F67" s="25" t="n">
        <f aca="false">F61-PL!F96*(1-tax)</f>
        <v>35.2652286544624</v>
      </c>
      <c r="H67" s="25" t="n">
        <f aca="false">H61-PL!H96*(1-tax)</f>
        <v>144.324160857769</v>
      </c>
      <c r="I67" s="25" t="n">
        <f aca="false">I61-PL!I96*(1-tax)</f>
        <v>148.134097356808</v>
      </c>
      <c r="J67" s="25" t="n">
        <f aca="false">J61-PL!J96*(1-tax)</f>
        <v>153.030067321337</v>
      </c>
      <c r="K67" s="25" t="n">
        <f aca="false">K61-PL!K96*(1-tax)</f>
        <v>154.306088826939</v>
      </c>
      <c r="L67" s="25" t="n">
        <f aca="false">L61-PL!L96*(1-tax)</f>
        <v>156.801051929818</v>
      </c>
      <c r="M67" s="25" t="n">
        <f aca="false">M61-PL!M96*(1-tax)</f>
        <v>158.010047555109</v>
      </c>
    </row>
    <row r="68" customFormat="false" ht="17.15" hidden="false" customHeight="false" outlineLevel="0" collapsed="false">
      <c r="A68" s="4" t="s">
        <v>1175</v>
      </c>
      <c r="E68" s="4" t="s">
        <v>1176</v>
      </c>
      <c r="F68" s="25" t="n">
        <f aca="false">(PL!F107+Thesis!F69)*(1-tax)</f>
        <v>3.25269307355486</v>
      </c>
      <c r="H68" s="25" t="n">
        <f aca="false">(PL!H107+Thesis!H69)*(1-tax)</f>
        <v>33.0793269722457</v>
      </c>
      <c r="I68" s="25" t="n">
        <f aca="false">(PL!I107+Thesis!I69)*(1-tax)</f>
        <v>66.5065449467883</v>
      </c>
      <c r="J68" s="25" t="n">
        <f aca="false">(PL!J107+Thesis!J69)*(1-tax)</f>
        <v>92.4395106256954</v>
      </c>
      <c r="K68" s="25" t="n">
        <f aca="false">(PL!K107+Thesis!K69)*(1-tax)</f>
        <v>110.887187050796</v>
      </c>
      <c r="L68" s="25" t="n">
        <f aca="false">(PL!L107+Thesis!L69)*(1-tax)</f>
        <v>126.760499590332</v>
      </c>
      <c r="M68" s="25" t="n">
        <f aca="false">(PL!M107+Thesis!M69)*(1-tax)</f>
        <v>135.624722252248</v>
      </c>
    </row>
    <row r="69" customFormat="false" ht="17.15" hidden="false" customHeight="false" outlineLevel="0" collapsed="false">
      <c r="A69" s="4" t="s">
        <v>1177</v>
      </c>
      <c r="F69" s="23" t="n">
        <f aca="false">t_q4</f>
        <v>0.125</v>
      </c>
      <c r="H69" s="23" t="n">
        <f aca="false">2027+mid-t_val</f>
        <v>0.75</v>
      </c>
      <c r="I69" s="23" t="n">
        <f aca="false">2028+mid-t_val</f>
        <v>1.75</v>
      </c>
      <c r="J69" s="23" t="n">
        <f aca="false">2029+mid-t_val</f>
        <v>2.75</v>
      </c>
      <c r="K69" s="23" t="n">
        <f aca="false">2030+mid-t_val</f>
        <v>3.75</v>
      </c>
      <c r="L69" s="23" t="n">
        <f aca="false">2031+mid-t_val</f>
        <v>4.75</v>
      </c>
      <c r="M69" s="23" t="n">
        <f aca="false">2032+mid-t_val</f>
        <v>5.75</v>
      </c>
    </row>
    <row r="70" customFormat="false" ht="17.15" hidden="false" customHeight="false" outlineLevel="0" collapsed="false">
      <c r="A70" s="4" t="s">
        <v>1178</v>
      </c>
      <c r="F70" s="13" t="n">
        <f aca="false">1/(1+wacc)^F69</f>
        <v>0.987296059236418</v>
      </c>
      <c r="H70" s="13" t="n">
        <f aca="false">1/(1+wacc)^H69</f>
        <v>0.92615658999454</v>
      </c>
      <c r="I70" s="13" t="n">
        <f aca="false">1/(1+wacc)^I69</f>
        <v>0.836110446497219</v>
      </c>
      <c r="J70" s="13" t="n">
        <f aca="false">1/(1+wacc)^J69</f>
        <v>0.754819094626212</v>
      </c>
      <c r="K70" s="13" t="n">
        <f aca="false">1/(1+wacc)^K69</f>
        <v>0.681431344386666</v>
      </c>
      <c r="L70" s="13" t="n">
        <f aca="false">1/(1+wacc)^L69</f>
        <v>0.615178763253948</v>
      </c>
      <c r="M70" s="13" t="n">
        <f aca="false">1/(1+wacc)^M69</f>
        <v>0.555367630027767</v>
      </c>
    </row>
    <row r="71" customFormat="false" ht="15" hidden="false" customHeight="false" outlineLevel="0" collapsed="false">
      <c r="A71" s="4" t="s">
        <v>1179</v>
      </c>
      <c r="F71" s="25" t="n">
        <f aca="false">F66*F70</f>
        <v>-14.165137620967</v>
      </c>
      <c r="H71" s="25" t="n">
        <f aca="false">H66*H70</f>
        <v>-74.4614767707228</v>
      </c>
      <c r="I71" s="25" t="n">
        <f aca="false">I66*I70</f>
        <v>-55.0581671292332</v>
      </c>
      <c r="J71" s="25" t="n">
        <f aca="false">J66*J70</f>
        <v>1.48431373435868</v>
      </c>
      <c r="K71" s="25" t="n">
        <f aca="false">K66*K70</f>
        <v>37.8578904737636</v>
      </c>
      <c r="L71" s="25" t="n">
        <f aca="false">L66*L70</f>
        <v>56.4514541861846</v>
      </c>
      <c r="M71" s="25" t="n">
        <f aca="false">M66*M70</f>
        <v>60.8391471973502</v>
      </c>
    </row>
    <row r="72" customFormat="false" ht="15" hidden="false" customHeight="false" outlineLevel="0" collapsed="false">
      <c r="A72" s="4" t="s">
        <v>1180</v>
      </c>
      <c r="F72" s="25" t="n">
        <f aca="false">F68*F70</f>
        <v>3.2113710534263</v>
      </c>
      <c r="H72" s="25" t="n">
        <f aca="false">H68*H70</f>
        <v>30.6366366679294</v>
      </c>
      <c r="I72" s="25" t="n">
        <f aca="false">I68*I70</f>
        <v>55.6068169904465</v>
      </c>
      <c r="J72" s="25" t="n">
        <f aca="false">J68*J70</f>
        <v>69.7751077181776</v>
      </c>
      <c r="K72" s="25" t="n">
        <f aca="false">K68*K70</f>
        <v>75.5620049472795</v>
      </c>
      <c r="L72" s="25" t="n">
        <f aca="false">L68*L70</f>
        <v>77.9803673674331</v>
      </c>
      <c r="M72" s="25" t="n">
        <f aca="false">M68*M70</f>
        <v>75.321580570405</v>
      </c>
    </row>
    <row r="74" customFormat="false" ht="17.15" hidden="false" customHeight="false" outlineLevel="0" collapsed="false">
      <c r="A74" s="28" t="s">
        <v>1020</v>
      </c>
    </row>
    <row r="75" customFormat="false" ht="15" hidden="false" customHeight="false" outlineLevel="0" collapsed="false">
      <c r="A75" s="3" t="s">
        <v>43</v>
      </c>
      <c r="B75" s="3"/>
      <c r="C75" s="3"/>
      <c r="D75" s="3"/>
      <c r="E75" s="3" t="s">
        <v>50</v>
      </c>
      <c r="F75" s="20" t="s">
        <v>908</v>
      </c>
      <c r="G75" s="3"/>
      <c r="H75" s="20" t="s">
        <v>910</v>
      </c>
      <c r="I75" s="20" t="s">
        <v>911</v>
      </c>
      <c r="J75" s="20" t="s">
        <v>912</v>
      </c>
      <c r="K75" s="20" t="s">
        <v>913</v>
      </c>
      <c r="L75" s="20" t="s">
        <v>914</v>
      </c>
      <c r="M75" s="20" t="s">
        <v>915</v>
      </c>
    </row>
    <row r="76" customFormat="false" ht="17.15" hidden="false" customHeight="false" outlineLevel="0" collapsed="false">
      <c r="A76" s="4" t="s">
        <v>1164</v>
      </c>
      <c r="F76" s="25" t="n">
        <f aca="false">PL!F164</f>
        <v>40.1360921327673</v>
      </c>
      <c r="H76" s="25" t="n">
        <f aca="false">PL!H164</f>
        <v>150.492266259642</v>
      </c>
      <c r="I76" s="25" t="n">
        <f aca="false">PL!I164</f>
        <v>138.397562058957</v>
      </c>
      <c r="J76" s="25" t="n">
        <f aca="false">PL!J164</f>
        <v>125.433922816946</v>
      </c>
      <c r="K76" s="25" t="n">
        <f aca="false">PL!K164</f>
        <v>106.73425511949</v>
      </c>
      <c r="L76" s="25" t="n">
        <f aca="false">PL!L164</f>
        <v>104.747067799975</v>
      </c>
      <c r="M76" s="25" t="n">
        <f aca="false">PL!M164</f>
        <v>100.81537120906</v>
      </c>
    </row>
    <row r="77" customFormat="false" ht="17.15" hidden="false" customHeight="false" outlineLevel="0" collapsed="false">
      <c r="A77" s="0" t="s">
        <v>1165</v>
      </c>
      <c r="F77" s="25" t="n">
        <f aca="false">(F76+sbc_add*PL!F186)*(1-tax)</f>
        <v>33.3932286544624</v>
      </c>
      <c r="H77" s="25" t="n">
        <f aca="false">(H76+sbc_add*PL!H186)*(1-tax)</f>
        <v>125.209565528023</v>
      </c>
      <c r="I77" s="25" t="n">
        <f aca="false">(I76+sbc_add*PL!I186)*(1-tax)</f>
        <v>115.146771633052</v>
      </c>
      <c r="J77" s="25" t="n">
        <f aca="false">(J76+sbc_add*PL!J186)*(1-tax)</f>
        <v>104.361023783699</v>
      </c>
      <c r="K77" s="25" t="n">
        <f aca="false">(K76+sbc_add*PL!K186)*(1-tax)</f>
        <v>88.802900259416</v>
      </c>
      <c r="L77" s="25" t="n">
        <f aca="false">(L76+sbc_add*PL!L186)*(1-tax)</f>
        <v>87.1495604095795</v>
      </c>
      <c r="M77" s="25" t="n">
        <f aca="false">(M76+sbc_add*PL!M186)*(1-tax)</f>
        <v>83.8783888459377</v>
      </c>
    </row>
    <row r="78" customFormat="false" ht="15" hidden="false" customHeight="false" outlineLevel="0" collapsed="false">
      <c r="A78" s="4" t="s">
        <v>1166</v>
      </c>
      <c r="F78" s="25" t="n">
        <f aca="false">PL!F162</f>
        <v>13.7282850159824</v>
      </c>
      <c r="H78" s="25" t="n">
        <f aca="false">PL!H162</f>
        <v>64.109607517355</v>
      </c>
      <c r="I78" s="25" t="n">
        <f aca="false">PL!I162</f>
        <v>101.747005503406</v>
      </c>
      <c r="J78" s="25" t="n">
        <f aca="false">PL!J162</f>
        <v>139.642069649063</v>
      </c>
      <c r="K78" s="25" t="n">
        <f aca="false">PL!K162</f>
        <v>170.954385862136</v>
      </c>
      <c r="L78" s="25" t="n">
        <f aca="false">PL!L162</f>
        <v>195.583046079772</v>
      </c>
      <c r="M78" s="25" t="n">
        <f aca="false">PL!M162</f>
        <v>222.395291178183</v>
      </c>
    </row>
    <row r="79" customFormat="false" ht="15" hidden="false" customHeight="false" outlineLevel="0" collapsed="false">
      <c r="A79" s="4" t="s">
        <v>1167</v>
      </c>
      <c r="F79" s="25" t="n">
        <f aca="false">CF!F85</f>
        <v>68.047</v>
      </c>
      <c r="H79" s="25" t="n">
        <f aca="false">CF!H85</f>
        <v>289.051973808479</v>
      </c>
      <c r="I79" s="25" t="n">
        <f aca="false">CF!I85</f>
        <v>314.506474105819</v>
      </c>
      <c r="J79" s="25" t="n">
        <f aca="false">CF!J85</f>
        <v>287.870159650332</v>
      </c>
      <c r="K79" s="25" t="n">
        <f aca="false">CF!K85</f>
        <v>265.03341308435</v>
      </c>
      <c r="L79" s="25" t="n">
        <f aca="false">CF!L85</f>
        <v>256.132595248544</v>
      </c>
      <c r="M79" s="25" t="n">
        <f aca="false">CF!M85</f>
        <v>266.547218950413</v>
      </c>
    </row>
    <row r="80" customFormat="false" ht="15" hidden="false" customHeight="false" outlineLevel="0" collapsed="false">
      <c r="A80" s="4" t="s">
        <v>1168</v>
      </c>
      <c r="F80" s="25" t="n">
        <f aca="false">CF!F80</f>
        <v>4.707</v>
      </c>
      <c r="H80" s="25" t="n">
        <f aca="false">CF!H80</f>
        <v>1.24538805841768</v>
      </c>
      <c r="I80" s="25" t="n">
        <f aca="false">CF!I80</f>
        <v>1.15499145973826</v>
      </c>
      <c r="J80" s="25" t="n">
        <f aca="false">CF!J80</f>
        <v>0.960235570118582</v>
      </c>
      <c r="K80" s="25" t="n">
        <f aca="false">CF!K80</f>
        <v>0.508534482843399</v>
      </c>
      <c r="L80" s="25" t="n">
        <f aca="false">CF!L80</f>
        <v>0.791842760551422</v>
      </c>
      <c r="M80" s="25" t="n">
        <f aca="false">CF!M80</f>
        <v>0.797113555413967</v>
      </c>
    </row>
    <row r="81" customFormat="false" ht="17.15" hidden="false" customHeight="false" outlineLevel="0" collapsed="false">
      <c r="A81" s="0" t="s">
        <v>1169</v>
      </c>
      <c r="E81" s="4" t="s">
        <v>1170</v>
      </c>
      <c r="F81" s="25" t="n">
        <f aca="false">PL!F155*(1-tax)+PL!F154-Seg!F105</f>
        <v>-1.87108010986211</v>
      </c>
      <c r="H81" s="25" t="n">
        <f aca="false">PL!H155*(1-tax)+PL!H154-Seg!H105</f>
        <v>-7.48672043944846</v>
      </c>
      <c r="I81" s="25" t="n">
        <f aca="false">PL!I155*(1-tax)+PL!I154-Seg!I105</f>
        <v>-7.48882043944846</v>
      </c>
      <c r="J81" s="25" t="n">
        <f aca="false">PL!J155*(1-tax)+PL!J154-Seg!J105</f>
        <v>-7.4944502638821</v>
      </c>
      <c r="K81" s="25" t="n">
        <f aca="false">PL!K155*(1-tax)+PL!K154-Seg!K105</f>
        <v>-7.510072099454</v>
      </c>
      <c r="L81" s="25" t="n">
        <f aca="false">PL!L155*(1-tax)+PL!L154-Seg!L105</f>
        <v>-7.54004210926747</v>
      </c>
      <c r="M81" s="25" t="n">
        <f aca="false">PL!M155*(1-tax)+PL!M154-Seg!M105</f>
        <v>-7.54541015380696</v>
      </c>
    </row>
    <row r="82" customFormat="false" ht="17.15" hidden="false" customHeight="false" outlineLevel="0" collapsed="false">
      <c r="A82" s="4" t="s">
        <v>1171</v>
      </c>
      <c r="E82" s="4" t="s">
        <v>1172</v>
      </c>
      <c r="F82" s="25" t="n">
        <f aca="false">F77+F78-F79+F80-F81</f>
        <v>-14.3474062196931</v>
      </c>
      <c r="H82" s="25" t="n">
        <f aca="false">H77+H78-H79+H80-H81</f>
        <v>-91.0006922652354</v>
      </c>
      <c r="I82" s="25" t="n">
        <f aca="false">I77+I78-I79+I80-I81</f>
        <v>-88.9688850701742</v>
      </c>
      <c r="J82" s="25" t="n">
        <f aca="false">J77+J78-J79+J80-J81</f>
        <v>-35.4123803835693</v>
      </c>
      <c r="K82" s="25" t="n">
        <f aca="false">K77+K78-K79+K80-K81</f>
        <v>2.74247961950019</v>
      </c>
      <c r="L82" s="25" t="n">
        <f aca="false">L77+L78-L79+L80-L81</f>
        <v>34.931896110626</v>
      </c>
      <c r="M82" s="25" t="n">
        <f aca="false">M77+M78-M79+M80-M81</f>
        <v>48.0689847829293</v>
      </c>
    </row>
    <row r="83" customFormat="false" ht="17.15" hidden="false" customHeight="false" outlineLevel="0" collapsed="false">
      <c r="A83" s="4" t="s">
        <v>1173</v>
      </c>
      <c r="E83" s="4" t="s">
        <v>1174</v>
      </c>
      <c r="F83" s="25" t="n">
        <f aca="false">F77-PL!F155*(1-tax)</f>
        <v>35.2652286544624</v>
      </c>
      <c r="H83" s="25" t="n">
        <f aca="false">H77-PL!H155*(1-tax)</f>
        <v>132.697565528023</v>
      </c>
      <c r="I83" s="25" t="n">
        <f aca="false">I77-PL!I155*(1-tax)</f>
        <v>122.634771633052</v>
      </c>
      <c r="J83" s="25" t="n">
        <f aca="false">J77-PL!J155*(1-tax)</f>
        <v>111.849023783699</v>
      </c>
      <c r="K83" s="25" t="n">
        <f aca="false">K77-PL!K155*(1-tax)</f>
        <v>96.290900259416</v>
      </c>
      <c r="L83" s="25" t="n">
        <f aca="false">L77-PL!L155*(1-tax)</f>
        <v>94.6375604095795</v>
      </c>
      <c r="M83" s="25" t="n">
        <f aca="false">M77-PL!M155*(1-tax)</f>
        <v>91.3663888459377</v>
      </c>
    </row>
    <row r="84" customFormat="false" ht="17.15" hidden="false" customHeight="false" outlineLevel="0" collapsed="false">
      <c r="A84" s="4" t="s">
        <v>1175</v>
      </c>
      <c r="E84" s="4" t="s">
        <v>1176</v>
      </c>
      <c r="F84" s="25" t="n">
        <f aca="false">(PL!F166+Thesis!F69)*(1-tax)</f>
        <v>3.25269307355486</v>
      </c>
      <c r="H84" s="25" t="n">
        <f aca="false">(PL!H166+Thesis!H69)*(1-tax)</f>
        <v>33.0793269722457</v>
      </c>
      <c r="I84" s="25" t="n">
        <f aca="false">(PL!I166+Thesis!I69)*(1-tax)</f>
        <v>66.5065449467883</v>
      </c>
      <c r="J84" s="25" t="n">
        <f aca="false">(PL!J166+Thesis!J69)*(1-tax)</f>
        <v>92.4395106256954</v>
      </c>
      <c r="K84" s="25" t="n">
        <f aca="false">(PL!K166+Thesis!K69)*(1-tax)</f>
        <v>110.887187050796</v>
      </c>
      <c r="L84" s="25" t="n">
        <f aca="false">(PL!L166+Thesis!L69)*(1-tax)</f>
        <v>126.760499590332</v>
      </c>
      <c r="M84" s="25" t="n">
        <f aca="false">(PL!M166+Thesis!M69)*(1-tax)</f>
        <v>135.624722252248</v>
      </c>
    </row>
    <row r="85" customFormat="false" ht="17.15" hidden="false" customHeight="false" outlineLevel="0" collapsed="false">
      <c r="A85" s="4" t="s">
        <v>1177</v>
      </c>
      <c r="F85" s="23" t="n">
        <f aca="false">t_q4</f>
        <v>0.125</v>
      </c>
      <c r="H85" s="23" t="n">
        <f aca="false">2027+mid-t_val</f>
        <v>0.75</v>
      </c>
      <c r="I85" s="23" t="n">
        <f aca="false">2028+mid-t_val</f>
        <v>1.75</v>
      </c>
      <c r="J85" s="23" t="n">
        <f aca="false">2029+mid-t_val</f>
        <v>2.75</v>
      </c>
      <c r="K85" s="23" t="n">
        <f aca="false">2030+mid-t_val</f>
        <v>3.75</v>
      </c>
      <c r="L85" s="23" t="n">
        <f aca="false">2031+mid-t_val</f>
        <v>4.75</v>
      </c>
      <c r="M85" s="23" t="n">
        <f aca="false">2032+mid-t_val</f>
        <v>5.75</v>
      </c>
    </row>
    <row r="86" customFormat="false" ht="17.15" hidden="false" customHeight="false" outlineLevel="0" collapsed="false">
      <c r="A86" s="4" t="s">
        <v>1178</v>
      </c>
      <c r="F86" s="13" t="n">
        <f aca="false">1/(1+wacc)^F85</f>
        <v>0.987296059236418</v>
      </c>
      <c r="H86" s="13" t="n">
        <f aca="false">1/(1+wacc)^H85</f>
        <v>0.92615658999454</v>
      </c>
      <c r="I86" s="13" t="n">
        <f aca="false">1/(1+wacc)^I85</f>
        <v>0.836110446497219</v>
      </c>
      <c r="J86" s="13" t="n">
        <f aca="false">1/(1+wacc)^J85</f>
        <v>0.754819094626212</v>
      </c>
      <c r="K86" s="13" t="n">
        <f aca="false">1/(1+wacc)^K85</f>
        <v>0.681431344386666</v>
      </c>
      <c r="L86" s="13" t="n">
        <f aca="false">1/(1+wacc)^L85</f>
        <v>0.615178763253948</v>
      </c>
      <c r="M86" s="13" t="n">
        <f aca="false">1/(1+wacc)^M85</f>
        <v>0.555367630027767</v>
      </c>
    </row>
    <row r="87" customFormat="false" ht="15" hidden="false" customHeight="false" outlineLevel="0" collapsed="false">
      <c r="A87" s="4" t="s">
        <v>1179</v>
      </c>
      <c r="F87" s="25" t="n">
        <f aca="false">F82*F86</f>
        <v>-14.165137620967</v>
      </c>
      <c r="H87" s="25" t="n">
        <f aca="false">H82*H86</f>
        <v>-84.2808908355129</v>
      </c>
      <c r="I87" s="25" t="n">
        <f aca="false">I82*I86</f>
        <v>-74.3878142203831</v>
      </c>
      <c r="J87" s="25" t="n">
        <f aca="false">J82*J86</f>
        <v>-26.7299408996849</v>
      </c>
      <c r="K87" s="25" t="n">
        <f aca="false">K82*K86</f>
        <v>1.86881157406905</v>
      </c>
      <c r="L87" s="25" t="n">
        <f aca="false">L82*L86</f>
        <v>21.4893606474503</v>
      </c>
      <c r="M87" s="25" t="n">
        <f aca="false">M82*M86</f>
        <v>26.6959581567362</v>
      </c>
    </row>
    <row r="88" customFormat="false" ht="15" hidden="false" customHeight="false" outlineLevel="0" collapsed="false">
      <c r="A88" s="4" t="s">
        <v>1180</v>
      </c>
      <c r="F88" s="25" t="n">
        <f aca="false">F84*F86</f>
        <v>3.2113710534263</v>
      </c>
      <c r="H88" s="25" t="n">
        <f aca="false">H84*H86</f>
        <v>30.6366366679294</v>
      </c>
      <c r="I88" s="25" t="n">
        <f aca="false">I84*I86</f>
        <v>55.6068169904465</v>
      </c>
      <c r="J88" s="25" t="n">
        <f aca="false">J84*J86</f>
        <v>69.7751077181776</v>
      </c>
      <c r="K88" s="25" t="n">
        <f aca="false">K84*K86</f>
        <v>75.5620049472795</v>
      </c>
      <c r="L88" s="25" t="n">
        <f aca="false">L84*L86</f>
        <v>77.9803673674331</v>
      </c>
      <c r="M88" s="25" t="n">
        <f aca="false">M84*M86</f>
        <v>75.321580570405</v>
      </c>
    </row>
    <row r="90" customFormat="false" ht="17.15" hidden="false" customHeight="false" outlineLevel="0" collapsed="false">
      <c r="A90" s="5" t="s">
        <v>1181</v>
      </c>
    </row>
    <row r="91" customFormat="false" ht="17.15" hidden="false" customHeight="false" outlineLevel="0" collapsed="false">
      <c r="A91" s="3" t="s">
        <v>43</v>
      </c>
      <c r="B91" s="3" t="s">
        <v>1074</v>
      </c>
      <c r="C91" s="3" t="s">
        <v>1075</v>
      </c>
      <c r="D91" s="3" t="s">
        <v>1076</v>
      </c>
      <c r="E91" s="3" t="s">
        <v>50</v>
      </c>
    </row>
    <row r="92" customFormat="false" ht="15" hidden="false" customHeight="false" outlineLevel="0" collapsed="false">
      <c r="A92" s="4" t="s">
        <v>1182</v>
      </c>
      <c r="B92" s="25" t="n">
        <f aca="false">SUM(F55:M55)</f>
        <v>101.555355564587</v>
      </c>
      <c r="C92" s="25" t="n">
        <f aca="false">SUM(F71:M71)</f>
        <v>12.948024070734</v>
      </c>
      <c r="D92" s="25" t="n">
        <f aca="false">SUM(F87:M87)</f>
        <v>-149.509653198292</v>
      </c>
    </row>
    <row r="93" customFormat="false" ht="17.15" hidden="false" customHeight="false" outlineLevel="0" collapsed="false">
      <c r="A93" s="4" t="s">
        <v>1183</v>
      </c>
      <c r="B93" s="25" t="n">
        <f aca="false">IF(tv_alt=1,M50*(1+g_tv)/(wacc-g_tv),M51*(1+g_tv)*(1-g_tv/ronic)/(wacc-g_tv))</f>
        <v>1864.18615681571</v>
      </c>
      <c r="C93" s="25" t="n">
        <f aca="false">IF(tv_alt=1,M66*(1+g_tv)/(wacc-g_tv),M67*(1+g_tv)*(1-g_tv/ronic)/(wacc-g_tv))</f>
        <v>1511.19483488782</v>
      </c>
      <c r="D93" s="25" t="n">
        <f aca="false">IF(tv_alt=1,M82*(1+g_tv)/(wacc-g_tv),M83*(1+g_tv)*(1-g_tv/ronic)/(wacc-g_tv))</f>
        <v>873.820475613606</v>
      </c>
      <c r="E93" s="4" t="s">
        <v>1184</v>
      </c>
    </row>
    <row r="94" customFormat="false" ht="17.15" hidden="false" customHeight="false" outlineLevel="0" collapsed="false">
      <c r="A94" s="4" t="s">
        <v>1185</v>
      </c>
      <c r="B94" s="25" t="n">
        <f aca="false">B93/(1+wacc)^($M$53+mid)</f>
        <v>983.692716602486</v>
      </c>
      <c r="C94" s="25" t="n">
        <f aca="false">C93/(1+wacc)^($M$69+mid)</f>
        <v>797.426451758278</v>
      </c>
      <c r="D94" s="25" t="n">
        <f aca="false">D93/(1+wacc)^($M$85+mid)</f>
        <v>461.097103600155</v>
      </c>
    </row>
    <row r="95" customFormat="false" ht="17.15" hidden="false" customHeight="false" outlineLevel="0" collapsed="false">
      <c r="A95" s="4" t="s">
        <v>1186</v>
      </c>
      <c r="B95" s="25" t="n">
        <f aca="false">B92+B94</f>
        <v>1085.24807216707</v>
      </c>
      <c r="C95" s="25" t="n">
        <f aca="false">C92+C94</f>
        <v>810.374475829013</v>
      </c>
      <c r="D95" s="25" t="n">
        <f aca="false">D92+D94</f>
        <v>311.587450401862</v>
      </c>
    </row>
    <row r="96" customFormat="false" ht="17.15" hidden="false" customHeight="false" outlineLevel="0" collapsed="false">
      <c r="A96" s="4" t="s">
        <v>1187</v>
      </c>
      <c r="B96" s="25" t="n">
        <f aca="false">SUM(F56:M56)</f>
        <v>388.093885315097</v>
      </c>
      <c r="C96" s="25" t="n">
        <f aca="false">SUM(F72:M72)</f>
        <v>388.093885315097</v>
      </c>
      <c r="D96" s="25" t="n">
        <f aca="false">SUM(F88:M88)</f>
        <v>388.093885315097</v>
      </c>
    </row>
    <row r="97" customFormat="false" ht="17.15" hidden="false" customHeight="false" outlineLevel="0" collapsed="false">
      <c r="A97" s="4" t="s">
        <v>1188</v>
      </c>
      <c r="B97" s="25" t="n">
        <f aca="false">IF(tv_alt=1,M52*(1+g_tv)/(wacc-g_tv),M52*(1+g_tv)*(1-g_tv/ronic)/(wacc-g_tv))/(1+wacc)^($M$53+mid)</f>
        <v>684.454835054667</v>
      </c>
      <c r="C97" s="25" t="n">
        <f aca="false">IF(tv_alt=1,M68*(1+g_tv)/(wacc-g_tv),M68*(1+g_tv)*(1-g_tv/ronic)/(wacc-g_tv))/(1+wacc)^($M$69+mid)</f>
        <v>684.454835054667</v>
      </c>
      <c r="D97" s="25" t="n">
        <f aca="false">IF(tv_alt=1,M84*(1+g_tv)/(wacc-g_tv),M84*(1+g_tv)*(1-g_tv/ronic)/(wacc-g_tv))/(1+wacc)^($M$85+mid)</f>
        <v>684.454835054667</v>
      </c>
    </row>
    <row r="98" customFormat="false" ht="17.15" hidden="false" customHeight="false" outlineLevel="0" collapsed="false">
      <c r="A98" s="4" t="s">
        <v>1189</v>
      </c>
      <c r="B98" s="25" t="n">
        <f aca="false">B95+B96+B97</f>
        <v>2157.79679253684</v>
      </c>
      <c r="C98" s="25" t="n">
        <f aca="false">C95+C96+C97</f>
        <v>1882.92319619878</v>
      </c>
      <c r="D98" s="25" t="n">
        <f aca="false">D95+D96+D97</f>
        <v>1384.13617077163</v>
      </c>
    </row>
    <row r="99" customFormat="false" ht="17.15" hidden="false" customHeight="false" outlineLevel="0" collapsed="false">
      <c r="A99" s="2" t="s">
        <v>1190</v>
      </c>
      <c r="B99" s="25" t="n">
        <f aca="false">IF(internal_ai_reading=2,B98,B95)</f>
        <v>2157.79679253684</v>
      </c>
      <c r="C99" s="25" t="n">
        <f aca="false">IF(internal_ai_reading=2,C98,C95)</f>
        <v>1882.92319619878</v>
      </c>
      <c r="D99" s="25" t="n">
        <f aca="false">IF(internal_ai_reading=2,D98,D95)</f>
        <v>1384.13617077163</v>
      </c>
    </row>
    <row r="100" customFormat="false" ht="17.15" hidden="false" customHeight="false" outlineLevel="0" collapsed="false">
      <c r="A100" s="4" t="s">
        <v>1191</v>
      </c>
      <c r="B100" s="14" t="n">
        <f aca="false">(B94+(internal_ai_reading=2)*B97)/B99</f>
        <v>0.77307907650376</v>
      </c>
      <c r="C100" s="14" t="n">
        <f aca="false">(C94+(internal_ai_reading=2)*C97)/C99</f>
        <v>0.78701101022312</v>
      </c>
      <c r="D100" s="14" t="n">
        <f aca="false">(D94+(internal_ai_reading=2)*D97)/D99</f>
        <v>0.827629508458117</v>
      </c>
    </row>
    <row r="101" customFormat="false" ht="15" hidden="false" customHeight="false" outlineLevel="0" collapsed="false">
      <c r="A101" s="4" t="s">
        <v>1192</v>
      </c>
      <c r="B101" s="25" t="n">
        <f aca="false">cash_0-debt_0-fin_lease</f>
        <v>45.653</v>
      </c>
      <c r="C101" s="25" t="n">
        <f aca="false">cash_0-debt_0-fin_lease</f>
        <v>45.653</v>
      </c>
      <c r="D101" s="25" t="n">
        <f aca="false">cash_0-debt_0-fin_lease</f>
        <v>45.653</v>
      </c>
    </row>
    <row r="102" customFormat="false" ht="17.15" hidden="false" customHeight="false" outlineLevel="0" collapsed="false">
      <c r="A102" s="4" t="s">
        <v>1193</v>
      </c>
      <c r="B102" s="25" t="n">
        <f aca="false">ant_val*ant_stake*(1-illiq)+spacex+oth_eq</f>
        <v>189.025</v>
      </c>
      <c r="C102" s="25" t="n">
        <f aca="false">ant_val*ant_stake*(1-illiq)+spacex+oth_eq</f>
        <v>189.025</v>
      </c>
      <c r="D102" s="25" t="n">
        <f aca="false">ant_val*ant_stake*(1-illiq)+spacex+oth_eq</f>
        <v>189.025</v>
      </c>
    </row>
    <row r="103" customFormat="false" ht="17.15" hidden="false" customHeight="false" outlineLevel="0" collapsed="false">
      <c r="A103" s="4" t="s">
        <v>1194</v>
      </c>
      <c r="B103" s="25" t="n">
        <f aca="false">fines</f>
        <v>12.156</v>
      </c>
      <c r="C103" s="25" t="n">
        <f aca="false">fines</f>
        <v>12.156</v>
      </c>
      <c r="D103" s="25" t="n">
        <f aca="false">fines</f>
        <v>12.156</v>
      </c>
      <c r="E103" s="4" t="s">
        <v>1195</v>
      </c>
    </row>
    <row r="104" customFormat="false" ht="17.15" hidden="false" customHeight="false" outlineLevel="0" collapsed="false">
      <c r="A104" s="4" t="s">
        <v>1196</v>
      </c>
      <c r="B104" s="25" t="n">
        <f aca="false">ob_val</f>
        <v>70.56</v>
      </c>
      <c r="C104" s="25" t="n">
        <f aca="false">ob_val</f>
        <v>70.56</v>
      </c>
      <c r="D104" s="25" t="n">
        <f aca="false">ob_val</f>
        <v>70.56</v>
      </c>
      <c r="E104" s="7" t="s">
        <v>1197</v>
      </c>
    </row>
    <row r="105" customFormat="false" ht="17.15" hidden="false" customHeight="false" outlineLevel="0" collapsed="false">
      <c r="A105" s="4" t="s">
        <v>1198</v>
      </c>
      <c r="B105" s="25" t="n">
        <f aca="false">pref_2H/(1+ke)^$F$53+pref_27/(1+ke)^$H$53+pref_28/(1+ke)^$I$53+pref_29/(1+ke)^$J$53</f>
        <v>2.86505742637262</v>
      </c>
      <c r="C105" s="25" t="n">
        <f aca="false">pref_2H/(1+ke)^$F$53+pref_27/(1+ke)^$H$53+pref_28/(1+ke)^$I$53+pref_29/(1+ke)^$J$53</f>
        <v>2.86505742637262</v>
      </c>
      <c r="D105" s="25" t="n">
        <f aca="false">pref_2H/(1+ke)^$F$53+pref_27/(1+ke)^$H$53+pref_28/(1+ke)^$I$53+pref_29/(1+ke)^$J$53</f>
        <v>2.86505742637262</v>
      </c>
      <c r="E105" s="4" t="s">
        <v>1199</v>
      </c>
    </row>
    <row r="106" customFormat="false" ht="15" hidden="false" customHeight="false" outlineLevel="0" collapsed="false">
      <c r="A106" s="4" t="s">
        <v>1200</v>
      </c>
      <c r="B106" s="21" t="n">
        <f aca="false">PL!E63+conv_sh</f>
        <v>12.4606</v>
      </c>
      <c r="C106" s="21" t="n">
        <f aca="false">PL!E122+conv_sh</f>
        <v>12.4606</v>
      </c>
      <c r="D106" s="21" t="n">
        <f aca="false">PL!E181+conv_sh</f>
        <v>12.4606</v>
      </c>
    </row>
    <row r="107" customFormat="false" ht="17.15" hidden="false" customHeight="false" outlineLevel="0" collapsed="false">
      <c r="A107" s="0" t="s">
        <v>1201</v>
      </c>
      <c r="B107" s="25" t="n">
        <f aca="false">MAX(0,(B95+B101+B102-B103-B105+B104)/B106*(1+ke)^t_tgt-dps_tgt)</f>
        <v>122.511278110654</v>
      </c>
      <c r="C107" s="25" t="n">
        <f aca="false">MAX(0,(C95+C101+C102-C103-C105+C104)/C106*(1+ke)^t_tgt-dps_tgt)</f>
        <v>97.8318183382675</v>
      </c>
      <c r="D107" s="25" t="n">
        <f aca="false">MAX(0,(D95+D101+D102-D103-D105+D104)/D106*(1+ke)^t_tgt-dps_tgt)</f>
        <v>53.0483451600069</v>
      </c>
      <c r="E107" s="7" t="s">
        <v>1202</v>
      </c>
    </row>
    <row r="108" customFormat="false" ht="17.15" hidden="false" customHeight="false" outlineLevel="0" collapsed="false">
      <c r="A108" s="0" t="s">
        <v>1203</v>
      </c>
      <c r="B108" s="25" t="n">
        <f aca="false">MAX(0,(B98+B101+B102-B103-B105+B104)/B106*(1+ke)^t_tgt-dps_tgt)</f>
        <v>218.809807147016</v>
      </c>
      <c r="C108" s="25" t="n">
        <f aca="false">MAX(0,(C98+C101+C102-C103-C105+C104)/C106*(1+ke)^t_tgt-dps_tgt)</f>
        <v>194.13034737463</v>
      </c>
      <c r="D108" s="25" t="n">
        <f aca="false">MAX(0,(D98+D101+D102-D103-D105+D104)/D106*(1+ke)^t_tgt-dps_tgt)</f>
        <v>149.346874196369</v>
      </c>
    </row>
    <row r="109" customFormat="false" ht="17.15" hidden="false" customHeight="false" outlineLevel="0" collapsed="false">
      <c r="A109" s="39" t="s">
        <v>1204</v>
      </c>
      <c r="B109" s="33" t="n">
        <f aca="false">IF(internal_ai_reading=2,B108,B107)</f>
        <v>218.809807147016</v>
      </c>
      <c r="C109" s="33" t="n">
        <f aca="false">IF(internal_ai_reading=2,C108,C107)</f>
        <v>194.13034737463</v>
      </c>
      <c r="D109" s="33" t="n">
        <f aca="false">IF(internal_ai_reading=2,D108,D107)</f>
        <v>149.346874196369</v>
      </c>
      <c r="E109" s="9"/>
    </row>
    <row r="111" customFormat="false" ht="17.15" hidden="false" customHeight="false" outlineLevel="0" collapsed="false">
      <c r="A111" s="5" t="s">
        <v>1205</v>
      </c>
    </row>
    <row r="112" customFormat="false" ht="15" hidden="false" customHeight="false" outlineLevel="0" collapsed="false">
      <c r="A112" s="3" t="s">
        <v>43</v>
      </c>
      <c r="B112" s="3"/>
      <c r="C112" s="3"/>
      <c r="D112" s="3"/>
      <c r="E112" s="3" t="s">
        <v>50</v>
      </c>
      <c r="F112" s="20" t="s">
        <v>908</v>
      </c>
      <c r="G112" s="3"/>
      <c r="H112" s="20" t="s">
        <v>910</v>
      </c>
      <c r="I112" s="20" t="s">
        <v>911</v>
      </c>
      <c r="J112" s="20" t="s">
        <v>912</v>
      </c>
      <c r="K112" s="20" t="s">
        <v>913</v>
      </c>
      <c r="L112" s="20" t="s">
        <v>914</v>
      </c>
      <c r="M112" s="20" t="s">
        <v>915</v>
      </c>
    </row>
    <row r="113" customFormat="false" ht="17.15" hidden="false" customHeight="false" outlineLevel="0" collapsed="false">
      <c r="A113" s="0" t="s">
        <v>1206</v>
      </c>
      <c r="F113" s="25" t="n">
        <f aca="false">Thesis!F41</f>
        <v>4.80864309970838</v>
      </c>
      <c r="H113" s="25" t="n">
        <f aca="false">Thesis!H41</f>
        <v>29.2826325521767</v>
      </c>
      <c r="I113" s="25" t="n">
        <f aca="false">Thesis!I41</f>
        <v>46.1021040210172</v>
      </c>
      <c r="J113" s="25" t="n">
        <f aca="false">Thesis!J41</f>
        <v>61.5121037784723</v>
      </c>
      <c r="K113" s="25" t="n">
        <f aca="false">Thesis!K41</f>
        <v>73.1433642441024</v>
      </c>
      <c r="L113" s="25" t="n">
        <f aca="false">Thesis!L41</f>
        <v>81.1565628995932</v>
      </c>
      <c r="M113" s="25" t="n">
        <f aca="false">Thesis!M41</f>
        <v>85.6314182229238</v>
      </c>
    </row>
    <row r="114" customFormat="false" ht="17.15" hidden="false" customHeight="false" outlineLevel="0" collapsed="false">
      <c r="A114" s="4" t="s">
        <v>1207</v>
      </c>
      <c r="F114" s="25" t="n">
        <f aca="false">Thesis!F64</f>
        <v>1.89446529540086</v>
      </c>
      <c r="H114" s="25" t="n">
        <f aca="false">Thesis!H64</f>
        <v>9.9358555214198</v>
      </c>
      <c r="I114" s="25" t="n">
        <f aca="false">Thesis!I64</f>
        <v>19.5292071293719</v>
      </c>
      <c r="J114" s="25" t="n">
        <f aca="false">Thesis!J64</f>
        <v>29.2751363268209</v>
      </c>
      <c r="K114" s="25" t="n">
        <f aca="false">Thesis!K64</f>
        <v>37.8091370100531</v>
      </c>
      <c r="L114" s="25" t="n">
        <f aca="false">Thesis!L64</f>
        <v>45.6198958815322</v>
      </c>
      <c r="M114" s="25" t="n">
        <f aca="false">Thesis!M64</f>
        <v>51.7342466150835</v>
      </c>
    </row>
    <row r="115" customFormat="false" ht="17.15" hidden="false" customHeight="false" outlineLevel="0" collapsed="false">
      <c r="A115" s="0" t="s">
        <v>1208</v>
      </c>
      <c r="F115" s="25" t="n">
        <f aca="false">(F113-F114)*(1-tax)</f>
        <v>2.42459593318386</v>
      </c>
      <c r="H115" s="25" t="n">
        <f aca="false">(H113-H114)*(1-tax)</f>
        <v>16.0965184895897</v>
      </c>
      <c r="I115" s="25" t="n">
        <f aca="false">(I113-I114)*(1-tax)</f>
        <v>22.1086502138489</v>
      </c>
      <c r="J115" s="25" t="n">
        <f aca="false">(J113-J114)*(1-tax)</f>
        <v>26.821156919774</v>
      </c>
      <c r="K115" s="25" t="n">
        <f aca="false">(K113-K114)*(1-tax)</f>
        <v>29.398077058729</v>
      </c>
      <c r="L115" s="25" t="n">
        <f aca="false">(L113-L114)*(1-tax)</f>
        <v>29.5665069590267</v>
      </c>
      <c r="M115" s="25" t="n">
        <f aca="false">(M113-M114)*(1-tax)</f>
        <v>28.2024467777231</v>
      </c>
    </row>
    <row r="116" customFormat="false" ht="17.15" hidden="false" customHeight="false" outlineLevel="0" collapsed="false">
      <c r="A116" s="4" t="s">
        <v>1209</v>
      </c>
      <c r="F116" s="25" t="n">
        <f aca="false">Thesis!F52*ext_sh</f>
        <v>16.7012916242455</v>
      </c>
      <c r="H116" s="25" t="n">
        <f aca="false">Thesis!H52*ext_sh</f>
        <v>70.677756294093</v>
      </c>
      <c r="I116" s="25" t="n">
        <f aca="false">Thesis!I52*ext_sh</f>
        <v>74.550738262572</v>
      </c>
      <c r="J116" s="25" t="n">
        <f aca="false">Thesis!J52*ext_sh</f>
        <v>63.4437799043933</v>
      </c>
      <c r="K116" s="25" t="n">
        <f aca="false">Thesis!K52*ext_sh</f>
        <v>55.2429124981331</v>
      </c>
      <c r="L116" s="25" t="n">
        <f aca="false">Thesis!L52*ext_sh</f>
        <v>50.6412328749179</v>
      </c>
      <c r="M116" s="25" t="n">
        <f aca="false">Thesis!M52*ext_sh</f>
        <v>51.676829393875</v>
      </c>
    </row>
    <row r="117" customFormat="false" ht="17.15" hidden="false" customHeight="false" outlineLevel="0" collapsed="false">
      <c r="A117" s="0" t="s">
        <v>1210</v>
      </c>
      <c r="F117" s="25" t="n">
        <f aca="false">F115+F114-F116</f>
        <v>-12.3822303956608</v>
      </c>
      <c r="H117" s="25" t="n">
        <f aca="false">H115+H114-H116</f>
        <v>-44.6453822830835</v>
      </c>
      <c r="I117" s="25" t="n">
        <f aca="false">I115+I114-I116</f>
        <v>-32.9128809193512</v>
      </c>
      <c r="J117" s="25" t="n">
        <f aca="false">J115+J114-J116</f>
        <v>-7.34748665779848</v>
      </c>
      <c r="K117" s="25" t="n">
        <f aca="false">K115+K114-K116</f>
        <v>11.964301570649</v>
      </c>
      <c r="L117" s="25" t="n">
        <f aca="false">L115+L114-L116</f>
        <v>24.545169965641</v>
      </c>
      <c r="M117" s="25" t="n">
        <f aca="false">M115+M114-M116</f>
        <v>28.2598639989316</v>
      </c>
    </row>
    <row r="118" customFormat="false" ht="15" hidden="false" customHeight="false" outlineLevel="0" collapsed="false">
      <c r="A118" s="4" t="s">
        <v>1211</v>
      </c>
      <c r="F118" s="25" t="n">
        <f aca="false">F117*F54</f>
        <v>-12.2249272741933</v>
      </c>
      <c r="H118" s="25" t="n">
        <f aca="false">H117*H54</f>
        <v>-41.3486150143033</v>
      </c>
      <c r="I118" s="25" t="n">
        <f aca="false">I117*I54</f>
        <v>-27.5188035609885</v>
      </c>
      <c r="J118" s="25" t="n">
        <f aca="false">J117*J54</f>
        <v>-5.54602322681763</v>
      </c>
      <c r="K118" s="25" t="n">
        <f aca="false">K117*K54</f>
        <v>8.15285010393484</v>
      </c>
      <c r="L118" s="25" t="n">
        <f aca="false">L117*L54</f>
        <v>15.099667303321</v>
      </c>
      <c r="M118" s="25" t="n">
        <f aca="false">M117*M54</f>
        <v>15.6946136939936</v>
      </c>
    </row>
    <row r="119" customFormat="false" ht="17.15" hidden="false" customHeight="false" outlineLevel="0" collapsed="false">
      <c r="A119" s="0" t="s">
        <v>1212</v>
      </c>
      <c r="B119" s="25" t="n">
        <f aca="false">SUM(I118:M118)</f>
        <v>5.88230431344333</v>
      </c>
    </row>
    <row r="120" customFormat="false" ht="17.15" hidden="false" customHeight="false" outlineLevel="0" collapsed="false">
      <c r="A120" s="0" t="s">
        <v>1213</v>
      </c>
      <c r="B120" s="25" t="n">
        <f aca="false">M115*(1+g_tv)*(1-g_tv/ronic)/(wacc-g_tv)/(1+wacc)^($M$53+mid)</f>
        <v>142.328778535541</v>
      </c>
    </row>
    <row r="121" customFormat="false" ht="17.15" hidden="false" customHeight="false" outlineLevel="0" collapsed="false">
      <c r="A121" s="5" t="s">
        <v>1214</v>
      </c>
      <c r="B121" s="25" t="n">
        <f aca="false">(B119+B120)*(1+wacc)^($H$53+mid)</f>
        <v>168.425034451898</v>
      </c>
      <c r="E121" s="4" t="s">
        <v>1215</v>
      </c>
    </row>
    <row r="123" customFormat="false" ht="17.15" hidden="false" customHeight="false" outlineLevel="0" collapsed="false">
      <c r="A123" s="5" t="s">
        <v>1216</v>
      </c>
    </row>
    <row r="124" customFormat="false" ht="15" hidden="false" customHeight="false" outlineLevel="0" collapsed="false">
      <c r="A124" s="3" t="s">
        <v>1217</v>
      </c>
      <c r="B124" s="3" t="s">
        <v>1218</v>
      </c>
      <c r="C124" s="3" t="s">
        <v>1219</v>
      </c>
      <c r="D124" s="3"/>
      <c r="E124" s="3" t="s">
        <v>50</v>
      </c>
    </row>
    <row r="125" customFormat="false" ht="17.15" hidden="false" customHeight="false" outlineLevel="0" collapsed="false">
      <c r="A125" s="4" t="s">
        <v>1220</v>
      </c>
      <c r="B125" s="23" t="n">
        <f aca="false">MEDIAN(pm_ads_meta,pm_ads_pins,pm_ads_ttd,pm_ads_app,pm_ads_rddt,pm_ads_snap)</f>
        <v>9.11</v>
      </c>
      <c r="C125" s="40" t="n">
        <v>6</v>
      </c>
      <c r="E125" s="7" t="s">
        <v>1221</v>
      </c>
    </row>
    <row r="126" customFormat="false" ht="17.15" hidden="false" customHeight="false" outlineLevel="0" collapsed="false">
      <c r="A126" s="4" t="s">
        <v>1222</v>
      </c>
      <c r="B126" s="23" t="n">
        <f aca="false">MEDIAN(pm_subs_nflx,pm_subs_spot,pm_subs_dis)</f>
        <v>15.41</v>
      </c>
      <c r="C126" s="40" t="n">
        <v>3</v>
      </c>
      <c r="E126" s="7" t="s">
        <v>1223</v>
      </c>
    </row>
    <row r="127" customFormat="false" ht="17.15" hidden="false" customHeight="false" outlineLevel="0" collapsed="false">
      <c r="A127" s="4" t="s">
        <v>1224</v>
      </c>
      <c r="B127" s="23" t="n">
        <f aca="false">MEDIAN(pm_cloud_orcl,pm_cloud_ibm,pm_cloud_sap,pm_cloud_crm,pm_cloud_now,pm_cloud_akam,pm_cloud_eqix,pm_cloud_docn)</f>
        <v>13.82</v>
      </c>
      <c r="C127" s="40" t="n">
        <v>8</v>
      </c>
      <c r="E127" s="7" t="s">
        <v>1225</v>
      </c>
    </row>
    <row r="128" customFormat="false" ht="17.15" hidden="false" customHeight="false" outlineLevel="0" collapsed="false">
      <c r="A128" s="0" t="s">
        <v>1226</v>
      </c>
      <c r="B128" s="23" t="n">
        <f aca="false">CHOOSE(ads_mode+1,pm_ads_meta,mult_ads,mult_ads_own)</f>
        <v>10.79</v>
      </c>
      <c r="E128" s="4" t="s">
        <v>1227</v>
      </c>
    </row>
    <row r="130" customFormat="false" ht="17.15" hidden="false" customHeight="false" outlineLevel="0" collapsed="false">
      <c r="A130" s="3" t="s">
        <v>1228</v>
      </c>
      <c r="B130" s="3" t="s">
        <v>1074</v>
      </c>
      <c r="C130" s="3" t="s">
        <v>1075</v>
      </c>
      <c r="D130" s="3" t="s">
        <v>1076</v>
      </c>
      <c r="E130" s="3" t="s">
        <v>1229</v>
      </c>
      <c r="F130" s="20" t="s">
        <v>1230</v>
      </c>
      <c r="G130" s="20" t="s">
        <v>1231</v>
      </c>
      <c r="H130" s="20" t="s">
        <v>1232</v>
      </c>
    </row>
    <row r="131" customFormat="false" ht="17.15" hidden="false" customHeight="false" outlineLevel="0" collapsed="false">
      <c r="A131" s="0" t="s">
        <v>1233</v>
      </c>
      <c r="B131" s="25" t="n">
        <f aca="false">(w_ntm27*PL!H14+(1-w_ntm27)*PL!I14)*m_yt+sbc_r*(w_ntm27*PL!H14+(1-w_ntm27)*PL!I14)</f>
        <v>24.5130925896332</v>
      </c>
      <c r="C131" s="25" t="n">
        <f aca="false">(w_ntm27*PL!H73+(1-w_ntm27)*PL!I73)*m_yt+sbc_r*(w_ntm27*PL!H73+(1-w_ntm27)*PL!I73)</f>
        <v>24.5130925896332</v>
      </c>
      <c r="D131" s="25" t="n">
        <f aca="false">(w_ntm27*PL!H132+(1-w_ntm27)*PL!I132)*m_yt+sbc_r*(w_ntm27*PL!H132+(1-w_ntm27)*PL!I132)</f>
        <v>24.5130925896332</v>
      </c>
      <c r="E131" s="0" t="str">
        <f aca="false">"搜尋／YouTube 倍數 "&amp;TEXT(mult_adsx,"0.00")&amp;"×"</f>
        <v>搜尋／YouTube 倍數 10.79×</v>
      </c>
      <c r="F131" s="24" t="n">
        <f aca="false">B131*mult_adsx</f>
        <v>264.496269042142</v>
      </c>
      <c r="G131" s="24" t="n">
        <f aca="false">C131*mult_adsx</f>
        <v>264.496269042142</v>
      </c>
      <c r="H131" s="24" t="n">
        <f aca="false">D131*mult_adsx</f>
        <v>264.496269042142</v>
      </c>
    </row>
    <row r="132" customFormat="false" ht="17.15" hidden="false" customHeight="false" outlineLevel="0" collapsed="false">
      <c r="A132" s="0" t="s">
        <v>1234</v>
      </c>
      <c r="B132" s="25" t="n">
        <f aca="false">(w_ntm27*PL!H15+(1-w_ntm27)*PL!I15)*m_net+sbc_r*(w_ntm27*PL!H15+(1-w_ntm27)*PL!I15)</f>
        <v>6.2312626358223</v>
      </c>
      <c r="C132" s="25" t="n">
        <f aca="false">(w_ntm27*PL!H74+(1-w_ntm27)*PL!I74)*m_net+sbc_r*(w_ntm27*PL!H74+(1-w_ntm27)*PL!I74)</f>
        <v>6.2312626358223</v>
      </c>
      <c r="D132" s="25" t="n">
        <f aca="false">(w_ntm27*PL!H133+(1-w_ntm27)*PL!I133)*m_net+sbc_r*(w_ntm27*PL!H133+(1-w_ntm27)*PL!I133)</f>
        <v>6.2312626358223</v>
      </c>
      <c r="E132" s="0" t="str">
        <f aca="false">"六家廣告中位數 "&amp;TEXT(mult_ads,"0.00")&amp;"×"</f>
        <v>六家廣告中位數 9.11×</v>
      </c>
      <c r="F132" s="24" t="n">
        <f aca="false">B132*mult_ads</f>
        <v>56.7668026123411</v>
      </c>
      <c r="G132" s="24" t="n">
        <f aca="false">C132*mult_ads</f>
        <v>56.7668026123411</v>
      </c>
      <c r="H132" s="24" t="n">
        <f aca="false">D132*mult_ads</f>
        <v>56.7668026123411</v>
      </c>
    </row>
    <row r="133" customFormat="false" ht="17.15" hidden="false" customHeight="false" outlineLevel="0" collapsed="false">
      <c r="A133" s="0" t="s">
        <v>1235</v>
      </c>
      <c r="B133" s="25" t="n">
        <f aca="false">(w_ntm27*PL!H16+(1-w_ntm27)*PL!I16)*m_subs+sbc_r*(w_ntm27*PL!H16+(1-w_ntm27)*PL!I16)</f>
        <v>18.4097775738445</v>
      </c>
      <c r="C133" s="25" t="n">
        <f aca="false">(w_ntm27*PL!H75+(1-w_ntm27)*PL!I75)*m_subs+sbc_r*(w_ntm27*PL!H75+(1-w_ntm27)*PL!I75)</f>
        <v>18.4097775738445</v>
      </c>
      <c r="D133" s="25" t="n">
        <f aca="false">(w_ntm27*PL!H134+(1-w_ntm27)*PL!I134)*m_subs+sbc_r*(w_ntm27*PL!H134+(1-w_ntm27)*PL!I134)</f>
        <v>18.4097775738445</v>
      </c>
      <c r="E133" s="0" t="str">
        <f aca="false">"訂閱影音 "&amp;TEXT(mult_subs,"0.00")&amp;"×"</f>
        <v>訂閱影音 15.41×</v>
      </c>
      <c r="F133" s="24" t="n">
        <f aca="false">B133*mult_subs</f>
        <v>283.694672412944</v>
      </c>
      <c r="G133" s="24" t="n">
        <f aca="false">C133*mult_subs</f>
        <v>283.694672412944</v>
      </c>
      <c r="H133" s="24" t="n">
        <f aca="false">D133*mult_subs</f>
        <v>283.694672412944</v>
      </c>
    </row>
    <row r="134" customFormat="false" ht="17.15" hidden="false" customHeight="false" outlineLevel="0" collapsed="false">
      <c r="A134" s="0" t="s">
        <v>1236</v>
      </c>
      <c r="B134" s="25" t="n">
        <f aca="false">(w_ntm27*PL!H30+(1-w_ntm27)*PL!I30)-(w_ntm27*PL!H14+(1-w_ntm27)*PL!I14)*m_yt-(w_ntm27*PL!H15+(1-w_ntm27)*PL!I15)*m_net-(w_ntm27*PL!H16+(1-w_ntm27)*PL!I16)*m_subs+sbc_r*(w_ntm27*PL!H13+(1-w_ntm27)*PL!I13)</f>
        <v>216.66195044292</v>
      </c>
      <c r="C134" s="25" t="n">
        <f aca="false">(w_ntm27*PL!H89+(1-w_ntm27)*PL!I89)-(w_ntm27*PL!H73+(1-w_ntm27)*PL!I73)*m_yt-(w_ntm27*PL!H74+(1-w_ntm27)*PL!I74)*m_net-(w_ntm27*PL!H75+(1-w_ntm27)*PL!I75)*m_subs+sbc_r*(w_ntm27*PL!H72+(1-w_ntm27)*PL!I72)</f>
        <v>199.146378898398</v>
      </c>
      <c r="D134" s="25" t="n">
        <f aca="false">(w_ntm27*PL!H148+(1-w_ntm27)*PL!I148)-(w_ntm27*PL!H132+(1-w_ntm27)*PL!I132)*m_yt-(w_ntm27*PL!H133+(1-w_ntm27)*PL!I133)*m_net-(w_ntm27*PL!H134+(1-w_ntm27)*PL!I134)*m_subs+sbc_r*(w_ntm27*PL!H131+(1-w_ntm27)*PL!I131)</f>
        <v>165.765860610123</v>
      </c>
      <c r="E134" s="0" t="str">
        <f aca="false">"搜尋／YouTube 倍數 "&amp;TEXT(mult_adsx,"0.00")&amp;"×"</f>
        <v>搜尋／YouTube 倍數 10.79×</v>
      </c>
      <c r="F134" s="24" t="n">
        <f aca="false">B134*mult_adsx</f>
        <v>2337.78244527911</v>
      </c>
      <c r="G134" s="24" t="n">
        <f aca="false">C134*mult_adsx</f>
        <v>2148.78942831372</v>
      </c>
      <c r="H134" s="24" t="n">
        <f aca="false">D134*mult_adsx</f>
        <v>1788.61363598322</v>
      </c>
    </row>
    <row r="135" customFormat="false" ht="17.15" hidden="false" customHeight="false" outlineLevel="0" collapsed="false">
      <c r="A135" s="0" t="s">
        <v>1237</v>
      </c>
      <c r="B135" s="25" t="n">
        <f aca="false">(w_ntm27*PL!H19+(1-w_ntm27)*PL!I19)*tpu_m</f>
        <v>3.25</v>
      </c>
      <c r="C135" s="25" t="n">
        <f aca="false">(w_ntm27*PL!H78+(1-w_ntm27)*PL!I78)*tpu_m</f>
        <v>3.25</v>
      </c>
      <c r="D135" s="25" t="n">
        <f aca="false">(w_ntm27*PL!H137+(1-w_ntm27)*PL!I137)*tpu_m</f>
        <v>3.25</v>
      </c>
      <c r="E135" s="0" t="str">
        <f aca="false">"AI 基礎設施 "&amp;TEXT(mult_ai,"0.00")&amp;"×"</f>
        <v>AI 基礎設施 6.00×</v>
      </c>
      <c r="F135" s="24" t="n">
        <f aca="false">B135*mult_ai</f>
        <v>19.5</v>
      </c>
      <c r="G135" s="24" t="n">
        <f aca="false">C135*mult_ai</f>
        <v>19.5</v>
      </c>
      <c r="H135" s="24" t="n">
        <f aca="false">D135*mult_ai</f>
        <v>19.5</v>
      </c>
    </row>
    <row r="136" customFormat="false" ht="17.15" hidden="false" customHeight="false" outlineLevel="0" collapsed="false">
      <c r="A136" s="0" t="s">
        <v>1238</v>
      </c>
      <c r="B136" s="25" t="n">
        <f aca="false">(w_ntm27*PL!H20+(1-w_ntm27)*PL!I20)*m_co+sbc_r*(w_ntm27*PL!H20+(1-w_ntm27)*PL!I20)</f>
        <v>74.9108850066799</v>
      </c>
      <c r="C136" s="25" t="n">
        <f aca="false">(w_ntm27*PL!H79+(1-w_ntm27)*PL!I79)*m_co+sbc_r*(w_ntm27*PL!H79+(1-w_ntm27)*PL!I79)</f>
        <v>74.9108850066799</v>
      </c>
      <c r="D136" s="25" t="n">
        <f aca="false">(w_ntm27*PL!H138+(1-w_ntm27)*PL!I138)*m_co+sbc_r*(w_ntm27*PL!H138+(1-w_ntm27)*PL!I138)</f>
        <v>74.9108850066799</v>
      </c>
      <c r="E136" s="0" t="str">
        <f aca="false">"非 AI 雲端 "&amp;TEXT(mult_cloud,"0.00")&amp;"×"</f>
        <v>非 AI 雲端 13.82×</v>
      </c>
      <c r="F136" s="24" t="n">
        <f aca="false">B136*mult_cloud</f>
        <v>1035.26843079232</v>
      </c>
      <c r="G136" s="24" t="n">
        <f aca="false">C136*mult_cloud</f>
        <v>1035.26843079232</v>
      </c>
      <c r="H136" s="24" t="n">
        <f aca="false">D136*mult_cloud</f>
        <v>1035.26843079232</v>
      </c>
    </row>
    <row r="137" customFormat="false" ht="17.15" hidden="false" customHeight="false" outlineLevel="0" collapsed="false">
      <c r="A137" s="0" t="s">
        <v>1239</v>
      </c>
      <c r="B137" s="25" t="n">
        <f aca="false">(w_ntm27*PL!H41+(1-w_ntm27)*PL!I41)</f>
        <v>-55.4924590395121</v>
      </c>
      <c r="C137" s="25" t="n">
        <f aca="false">(w_ntm27*PL!H100+(1-w_ntm27)*PL!I100)</f>
        <v>-54.1177902459591</v>
      </c>
      <c r="D137" s="25" t="n">
        <f aca="false">(w_ntm27*PL!H159+(1-w_ntm27)*PL!I159)</f>
        <v>-51.4979980977622</v>
      </c>
      <c r="E137" s="0" t="str">
        <f aca="false">"搜尋／YouTube 倍數 "&amp;TEXT(mult_adsx,"0.00")&amp;"×"</f>
        <v>搜尋／YouTube 倍數 10.79×</v>
      </c>
      <c r="F137" s="24" t="n">
        <f aca="false">B137*mult_adsx</f>
        <v>-598.763633036336</v>
      </c>
      <c r="G137" s="24" t="n">
        <f aca="false">C137*mult_adsx</f>
        <v>-583.930956753898</v>
      </c>
      <c r="H137" s="24" t="n">
        <f aca="false">D137*mult_adsx</f>
        <v>-555.663399474854</v>
      </c>
    </row>
    <row r="138" customFormat="false" ht="17.15" hidden="false" customHeight="false" outlineLevel="0" collapsed="false">
      <c r="A138" s="0" t="s">
        <v>1240</v>
      </c>
      <c r="B138" s="25" t="n">
        <f aca="false">(w_ntm27*Thesis!H41+(1-w_ntm27)*Thesis!I41)</f>
        <v>43.1990632454953</v>
      </c>
      <c r="C138" s="25" t="n">
        <f aca="false">(w_ntm27*Thesis!H41+(1-w_ntm27)*Thesis!I41)</f>
        <v>43.1990632454953</v>
      </c>
      <c r="D138" s="25" t="n">
        <f aca="false">(w_ntm27*Thesis!H41+(1-w_ntm27)*Thesis!I41)</f>
        <v>43.1990632454953</v>
      </c>
      <c r="E138" s="7" t="s">
        <v>1241</v>
      </c>
      <c r="F138" s="24" t="n">
        <f aca="false">$B$121</f>
        <v>168.425034451898</v>
      </c>
      <c r="G138" s="24" t="n">
        <f aca="false">$B$121</f>
        <v>168.425034451898</v>
      </c>
      <c r="H138" s="24" t="n">
        <f aca="false">$B$121</f>
        <v>168.425034451898</v>
      </c>
    </row>
    <row r="139" customFormat="false" ht="17.15" hidden="false" customHeight="false" outlineLevel="0" collapsed="false">
      <c r="A139" s="0" t="s">
        <v>1242</v>
      </c>
      <c r="B139" s="25" t="n">
        <f aca="false">(w_ntm27*PL!H38+(1-w_ntm27)*PL!I38)</f>
        <v>-8.89452917944846</v>
      </c>
      <c r="C139" s="25" t="n">
        <f aca="false">(w_ntm27*PL!H97+(1-w_ntm27)*PL!I97)</f>
        <v>-8.89452917944846</v>
      </c>
      <c r="D139" s="25" t="n">
        <f aca="false">(w_ntm27*PL!H156+(1-w_ntm27)*PL!I156)</f>
        <v>-8.89452917944846</v>
      </c>
      <c r="E139" s="7" t="s">
        <v>1243</v>
      </c>
      <c r="F139" s="24" t="n">
        <f aca="false">ob_val</f>
        <v>70.56</v>
      </c>
      <c r="G139" s="24" t="n">
        <f aca="false">ob_val</f>
        <v>70.56</v>
      </c>
      <c r="H139" s="24" t="n">
        <f aca="false">ob_val</f>
        <v>70.56</v>
      </c>
    </row>
    <row r="140" customFormat="false" ht="17.15" hidden="false" customHeight="false" outlineLevel="0" collapsed="false">
      <c r="A140" s="4" t="s">
        <v>1244</v>
      </c>
      <c r="B140" s="24" t="n">
        <f aca="false">SUM(F131:F139)</f>
        <v>3637.73002155442</v>
      </c>
      <c r="C140" s="24" t="n">
        <f aca="false">SUM(G131:G139)</f>
        <v>3463.56968087146</v>
      </c>
      <c r="D140" s="24" t="n">
        <f aca="false">SUM(H131:H139)</f>
        <v>3131.66144582001</v>
      </c>
    </row>
    <row r="141" customFormat="false" ht="17.15" hidden="false" customHeight="false" outlineLevel="0" collapsed="false">
      <c r="A141" s="4" t="s">
        <v>1245</v>
      </c>
      <c r="B141" s="25" t="n">
        <f aca="false">(w_ntm27*Thesis!H68+(1-w_ntm27)*Thesis!I68)+(w_ntm27*Thesis!H69+(1-w_ntm27)*Thesis!I69)</f>
        <v>25.0956697928225</v>
      </c>
      <c r="C141" s="25" t="n">
        <f aca="false">(w_ntm27*Thesis!H68+(1-w_ntm27)*Thesis!I68)+(w_ntm27*Thesis!H69+(1-w_ntm27)*Thesis!I69)</f>
        <v>25.0956697928225</v>
      </c>
      <c r="D141" s="25" t="n">
        <f aca="false">(w_ntm27*Thesis!H68+(1-w_ntm27)*Thesis!I68)+(w_ntm27*Thesis!H69+(1-w_ntm27)*Thesis!I69)</f>
        <v>25.0956697928225</v>
      </c>
      <c r="E141" s="4" t="s">
        <v>1246</v>
      </c>
      <c r="F141" s="24" t="n">
        <f aca="false">B141*mult_adsx</f>
        <v>270.782277064554</v>
      </c>
      <c r="G141" s="24" t="n">
        <f aca="false">C141*mult_adsx</f>
        <v>270.782277064554</v>
      </c>
      <c r="H141" s="24" t="n">
        <f aca="false">D141*mult_adsx</f>
        <v>270.782277064554</v>
      </c>
    </row>
    <row r="142" customFormat="false" ht="17.15" hidden="false" customHeight="false" outlineLevel="0" collapsed="false">
      <c r="A142" s="4" t="s">
        <v>1247</v>
      </c>
      <c r="E142" s="4" t="s">
        <v>1248</v>
      </c>
      <c r="F142" s="24" t="n">
        <f aca="false">(1-ext_sh)*(cip_0+Thesis!F52+Thesis!H52)-(Thesis!F65+Thesis!H65)</f>
        <v>276.064663236875</v>
      </c>
      <c r="G142" s="24" t="n">
        <f aca="false">(1-ext_sh)*(cip_0+Thesis!F52+Thesis!H52)-(Thesis!F65+Thesis!H65)</f>
        <v>276.064663236875</v>
      </c>
      <c r="H142" s="24" t="n">
        <f aca="false">(1-ext_sh)*(cip_0+Thesis!F52+Thesis!H52)-(Thesis!F65+Thesis!H65)</f>
        <v>276.064663236875</v>
      </c>
    </row>
    <row r="143" customFormat="false" ht="17.15" hidden="false" customHeight="false" outlineLevel="0" collapsed="false">
      <c r="A143" s="4" t="s">
        <v>1249</v>
      </c>
      <c r="B143" s="24" t="n">
        <f aca="false">B140+F141+F142</f>
        <v>4184.57696185585</v>
      </c>
      <c r="C143" s="24" t="n">
        <f aca="false">C140+G141+G142</f>
        <v>4010.41662117289</v>
      </c>
      <c r="D143" s="24" t="n">
        <f aca="false">D140+H141+H142</f>
        <v>3678.50838612144</v>
      </c>
    </row>
    <row r="144" customFormat="false" ht="17.15" hidden="false" customHeight="false" outlineLevel="0" collapsed="false">
      <c r="A144" s="2" t="s">
        <v>1250</v>
      </c>
      <c r="B144" s="24" t="n">
        <f aca="false">IF(internal_ai_reading=2,B143,B140)</f>
        <v>4184.57696185585</v>
      </c>
      <c r="C144" s="24" t="n">
        <f aca="false">IF(internal_ai_reading=2,C143,C140)</f>
        <v>4010.41662117289</v>
      </c>
      <c r="D144" s="24" t="n">
        <f aca="false">IF(internal_ai_reading=2,D143,D140)</f>
        <v>3678.50838612144</v>
      </c>
    </row>
    <row r="145" customFormat="false" ht="17.15" hidden="false" customHeight="false" outlineLevel="0" collapsed="false">
      <c r="A145" s="4" t="s">
        <v>1251</v>
      </c>
      <c r="B145" s="24" t="n">
        <f aca="false">SUM(B131:B139)+(internal_ai_reading=2)*B141</f>
        <v>347.884713068257</v>
      </c>
      <c r="C145" s="24" t="n">
        <f aca="false">SUM(C131:C139)+(internal_ai_reading=2)*C141</f>
        <v>331.743810317288</v>
      </c>
      <c r="D145" s="24" t="n">
        <f aca="false">SUM(D131:D139)+(internal_ai_reading=2)*D141</f>
        <v>300.98308417721</v>
      </c>
    </row>
    <row r="146" customFormat="false" ht="17.15" hidden="false" customHeight="false" outlineLevel="0" collapsed="false">
      <c r="A146" s="4" t="s">
        <v>1252</v>
      </c>
      <c r="B146" s="24" t="n">
        <f aca="false">B138*mult_ai</f>
        <v>259.194379472972</v>
      </c>
      <c r="C146" s="24" t="n">
        <f aca="false">C138*mult_ai</f>
        <v>259.194379472972</v>
      </c>
      <c r="D146" s="24" t="n">
        <f aca="false">D138*mult_ai</f>
        <v>259.194379472972</v>
      </c>
      <c r="E146" s="0" t="str">
        <f aca="false">"AI 模組 DCF − 倍數版＝"&amp;TEXT(F138-B146,"0.0")</f>
        <v>AI 模組 DCF − 倍數版＝-90.8</v>
      </c>
    </row>
    <row r="147" customFormat="false" ht="17.15" hidden="false" customHeight="false" outlineLevel="0" collapsed="false">
      <c r="A147" s="4" t="s">
        <v>1253</v>
      </c>
      <c r="B147" s="25" t="n">
        <f aca="false">CF!H40-fin_lease-(F49+H49)</f>
        <v>-31.3315464027242</v>
      </c>
      <c r="C147" s="25" t="n">
        <f aca="false">CF!H72-fin_lease-(F65+H65)</f>
        <v>-37.4912561054575</v>
      </c>
      <c r="D147" s="25" t="n">
        <f aca="false">CF!H104-fin_lease-(F81+H81)</f>
        <v>-49.5052353603752</v>
      </c>
      <c r="E147" s="4" t="s">
        <v>1254</v>
      </c>
    </row>
    <row r="148" customFormat="false" ht="17.15" hidden="false" customHeight="false" outlineLevel="0" collapsed="false">
      <c r="A148" s="4" t="s">
        <v>1255</v>
      </c>
      <c r="B148" s="25" t="n">
        <f aca="false">B102+anth_2H+anth_27</f>
        <v>194.58</v>
      </c>
      <c r="C148" s="25" t="n">
        <f aca="false">B102+anth_2H+anth_27</f>
        <v>194.58</v>
      </c>
      <c r="D148" s="25" t="n">
        <f aca="false">B102+anth_2H+anth_27</f>
        <v>194.58</v>
      </c>
      <c r="E148" s="4" t="s">
        <v>1256</v>
      </c>
    </row>
    <row r="149" customFormat="false" ht="15" hidden="false" customHeight="false" outlineLevel="0" collapsed="false">
      <c r="A149" s="4" t="s">
        <v>1257</v>
      </c>
      <c r="B149" s="25" t="n">
        <f aca="false">B103</f>
        <v>12.156</v>
      </c>
      <c r="C149" s="25" t="n">
        <f aca="false">B103</f>
        <v>12.156</v>
      </c>
      <c r="D149" s="25" t="n">
        <f aca="false">B103</f>
        <v>12.156</v>
      </c>
    </row>
    <row r="150" customFormat="false" ht="17.15" hidden="false" customHeight="false" outlineLevel="0" collapsed="false">
      <c r="A150" s="4" t="s">
        <v>1258</v>
      </c>
      <c r="B150" s="21" t="n">
        <f aca="false">PL!H63+conv_sh</f>
        <v>12.5702761069993</v>
      </c>
      <c r="C150" s="21" t="n">
        <f aca="false">PL!H122+conv_sh</f>
        <v>12.5702761069993</v>
      </c>
      <c r="D150" s="21" t="n">
        <f aca="false">PL!H181+conv_sh</f>
        <v>12.5702761069993</v>
      </c>
    </row>
    <row r="151" customFormat="false" ht="17.15" hidden="false" customHeight="false" outlineLevel="0" collapsed="false">
      <c r="A151" s="4" t="s">
        <v>1259</v>
      </c>
      <c r="B151" s="25" t="n">
        <f aca="false">MAX(0,(B140+B147+B148-B149)/B150)</f>
        <v>301.411237342831</v>
      </c>
      <c r="C151" s="25" t="n">
        <f aca="false">MAX(0,(C140+C147+C148-C149)/C150)</f>
        <v>287.066281921742</v>
      </c>
      <c r="D151" s="25" t="n">
        <f aca="false">MAX(0,(D140+D147+D148-D149)/D150)</f>
        <v>259.706324878725</v>
      </c>
    </row>
    <row r="152" customFormat="false" ht="17.15" hidden="false" customHeight="false" outlineLevel="0" collapsed="false">
      <c r="A152" s="4" t="s">
        <v>1260</v>
      </c>
      <c r="B152" s="25" t="n">
        <f aca="false">MAX(0,(B143+B147+B148-B149)/B150)</f>
        <v>344.91441385595</v>
      </c>
      <c r="C152" s="25" t="n">
        <f aca="false">MAX(0,(C143+C147+C148-C149)/C150)</f>
        <v>330.569458434861</v>
      </c>
      <c r="D152" s="25" t="n">
        <f aca="false">MAX(0,(D143+D147+D148-D149)/D150)</f>
        <v>303.209501391844</v>
      </c>
    </row>
    <row r="153" customFormat="false" ht="15" hidden="false" customHeight="false" outlineLevel="0" collapsed="false">
      <c r="A153" s="34" t="s">
        <v>1261</v>
      </c>
      <c r="B153" s="33" t="n">
        <f aca="false">IF(internal_ai_reading=2,B152,B151)</f>
        <v>344.91441385595</v>
      </c>
      <c r="C153" s="33" t="n">
        <f aca="false">IF(internal_ai_reading=2,C152,C151)</f>
        <v>330.569458434861</v>
      </c>
      <c r="D153" s="33" t="n">
        <f aca="false">IF(internal_ai_reading=2,D152,D151)</f>
        <v>303.209501391844</v>
      </c>
      <c r="E153" s="9"/>
    </row>
    <row r="154" customFormat="false" ht="17.15" hidden="false" customHeight="false" outlineLevel="0" collapsed="false">
      <c r="A154" s="4" t="s">
        <v>1262</v>
      </c>
      <c r="B154" s="23" t="n">
        <f aca="false">B144/B145</f>
        <v>12.0286313386665</v>
      </c>
      <c r="C154" s="23" t="n">
        <f aca="false">C144/C145</f>
        <v>12.0888966016795</v>
      </c>
      <c r="D154" s="23" t="n">
        <f aca="false">D144/D145</f>
        <v>12.221644934556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7" min="2" style="0" width="13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1263</v>
      </c>
    </row>
    <row r="3" customFormat="false" ht="17.15" hidden="false" customHeight="false" outlineLevel="0" collapsed="false">
      <c r="A3" s="5" t="s">
        <v>1264</v>
      </c>
    </row>
    <row r="4" customFormat="false" ht="17.15" hidden="false" customHeight="false" outlineLevel="0" collapsed="false">
      <c r="A4" s="3" t="s">
        <v>43</v>
      </c>
      <c r="B4" s="3" t="s">
        <v>1265</v>
      </c>
      <c r="C4" s="3" t="s">
        <v>1074</v>
      </c>
      <c r="D4" s="3" t="s">
        <v>1075</v>
      </c>
      <c r="E4" s="3" t="s">
        <v>1076</v>
      </c>
      <c r="F4" s="3" t="s">
        <v>1266</v>
      </c>
      <c r="G4" s="20" t="s">
        <v>1267</v>
      </c>
      <c r="H4" s="3" t="s">
        <v>50</v>
      </c>
    </row>
    <row r="5" customFormat="false" ht="15" hidden="false" customHeight="false" outlineLevel="0" collapsed="false">
      <c r="A5" s="4" t="s">
        <v>1268</v>
      </c>
      <c r="B5" s="0" t="s">
        <v>1269</v>
      </c>
      <c r="C5" s="25" t="n">
        <f aca="false">PL!G24</f>
        <v>502.873452394731</v>
      </c>
      <c r="D5" s="25" t="n">
        <f aca="false">PL!G83</f>
        <v>502.873452394731</v>
      </c>
      <c r="E5" s="25" t="n">
        <f aca="false">PL!G142</f>
        <v>502.873452394731</v>
      </c>
      <c r="F5" s="25" t="n">
        <f aca="false">c_rev_26</f>
        <v>500.142</v>
      </c>
      <c r="G5" s="14" t="n">
        <f aca="false">D5/F5-1</f>
        <v>0.00546135376499346</v>
      </c>
    </row>
    <row r="6" customFormat="false" ht="15" hidden="false" customHeight="false" outlineLevel="0" collapsed="false">
      <c r="A6" s="4" t="s">
        <v>1268</v>
      </c>
      <c r="B6" s="0" t="s">
        <v>1270</v>
      </c>
      <c r="C6" s="25" t="n">
        <f aca="false">PL!H24</f>
        <v>642.424235495456</v>
      </c>
      <c r="D6" s="25" t="n">
        <f aca="false">PL!H83</f>
        <v>631.20297365841</v>
      </c>
      <c r="E6" s="25" t="n">
        <f aca="false">PL!H142</f>
        <v>609.316876191114</v>
      </c>
      <c r="F6" s="25" t="n">
        <f aca="false">c_rev_27</f>
        <v>626.817</v>
      </c>
      <c r="G6" s="14" t="n">
        <f aca="false">D6/F6-1</f>
        <v>0.00699721554841437</v>
      </c>
    </row>
    <row r="7" customFormat="false" ht="15" hidden="false" customHeight="false" outlineLevel="0" collapsed="false">
      <c r="A7" s="4" t="s">
        <v>1268</v>
      </c>
      <c r="B7" s="0" t="s">
        <v>1271</v>
      </c>
      <c r="C7" s="25" t="n">
        <f aca="false">PL!I24</f>
        <v>781.589834412864</v>
      </c>
      <c r="D7" s="25" t="n">
        <f aca="false">PL!I83</f>
        <v>756.240116300532</v>
      </c>
      <c r="E7" s="25" t="n">
        <f aca="false">PL!I142</f>
        <v>708.034094972162</v>
      </c>
      <c r="F7" s="25" t="n">
        <f aca="false">c_rev_28</f>
        <v>754.762</v>
      </c>
      <c r="G7" s="14" t="n">
        <f aca="false">D7/F7-1</f>
        <v>0.00195838728040321</v>
      </c>
    </row>
    <row r="8" customFormat="false" ht="15" hidden="false" customHeight="false" outlineLevel="0" collapsed="false">
      <c r="A8" s="4" t="s">
        <v>1272</v>
      </c>
      <c r="B8" s="0" t="s">
        <v>1269</v>
      </c>
      <c r="C8" s="25" t="n">
        <f aca="false">PL!G46</f>
        <v>161.178092132767</v>
      </c>
      <c r="D8" s="25" t="n">
        <f aca="false">PL!G105</f>
        <v>161.178092132767</v>
      </c>
      <c r="E8" s="25" t="n">
        <f aca="false">PL!G164</f>
        <v>161.178092132767</v>
      </c>
      <c r="F8" s="25" t="n">
        <f aca="false">c_ebit_26</f>
        <v>172.033</v>
      </c>
      <c r="G8" s="14" t="n">
        <f aca="false">D8/F8-1</f>
        <v>-0.0630978234828936</v>
      </c>
    </row>
    <row r="9" customFormat="false" ht="15" hidden="false" customHeight="false" outlineLevel="0" collapsed="false">
      <c r="A9" s="4" t="s">
        <v>1272</v>
      </c>
      <c r="B9" s="0" t="s">
        <v>1270</v>
      </c>
      <c r="C9" s="25" t="n">
        <f aca="false">PL!H46</f>
        <v>171.631315175465</v>
      </c>
      <c r="D9" s="25" t="n">
        <f aca="false">PL!H105</f>
        <v>164.466539492511</v>
      </c>
      <c r="E9" s="25" t="n">
        <f aca="false">PL!H164</f>
        <v>150.492266259642</v>
      </c>
      <c r="F9" s="25" t="n">
        <f aca="false">c_ebit_27</f>
        <v>220.967</v>
      </c>
      <c r="G9" s="14" t="n">
        <f aca="false">D9/F9-1</f>
        <v>-0.255696373247992</v>
      </c>
    </row>
    <row r="10" customFormat="false" ht="15" hidden="false" customHeight="false" outlineLevel="0" collapsed="false">
      <c r="A10" s="4" t="s">
        <v>1272</v>
      </c>
      <c r="B10" s="0" t="s">
        <v>1271</v>
      </c>
      <c r="C10" s="25" t="n">
        <f aca="false">PL!I46</f>
        <v>185.164257536019</v>
      </c>
      <c r="D10" s="25" t="n">
        <f aca="false">PL!I105</f>
        <v>169.045790092317</v>
      </c>
      <c r="E10" s="25" t="n">
        <f aca="false">PL!I164</f>
        <v>138.397562058957</v>
      </c>
      <c r="F10" s="25" t="n">
        <f aca="false">c_ebit_28</f>
        <v>268.322</v>
      </c>
      <c r="G10" s="14" t="n">
        <f aca="false">D10/F10-1</f>
        <v>-0.369989079940082</v>
      </c>
    </row>
    <row r="11" customFormat="false" ht="17.15" hidden="false" customHeight="false" outlineLevel="0" collapsed="false">
      <c r="A11" s="0" t="s">
        <v>1273</v>
      </c>
      <c r="B11" s="0" t="s">
        <v>1269</v>
      </c>
      <c r="C11" s="25" t="n">
        <f aca="false">PL!G65</f>
        <v>18.955164496181</v>
      </c>
      <c r="D11" s="25" t="n">
        <f aca="false">PL!G124</f>
        <v>18.955164496181</v>
      </c>
      <c r="E11" s="25" t="n">
        <f aca="false">PL!G183</f>
        <v>18.955164496181</v>
      </c>
      <c r="F11" s="25" t="n">
        <f aca="false">c_eps_26</f>
        <v>20.6</v>
      </c>
      <c r="G11" s="14" t="n">
        <f aca="false">D11/F11-1</f>
        <v>-0.0798463836805341</v>
      </c>
      <c r="H11" s="4" t="s">
        <v>1274</v>
      </c>
    </row>
    <row r="12" customFormat="false" ht="17.15" hidden="false" customHeight="false" outlineLevel="0" collapsed="false">
      <c r="A12" s="0" t="s">
        <v>1273</v>
      </c>
      <c r="B12" s="0" t="s">
        <v>1270</v>
      </c>
      <c r="C12" s="25" t="n">
        <f aca="false">PL!H65</f>
        <v>11.3592467150767</v>
      </c>
      <c r="D12" s="25" t="n">
        <f aca="false">PL!H124</f>
        <v>10.881455093912</v>
      </c>
      <c r="E12" s="25" t="n">
        <f aca="false">PL!H183</f>
        <v>9.94956399808665</v>
      </c>
      <c r="F12" s="25" t="n">
        <f aca="false">c_eps_27</f>
        <v>15.12</v>
      </c>
      <c r="G12" s="14" t="n">
        <f aca="false">D12/F12-1</f>
        <v>-0.280327044053438</v>
      </c>
    </row>
    <row r="13" customFormat="false" ht="17.15" hidden="false" customHeight="false" outlineLevel="0" collapsed="false">
      <c r="A13" s="0" t="s">
        <v>1273</v>
      </c>
      <c r="B13" s="0" t="s">
        <v>1271</v>
      </c>
      <c r="C13" s="25" t="n">
        <f aca="false">PL!I65</f>
        <v>11.9775034169225</v>
      </c>
      <c r="D13" s="25" t="n">
        <f aca="false">PL!I124</f>
        <v>10.8918147233692</v>
      </c>
      <c r="E13" s="25" t="n">
        <f aca="false">PL!I183</f>
        <v>8.83436233857869</v>
      </c>
      <c r="F13" s="25" t="n">
        <f aca="false">c_eps_28</f>
        <v>18.21</v>
      </c>
      <c r="G13" s="14" t="n">
        <f aca="false">D13/F13-1</f>
        <v>-0.401877280430028</v>
      </c>
    </row>
    <row r="14" customFormat="false" ht="15" hidden="false" customHeight="false" outlineLevel="0" collapsed="false">
      <c r="A14" s="4" t="s">
        <v>1275</v>
      </c>
      <c r="B14" s="0" t="s">
        <v>1269</v>
      </c>
      <c r="C14" s="25" t="n">
        <f aca="false">CF!G21</f>
        <v>200</v>
      </c>
      <c r="D14" s="25" t="n">
        <f aca="false">CF!G53</f>
        <v>200</v>
      </c>
      <c r="E14" s="25" t="n">
        <f aca="false">CF!G85</f>
        <v>200</v>
      </c>
      <c r="F14" s="25" t="n">
        <f aca="false">c_capex_26</f>
        <v>202.078</v>
      </c>
      <c r="G14" s="14" t="n">
        <f aca="false">D14/F14-1</f>
        <v>-0.0102831579884995</v>
      </c>
    </row>
    <row r="15" customFormat="false" ht="15" hidden="false" customHeight="false" outlineLevel="0" collapsed="false">
      <c r="A15" s="4" t="s">
        <v>1275</v>
      </c>
      <c r="B15" s="0" t="s">
        <v>1270</v>
      </c>
      <c r="C15" s="25" t="n">
        <f aca="false">CF!H21</f>
        <v>291.03841536674</v>
      </c>
      <c r="D15" s="25" t="n">
        <f aca="false">CF!H53</f>
        <v>290.365139656517</v>
      </c>
      <c r="E15" s="25" t="n">
        <f aca="false">CF!H85</f>
        <v>289.051973808479</v>
      </c>
      <c r="F15" s="25" t="n">
        <f aca="false">c_capex_27</f>
        <v>308.024</v>
      </c>
      <c r="G15" s="14" t="n">
        <f aca="false">D15/F15-1</f>
        <v>-0.0573294949207955</v>
      </c>
    </row>
    <row r="16" customFormat="false" ht="15" hidden="false" customHeight="false" outlineLevel="0" collapsed="false">
      <c r="A16" s="4" t="s">
        <v>1275</v>
      </c>
      <c r="B16" s="0" t="s">
        <v>1271</v>
      </c>
      <c r="C16" s="25" t="n">
        <f aca="false">CF!I21</f>
        <v>318.919818472261</v>
      </c>
      <c r="D16" s="25" t="n">
        <f aca="false">CF!I53</f>
        <v>317.398835385521</v>
      </c>
      <c r="E16" s="25" t="n">
        <f aca="false">CF!I85</f>
        <v>314.506474105819</v>
      </c>
      <c r="F16" s="25" t="n">
        <f aca="false">c_capex_28</f>
        <v>352.387</v>
      </c>
      <c r="G16" s="14" t="n">
        <f aca="false">D16/F16-1</f>
        <v>-0.0992890334049745</v>
      </c>
    </row>
    <row r="17" customFormat="false" ht="15" hidden="false" customHeight="false" outlineLevel="0" collapsed="false">
      <c r="A17" s="4" t="s">
        <v>1276</v>
      </c>
      <c r="B17" s="0" t="s">
        <v>1269</v>
      </c>
      <c r="C17" s="25" t="n">
        <f aca="false">CF!G23</f>
        <v>-12.558712878095</v>
      </c>
      <c r="D17" s="25" t="n">
        <f aca="false">CF!G55</f>
        <v>-12.558712878095</v>
      </c>
      <c r="E17" s="25" t="n">
        <f aca="false">CF!G87</f>
        <v>-12.558712878095</v>
      </c>
      <c r="F17" s="25" t="n">
        <f aca="false">c_fcf_26</f>
        <v>7.069</v>
      </c>
      <c r="G17" s="14" t="n">
        <f aca="false">D17/F17-1</f>
        <v>-2.77658974085372</v>
      </c>
      <c r="H17" s="4" t="s">
        <v>1277</v>
      </c>
    </row>
    <row r="18" customFormat="false" ht="15" hidden="false" customHeight="false" outlineLevel="0" collapsed="false">
      <c r="A18" s="4" t="s">
        <v>1276</v>
      </c>
      <c r="B18" s="0" t="s">
        <v>1270</v>
      </c>
      <c r="C18" s="25" t="n">
        <f aca="false">CF!H23</f>
        <v>-41.2721522139398</v>
      </c>
      <c r="D18" s="25" t="n">
        <f aca="false">CF!H55</f>
        <v>-47.4318619166731</v>
      </c>
      <c r="E18" s="25" t="n">
        <f aca="false">CF!H87</f>
        <v>-59.4458411715908</v>
      </c>
      <c r="F18" s="25" t="n">
        <f aca="false">c_fcf_27</f>
        <v>-37.207</v>
      </c>
      <c r="G18" s="14" t="n">
        <f aca="false">D18/F18-1</f>
        <v>0.274810167889727</v>
      </c>
      <c r="H18" s="4" t="s">
        <v>1277</v>
      </c>
    </row>
    <row r="19" customFormat="false" ht="15" hidden="false" customHeight="false" outlineLevel="0" collapsed="false">
      <c r="A19" s="4" t="s">
        <v>1276</v>
      </c>
      <c r="B19" s="0" t="s">
        <v>1271</v>
      </c>
      <c r="C19" s="25" t="n">
        <f aca="false">CF!I23</f>
        <v>-13.3917256601722</v>
      </c>
      <c r="D19" s="25" t="n">
        <f aca="false">CF!I55</f>
        <v>-27.3817647734111</v>
      </c>
      <c r="E19" s="25" t="n">
        <f aca="false">CF!I87</f>
        <v>-53.9894202872388</v>
      </c>
      <c r="F19" s="25" t="n">
        <f aca="false">c_fcf_28</f>
        <v>6.132</v>
      </c>
      <c r="G19" s="14" t="n">
        <f aca="false">D19/F19-1</f>
        <v>-5.46538890629666</v>
      </c>
      <c r="H19" s="4" t="s">
        <v>1277</v>
      </c>
    </row>
    <row r="20" customFormat="false" ht="17.15" hidden="false" customHeight="false" outlineLevel="0" collapsed="false">
      <c r="A20" s="0" t="s">
        <v>1278</v>
      </c>
      <c r="B20" s="0" t="s">
        <v>1269</v>
      </c>
      <c r="C20" s="23" t="n">
        <f aca="false">PL!G66</f>
        <v>10.8121687795881</v>
      </c>
      <c r="D20" s="23" t="n">
        <f aca="false">PL!G125</f>
        <v>10.8121687795881</v>
      </c>
      <c r="E20" s="23" t="n">
        <f aca="false">PL!G184</f>
        <v>10.8121687795881</v>
      </c>
      <c r="F20" s="23" t="n">
        <f aca="false">c_eps26_sa</f>
        <v>11.89</v>
      </c>
      <c r="G20" s="14" t="n">
        <f aca="false">D20/F20-1</f>
        <v>-0.0906502287983108</v>
      </c>
    </row>
    <row r="22" customFormat="false" ht="17.15" hidden="false" customHeight="false" outlineLevel="0" collapsed="false">
      <c r="A22" s="5" t="s">
        <v>1279</v>
      </c>
    </row>
    <row r="23" customFormat="false" ht="15" hidden="false" customHeight="false" outlineLevel="0" collapsed="false">
      <c r="A23" s="3" t="s">
        <v>1280</v>
      </c>
      <c r="B23" s="20" t="s">
        <v>909</v>
      </c>
      <c r="C23" s="20" t="s">
        <v>910</v>
      </c>
      <c r="D23" s="20" t="s">
        <v>911</v>
      </c>
      <c r="E23" s="3" t="s">
        <v>1266</v>
      </c>
      <c r="F23" s="3" t="s">
        <v>1281</v>
      </c>
      <c r="G23" s="3" t="s">
        <v>50</v>
      </c>
    </row>
    <row r="24" customFormat="false" ht="17.15" hidden="false" customHeight="false" outlineLevel="0" collapsed="false">
      <c r="A24" s="0" t="s">
        <v>796</v>
      </c>
      <c r="B24" s="25" t="n">
        <f aca="false">PL!G72</f>
        <v>260.220130811674</v>
      </c>
      <c r="C24" s="25" t="n">
        <f aca="false">PL!H72</f>
        <v>296.760643624354</v>
      </c>
      <c r="D24" s="25" t="n">
        <f aca="false">PL!I72</f>
        <v>332.455319505998</v>
      </c>
      <c r="E24" s="4" t="s">
        <v>1282</v>
      </c>
      <c r="F24" s="7" t="s">
        <v>1283</v>
      </c>
      <c r="G24" s="7" t="s">
        <v>1284</v>
      </c>
    </row>
    <row r="25" customFormat="false" ht="15" hidden="false" customHeight="false" outlineLevel="0" collapsed="false">
      <c r="A25" s="0" t="s">
        <v>799</v>
      </c>
      <c r="B25" s="25" t="n">
        <f aca="false">PL!G73</f>
        <v>44.7024479560027</v>
      </c>
      <c r="C25" s="25" t="n">
        <f aca="false">PL!H73</f>
        <v>49.0556486301966</v>
      </c>
      <c r="D25" s="25" t="n">
        <f aca="false">PL!I73</f>
        <v>53.5485477838786</v>
      </c>
      <c r="E25" s="4" t="s">
        <v>1282</v>
      </c>
      <c r="F25" s="4" t="s">
        <v>1285</v>
      </c>
    </row>
    <row r="26" customFormat="false" ht="15" hidden="false" customHeight="false" outlineLevel="0" collapsed="false">
      <c r="A26" s="0" t="s">
        <v>800</v>
      </c>
      <c r="B26" s="25" t="n">
        <f aca="false">PL!G74</f>
        <v>29.4625448893643</v>
      </c>
      <c r="C26" s="25" t="n">
        <f aca="false">PL!H74</f>
        <v>29.1959166378503</v>
      </c>
      <c r="D26" s="25" t="n">
        <f aca="false">PL!I74</f>
        <v>29.0197730803554</v>
      </c>
      <c r="E26" s="4" t="s">
        <v>1282</v>
      </c>
      <c r="F26" s="4" t="s">
        <v>1285</v>
      </c>
    </row>
    <row r="27" customFormat="false" ht="15" hidden="false" customHeight="false" outlineLevel="0" collapsed="false">
      <c r="A27" s="0" t="s">
        <v>801</v>
      </c>
      <c r="B27" s="25" t="n">
        <f aca="false">PL!G75</f>
        <v>55.2483875230552</v>
      </c>
      <c r="C27" s="25" t="n">
        <f aca="false">PL!H75</f>
        <v>62.9936216261504</v>
      </c>
      <c r="D27" s="25" t="n">
        <f aca="false">PL!I75</f>
        <v>70.9807645048962</v>
      </c>
      <c r="E27" s="4" t="s">
        <v>1282</v>
      </c>
      <c r="F27" s="4" t="s">
        <v>1285</v>
      </c>
    </row>
    <row r="28" customFormat="false" ht="15" hidden="false" customHeight="false" outlineLevel="0" collapsed="false">
      <c r="A28" s="0" t="s">
        <v>995</v>
      </c>
      <c r="B28" s="25" t="n">
        <f aca="false">PL!G76</f>
        <v>389.633511180096</v>
      </c>
      <c r="C28" s="25" t="n">
        <f aca="false">PL!H76</f>
        <v>438.005830518551</v>
      </c>
      <c r="D28" s="25" t="n">
        <f aca="false">PL!I76</f>
        <v>486.004404875128</v>
      </c>
      <c r="E28" s="4" t="s">
        <v>1282</v>
      </c>
      <c r="F28" s="4" t="s">
        <v>1285</v>
      </c>
    </row>
    <row r="29" customFormat="false" ht="17.15" hidden="false" customHeight="false" outlineLevel="0" collapsed="false">
      <c r="A29" s="0" t="s">
        <v>1004</v>
      </c>
      <c r="B29" s="25" t="n">
        <f aca="false">PL!G80</f>
        <v>111.574941214635</v>
      </c>
      <c r="C29" s="25" t="n">
        <f aca="false">PL!H80</f>
        <v>191.597143139859</v>
      </c>
      <c r="D29" s="25" t="n">
        <f aca="false">PL!I80</f>
        <v>268.435711425404</v>
      </c>
      <c r="E29" s="4" t="s">
        <v>1282</v>
      </c>
      <c r="F29" s="4" t="s">
        <v>1286</v>
      </c>
    </row>
    <row r="30" customFormat="false" ht="17.15" hidden="false" customHeight="false" outlineLevel="0" collapsed="false">
      <c r="A30" s="0" t="s">
        <v>1287</v>
      </c>
      <c r="B30" s="25" t="n">
        <f aca="false">PL!G77</f>
        <v>19.1692108518081</v>
      </c>
      <c r="C30" s="25" t="n">
        <f aca="false">PL!H77</f>
        <v>36.6157989143902</v>
      </c>
      <c r="D30" s="25" t="n">
        <f aca="false">PL!I77</f>
        <v>57.2951603365358</v>
      </c>
      <c r="E30" s="4" t="s">
        <v>1282</v>
      </c>
      <c r="F30" s="4" t="s">
        <v>1285</v>
      </c>
    </row>
    <row r="31" customFormat="false" ht="17.15" hidden="false" customHeight="false" outlineLevel="0" collapsed="false">
      <c r="A31" s="0" t="s">
        <v>1288</v>
      </c>
      <c r="B31" s="25" t="n">
        <f aca="false">PL!G78</f>
        <v>1</v>
      </c>
      <c r="C31" s="25" t="n">
        <f aca="false">PL!H78</f>
        <v>13</v>
      </c>
      <c r="D31" s="25" t="n">
        <f aca="false">PL!I78</f>
        <v>13</v>
      </c>
      <c r="E31" s="4" t="s">
        <v>1282</v>
      </c>
      <c r="F31" s="7" t="s">
        <v>1289</v>
      </c>
    </row>
    <row r="32" customFormat="false" ht="17.15" hidden="false" customHeight="false" outlineLevel="0" collapsed="false">
      <c r="A32" s="0" t="s">
        <v>1290</v>
      </c>
      <c r="B32" s="25" t="n">
        <f aca="false">PL!G79</f>
        <v>91.4057303628273</v>
      </c>
      <c r="C32" s="25" t="n">
        <f aca="false">PL!H79</f>
        <v>141.981344225469</v>
      </c>
      <c r="D32" s="25" t="n">
        <f aca="false">PL!I79</f>
        <v>198.140551088868</v>
      </c>
      <c r="E32" s="4" t="s">
        <v>1282</v>
      </c>
      <c r="F32" s="4" t="s">
        <v>1285</v>
      </c>
    </row>
    <row r="33" customFormat="false" ht="15" hidden="false" customHeight="false" outlineLevel="0" collapsed="false">
      <c r="A33" s="0" t="s">
        <v>1005</v>
      </c>
      <c r="B33" s="25" t="n">
        <f aca="false">PL!G81</f>
        <v>1.545</v>
      </c>
      <c r="C33" s="25" t="n">
        <f aca="false">PL!H81</f>
        <v>1.6</v>
      </c>
      <c r="D33" s="25" t="n">
        <f aca="false">PL!I81</f>
        <v>1.8</v>
      </c>
      <c r="E33" s="4" t="s">
        <v>1282</v>
      </c>
      <c r="F33" s="4" t="s">
        <v>1285</v>
      </c>
    </row>
    <row r="34" customFormat="false" ht="17.15" hidden="false" customHeight="false" outlineLevel="0" collapsed="false">
      <c r="A34" s="0" t="s">
        <v>1291</v>
      </c>
      <c r="B34" s="24" t="n">
        <f aca="false">rpo_cloud*rpo_24m</f>
        <v>308.55</v>
      </c>
      <c r="G34" s="7" t="s">
        <v>1292</v>
      </c>
    </row>
    <row r="35" customFormat="false" ht="17.15" hidden="false" customHeight="false" outlineLevel="0" collapsed="false">
      <c r="A35" s="4" t="s">
        <v>1293</v>
      </c>
      <c r="B35" s="24" t="n">
        <f aca="false">PL!F80+PL!H80+0.75*PL!I80</f>
        <v>428.993867923547</v>
      </c>
      <c r="C35" s="23" t="n">
        <f aca="false">B35/B34</f>
        <v>1.39035445770069</v>
      </c>
      <c r="G35" s="7" t="s">
        <v>1294</v>
      </c>
    </row>
    <row r="36" customFormat="false" ht="17.15" hidden="false" customHeight="false" outlineLevel="0" collapsed="false">
      <c r="A36" s="0" t="s">
        <v>1295</v>
      </c>
      <c r="B36" s="24" t="n">
        <f aca="false">CF!G53</f>
        <v>200</v>
      </c>
      <c r="C36" s="24" t="n">
        <f aca="false">capex_g</f>
        <v>200</v>
      </c>
      <c r="G36" s="7" t="s">
        <v>1296</v>
      </c>
    </row>
    <row r="37" customFormat="false" ht="17.15" hidden="false" customHeight="false" outlineLevel="0" collapsed="false">
      <c r="A37" s="0" t="s">
        <v>1297</v>
      </c>
      <c r="B37" s="24" t="n">
        <f aca="false">CF!H53</f>
        <v>290.365139656517</v>
      </c>
      <c r="C37" s="24" t="n">
        <f aca="false">c_capex_27</f>
        <v>308.024</v>
      </c>
      <c r="G37" s="4" t="s">
        <v>1298</v>
      </c>
    </row>
    <row r="39" customFormat="false" ht="17.15" hidden="false" customHeight="false" outlineLevel="0" collapsed="false">
      <c r="A39" s="5" t="s">
        <v>1299</v>
      </c>
    </row>
    <row r="40" customFormat="false" ht="15" hidden="false" customHeight="false" outlineLevel="0" collapsed="false">
      <c r="A40" s="3" t="s">
        <v>43</v>
      </c>
      <c r="B40" s="3" t="s">
        <v>847</v>
      </c>
      <c r="C40" s="3" t="s">
        <v>50</v>
      </c>
    </row>
    <row r="41" customFormat="false" ht="17.15" hidden="false" customHeight="false" outlineLevel="0" collapsed="false">
      <c r="A41" s="0" t="s">
        <v>1300</v>
      </c>
      <c r="B41" s="25" t="n">
        <f aca="false">tp_v03</f>
        <v>258.700923</v>
      </c>
      <c r="C41" s="7" t="s">
        <v>1301</v>
      </c>
    </row>
    <row r="42" customFormat="false" ht="17.15" hidden="false" customHeight="false" outlineLevel="0" collapsed="false">
      <c r="A42" s="0" t="s">
        <v>1302</v>
      </c>
      <c r="B42" s="25" t="n">
        <f aca="false">Val!B8</f>
        <v>258.21002602627</v>
      </c>
    </row>
    <row r="43" customFormat="false" ht="15" hidden="false" customHeight="false" outlineLevel="0" collapsed="false">
      <c r="A43" s="4" t="s">
        <v>1303</v>
      </c>
      <c r="B43" s="25" t="n">
        <f aca="false">B42-B41</f>
        <v>-0.490896973730059</v>
      </c>
    </row>
    <row r="44" customFormat="false" ht="17.15" hidden="false" customHeight="false" outlineLevel="0" collapsed="false">
      <c r="A44" s="2" t="s">
        <v>1304</v>
      </c>
    </row>
    <row r="45" customFormat="false" ht="17.15" hidden="false" customHeight="false" outlineLevel="0" collapsed="false">
      <c r="A45" s="0" t="s">
        <v>1305</v>
      </c>
      <c r="B45" s="25" t="n">
        <f aca="false">IF(ABS(Sens!E116)&lt;0.000001,261.176728739253-tp_v03,"快照過期")</f>
        <v>2.47580573925302</v>
      </c>
      <c r="C45" s="4" t="s">
        <v>1306</v>
      </c>
    </row>
    <row r="46" customFormat="false" ht="17.15" hidden="false" customHeight="false" outlineLevel="0" collapsed="false">
      <c r="A46" s="0" t="s">
        <v>1307</v>
      </c>
      <c r="B46" s="25" t="n">
        <f aca="false">IF(ABS(Sens!E116)&lt;0.000001,254.321682164962-261.176728739253,"快照過期")</f>
        <v>-6.85504657429101</v>
      </c>
      <c r="C46" s="4" t="s">
        <v>1308</v>
      </c>
    </row>
    <row r="47" customFormat="false" ht="17.15" hidden="false" customHeight="false" outlineLevel="0" collapsed="false">
      <c r="A47" s="0" t="s">
        <v>1309</v>
      </c>
      <c r="B47" s="25" t="n">
        <f aca="false">IF(ABS(Sens!E116)&lt;0.000001,255.5429595063-254.321682164962,"快照過期")</f>
        <v>1.22127734133801</v>
      </c>
      <c r="C47" s="4" t="s">
        <v>1310</v>
      </c>
    </row>
    <row r="48" customFormat="false" ht="17.15" hidden="false" customHeight="false" outlineLevel="0" collapsed="false">
      <c r="A48" s="0" t="s">
        <v>1311</v>
      </c>
      <c r="B48" s="25" t="n">
        <f aca="false">IF(ABS(Sens!E116)&lt;0.000001,258.334542218658-255.5429595063,"快照過期")</f>
        <v>2.79158271235798</v>
      </c>
      <c r="C48" s="4" t="s">
        <v>1312</v>
      </c>
    </row>
    <row r="49" customFormat="false" ht="17.15" hidden="false" customHeight="false" outlineLevel="0" collapsed="false">
      <c r="A49" s="0" t="s">
        <v>1313</v>
      </c>
      <c r="B49" s="25" t="n">
        <v>0</v>
      </c>
      <c r="C49" s="0" t="str">
        <f aca="false">"上檔空間 v0.3 −18.3% → v0.3.1 "&amp;TEXT(Val!B11,"+0.0%;-0.0%")&amp;"；評等 中立 → "&amp;Val!B14</f>
        <v>上檔空間 v0.3 −18.3% → v0.3.1 -20.5%；評等 中立 → 中立</v>
      </c>
    </row>
    <row r="50" customFormat="false" ht="17.15" hidden="false" customHeight="false" outlineLevel="0" collapsed="false">
      <c r="A50" s="0" t="s">
        <v>1314</v>
      </c>
      <c r="B50" s="25" t="n">
        <f aca="false">Val!B8-258.334542218658</f>
        <v>-0.124516192388057</v>
      </c>
      <c r="C50" s="4" t="s">
        <v>1315</v>
      </c>
    </row>
    <row r="51" customFormat="false" ht="17.15" hidden="false" customHeight="false" outlineLevel="0" collapsed="false">
      <c r="A51" s="4" t="s">
        <v>1316</v>
      </c>
      <c r="B51" s="21" t="n">
        <f aca="false">SUM(B45:B50)-B43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6"/>
    <col collapsed="false" customWidth="true" hidden="false" outlineLevel="0" max="7" min="7" style="0" width="24"/>
  </cols>
  <sheetData>
    <row r="1" customFormat="false" ht="17.15" hidden="false" customHeight="false" outlineLevel="0" collapsed="false">
      <c r="A1" s="0" t="s">
        <v>1317</v>
      </c>
    </row>
    <row r="2" customFormat="false" ht="17.15" hidden="false" customHeight="false" outlineLevel="0" collapsed="false">
      <c r="A2" s="4" t="s">
        <v>1318</v>
      </c>
    </row>
    <row r="3" customFormat="false" ht="17.15" hidden="false" customHeight="false" outlineLevel="0" collapsed="false">
      <c r="A3" s="3" t="s">
        <v>1319</v>
      </c>
      <c r="B3" s="3" t="s">
        <v>1320</v>
      </c>
      <c r="C3" s="3" t="s">
        <v>1321</v>
      </c>
      <c r="D3" s="3" t="s">
        <v>1322</v>
      </c>
      <c r="E3" s="3" t="s">
        <v>1323</v>
      </c>
      <c r="F3" s="3" t="s">
        <v>42</v>
      </c>
      <c r="G3" s="3" t="s">
        <v>50</v>
      </c>
      <c r="H3" s="3" t="s">
        <v>1324</v>
      </c>
      <c r="I3" s="20" t="s">
        <v>1325</v>
      </c>
    </row>
    <row r="4" customFormat="false" ht="17.15" hidden="false" customHeight="false" outlineLevel="0" collapsed="false">
      <c r="A4" s="4" t="s">
        <v>1326</v>
      </c>
      <c r="B4" s="4" t="s">
        <v>1327</v>
      </c>
      <c r="C4" s="4" t="s">
        <v>1328</v>
      </c>
      <c r="D4" s="27" t="n">
        <v>188.30917325153</v>
      </c>
      <c r="E4" s="41" t="n">
        <f aca="false">D4/Val!$B$8-1</f>
        <v>-0.270713162654762</v>
      </c>
      <c r="F4" s="7" t="s">
        <v>209</v>
      </c>
      <c r="G4" s="4" t="s">
        <v>1329</v>
      </c>
      <c r="H4" s="26" t="n">
        <v>-0.648225979925059</v>
      </c>
      <c r="I4" s="26" t="n">
        <v>290.365139656517</v>
      </c>
    </row>
    <row r="5" customFormat="false" ht="17.15" hidden="false" customHeight="false" outlineLevel="0" collapsed="false">
      <c r="A5" s="4" t="s">
        <v>1330</v>
      </c>
      <c r="B5" s="0" t="s">
        <v>1331</v>
      </c>
      <c r="C5" s="4" t="s">
        <v>1328</v>
      </c>
      <c r="D5" s="27" t="n">
        <v>276.210489512301</v>
      </c>
      <c r="E5" s="41" t="n">
        <f aca="false">D5/Val!$B$8-1</f>
        <v>0.0697124885623137</v>
      </c>
      <c r="F5" s="7" t="s">
        <v>282</v>
      </c>
      <c r="G5" s="4" t="s">
        <v>1329</v>
      </c>
      <c r="H5" s="26" t="n">
        <v>-74.4008120794801</v>
      </c>
      <c r="I5" s="26" t="n">
        <v>295.551869904756</v>
      </c>
    </row>
    <row r="6" customFormat="false" ht="17.15" hidden="false" customHeight="false" outlineLevel="0" collapsed="false">
      <c r="A6" s="4" t="s">
        <v>1332</v>
      </c>
      <c r="B6" s="0" t="s">
        <v>1331</v>
      </c>
      <c r="C6" s="4" t="s">
        <v>1333</v>
      </c>
      <c r="D6" s="27" t="n">
        <v>242.858125049507</v>
      </c>
      <c r="E6" s="41" t="n">
        <f aca="false">D6/Val!$B$8-1</f>
        <v>-0.0594550924804176</v>
      </c>
      <c r="F6" s="7" t="s">
        <v>282</v>
      </c>
      <c r="G6" s="4" t="s">
        <v>1329</v>
      </c>
      <c r="H6" s="26" t="n">
        <v>80.1912729273865</v>
      </c>
      <c r="I6" s="26" t="n">
        <v>285.477873388272</v>
      </c>
    </row>
    <row r="7" customFormat="false" ht="17.15" hidden="false" customHeight="false" outlineLevel="0" collapsed="false">
      <c r="A7" s="0" t="s">
        <v>1334</v>
      </c>
      <c r="B7" s="4" t="s">
        <v>1335</v>
      </c>
      <c r="C7" s="4" t="s">
        <v>1328</v>
      </c>
      <c r="D7" s="27" t="n">
        <v>259.109348483961</v>
      </c>
      <c r="E7" s="41" t="n">
        <f aca="false">D7/Val!$B$8-1</f>
        <v>0.0034829106813985</v>
      </c>
      <c r="F7" s="7" t="s">
        <v>305</v>
      </c>
      <c r="G7" s="4" t="s">
        <v>1329</v>
      </c>
      <c r="H7" s="26" t="n">
        <v>252.400893879087</v>
      </c>
      <c r="I7" s="26" t="n">
        <v>212.169448554817</v>
      </c>
    </row>
    <row r="8" customFormat="false" ht="17.15" hidden="false" customHeight="false" outlineLevel="0" collapsed="false">
      <c r="A8" s="0" t="s">
        <v>1336</v>
      </c>
      <c r="B8" s="4" t="s">
        <v>1335</v>
      </c>
      <c r="C8" s="4" t="s">
        <v>1333</v>
      </c>
      <c r="D8" s="27" t="n">
        <v>254.585035072119</v>
      </c>
      <c r="E8" s="41" t="n">
        <f aca="false">D8/Val!$B$8-1</f>
        <v>-0.0140389240880294</v>
      </c>
      <c r="F8" s="7" t="s">
        <v>305</v>
      </c>
      <c r="G8" s="4" t="s">
        <v>1329</v>
      </c>
      <c r="H8" s="26" t="n">
        <v>-412.701473704046</v>
      </c>
      <c r="I8" s="26" t="n">
        <v>407.67393356161</v>
      </c>
    </row>
    <row r="9" customFormat="false" ht="17.15" hidden="false" customHeight="false" outlineLevel="0" collapsed="false">
      <c r="A9" s="0" t="s">
        <v>1337</v>
      </c>
      <c r="B9" s="0" t="s">
        <v>1338</v>
      </c>
      <c r="C9" s="4" t="s">
        <v>1333</v>
      </c>
      <c r="D9" s="27" t="n">
        <v>258.614516679181</v>
      </c>
      <c r="E9" s="41" t="n">
        <f aca="false">D9/Val!$B$8-1</f>
        <v>0.00156651799752328</v>
      </c>
      <c r="F9" s="7" t="s">
        <v>1339</v>
      </c>
      <c r="G9" s="4" t="s">
        <v>1329</v>
      </c>
      <c r="H9" s="26" t="n">
        <v>113.12136578951</v>
      </c>
      <c r="I9" s="26" t="n">
        <v>255.084842685877</v>
      </c>
    </row>
    <row r="10" customFormat="false" ht="17.15" hidden="false" customHeight="false" outlineLevel="0" collapsed="false">
      <c r="A10" s="0" t="s">
        <v>1340</v>
      </c>
      <c r="B10" s="4" t="s">
        <v>1341</v>
      </c>
      <c r="C10" s="4" t="s">
        <v>1328</v>
      </c>
      <c r="D10" s="27" t="n">
        <v>258.88063547878</v>
      </c>
      <c r="E10" s="41" t="n">
        <f aca="false">D10/Val!$B$8-1</f>
        <v>0.00259714722480164</v>
      </c>
      <c r="F10" s="7" t="s">
        <v>1342</v>
      </c>
      <c r="G10" s="4" t="s">
        <v>1329</v>
      </c>
      <c r="H10" s="26" t="n">
        <v>72.254547119966</v>
      </c>
      <c r="I10" s="26" t="n">
        <v>269.229329335889</v>
      </c>
    </row>
    <row r="11" customFormat="false" ht="17.15" hidden="false" customHeight="false" outlineLevel="0" collapsed="false">
      <c r="A11" s="0" t="s">
        <v>1343</v>
      </c>
      <c r="B11" s="4" t="s">
        <v>1341</v>
      </c>
      <c r="C11" s="4" t="s">
        <v>1333</v>
      </c>
      <c r="D11" s="27" t="n">
        <v>257.551824772201</v>
      </c>
      <c r="E11" s="41" t="n">
        <f aca="false">D11/Val!$B$8-1</f>
        <v>-0.0025490925515107</v>
      </c>
      <c r="F11" s="7" t="s">
        <v>1342</v>
      </c>
      <c r="G11" s="4" t="s">
        <v>1329</v>
      </c>
      <c r="H11" s="26" t="n">
        <v>-74.8764271929118</v>
      </c>
      <c r="I11" s="26" t="n">
        <v>311.504797626278</v>
      </c>
    </row>
    <row r="12" customFormat="false" ht="17.15" hidden="false" customHeight="false" outlineLevel="0" collapsed="false">
      <c r="A12" s="0" t="s">
        <v>1344</v>
      </c>
      <c r="B12" s="4" t="s">
        <v>1345</v>
      </c>
      <c r="C12" s="4" t="s">
        <v>1328</v>
      </c>
      <c r="D12" s="27" t="n">
        <v>256.710088205105</v>
      </c>
      <c r="E12" s="41" t="n">
        <f aca="false">D12/Val!$B$8-1</f>
        <v>-0.00580898365663118</v>
      </c>
      <c r="F12" s="7" t="s">
        <v>362</v>
      </c>
      <c r="G12" s="4" t="s">
        <v>1329</v>
      </c>
      <c r="H12" s="26" t="n">
        <v>-8.84130915190404</v>
      </c>
      <c r="I12" s="26" t="n">
        <v>290.896735152718</v>
      </c>
    </row>
    <row r="13" customFormat="false" ht="17.15" hidden="false" customHeight="false" outlineLevel="0" collapsed="false">
      <c r="A13" s="0" t="s">
        <v>1346</v>
      </c>
      <c r="B13" s="0" t="s">
        <v>1347</v>
      </c>
      <c r="C13" s="4" t="s">
        <v>1333</v>
      </c>
      <c r="D13" s="27" t="n">
        <v>266.987814814034</v>
      </c>
      <c r="E13" s="41" t="n">
        <f aca="false">D13/Val!$B$8-1</f>
        <v>0.0339947635761866</v>
      </c>
      <c r="F13" s="7" t="s">
        <v>367</v>
      </c>
      <c r="G13" s="4" t="s">
        <v>1329</v>
      </c>
      <c r="H13" s="26" t="n">
        <v>46.2340408074593</v>
      </c>
      <c r="I13" s="26" t="n">
        <v>287.384538227406</v>
      </c>
    </row>
    <row r="14" customFormat="false" ht="17.15" hidden="false" customHeight="false" outlineLevel="0" collapsed="false">
      <c r="A14" s="0" t="s">
        <v>1348</v>
      </c>
      <c r="B14" s="0" t="s">
        <v>1349</v>
      </c>
      <c r="C14" s="4" t="s">
        <v>1328</v>
      </c>
      <c r="D14" s="27" t="n">
        <v>258.527852057175</v>
      </c>
      <c r="E14" s="41" t="n">
        <f aca="false">D14/Val!$B$8-1</f>
        <v>0.00123088183598541</v>
      </c>
      <c r="F14" s="7" t="s">
        <v>1350</v>
      </c>
      <c r="G14" s="4" t="s">
        <v>1329</v>
      </c>
      <c r="H14" s="26" t="n">
        <v>26.2976814745871</v>
      </c>
      <c r="I14" s="26" t="n">
        <v>282.539858376393</v>
      </c>
    </row>
    <row r="15" customFormat="false" ht="17.15" hidden="false" customHeight="false" outlineLevel="0" collapsed="false">
      <c r="A15" s="0" t="s">
        <v>1351</v>
      </c>
      <c r="B15" s="0" t="s">
        <v>1349</v>
      </c>
      <c r="C15" s="4" t="s">
        <v>1333</v>
      </c>
      <c r="D15" s="27" t="n">
        <v>255.623881649561</v>
      </c>
      <c r="E15" s="41" t="n">
        <f aca="false">D15/Val!$B$8-1</f>
        <v>-0.0100156621201293</v>
      </c>
      <c r="F15" s="7" t="s">
        <v>1350</v>
      </c>
      <c r="G15" s="4" t="s">
        <v>1329</v>
      </c>
      <c r="H15" s="26" t="n">
        <v>-170.78708821311</v>
      </c>
      <c r="I15" s="26" t="n">
        <v>337.320872118016</v>
      </c>
    </row>
    <row r="16" customFormat="false" ht="17.15" hidden="false" customHeight="false" outlineLevel="0" collapsed="false">
      <c r="A16" s="0" t="s">
        <v>1352</v>
      </c>
      <c r="B16" s="4" t="s">
        <v>1353</v>
      </c>
      <c r="C16" s="4" t="s">
        <v>1333</v>
      </c>
      <c r="D16" s="27" t="n">
        <v>264.646831258914</v>
      </c>
      <c r="E16" s="41" t="n">
        <f aca="false">D16/Val!$B$8-1</f>
        <v>0.02492856428429</v>
      </c>
      <c r="F16" s="7" t="s">
        <v>1354</v>
      </c>
      <c r="G16" s="4" t="s">
        <v>1329</v>
      </c>
      <c r="H16" s="26" t="n">
        <v>9.45840929706785</v>
      </c>
      <c r="I16" s="26" t="n">
        <v>289.708179902764</v>
      </c>
    </row>
    <row r="17" customFormat="false" ht="17.15" hidden="false" customHeight="false" outlineLevel="0" collapsed="false">
      <c r="A17" s="4" t="s">
        <v>1355</v>
      </c>
      <c r="B17" s="0" t="s">
        <v>1356</v>
      </c>
      <c r="C17" s="4" t="s">
        <v>1328</v>
      </c>
      <c r="D17" s="27" t="n">
        <v>258.101386461983</v>
      </c>
      <c r="E17" s="41" t="n">
        <f aca="false">D17/Val!$B$8-1</f>
        <v>-0.000420741076397557</v>
      </c>
      <c r="F17" s="7" t="s">
        <v>444</v>
      </c>
      <c r="G17" s="4" t="s">
        <v>1329</v>
      </c>
      <c r="H17" s="26" t="n">
        <v>-2.53217103567434</v>
      </c>
      <c r="I17" s="26" t="n">
        <v>290.365139656517</v>
      </c>
    </row>
    <row r="18" customFormat="false" ht="17.15" hidden="false" customHeight="false" outlineLevel="0" collapsed="false">
      <c r="A18" s="4" t="s">
        <v>1357</v>
      </c>
      <c r="B18" s="0" t="s">
        <v>1356</v>
      </c>
      <c r="C18" s="4" t="s">
        <v>1333</v>
      </c>
      <c r="D18" s="27" t="n">
        <v>258.30609235697</v>
      </c>
      <c r="E18" s="41" t="n">
        <f aca="false">D18/Val!$B$8-1</f>
        <v>0.000372047252302554</v>
      </c>
      <c r="F18" s="7" t="s">
        <v>444</v>
      </c>
      <c r="G18" s="4" t="s">
        <v>1329</v>
      </c>
      <c r="H18" s="26" t="n">
        <v>1.01768358013973</v>
      </c>
      <c r="I18" s="26" t="n">
        <v>290.365139656517</v>
      </c>
    </row>
    <row r="19" customFormat="false" ht="17.15" hidden="false" customHeight="false" outlineLevel="0" collapsed="false">
      <c r="A19" s="0" t="s">
        <v>1358</v>
      </c>
      <c r="B19" s="0" t="s">
        <v>1359</v>
      </c>
      <c r="C19" s="4" t="s">
        <v>1328</v>
      </c>
      <c r="D19" s="27" t="n">
        <v>266.251464758207</v>
      </c>
      <c r="E19" s="41" t="n">
        <f aca="false">D19/Val!$B$8-1</f>
        <v>0.0311430150706811</v>
      </c>
      <c r="F19" s="7" t="s">
        <v>552</v>
      </c>
      <c r="G19" s="4" t="s">
        <v>1329</v>
      </c>
      <c r="H19" s="26" t="n">
        <v>33.7047149927951</v>
      </c>
      <c r="I19" s="26" t="n">
        <v>290.365139656517</v>
      </c>
    </row>
    <row r="20" customFormat="false" ht="17.15" hidden="false" customHeight="false" outlineLevel="0" collapsed="false">
      <c r="A20" s="0" t="s">
        <v>1360</v>
      </c>
      <c r="B20" s="0" t="s">
        <v>1359</v>
      </c>
      <c r="C20" s="4" t="s">
        <v>1333</v>
      </c>
      <c r="D20" s="27" t="n">
        <v>254.773513747664</v>
      </c>
      <c r="E20" s="41" t="n">
        <f aca="false">D20/Val!$B$8-1</f>
        <v>-0.0133089807994377</v>
      </c>
      <c r="F20" s="7" t="s">
        <v>552</v>
      </c>
      <c r="G20" s="4" t="s">
        <v>1329</v>
      </c>
      <c r="H20" s="26" t="n">
        <v>-15.3289699853611</v>
      </c>
      <c r="I20" s="26" t="n">
        <v>290.365139656517</v>
      </c>
    </row>
    <row r="21" customFormat="false" ht="17.15" hidden="false" customHeight="false" outlineLevel="0" collapsed="false">
      <c r="A21" s="0" t="s">
        <v>1361</v>
      </c>
      <c r="B21" s="0" t="s">
        <v>1362</v>
      </c>
      <c r="C21" s="4" t="s">
        <v>1328</v>
      </c>
      <c r="D21" s="27" t="n">
        <v>257.856523414642</v>
      </c>
      <c r="E21" s="41" t="n">
        <f aca="false">D21/Val!$B$8-1</f>
        <v>-0.0013690506796662</v>
      </c>
      <c r="F21" s="7" t="s">
        <v>426</v>
      </c>
      <c r="G21" s="4" t="s">
        <v>1329</v>
      </c>
      <c r="H21" s="26" t="n">
        <v>9.54562991531569</v>
      </c>
      <c r="I21" s="26" t="n">
        <v>290.365139656517</v>
      </c>
    </row>
    <row r="22" customFormat="false" ht="17.15" hidden="false" customHeight="false" outlineLevel="0" collapsed="false">
      <c r="A22" s="0" t="s">
        <v>1363</v>
      </c>
      <c r="B22" s="0" t="s">
        <v>1362</v>
      </c>
      <c r="C22" s="4" t="s">
        <v>1333</v>
      </c>
      <c r="D22" s="27" t="n">
        <v>262.133561998872</v>
      </c>
      <c r="E22" s="41" t="n">
        <f aca="false">D22/Val!$B$8-1</f>
        <v>0.0151951341045249</v>
      </c>
      <c r="F22" s="7" t="s">
        <v>426</v>
      </c>
      <c r="G22" s="4" t="s">
        <v>1329</v>
      </c>
      <c r="H22" s="26" t="n">
        <v>-7.92955161938282</v>
      </c>
      <c r="I22" s="26" t="n">
        <v>290.365139656517</v>
      </c>
    </row>
    <row r="23" customFormat="false" ht="17.15" hidden="false" customHeight="false" outlineLevel="0" collapsed="false">
      <c r="A23" s="0" t="s">
        <v>1364</v>
      </c>
      <c r="B23" s="0" t="s">
        <v>1365</v>
      </c>
      <c r="C23" s="4" t="s">
        <v>1328</v>
      </c>
      <c r="D23" s="27" t="n">
        <v>261.133982838744</v>
      </c>
      <c r="E23" s="41" t="n">
        <f aca="false">D23/Val!$B$8-1</f>
        <v>0.0113239476308196</v>
      </c>
      <c r="F23" s="7" t="s">
        <v>512</v>
      </c>
      <c r="G23" s="4" t="s">
        <v>1329</v>
      </c>
      <c r="H23" s="26" t="n">
        <v>-0.648225979925059</v>
      </c>
      <c r="I23" s="26" t="n">
        <v>290.365139656517</v>
      </c>
    </row>
    <row r="24" customFormat="false" ht="17.15" hidden="false" customHeight="false" outlineLevel="0" collapsed="false">
      <c r="A24" s="0" t="s">
        <v>1366</v>
      </c>
      <c r="B24" s="0" t="s">
        <v>1365</v>
      </c>
      <c r="C24" s="4" t="s">
        <v>1333</v>
      </c>
      <c r="D24" s="27" t="n">
        <v>255.286069213795</v>
      </c>
      <c r="E24" s="41" t="n">
        <f aca="false">D24/Val!$B$8-1</f>
        <v>-0.011323947630823</v>
      </c>
      <c r="F24" s="7" t="s">
        <v>512</v>
      </c>
      <c r="G24" s="4" t="s">
        <v>1329</v>
      </c>
      <c r="H24" s="26" t="n">
        <v>-0.648225979925059</v>
      </c>
      <c r="I24" s="26" t="n">
        <v>290.365139656517</v>
      </c>
    </row>
    <row r="25" customFormat="false" ht="17.15" hidden="false" customHeight="false" outlineLevel="0" collapsed="false">
      <c r="A25" s="0" t="s">
        <v>1367</v>
      </c>
      <c r="B25" s="0" t="s">
        <v>1368</v>
      </c>
      <c r="C25" s="4" t="s">
        <v>1328</v>
      </c>
      <c r="D25" s="27" t="n">
        <v>251.771326608591</v>
      </c>
      <c r="E25" s="41" t="n">
        <f aca="false">D25/Val!$B$8-1</f>
        <v>-0.0249359001149857</v>
      </c>
      <c r="F25" s="7" t="s">
        <v>488</v>
      </c>
      <c r="G25" s="4" t="s">
        <v>1329</v>
      </c>
      <c r="H25" s="26" t="n">
        <v>-19.2401096943575</v>
      </c>
      <c r="I25" s="26" t="n">
        <v>290.248040597652</v>
      </c>
    </row>
    <row r="26" customFormat="false" ht="17.15" hidden="false" customHeight="false" outlineLevel="0" collapsed="false">
      <c r="A26" s="0" t="s">
        <v>1369</v>
      </c>
      <c r="B26" s="0" t="s">
        <v>1368</v>
      </c>
      <c r="C26" s="4" t="s">
        <v>1333</v>
      </c>
      <c r="D26" s="27" t="n">
        <v>265.168845021979</v>
      </c>
      <c r="E26" s="41" t="n">
        <f aca="false">D26/Val!$B$8-1</f>
        <v>0.0269502276995282</v>
      </c>
      <c r="F26" s="7" t="s">
        <v>488</v>
      </c>
      <c r="G26" s="4" t="s">
        <v>1329</v>
      </c>
      <c r="H26" s="26" t="n">
        <v>18.5771354846823</v>
      </c>
      <c r="I26" s="26" t="n">
        <v>290.482238715382</v>
      </c>
    </row>
    <row r="27" customFormat="false" ht="17.15" hidden="false" customHeight="false" outlineLevel="0" collapsed="false">
      <c r="A27" s="0" t="s">
        <v>1370</v>
      </c>
      <c r="B27" s="4" t="s">
        <v>1371</v>
      </c>
      <c r="C27" s="4" t="s">
        <v>1333</v>
      </c>
      <c r="D27" s="27" t="n">
        <v>251.270411142771</v>
      </c>
      <c r="E27" s="41" t="n">
        <f aca="false">D27/Val!$B$8-1</f>
        <v>-0.0268758537005566</v>
      </c>
      <c r="F27" s="7" t="s">
        <v>484</v>
      </c>
      <c r="G27" s="4" t="s">
        <v>1329</v>
      </c>
      <c r="H27" s="26" t="n">
        <v>-30.9186749379414</v>
      </c>
      <c r="I27" s="26" t="n">
        <v>289.718366937218</v>
      </c>
    </row>
    <row r="28" customFormat="false" ht="17.15" hidden="false" customHeight="false" outlineLevel="0" collapsed="false">
      <c r="A28" s="0" t="s">
        <v>1372</v>
      </c>
      <c r="B28" s="0" t="s">
        <v>1373</v>
      </c>
      <c r="C28" s="4" t="s">
        <v>1328</v>
      </c>
      <c r="D28" s="27" t="n">
        <v>258.85726845334</v>
      </c>
      <c r="E28" s="41" t="n">
        <f aca="false">D28/Val!$B$8-1</f>
        <v>0.00250665102757952</v>
      </c>
      <c r="F28" s="7" t="s">
        <v>519</v>
      </c>
      <c r="G28" s="4" t="s">
        <v>1329</v>
      </c>
      <c r="H28" s="26" t="n">
        <v>-0.648225979925059</v>
      </c>
      <c r="I28" s="26" t="n">
        <v>290.365139656517</v>
      </c>
    </row>
    <row r="29" customFormat="false" ht="17.15" hidden="false" customHeight="false" outlineLevel="0" collapsed="false">
      <c r="A29" s="0" t="s">
        <v>1374</v>
      </c>
      <c r="B29" s="0" t="s">
        <v>1373</v>
      </c>
      <c r="C29" s="4" t="s">
        <v>1333</v>
      </c>
      <c r="D29" s="27" t="n">
        <v>257.5627835992</v>
      </c>
      <c r="E29" s="41" t="n">
        <f aca="false">D29/Val!$B$8-1</f>
        <v>-0.00250665102757897</v>
      </c>
      <c r="F29" s="7" t="s">
        <v>519</v>
      </c>
      <c r="G29" s="4" t="s">
        <v>1329</v>
      </c>
      <c r="H29" s="26" t="n">
        <v>-0.648225979925059</v>
      </c>
      <c r="I29" s="26" t="n">
        <v>290.365139656517</v>
      </c>
    </row>
    <row r="30" customFormat="false" ht="17.15" hidden="false" customHeight="false" outlineLevel="0" collapsed="false">
      <c r="A30" s="0" t="s">
        <v>1375</v>
      </c>
      <c r="B30" s="0" t="s">
        <v>1376</v>
      </c>
      <c r="C30" s="4" t="s">
        <v>1328</v>
      </c>
      <c r="D30" s="27" t="n">
        <v>256.058639628996</v>
      </c>
      <c r="E30" s="41" t="n">
        <f aca="false">D30/Val!$B$8-1</f>
        <v>-0.00833192432680774</v>
      </c>
      <c r="F30" s="7" t="s">
        <v>502</v>
      </c>
      <c r="G30" s="4" t="s">
        <v>1329</v>
      </c>
      <c r="H30" s="26" t="n">
        <v>-3.53265751270884</v>
      </c>
      <c r="I30" s="26" t="n">
        <v>290.228031060973</v>
      </c>
    </row>
    <row r="31" customFormat="false" ht="17.15" hidden="false" customHeight="false" outlineLevel="0" collapsed="false">
      <c r="A31" s="0" t="s">
        <v>1377</v>
      </c>
      <c r="B31" s="0" t="s">
        <v>1376</v>
      </c>
      <c r="C31" s="4" t="s">
        <v>1333</v>
      </c>
      <c r="D31" s="27" t="n">
        <v>261.345091147583</v>
      </c>
      <c r="E31" s="41" t="n">
        <f aca="false">D31/Val!$B$8-1</f>
        <v>0.0121415313323043</v>
      </c>
      <c r="F31" s="7" t="s">
        <v>502</v>
      </c>
      <c r="G31" s="4" t="s">
        <v>1329</v>
      </c>
      <c r="H31" s="26" t="n">
        <v>3.3360539049765</v>
      </c>
      <c r="I31" s="26" t="n">
        <v>290.547951117243</v>
      </c>
    </row>
    <row r="32" customFormat="false" ht="17.15" hidden="false" customHeight="false" outlineLevel="0" collapsed="false">
      <c r="A32" s="0" t="s">
        <v>1378</v>
      </c>
      <c r="B32" s="0" t="s">
        <v>1368</v>
      </c>
      <c r="C32" s="4" t="s">
        <v>1328</v>
      </c>
      <c r="D32" s="27" t="n">
        <v>257.124332883769</v>
      </c>
      <c r="E32" s="41" t="n">
        <f aca="false">D32/Val!$B$8-1</f>
        <v>-0.00420469010909152</v>
      </c>
      <c r="F32" s="7" t="s">
        <v>492</v>
      </c>
      <c r="G32" s="4" t="s">
        <v>1329</v>
      </c>
      <c r="H32" s="26" t="n">
        <v>-3.66997602274527</v>
      </c>
      <c r="I32" s="26" t="n">
        <v>290.345023554937</v>
      </c>
    </row>
    <row r="33" customFormat="false" ht="17.15" hidden="false" customHeight="false" outlineLevel="0" collapsed="false">
      <c r="A33" s="0" t="s">
        <v>1379</v>
      </c>
      <c r="B33" s="0" t="s">
        <v>1368</v>
      </c>
      <c r="C33" s="4" t="s">
        <v>1333</v>
      </c>
      <c r="D33" s="27" t="n">
        <v>259.38401144422</v>
      </c>
      <c r="E33" s="41" t="n">
        <f aca="false">D33/Val!$B$8-1</f>
        <v>0.00454662987342958</v>
      </c>
      <c r="F33" s="7" t="s">
        <v>492</v>
      </c>
      <c r="G33" s="4" t="s">
        <v>1329</v>
      </c>
      <c r="H33" s="26" t="n">
        <v>2.47781254257833</v>
      </c>
      <c r="I33" s="26" t="n">
        <v>290.385255758097</v>
      </c>
    </row>
    <row r="34" customFormat="false" ht="17.15" hidden="false" customHeight="false" outlineLevel="0" collapsed="false">
      <c r="A34" s="0" t="s">
        <v>1380</v>
      </c>
      <c r="B34" s="0" t="s">
        <v>1381</v>
      </c>
      <c r="C34" s="4" t="s">
        <v>1328</v>
      </c>
      <c r="D34" s="27" t="n">
        <v>270.861163843311</v>
      </c>
      <c r="E34" s="41" t="n">
        <f aca="false">D34/Val!$B$8-1</f>
        <v>0.0489955328680922</v>
      </c>
      <c r="F34" s="7" t="s">
        <v>154</v>
      </c>
      <c r="G34" s="4" t="s">
        <v>1329</v>
      </c>
      <c r="H34" s="26" t="n">
        <v>-0.648225979925059</v>
      </c>
      <c r="I34" s="26" t="n">
        <v>290.365139656517</v>
      </c>
    </row>
    <row r="35" customFormat="false" ht="17.15" hidden="false" customHeight="false" outlineLevel="0" collapsed="false">
      <c r="A35" s="0" t="s">
        <v>1382</v>
      </c>
      <c r="B35" s="0" t="s">
        <v>1381</v>
      </c>
      <c r="C35" s="4" t="s">
        <v>1333</v>
      </c>
      <c r="D35" s="27" t="n">
        <v>247.840167791515</v>
      </c>
      <c r="E35" s="41" t="n">
        <f aca="false">D35/Val!$B$8-1</f>
        <v>-0.0401605560959121</v>
      </c>
      <c r="F35" s="7" t="s">
        <v>154</v>
      </c>
      <c r="G35" s="4" t="s">
        <v>1329</v>
      </c>
      <c r="H35" s="26" t="n">
        <v>-0.648225979925059</v>
      </c>
      <c r="I35" s="26" t="n">
        <v>290.365139656517</v>
      </c>
    </row>
    <row r="36" customFormat="false" ht="17.15" hidden="false" customHeight="false" outlineLevel="0" collapsed="false">
      <c r="A36" s="0" t="s">
        <v>1383</v>
      </c>
      <c r="B36" s="0" t="s">
        <v>1384</v>
      </c>
      <c r="C36" s="4" t="s">
        <v>1328</v>
      </c>
      <c r="D36" s="27" t="n">
        <v>260.94411165809</v>
      </c>
      <c r="E36" s="41" t="n">
        <f aca="false">D36/Val!$B$8-1</f>
        <v>0.010588611425731</v>
      </c>
      <c r="F36" s="7" t="s">
        <v>136</v>
      </c>
      <c r="G36" s="4" t="s">
        <v>1329</v>
      </c>
      <c r="H36" s="26" t="n">
        <v>-0.647705653899365</v>
      </c>
      <c r="I36" s="26" t="n">
        <v>290.365139656517</v>
      </c>
    </row>
    <row r="37" customFormat="false" ht="17.15" hidden="false" customHeight="false" outlineLevel="0" collapsed="false">
      <c r="A37" s="0" t="s">
        <v>1385</v>
      </c>
      <c r="B37" s="0" t="s">
        <v>1384</v>
      </c>
      <c r="C37" s="4" t="s">
        <v>1333</v>
      </c>
      <c r="D37" s="27" t="n">
        <v>255.610600328427</v>
      </c>
      <c r="E37" s="41" t="n">
        <f aca="false">D37/Val!$B$8-1</f>
        <v>-0.0100670982372252</v>
      </c>
      <c r="F37" s="7" t="s">
        <v>136</v>
      </c>
      <c r="G37" s="4" t="s">
        <v>1329</v>
      </c>
      <c r="H37" s="26" t="n">
        <v>-0.648742705326754</v>
      </c>
      <c r="I37" s="26" t="n">
        <v>290.365139656517</v>
      </c>
    </row>
    <row r="38" customFormat="false" ht="17.15" hidden="false" customHeight="false" outlineLevel="0" collapsed="false">
      <c r="A38" s="4" t="s">
        <v>1386</v>
      </c>
      <c r="B38" s="0" t="s">
        <v>1387</v>
      </c>
      <c r="C38" s="4" t="s">
        <v>1328</v>
      </c>
      <c r="D38" s="27" t="n">
        <v>271.856698184632</v>
      </c>
      <c r="E38" s="41" t="n">
        <f aca="false">D38/Val!$B$8-1</f>
        <v>0.0528510545015541</v>
      </c>
      <c r="F38" s="7" t="s">
        <v>140</v>
      </c>
      <c r="G38" s="4" t="s">
        <v>1329</v>
      </c>
      <c r="H38" s="26" t="n">
        <v>-0.645835848207227</v>
      </c>
      <c r="I38" s="26" t="n">
        <v>290.365139656517</v>
      </c>
    </row>
    <row r="39" customFormat="false" ht="17.15" hidden="false" customHeight="false" outlineLevel="0" collapsed="false">
      <c r="A39" s="4" t="s">
        <v>1388</v>
      </c>
      <c r="B39" s="0" t="s">
        <v>1387</v>
      </c>
      <c r="C39" s="4" t="s">
        <v>1333</v>
      </c>
      <c r="D39" s="27" t="n">
        <v>247.347544237682</v>
      </c>
      <c r="E39" s="41" t="n">
        <f aca="false">D39/Val!$B$8-1</f>
        <v>-0.042068396629505</v>
      </c>
      <c r="F39" s="7" t="s">
        <v>140</v>
      </c>
      <c r="G39" s="4" t="s">
        <v>1329</v>
      </c>
      <c r="H39" s="26" t="n">
        <v>-0.650546516998503</v>
      </c>
      <c r="I39" s="26" t="n">
        <v>290.365139656517</v>
      </c>
    </row>
    <row r="40" customFormat="false" ht="17.15" hidden="false" customHeight="false" outlineLevel="0" collapsed="false">
      <c r="A40" s="4" t="s">
        <v>1389</v>
      </c>
      <c r="B40" s="0" t="s">
        <v>1390</v>
      </c>
      <c r="C40" s="4" t="s">
        <v>1328</v>
      </c>
      <c r="D40" s="27" t="n">
        <v>257.824313230937</v>
      </c>
      <c r="E40" s="41" t="n">
        <f aca="false">D40/Val!$B$8-1</f>
        <v>-0.00149379480444234</v>
      </c>
      <c r="F40" s="7" t="s">
        <v>160</v>
      </c>
      <c r="G40" s="4" t="s">
        <v>1329</v>
      </c>
      <c r="H40" s="26" t="n">
        <v>6.69295134872075</v>
      </c>
      <c r="I40" s="26" t="n">
        <v>290.365139656517</v>
      </c>
    </row>
    <row r="41" customFormat="false" ht="17.15" hidden="false" customHeight="false" outlineLevel="0" collapsed="false">
      <c r="A41" s="4" t="s">
        <v>1391</v>
      </c>
      <c r="B41" s="0" t="s">
        <v>1390</v>
      </c>
      <c r="C41" s="4" t="s">
        <v>1333</v>
      </c>
      <c r="D41" s="27" t="n">
        <v>258.599890084623</v>
      </c>
      <c r="E41" s="41" t="n">
        <f aca="false">D41/Val!$B$8-1</f>
        <v>0.00150987188357044</v>
      </c>
      <c r="F41" s="7" t="s">
        <v>160</v>
      </c>
      <c r="G41" s="4" t="s">
        <v>1329</v>
      </c>
      <c r="H41" s="26" t="n">
        <v>-8.01080627066885</v>
      </c>
      <c r="I41" s="26" t="n">
        <v>290.365139656517</v>
      </c>
    </row>
    <row r="42" customFormat="false" ht="17.15" hidden="false" customHeight="false" outlineLevel="0" collapsed="false">
      <c r="A42" s="0" t="s">
        <v>1392</v>
      </c>
      <c r="B42" s="0" t="s">
        <v>1393</v>
      </c>
      <c r="C42" s="4" t="s">
        <v>1333</v>
      </c>
      <c r="D42" s="27" t="n">
        <v>266.935758681369</v>
      </c>
      <c r="E42" s="41" t="n">
        <f aca="false">D42/Val!$B$8-1</f>
        <v>0.0337931597366066</v>
      </c>
      <c r="F42" s="7" t="s">
        <v>163</v>
      </c>
      <c r="G42" s="4" t="s">
        <v>1329</v>
      </c>
      <c r="H42" s="26" t="n">
        <v>-0.648225979925059</v>
      </c>
      <c r="I42" s="26" t="n">
        <v>290.365139656517</v>
      </c>
    </row>
    <row r="43" customFormat="false" ht="17.15" hidden="false" customHeight="false" outlineLevel="0" collapsed="false">
      <c r="A43" s="4" t="s">
        <v>1394</v>
      </c>
      <c r="B43" s="4" t="s">
        <v>1395</v>
      </c>
      <c r="C43" s="4" t="s">
        <v>1333</v>
      </c>
      <c r="D43" s="27" t="n">
        <v>268.206807761231</v>
      </c>
      <c r="E43" s="41" t="n">
        <f aca="false">D43/Val!$B$8-1</f>
        <v>0.0387156993429219</v>
      </c>
      <c r="F43" s="7" t="s">
        <v>216</v>
      </c>
      <c r="G43" s="4" t="s">
        <v>1329</v>
      </c>
      <c r="H43" s="26" t="n">
        <v>-0.648225979925059</v>
      </c>
      <c r="I43" s="26" t="n">
        <v>290.365139656517</v>
      </c>
    </row>
    <row r="44" customFormat="false" ht="17.15" hidden="false" customHeight="false" outlineLevel="0" collapsed="false">
      <c r="A44" s="0" t="s">
        <v>1396</v>
      </c>
      <c r="B44" s="0" t="s">
        <v>1397</v>
      </c>
      <c r="C44" s="4" t="s">
        <v>1328</v>
      </c>
      <c r="D44" s="27" t="n">
        <v>257.951479597191</v>
      </c>
      <c r="E44" s="41" t="n">
        <f aca="false">D44/Val!$B$8-1</f>
        <v>-0.00100130282722888</v>
      </c>
      <c r="F44" s="7" t="s">
        <v>258</v>
      </c>
      <c r="G44" s="4" t="s">
        <v>1329</v>
      </c>
      <c r="H44" s="26" t="n">
        <v>-0.648225979925059</v>
      </c>
      <c r="I44" s="26" t="n">
        <v>290.365139656517</v>
      </c>
    </row>
    <row r="45" customFormat="false" ht="17.15" hidden="false" customHeight="false" outlineLevel="0" collapsed="false">
      <c r="A45" s="0" t="s">
        <v>1398</v>
      </c>
      <c r="B45" s="0" t="s">
        <v>1397</v>
      </c>
      <c r="C45" s="4" t="s">
        <v>1333</v>
      </c>
      <c r="D45" s="27" t="n">
        <v>258.727118884428</v>
      </c>
      <c r="E45" s="41" t="n">
        <f aca="false">D45/Val!$B$8-1</f>
        <v>0.00200260565445864</v>
      </c>
      <c r="F45" s="7" t="s">
        <v>258</v>
      </c>
      <c r="G45" s="4" t="s">
        <v>1329</v>
      </c>
      <c r="H45" s="26" t="n">
        <v>-0.648225979925059</v>
      </c>
      <c r="I45" s="26" t="n">
        <v>290.365139656517</v>
      </c>
    </row>
    <row r="46" customFormat="false" ht="17.15" hidden="false" customHeight="false" outlineLevel="0" collapsed="false">
      <c r="A46" s="4" t="s">
        <v>1399</v>
      </c>
      <c r="B46" s="0" t="s">
        <v>1400</v>
      </c>
      <c r="C46" s="4" t="s">
        <v>1328</v>
      </c>
      <c r="D46" s="27" t="n">
        <v>245.447759661391</v>
      </c>
      <c r="E46" s="41" t="n">
        <f aca="false">D46/Val!$B$8-1</f>
        <v>-0.0494259133205793</v>
      </c>
      <c r="F46" s="7" t="s">
        <v>265</v>
      </c>
      <c r="G46" s="4" t="s">
        <v>1329</v>
      </c>
      <c r="H46" s="26" t="n">
        <v>-0.648225979925059</v>
      </c>
      <c r="I46" s="26" t="n">
        <v>290.365139656517</v>
      </c>
    </row>
    <row r="47" customFormat="false" ht="17.15" hidden="false" customHeight="false" outlineLevel="0" collapsed="false">
      <c r="A47" s="4" t="s">
        <v>1401</v>
      </c>
      <c r="B47" s="0" t="s">
        <v>1402</v>
      </c>
      <c r="C47" s="4" t="s">
        <v>1333</v>
      </c>
      <c r="D47" s="27" t="n">
        <v>287.760749930662</v>
      </c>
      <c r="E47" s="41" t="n">
        <f aca="false">D47/Val!$B$8-1</f>
        <v>0.11444452548634</v>
      </c>
      <c r="F47" s="7" t="s">
        <v>265</v>
      </c>
      <c r="G47" s="4" t="s">
        <v>1329</v>
      </c>
      <c r="H47" s="26" t="n">
        <v>-0.648225979925059</v>
      </c>
      <c r="I47" s="26" t="n">
        <v>290.365139656517</v>
      </c>
    </row>
    <row r="48" customFormat="false" ht="17.15" hidden="false" customHeight="false" outlineLevel="0" collapsed="false">
      <c r="A48" s="4" t="s">
        <v>1403</v>
      </c>
      <c r="B48" s="0" t="s">
        <v>1404</v>
      </c>
      <c r="C48" s="4" t="s">
        <v>1328</v>
      </c>
      <c r="D48" s="27" t="n">
        <v>261.746216516747</v>
      </c>
      <c r="E48" s="41" t="n">
        <f aca="false">D48/Val!$B$8-1</f>
        <v>0.0136950162040466</v>
      </c>
      <c r="F48" s="7" t="s">
        <v>109</v>
      </c>
      <c r="G48" s="4" t="s">
        <v>1329</v>
      </c>
      <c r="H48" s="26" t="n">
        <v>-0.648225979925059</v>
      </c>
      <c r="I48" s="26" t="n">
        <v>290.365139656517</v>
      </c>
    </row>
    <row r="49" customFormat="false" ht="17.15" hidden="false" customHeight="false" outlineLevel="0" collapsed="false">
      <c r="A49" s="4" t="s">
        <v>1405</v>
      </c>
      <c r="B49" s="0" t="s">
        <v>1404</v>
      </c>
      <c r="C49" s="4" t="s">
        <v>1333</v>
      </c>
      <c r="D49" s="27" t="n">
        <v>254.673835535793</v>
      </c>
      <c r="E49" s="41" t="n">
        <f aca="false">D49/Val!$B$8-1</f>
        <v>-0.0136950162040461</v>
      </c>
      <c r="F49" s="7" t="s">
        <v>109</v>
      </c>
      <c r="G49" s="4" t="s">
        <v>1329</v>
      </c>
      <c r="H49" s="26" t="n">
        <v>-0.648225979925059</v>
      </c>
      <c r="I49" s="26" t="n">
        <v>290.365139656517</v>
      </c>
    </row>
    <row r="50" customFormat="false" ht="17.15" hidden="false" customHeight="false" outlineLevel="0" collapsed="false">
      <c r="A50" s="0" t="s">
        <v>1406</v>
      </c>
      <c r="B50" s="0" t="s">
        <v>1407</v>
      </c>
      <c r="C50" s="4" t="s">
        <v>1328</v>
      </c>
      <c r="D50" s="27" t="n">
        <v>285.852298827513</v>
      </c>
      <c r="E50" s="41" t="n">
        <f aca="false">D50/Val!$B$8-1</f>
        <v>0.107053444928706</v>
      </c>
      <c r="F50" s="7" t="s">
        <v>185</v>
      </c>
      <c r="G50" s="4" t="s">
        <v>1329</v>
      </c>
      <c r="H50" s="26" t="n">
        <v>-0.648225979925059</v>
      </c>
      <c r="I50" s="26" t="n">
        <v>290.365139656517</v>
      </c>
    </row>
    <row r="51" customFormat="false" ht="17.15" hidden="false" customHeight="false" outlineLevel="0" collapsed="false">
      <c r="A51" s="0" t="s">
        <v>1408</v>
      </c>
      <c r="B51" s="0" t="s">
        <v>1407</v>
      </c>
      <c r="C51" s="4" t="s">
        <v>1333</v>
      </c>
      <c r="D51" s="27" t="n">
        <v>230.567753225026</v>
      </c>
      <c r="E51" s="41" t="n">
        <f aca="false">D51/Val!$B$8-1</f>
        <v>-0.10705344492871</v>
      </c>
      <c r="F51" s="7" t="s">
        <v>185</v>
      </c>
      <c r="G51" s="4" t="s">
        <v>1329</v>
      </c>
      <c r="H51" s="26" t="n">
        <v>-0.648225979925059</v>
      </c>
      <c r="I51" s="26" t="n">
        <v>290.365139656517</v>
      </c>
    </row>
    <row r="52" customFormat="false" ht="17.15" hidden="false" customHeight="false" outlineLevel="0" collapsed="false">
      <c r="A52" s="4" t="s">
        <v>1409</v>
      </c>
      <c r="B52" s="0" t="s">
        <v>1410</v>
      </c>
      <c r="C52" s="4" t="s">
        <v>1328</v>
      </c>
      <c r="D52" s="27" t="n">
        <v>258.290943695505</v>
      </c>
      <c r="E52" s="41" t="n">
        <f aca="false">D52/Val!$B$8-1</f>
        <v>0.000313379269118119</v>
      </c>
      <c r="F52" s="7" t="s">
        <v>607</v>
      </c>
      <c r="G52" s="4" t="s">
        <v>1329</v>
      </c>
      <c r="H52" s="26" t="n">
        <v>1.64972657733598</v>
      </c>
      <c r="I52" s="26" t="n">
        <v>290.365139656517</v>
      </c>
    </row>
    <row r="53" customFormat="false" ht="17.15" hidden="false" customHeight="false" outlineLevel="0" collapsed="false">
      <c r="A53" s="4" t="s">
        <v>1411</v>
      </c>
      <c r="B53" s="0" t="s">
        <v>1410</v>
      </c>
      <c r="C53" s="4" t="s">
        <v>1333</v>
      </c>
      <c r="D53" s="27" t="n">
        <v>258.089760536618</v>
      </c>
      <c r="E53" s="41" t="n">
        <f aca="false">D53/Val!$B$8-1</f>
        <v>-0.000465766149761016</v>
      </c>
      <c r="F53" s="7" t="s">
        <v>607</v>
      </c>
      <c r="G53" s="4" t="s">
        <v>1329</v>
      </c>
      <c r="H53" s="26" t="n">
        <v>-3.95568410542404</v>
      </c>
      <c r="I53" s="26" t="n">
        <v>290.365139656517</v>
      </c>
    </row>
    <row r="54" customFormat="false" ht="17.15" hidden="false" customHeight="false" outlineLevel="0" collapsed="false">
      <c r="A54" s="4" t="s">
        <v>1412</v>
      </c>
      <c r="B54" s="0" t="s">
        <v>1413</v>
      </c>
      <c r="C54" s="4" t="s">
        <v>1333</v>
      </c>
      <c r="D54" s="27" t="n">
        <v>254.932229236751</v>
      </c>
      <c r="E54" s="41" t="n">
        <f aca="false">D54/Val!$B$8-1</f>
        <v>-0.0126943048647749</v>
      </c>
      <c r="F54" s="7" t="s">
        <v>206</v>
      </c>
      <c r="G54" s="4" t="s">
        <v>1329</v>
      </c>
      <c r="H54" s="26" t="n">
        <v>-13.7498015799666</v>
      </c>
      <c r="I54" s="26" t="n">
        <v>290.365139656517</v>
      </c>
    </row>
    <row r="55" customFormat="false" ht="17.15" hidden="false" customHeight="false" outlineLevel="0" collapsed="false">
      <c r="A55" s="0" t="s">
        <v>1414</v>
      </c>
      <c r="B55" s="4" t="s">
        <v>1415</v>
      </c>
      <c r="C55" s="4" t="s">
        <v>1333</v>
      </c>
      <c r="D55" s="27" t="n">
        <v>280.68513709584</v>
      </c>
      <c r="E55" s="41" t="n">
        <f aca="false">D55/Val!$B$8-1</f>
        <v>0.0870419767018786</v>
      </c>
      <c r="F55" s="7" t="s">
        <v>213</v>
      </c>
      <c r="G55" s="4" t="s">
        <v>1329</v>
      </c>
      <c r="H55" s="26" t="n">
        <v>-0.648225979925059</v>
      </c>
      <c r="I55" s="26" t="n">
        <v>290.365139656517</v>
      </c>
    </row>
    <row r="56" customFormat="false" ht="17.15" hidden="false" customHeight="false" outlineLevel="0" collapsed="false">
      <c r="A56" s="0" t="s">
        <v>1416</v>
      </c>
      <c r="B56" s="0" t="s">
        <v>1373</v>
      </c>
      <c r="C56" s="4" t="s">
        <v>1328</v>
      </c>
      <c r="D56" s="27" t="n">
        <v>257.356564990857</v>
      </c>
      <c r="E56" s="41" t="n">
        <f aca="false">D56/Val!$B$8-1</f>
        <v>-0.00330529781723543</v>
      </c>
      <c r="F56" s="7" t="s">
        <v>273</v>
      </c>
      <c r="G56" s="4" t="s">
        <v>1329</v>
      </c>
      <c r="H56" s="26" t="n">
        <v>-0.648225979925059</v>
      </c>
      <c r="I56" s="26" t="n">
        <v>290.365139656517</v>
      </c>
    </row>
    <row r="57" customFormat="false" ht="17.15" hidden="false" customHeight="false" outlineLevel="0" collapsed="false">
      <c r="A57" s="0" t="s">
        <v>1417</v>
      </c>
      <c r="B57" s="0" t="s">
        <v>1373</v>
      </c>
      <c r="C57" s="4" t="s">
        <v>1333</v>
      </c>
      <c r="D57" s="27" t="n">
        <v>259.063487061682</v>
      </c>
      <c r="E57" s="41" t="n">
        <f aca="false">D57/Val!$B$8-1</f>
        <v>0.0033052978172321</v>
      </c>
      <c r="F57" s="7" t="s">
        <v>273</v>
      </c>
      <c r="G57" s="4" t="s">
        <v>1329</v>
      </c>
      <c r="H57" s="26" t="n">
        <v>-0.648225979925059</v>
      </c>
      <c r="I57" s="26" t="n">
        <v>290.365139656517</v>
      </c>
    </row>
    <row r="58" customFormat="false" ht="17.15" hidden="false" customHeight="false" outlineLevel="0" collapsed="false">
      <c r="A58" s="4" t="s">
        <v>1418</v>
      </c>
      <c r="B58" s="4" t="s">
        <v>1419</v>
      </c>
      <c r="C58" s="4" t="s">
        <v>1333</v>
      </c>
      <c r="D58" s="27" t="n">
        <v>263.39058072209</v>
      </c>
      <c r="E58" s="41" t="n">
        <f aca="false">D58/Val!$B$8-1</f>
        <v>0.0200633367168053</v>
      </c>
      <c r="F58" s="7" t="s">
        <v>330</v>
      </c>
      <c r="G58" s="4" t="s">
        <v>1329</v>
      </c>
      <c r="H58" s="26" t="n">
        <v>-19.7212534143966</v>
      </c>
      <c r="I58" s="26" t="n">
        <v>290.365139656517</v>
      </c>
    </row>
    <row r="59" customFormat="false" ht="17.15" hidden="false" customHeight="false" outlineLevel="0" collapsed="false">
      <c r="A59" s="0" t="s">
        <v>1420</v>
      </c>
      <c r="B59" s="0" t="s">
        <v>1421</v>
      </c>
      <c r="C59" s="4" t="s">
        <v>1328</v>
      </c>
      <c r="D59" s="27" t="n">
        <v>244.360375762816</v>
      </c>
      <c r="E59" s="41" t="n">
        <f aca="false">D59/Val!$B$8-1</f>
        <v>-0.0536371514173694</v>
      </c>
      <c r="F59" s="7" t="s">
        <v>1422</v>
      </c>
      <c r="G59" s="4" t="s">
        <v>1329</v>
      </c>
      <c r="H59" s="26" t="n">
        <v>-14.6734635131767</v>
      </c>
      <c r="I59" s="26" t="n">
        <v>291.424708005459</v>
      </c>
    </row>
    <row r="60" customFormat="false" ht="17.15" hidden="false" customHeight="false" outlineLevel="0" collapsed="false">
      <c r="A60" s="0" t="s">
        <v>1423</v>
      </c>
      <c r="B60" s="0" t="s">
        <v>1421</v>
      </c>
      <c r="C60" s="4" t="s">
        <v>1333</v>
      </c>
      <c r="D60" s="27" t="n">
        <v>294.848916666865</v>
      </c>
      <c r="E60" s="41" t="n">
        <f aca="false">D60/Val!$B$8-1</f>
        <v>0.141895693224815</v>
      </c>
      <c r="F60" s="7" t="s">
        <v>1422</v>
      </c>
      <c r="G60" s="4" t="s">
        <v>1329</v>
      </c>
      <c r="H60" s="26" t="n">
        <v>40.4598640943037</v>
      </c>
      <c r="I60" s="26" t="n">
        <v>287.474250082168</v>
      </c>
    </row>
    <row r="61" customFormat="false" ht="17.15" hidden="false" customHeight="false" outlineLevel="0" collapsed="false">
      <c r="A61" s="0" t="s">
        <v>1424</v>
      </c>
      <c r="B61" s="0" t="s">
        <v>1425</v>
      </c>
      <c r="C61" s="4" t="s">
        <v>1328</v>
      </c>
      <c r="D61" s="27" t="n">
        <v>258.527852057175</v>
      </c>
      <c r="E61" s="41" t="n">
        <f aca="false">D61/Val!$B$8-1</f>
        <v>0.00123088183598541</v>
      </c>
      <c r="F61" s="7" t="s">
        <v>345</v>
      </c>
      <c r="G61" s="4" t="s">
        <v>1329</v>
      </c>
      <c r="H61" s="26" t="n">
        <v>26.2976814745871</v>
      </c>
      <c r="I61" s="26" t="n">
        <v>282.539858376393</v>
      </c>
    </row>
    <row r="62" customFormat="false" ht="17.15" hidden="false" customHeight="false" outlineLevel="0" collapsed="false">
      <c r="A62" s="0" t="s">
        <v>1426</v>
      </c>
      <c r="B62" s="0" t="s">
        <v>1425</v>
      </c>
      <c r="C62" s="4" t="s">
        <v>1333</v>
      </c>
      <c r="D62" s="27" t="n">
        <v>256.440082026039</v>
      </c>
      <c r="E62" s="41" t="n">
        <f aca="false">D62/Val!$B$8-1</f>
        <v>-0.00685466799050949</v>
      </c>
      <c r="F62" s="7" t="s">
        <v>345</v>
      </c>
      <c r="G62" s="4" t="s">
        <v>1329</v>
      </c>
      <c r="H62" s="26" t="n">
        <v>-114.490209680206</v>
      </c>
      <c r="I62" s="26" t="n">
        <v>321.668159614701</v>
      </c>
    </row>
    <row r="63" customFormat="false" ht="17.15" hidden="false" customHeight="false" outlineLevel="0" collapsed="false">
      <c r="A63" s="0" t="s">
        <v>1427</v>
      </c>
      <c r="B63" s="4" t="s">
        <v>1428</v>
      </c>
      <c r="C63" s="4" t="s">
        <v>1328</v>
      </c>
      <c r="D63" s="27" t="n">
        <v>251.792905357584</v>
      </c>
      <c r="E63" s="41" t="n">
        <f aca="false">D63/Val!$B$8-1</f>
        <v>-0.0248523295839529</v>
      </c>
      <c r="F63" s="7" t="s">
        <v>349</v>
      </c>
      <c r="G63" s="4" t="s">
        <v>1329</v>
      </c>
      <c r="H63" s="26" t="n">
        <v>-10.7739711657609</v>
      </c>
      <c r="I63" s="26" t="n">
        <v>291.022839475521</v>
      </c>
    </row>
    <row r="64" customFormat="false" ht="17.15" hidden="false" customHeight="false" outlineLevel="0" collapsed="false">
      <c r="A64" s="0" t="s">
        <v>1429</v>
      </c>
      <c r="B64" s="4" t="s">
        <v>1428</v>
      </c>
      <c r="C64" s="4" t="s">
        <v>1333</v>
      </c>
      <c r="D64" s="27" t="n">
        <v>284.152066348179</v>
      </c>
      <c r="E64" s="41" t="n">
        <f aca="false">D64/Val!$B$8-1</f>
        <v>0.100468756853267</v>
      </c>
      <c r="F64" s="7" t="s">
        <v>349</v>
      </c>
      <c r="G64" s="4" t="s">
        <v>1329</v>
      </c>
      <c r="H64" s="26" t="n">
        <v>40.4634013961768</v>
      </c>
      <c r="I64" s="26" t="n">
        <v>287.742113312821</v>
      </c>
    </row>
    <row r="65" customFormat="false" ht="17.15" hidden="false" customHeight="false" outlineLevel="0" collapsed="false">
      <c r="A65" s="0" t="s">
        <v>1430</v>
      </c>
      <c r="B65" s="0" t="s">
        <v>1431</v>
      </c>
      <c r="C65" s="4" t="s">
        <v>1328</v>
      </c>
      <c r="D65" s="27" t="n">
        <v>262.065383110798</v>
      </c>
      <c r="E65" s="41" t="n">
        <f aca="false">D65/Val!$B$8-1</f>
        <v>0.0149310897948471</v>
      </c>
      <c r="F65" s="7" t="s">
        <v>286</v>
      </c>
      <c r="G65" s="4" t="s">
        <v>1329</v>
      </c>
      <c r="H65" s="26" t="n">
        <v>1.01060632146374</v>
      </c>
      <c r="I65" s="26" t="n">
        <v>291.276843749936</v>
      </c>
    </row>
    <row r="66" customFormat="false" ht="17.15" hidden="false" customHeight="false" outlineLevel="0" collapsed="false">
      <c r="A66" s="0" t="s">
        <v>1432</v>
      </c>
      <c r="B66" s="0" t="s">
        <v>1431</v>
      </c>
      <c r="C66" s="4" t="s">
        <v>1333</v>
      </c>
      <c r="D66" s="27" t="n">
        <v>253.827859352798</v>
      </c>
      <c r="E66" s="41" t="n">
        <f aca="false">D66/Val!$B$8-1</f>
        <v>-0.0169713265627652</v>
      </c>
      <c r="F66" s="7" t="s">
        <v>286</v>
      </c>
      <c r="G66" s="4" t="s">
        <v>1329</v>
      </c>
      <c r="H66" s="26" t="n">
        <v>-2.30354143560579</v>
      </c>
      <c r="I66" s="26" t="n">
        <v>289.312358099444</v>
      </c>
    </row>
    <row r="67" customFormat="false" ht="17.15" hidden="false" customHeight="false" outlineLevel="0" collapsed="false">
      <c r="A67" s="4" t="s">
        <v>1433</v>
      </c>
      <c r="B67" s="0" t="s">
        <v>1434</v>
      </c>
      <c r="C67" s="4" t="s">
        <v>1328</v>
      </c>
      <c r="D67" s="27" t="n">
        <v>261.6002360412</v>
      </c>
      <c r="E67" s="41" t="n">
        <f aca="false">D67/Val!$B$8-1</f>
        <v>0.0131296606375197</v>
      </c>
      <c r="F67" s="7" t="s">
        <v>372</v>
      </c>
      <c r="G67" s="4" t="s">
        <v>1329</v>
      </c>
      <c r="H67" s="26" t="n">
        <v>17.6083505773267</v>
      </c>
      <c r="I67" s="26" t="n">
        <v>289.184123852436</v>
      </c>
    </row>
    <row r="68" customFormat="false" ht="17.15" hidden="false" customHeight="false" outlineLevel="0" collapsed="false">
      <c r="A68" s="4" t="s">
        <v>1435</v>
      </c>
      <c r="B68" s="0" t="s">
        <v>1434</v>
      </c>
      <c r="C68" s="4" t="s">
        <v>1333</v>
      </c>
      <c r="D68" s="27" t="n">
        <v>254.898564686387</v>
      </c>
      <c r="E68" s="41" t="n">
        <f aca="false">D68/Val!$B$8-1</f>
        <v>-0.0128246814844674</v>
      </c>
      <c r="F68" s="7" t="s">
        <v>372</v>
      </c>
      <c r="G68" s="4" t="s">
        <v>1329</v>
      </c>
      <c r="H68" s="26" t="n">
        <v>-18.7868835351967</v>
      </c>
      <c r="I68" s="26" t="n">
        <v>291.548550717358</v>
      </c>
    </row>
    <row r="69" customFormat="false" ht="17.15" hidden="false" customHeight="false" outlineLevel="0" collapsed="false">
      <c r="A69" s="4" t="s">
        <v>1436</v>
      </c>
      <c r="B69" s="0" t="s">
        <v>1437</v>
      </c>
      <c r="C69" s="4" t="s">
        <v>1328</v>
      </c>
      <c r="D69" s="27" t="n">
        <v>259.903821875527</v>
      </c>
      <c r="E69" s="41" t="n">
        <f aca="false">D69/Val!$B$8-1</f>
        <v>0.00655976018950066</v>
      </c>
      <c r="F69" s="7" t="s">
        <v>423</v>
      </c>
      <c r="G69" s="4" t="s">
        <v>1329</v>
      </c>
      <c r="H69" s="26" t="n">
        <v>27.1818495151659</v>
      </c>
      <c r="I69" s="26" t="n">
        <v>282.473883556517</v>
      </c>
    </row>
    <row r="70" customFormat="false" ht="17.15" hidden="false" customHeight="false" outlineLevel="0" collapsed="false">
      <c r="A70" s="4" t="s">
        <v>1438</v>
      </c>
      <c r="B70" s="0" t="s">
        <v>1437</v>
      </c>
      <c r="C70" s="4" t="s">
        <v>1333</v>
      </c>
      <c r="D70" s="27" t="n">
        <v>256.347169455504</v>
      </c>
      <c r="E70" s="41" t="n">
        <f aca="false">D70/Val!$B$8-1</f>
        <v>-0.00721450130900958</v>
      </c>
      <c r="F70" s="7" t="s">
        <v>423</v>
      </c>
      <c r="G70" s="4" t="s">
        <v>1329</v>
      </c>
      <c r="H70" s="26" t="n">
        <v>-30.4983999755296</v>
      </c>
      <c r="I70" s="26" t="n">
        <v>298.256395756517</v>
      </c>
    </row>
    <row r="71" customFormat="false" ht="17.15" hidden="false" customHeight="false" outlineLevel="0" collapsed="false">
      <c r="A71" s="4" t="s">
        <v>1439</v>
      </c>
      <c r="B71" s="0" t="s">
        <v>1440</v>
      </c>
      <c r="C71" s="4" t="s">
        <v>1328</v>
      </c>
      <c r="D71" s="27" t="n">
        <v>257.022931844409</v>
      </c>
      <c r="E71" s="41" t="n">
        <f aca="false">D71/Val!$B$8-1</f>
        <v>-0.00459739770809731</v>
      </c>
      <c r="F71" s="7" t="s">
        <v>429</v>
      </c>
      <c r="G71" s="4" t="s">
        <v>1329</v>
      </c>
      <c r="H71" s="26" t="n">
        <v>1.47385912664996</v>
      </c>
      <c r="I71" s="26" t="n">
        <v>290.365139656517</v>
      </c>
    </row>
    <row r="72" customFormat="false" ht="17.15" hidden="false" customHeight="false" outlineLevel="0" collapsed="false">
      <c r="A72" s="4" t="s">
        <v>1441</v>
      </c>
      <c r="B72" s="0" t="s">
        <v>1440</v>
      </c>
      <c r="C72" s="4" t="s">
        <v>1333</v>
      </c>
      <c r="D72" s="27" t="n">
        <v>258.922282535386</v>
      </c>
      <c r="E72" s="41" t="n">
        <f aca="false">D72/Val!$B$8-1</f>
        <v>0.00275843862485647</v>
      </c>
      <c r="F72" s="7" t="s">
        <v>429</v>
      </c>
      <c r="G72" s="4" t="s">
        <v>1329</v>
      </c>
      <c r="H72" s="26" t="n">
        <v>-1.92147704387006</v>
      </c>
      <c r="I72" s="26" t="n">
        <v>290.365139656517</v>
      </c>
    </row>
    <row r="73" customFormat="false" ht="17.15" hidden="false" customHeight="false" outlineLevel="0" collapsed="false">
      <c r="A73" s="4" t="s">
        <v>1442</v>
      </c>
      <c r="B73" s="0" t="s">
        <v>1443</v>
      </c>
      <c r="C73" s="4" t="s">
        <v>1328</v>
      </c>
      <c r="D73" s="27" t="n">
        <v>256.38292417602</v>
      </c>
      <c r="E73" s="41" t="n">
        <f aca="false">D73/Val!$B$8-1</f>
        <v>-0.00707602984426337</v>
      </c>
      <c r="F73" s="7" t="s">
        <v>432</v>
      </c>
      <c r="G73" s="4" t="s">
        <v>1329</v>
      </c>
      <c r="H73" s="26" t="n">
        <v>1.57098602165317</v>
      </c>
      <c r="I73" s="26" t="n">
        <v>290.365139656517</v>
      </c>
    </row>
    <row r="74" customFormat="false" ht="17.15" hidden="false" customHeight="false" outlineLevel="0" collapsed="false">
      <c r="A74" s="4" t="s">
        <v>1444</v>
      </c>
      <c r="B74" s="0" t="s">
        <v>1443</v>
      </c>
      <c r="C74" s="4" t="s">
        <v>1333</v>
      </c>
      <c r="D74" s="27" t="n">
        <v>260.646161826604</v>
      </c>
      <c r="E74" s="41" t="n">
        <f aca="false">D74/Val!$B$8-1</f>
        <v>0.009434706459021</v>
      </c>
      <c r="F74" s="7" t="s">
        <v>432</v>
      </c>
      <c r="G74" s="4" t="s">
        <v>1329</v>
      </c>
      <c r="H74" s="26" t="n">
        <v>-3.60717531536254</v>
      </c>
      <c r="I74" s="26" t="n">
        <v>290.365139656517</v>
      </c>
    </row>
    <row r="75" customFormat="false" ht="17.15" hidden="false" customHeight="false" outlineLevel="0" collapsed="false">
      <c r="A75" s="4" t="s">
        <v>1445</v>
      </c>
      <c r="B75" s="0" t="s">
        <v>1446</v>
      </c>
      <c r="C75" s="4" t="s">
        <v>1328</v>
      </c>
      <c r="D75" s="27" t="n">
        <v>258.933119745756</v>
      </c>
      <c r="E75" s="41" t="n">
        <f aca="false">D75/Val!$B$8-1</f>
        <v>0.00280040914992408</v>
      </c>
      <c r="F75" s="7" t="s">
        <v>435</v>
      </c>
      <c r="G75" s="4" t="s">
        <v>1329</v>
      </c>
      <c r="H75" s="26" t="n">
        <v>-8.59301522159039</v>
      </c>
      <c r="I75" s="26" t="n">
        <v>290.365139656517</v>
      </c>
    </row>
    <row r="76" customFormat="false" ht="17.15" hidden="false" customHeight="false" outlineLevel="0" collapsed="false">
      <c r="A76" s="4" t="s">
        <v>1447</v>
      </c>
      <c r="B76" s="0" t="s">
        <v>1446</v>
      </c>
      <c r="C76" s="4" t="s">
        <v>1333</v>
      </c>
      <c r="D76" s="27" t="n">
        <v>257.486932306784</v>
      </c>
      <c r="E76" s="41" t="n">
        <f aca="false">D76/Val!$B$8-1</f>
        <v>-0.00280040914992341</v>
      </c>
      <c r="F76" s="7" t="s">
        <v>435</v>
      </c>
      <c r="G76" s="4" t="s">
        <v>1329</v>
      </c>
      <c r="H76" s="26" t="n">
        <v>7.2965632617402</v>
      </c>
      <c r="I76" s="26" t="n">
        <v>290.365139656517</v>
      </c>
    </row>
    <row r="77" customFormat="false" ht="17.15" hidden="false" customHeight="false" outlineLevel="0" collapsed="false">
      <c r="A77" s="4" t="s">
        <v>1448</v>
      </c>
      <c r="B77" s="0" t="s">
        <v>1449</v>
      </c>
      <c r="C77" s="4" t="s">
        <v>1328</v>
      </c>
      <c r="D77" s="27" t="n">
        <v>257.928295655255</v>
      </c>
      <c r="E77" s="41" t="n">
        <f aca="false">D77/Val!$B$8-1</f>
        <v>-0.00109108997567065</v>
      </c>
      <c r="F77" s="7" t="s">
        <v>448</v>
      </c>
      <c r="G77" s="4" t="s">
        <v>1329</v>
      </c>
      <c r="H77" s="26" t="n">
        <v>-1.90989769053041</v>
      </c>
      <c r="I77" s="26" t="n">
        <v>290.365139656517</v>
      </c>
    </row>
    <row r="78" customFormat="false" ht="17.15" hidden="false" customHeight="false" outlineLevel="0" collapsed="false">
      <c r="A78" s="4" t="s">
        <v>1450</v>
      </c>
      <c r="B78" s="0" t="s">
        <v>1449</v>
      </c>
      <c r="C78" s="4" t="s">
        <v>1333</v>
      </c>
      <c r="D78" s="27" t="n">
        <v>258.351736945663</v>
      </c>
      <c r="E78" s="41" t="n">
        <f aca="false">D78/Val!$B$8-1</f>
        <v>0.000548820359820734</v>
      </c>
      <c r="F78" s="7" t="s">
        <v>448</v>
      </c>
      <c r="G78" s="4" t="s">
        <v>1329</v>
      </c>
      <c r="H78" s="26" t="n">
        <v>-0.0173901246223807</v>
      </c>
      <c r="I78" s="26" t="n">
        <v>290.365139656517</v>
      </c>
    </row>
    <row r="79" customFormat="false" ht="17.15" hidden="false" customHeight="false" outlineLevel="0" collapsed="false">
      <c r="A79" s="0" t="s">
        <v>1451</v>
      </c>
      <c r="B79" s="0" t="s">
        <v>1452</v>
      </c>
      <c r="C79" s="4" t="s">
        <v>1328</v>
      </c>
      <c r="D79" s="27" t="n">
        <v>257.709182822647</v>
      </c>
      <c r="E79" s="41" t="n">
        <f aca="false">D79/Val!$B$8-1</f>
        <v>-0.00193967372735548</v>
      </c>
      <c r="F79" s="7" t="s">
        <v>495</v>
      </c>
      <c r="G79" s="4" t="s">
        <v>1329</v>
      </c>
      <c r="H79" s="26" t="n">
        <v>-2.26232634013309</v>
      </c>
      <c r="I79" s="26" t="n">
        <v>290.351881511317</v>
      </c>
    </row>
    <row r="80" customFormat="false" ht="17.15" hidden="false" customHeight="false" outlineLevel="0" collapsed="false">
      <c r="A80" s="0" t="s">
        <v>1453</v>
      </c>
      <c r="B80" s="0" t="s">
        <v>1452</v>
      </c>
      <c r="C80" s="4" t="s">
        <v>1333</v>
      </c>
      <c r="D80" s="27" t="n">
        <v>258.752593881585</v>
      </c>
      <c r="E80" s="41" t="n">
        <f aca="false">D80/Val!$B$8-1</f>
        <v>0.00210126563892565</v>
      </c>
      <c r="F80" s="7" t="s">
        <v>495</v>
      </c>
      <c r="G80" s="4" t="s">
        <v>1329</v>
      </c>
      <c r="H80" s="26" t="n">
        <v>1.02457945786918</v>
      </c>
      <c r="I80" s="26" t="n">
        <v>290.378397801717</v>
      </c>
    </row>
    <row r="81" customFormat="false" ht="17.15" hidden="false" customHeight="false" outlineLevel="0" collapsed="false">
      <c r="A81" s="0" t="s">
        <v>1454</v>
      </c>
      <c r="B81" s="0" t="s">
        <v>1455</v>
      </c>
      <c r="C81" s="4" t="s">
        <v>1328</v>
      </c>
      <c r="D81" s="27" t="n">
        <v>256.656832000592</v>
      </c>
      <c r="E81" s="41" t="n">
        <f aca="false">D81/Val!$B$8-1</f>
        <v>-0.00601523515403668</v>
      </c>
      <c r="F81" s="7" t="s">
        <v>499</v>
      </c>
      <c r="G81" s="4" t="s">
        <v>1329</v>
      </c>
      <c r="H81" s="26" t="n">
        <v>-4.65819098187644</v>
      </c>
      <c r="I81" s="26" t="n">
        <v>290.340277882132</v>
      </c>
    </row>
    <row r="82" customFormat="false" ht="17.15" hidden="false" customHeight="false" outlineLevel="0" collapsed="false">
      <c r="A82" s="0" t="s">
        <v>1456</v>
      </c>
      <c r="B82" s="0" t="s">
        <v>1455</v>
      </c>
      <c r="C82" s="4" t="s">
        <v>1333</v>
      </c>
      <c r="D82" s="27" t="n">
        <v>259.88446306071</v>
      </c>
      <c r="E82" s="41" t="n">
        <f aca="false">D82/Val!$B$8-1</f>
        <v>0.00648478705575029</v>
      </c>
      <c r="F82" s="7" t="s">
        <v>499</v>
      </c>
      <c r="G82" s="4" t="s">
        <v>1329</v>
      </c>
      <c r="H82" s="26" t="n">
        <v>3.49770212650284</v>
      </c>
      <c r="I82" s="26" t="n">
        <v>290.390001430902</v>
      </c>
    </row>
    <row r="83" customFormat="false" ht="17.15" hidden="false" customHeight="false" outlineLevel="0" collapsed="false">
      <c r="A83" s="4" t="s">
        <v>1457</v>
      </c>
      <c r="B83" s="0" t="s">
        <v>1458</v>
      </c>
      <c r="C83" s="4" t="s">
        <v>1328</v>
      </c>
      <c r="D83" s="27" t="n">
        <v>259.918062772744</v>
      </c>
      <c r="E83" s="41" t="n">
        <f aca="false">D83/Val!$B$8-1</f>
        <v>0.00661491256850066</v>
      </c>
      <c r="F83" s="7" t="s">
        <v>505</v>
      </c>
      <c r="G83" s="4" t="s">
        <v>1329</v>
      </c>
      <c r="H83" s="26" t="n">
        <v>-0.648225979925059</v>
      </c>
      <c r="I83" s="26" t="n">
        <v>290.365139656517</v>
      </c>
    </row>
    <row r="84" customFormat="false" ht="17.15" hidden="false" customHeight="false" outlineLevel="0" collapsed="false">
      <c r="A84" s="4" t="s">
        <v>1459</v>
      </c>
      <c r="B84" s="0" t="s">
        <v>1458</v>
      </c>
      <c r="C84" s="4" t="s">
        <v>1333</v>
      </c>
      <c r="D84" s="27" t="n">
        <v>256.501989279796</v>
      </c>
      <c r="E84" s="41" t="n">
        <f aca="false">D84/Val!$B$8-1</f>
        <v>-0.00661491256850011</v>
      </c>
      <c r="F84" s="7" t="s">
        <v>505</v>
      </c>
      <c r="G84" s="4" t="s">
        <v>1329</v>
      </c>
      <c r="H84" s="26" t="n">
        <v>-0.648225979925059</v>
      </c>
      <c r="I84" s="26" t="n">
        <v>290.365139656517</v>
      </c>
    </row>
    <row r="85" customFormat="false" ht="17.15" hidden="false" customHeight="false" outlineLevel="0" collapsed="false">
      <c r="A85" s="4" t="s">
        <v>1460</v>
      </c>
      <c r="B85" s="0" t="s">
        <v>1461</v>
      </c>
      <c r="C85" s="4" t="s">
        <v>1328</v>
      </c>
      <c r="D85" s="27" t="n">
        <v>256.563503864855</v>
      </c>
      <c r="E85" s="41" t="n">
        <f aca="false">D85/Val!$B$8-1</f>
        <v>-0.00637667788022833</v>
      </c>
      <c r="F85" s="7" t="s">
        <v>509</v>
      </c>
      <c r="G85" s="4" t="s">
        <v>1329</v>
      </c>
      <c r="H85" s="26" t="n">
        <v>-0.648225979925059</v>
      </c>
      <c r="I85" s="26" t="n">
        <v>290.365139656517</v>
      </c>
    </row>
    <row r="86" customFormat="false" ht="17.15" hidden="false" customHeight="false" outlineLevel="0" collapsed="false">
      <c r="A86" s="4" t="s">
        <v>1462</v>
      </c>
      <c r="B86" s="0" t="s">
        <v>1461</v>
      </c>
      <c r="C86" s="4" t="s">
        <v>1333</v>
      </c>
      <c r="D86" s="27" t="n">
        <v>259.856548187684</v>
      </c>
      <c r="E86" s="41" t="n">
        <f aca="false">D86/Val!$B$8-1</f>
        <v>0.006376677880225</v>
      </c>
      <c r="F86" s="7" t="s">
        <v>509</v>
      </c>
      <c r="G86" s="4" t="s">
        <v>1329</v>
      </c>
      <c r="H86" s="26" t="n">
        <v>-0.648225979925059</v>
      </c>
      <c r="I86" s="26" t="n">
        <v>290.365139656517</v>
      </c>
    </row>
    <row r="87" customFormat="false" ht="17.15" hidden="false" customHeight="false" outlineLevel="0" collapsed="false">
      <c r="A87" s="4" t="s">
        <v>1463</v>
      </c>
      <c r="B87" s="0" t="s">
        <v>1464</v>
      </c>
      <c r="C87" s="4" t="s">
        <v>1328</v>
      </c>
      <c r="D87" s="27" t="n">
        <v>256.871076790151</v>
      </c>
      <c r="E87" s="41" t="n">
        <f aca="false">D87/Val!$B$8-1</f>
        <v>-0.00518550443886601</v>
      </c>
      <c r="F87" s="7" t="s">
        <v>516</v>
      </c>
      <c r="G87" s="4" t="s">
        <v>1329</v>
      </c>
      <c r="H87" s="26" t="n">
        <v>-0.648225979925059</v>
      </c>
      <c r="I87" s="26" t="n">
        <v>290.365139656517</v>
      </c>
    </row>
    <row r="88" customFormat="false" ht="17.15" hidden="false" customHeight="false" outlineLevel="0" collapsed="false">
      <c r="A88" s="4" t="s">
        <v>1465</v>
      </c>
      <c r="B88" s="0" t="s">
        <v>1464</v>
      </c>
      <c r="C88" s="4" t="s">
        <v>1333</v>
      </c>
      <c r="D88" s="27" t="n">
        <v>259.548975262389</v>
      </c>
      <c r="E88" s="41" t="n">
        <f aca="false">D88/Val!$B$8-1</f>
        <v>0.00518550443886645</v>
      </c>
      <c r="F88" s="7" t="s">
        <v>516</v>
      </c>
      <c r="G88" s="4" t="s">
        <v>1329</v>
      </c>
      <c r="H88" s="26" t="n">
        <v>-0.648225979925059</v>
      </c>
      <c r="I88" s="26" t="n">
        <v>290.365139656517</v>
      </c>
    </row>
    <row r="89" customFormat="false" ht="17.15" hidden="false" customHeight="false" outlineLevel="0" collapsed="false">
      <c r="A89" s="0" t="s">
        <v>1466</v>
      </c>
      <c r="B89" s="0" t="s">
        <v>1467</v>
      </c>
      <c r="C89" s="4" t="s">
        <v>1328</v>
      </c>
      <c r="D89" s="27" t="n">
        <v>258.194838097185</v>
      </c>
      <c r="E89" s="41" t="n">
        <f aca="false">D89/Val!$B$8-1</f>
        <v>-5.88200594633381E-005</v>
      </c>
      <c r="F89" s="7" t="s">
        <v>523</v>
      </c>
      <c r="G89" s="4" t="s">
        <v>1329</v>
      </c>
      <c r="H89" s="26" t="n">
        <v>-0.891272345849359</v>
      </c>
      <c r="I89" s="26" t="n">
        <v>290.365139656517</v>
      </c>
    </row>
    <row r="90" customFormat="false" ht="17.15" hidden="false" customHeight="false" outlineLevel="0" collapsed="false">
      <c r="A90" s="0" t="s">
        <v>1468</v>
      </c>
      <c r="B90" s="0" t="s">
        <v>1467</v>
      </c>
      <c r="C90" s="4" t="s">
        <v>1333</v>
      </c>
      <c r="D90" s="27" t="n">
        <v>258.24040188444</v>
      </c>
      <c r="E90" s="41" t="n">
        <f aca="false">D90/Val!$B$8-1</f>
        <v>0.000117640118927786</v>
      </c>
      <c r="F90" s="7" t="s">
        <v>523</v>
      </c>
      <c r="G90" s="4" t="s">
        <v>1329</v>
      </c>
      <c r="H90" s="26" t="n">
        <v>-0.162133248076316</v>
      </c>
      <c r="I90" s="26" t="n">
        <v>290.365139656517</v>
      </c>
    </row>
    <row r="91" customFormat="false" ht="17.15" hidden="false" customHeight="false" outlineLevel="0" collapsed="false">
      <c r="A91" s="0" t="s">
        <v>1469</v>
      </c>
      <c r="B91" s="0" t="s">
        <v>1470</v>
      </c>
      <c r="C91" s="4" t="s">
        <v>1328</v>
      </c>
      <c r="D91" s="27" t="n">
        <v>257.491527314693</v>
      </c>
      <c r="E91" s="41" t="n">
        <f aca="false">D91/Val!$B$8-1</f>
        <v>-0.00278261352835252</v>
      </c>
      <c r="F91" s="7" t="s">
        <v>527</v>
      </c>
      <c r="G91" s="4" t="s">
        <v>1329</v>
      </c>
      <c r="H91" s="26" t="n">
        <v>-6.850085348229</v>
      </c>
      <c r="I91" s="26" t="n">
        <v>290.365139656517</v>
      </c>
    </row>
    <row r="92" customFormat="false" ht="17.15" hidden="false" customHeight="false" outlineLevel="0" collapsed="false">
      <c r="A92" s="0" t="s">
        <v>1471</v>
      </c>
      <c r="B92" s="0" t="s">
        <v>1470</v>
      </c>
      <c r="C92" s="4" t="s">
        <v>1333</v>
      </c>
      <c r="D92" s="27" t="n">
        <v>258.928524737847</v>
      </c>
      <c r="E92" s="41" t="n">
        <f aca="false">D92/Val!$B$8-1</f>
        <v>0.00278261352835307</v>
      </c>
      <c r="F92" s="7" t="s">
        <v>527</v>
      </c>
      <c r="G92" s="4" t="s">
        <v>1329</v>
      </c>
      <c r="H92" s="26" t="n">
        <v>5.55363338837881</v>
      </c>
      <c r="I92" s="26" t="n">
        <v>290.365139656517</v>
      </c>
    </row>
    <row r="93" customFormat="false" ht="17.15" hidden="false" customHeight="false" outlineLevel="0" collapsed="false">
      <c r="A93" s="0" t="s">
        <v>1472</v>
      </c>
      <c r="B93" s="0" t="s">
        <v>1473</v>
      </c>
      <c r="C93" s="4" t="s">
        <v>1328</v>
      </c>
      <c r="D93" s="27" t="n">
        <v>257.39245939739</v>
      </c>
      <c r="E93" s="41" t="n">
        <f aca="false">D93/Val!$B$8-1</f>
        <v>-0.00316628537420449</v>
      </c>
      <c r="F93" s="7" t="s">
        <v>531</v>
      </c>
      <c r="G93" s="4" t="s">
        <v>1329</v>
      </c>
      <c r="H93" s="26" t="n">
        <v>-5.31703063779672</v>
      </c>
      <c r="I93" s="26" t="n">
        <v>290.365139656517</v>
      </c>
    </row>
    <row r="94" customFormat="false" ht="17.15" hidden="false" customHeight="false" outlineLevel="0" collapsed="false">
      <c r="A94" s="0" t="s">
        <v>1474</v>
      </c>
      <c r="B94" s="0" t="s">
        <v>1473</v>
      </c>
      <c r="C94" s="4" t="s">
        <v>1333</v>
      </c>
      <c r="D94" s="27" t="n">
        <v>259.02759265515</v>
      </c>
      <c r="E94" s="41" t="n">
        <f aca="false">D94/Val!$B$8-1</f>
        <v>0.00316628537420494</v>
      </c>
      <c r="F94" s="7" t="s">
        <v>531</v>
      </c>
      <c r="G94" s="4" t="s">
        <v>1329</v>
      </c>
      <c r="H94" s="26" t="n">
        <v>4.02057867794676</v>
      </c>
      <c r="I94" s="26" t="n">
        <v>290.365139656517</v>
      </c>
    </row>
    <row r="95" customFormat="false" ht="17.15" hidden="false" customHeight="false" outlineLevel="0" collapsed="false">
      <c r="A95" s="0" t="s">
        <v>1475</v>
      </c>
      <c r="B95" s="0" t="s">
        <v>1476</v>
      </c>
      <c r="C95" s="4" t="s">
        <v>1328</v>
      </c>
      <c r="D95" s="27" t="n">
        <v>258.307088919628</v>
      </c>
      <c r="E95" s="41" t="n">
        <f aca="false">D95/Val!$B$8-1</f>
        <v>0.000375906756417521</v>
      </c>
      <c r="F95" s="7" t="s">
        <v>560</v>
      </c>
      <c r="G95" s="4" t="s">
        <v>1329</v>
      </c>
      <c r="H95" s="26" t="n">
        <v>-0.648225979925059</v>
      </c>
      <c r="I95" s="26" t="n">
        <v>290.365139656517</v>
      </c>
    </row>
    <row r="96" customFormat="false" ht="17.15" hidden="false" customHeight="false" outlineLevel="0" collapsed="false">
      <c r="A96" s="0" t="s">
        <v>1477</v>
      </c>
      <c r="B96" s="0" t="s">
        <v>1476</v>
      </c>
      <c r="C96" s="4" t="s">
        <v>1333</v>
      </c>
      <c r="D96" s="27" t="n">
        <v>258.015900239554</v>
      </c>
      <c r="E96" s="41" t="n">
        <f aca="false">D96/Val!$B$8-1</f>
        <v>-0.000751813512834598</v>
      </c>
      <c r="F96" s="7" t="s">
        <v>560</v>
      </c>
      <c r="G96" s="4" t="s">
        <v>1329</v>
      </c>
      <c r="H96" s="26" t="n">
        <v>-0.648225979925059</v>
      </c>
      <c r="I96" s="26" t="n">
        <v>290.365139656517</v>
      </c>
    </row>
    <row r="97" customFormat="false" ht="17.15" hidden="false" customHeight="false" outlineLevel="0" collapsed="false">
      <c r="A97" s="0" t="s">
        <v>1478</v>
      </c>
      <c r="B97" s="0" t="s">
        <v>1479</v>
      </c>
      <c r="C97" s="4" t="s">
        <v>1328</v>
      </c>
      <c r="D97" s="27" t="n">
        <v>256.930968646391</v>
      </c>
      <c r="E97" s="41" t="n">
        <f aca="false">D97/Val!$B$8-1</f>
        <v>-0.0049535542812299</v>
      </c>
      <c r="F97" s="7" t="s">
        <v>563</v>
      </c>
      <c r="G97" s="4" t="s">
        <v>1329</v>
      </c>
      <c r="H97" s="26" t="n">
        <v>-0.648225979925059</v>
      </c>
      <c r="I97" s="26" t="n">
        <v>290.365139656517</v>
      </c>
    </row>
    <row r="98" customFormat="false" ht="17.15" hidden="false" customHeight="false" outlineLevel="0" collapsed="false">
      <c r="A98" s="0" t="s">
        <v>1480</v>
      </c>
      <c r="B98" s="0" t="s">
        <v>1479</v>
      </c>
      <c r="C98" s="4" t="s">
        <v>1333</v>
      </c>
      <c r="D98" s="27" t="n">
        <v>259.489083406149</v>
      </c>
      <c r="E98" s="41" t="n">
        <f aca="false">D98/Val!$B$8-1</f>
        <v>0.00495355428123045</v>
      </c>
      <c r="F98" s="7" t="s">
        <v>563</v>
      </c>
      <c r="G98" s="4" t="s">
        <v>1329</v>
      </c>
      <c r="H98" s="26" t="n">
        <v>-0.648225979925059</v>
      </c>
      <c r="I98" s="26" t="n">
        <v>290.365139656517</v>
      </c>
    </row>
    <row r="99" customFormat="false" ht="17.15" hidden="false" customHeight="false" outlineLevel="0" collapsed="false">
      <c r="A99" s="4" t="s">
        <v>1481</v>
      </c>
      <c r="B99" s="0" t="s">
        <v>1482</v>
      </c>
      <c r="C99" s="4" t="s">
        <v>1328</v>
      </c>
      <c r="D99" s="27" t="n">
        <v>261.630677149804</v>
      </c>
      <c r="E99" s="41" t="n">
        <f aca="false">D99/Val!$B$8-1</f>
        <v>0.0132475534593923</v>
      </c>
      <c r="F99" s="7" t="s">
        <v>566</v>
      </c>
      <c r="G99" s="4" t="s">
        <v>1329</v>
      </c>
      <c r="H99" s="26" t="n">
        <v>40.8927983792327</v>
      </c>
      <c r="I99" s="26" t="n">
        <v>281.605023046146</v>
      </c>
    </row>
    <row r="100" customFormat="false" ht="17.15" hidden="false" customHeight="false" outlineLevel="0" collapsed="false">
      <c r="A100" s="4" t="s">
        <v>1483</v>
      </c>
      <c r="B100" s="0" t="s">
        <v>1482</v>
      </c>
      <c r="C100" s="4" t="s">
        <v>1333</v>
      </c>
      <c r="D100" s="27" t="n">
        <v>250.100943523978</v>
      </c>
      <c r="E100" s="41" t="n">
        <f aca="false">D100/Val!$B$8-1</f>
        <v>-0.0314049869677289</v>
      </c>
      <c r="F100" s="7" t="s">
        <v>566</v>
      </c>
      <c r="G100" s="4" t="s">
        <v>1329</v>
      </c>
      <c r="H100" s="26" t="n">
        <v>-99.0234875534637</v>
      </c>
      <c r="I100" s="26" t="n">
        <v>310.075402029852</v>
      </c>
    </row>
    <row r="101" customFormat="false" ht="17.15" hidden="false" customHeight="false" outlineLevel="0" collapsed="false">
      <c r="A101" s="4" t="s">
        <v>1484</v>
      </c>
      <c r="B101" s="0" t="s">
        <v>1485</v>
      </c>
      <c r="C101" s="4" t="s">
        <v>1328</v>
      </c>
      <c r="D101" s="27" t="n">
        <v>261.841099164726</v>
      </c>
      <c r="E101" s="41" t="n">
        <f aca="false">D101/Val!$B$8-1</f>
        <v>0.0140624792706023</v>
      </c>
      <c r="F101" s="7" t="s">
        <v>569</v>
      </c>
      <c r="G101" s="4" t="s">
        <v>1329</v>
      </c>
      <c r="H101" s="26" t="n">
        <v>42.8129813138979</v>
      </c>
      <c r="I101" s="26" t="n">
        <v>283.266072445243</v>
      </c>
    </row>
    <row r="102" customFormat="false" ht="17.15" hidden="false" customHeight="false" outlineLevel="0" collapsed="false">
      <c r="A102" s="4" t="s">
        <v>1486</v>
      </c>
      <c r="B102" s="0" t="s">
        <v>1485</v>
      </c>
      <c r="C102" s="4" t="s">
        <v>1333</v>
      </c>
      <c r="D102" s="27" t="n">
        <v>252.952442823868</v>
      </c>
      <c r="E102" s="41" t="n">
        <f aca="false">D102/Val!$B$8-1</f>
        <v>-0.0203616539733705</v>
      </c>
      <c r="F102" s="7" t="s">
        <v>569</v>
      </c>
      <c r="G102" s="4" t="s">
        <v>1329</v>
      </c>
      <c r="H102" s="26" t="n">
        <v>-63.377468012471</v>
      </c>
      <c r="I102" s="26" t="n">
        <v>300.3038337523</v>
      </c>
    </row>
    <row r="103" customFormat="false" ht="17.15" hidden="false" customHeight="false" outlineLevel="0" collapsed="false">
      <c r="A103" s="4" t="s">
        <v>1487</v>
      </c>
      <c r="B103" s="0" t="s">
        <v>1488</v>
      </c>
      <c r="C103" s="4" t="s">
        <v>1328</v>
      </c>
      <c r="D103" s="27" t="n">
        <v>261.031504588778</v>
      </c>
      <c r="E103" s="41" t="n">
        <f aca="false">D103/Val!$B$8-1</f>
        <v>0.0109270681930105</v>
      </c>
      <c r="F103" s="7" t="s">
        <v>575</v>
      </c>
      <c r="G103" s="4" t="s">
        <v>1329</v>
      </c>
      <c r="H103" s="26" t="n">
        <v>12.9982962451115</v>
      </c>
      <c r="I103" s="26" t="n">
        <v>290.365139656517</v>
      </c>
    </row>
    <row r="104" customFormat="false" ht="17.15" hidden="false" customHeight="false" outlineLevel="0" collapsed="false">
      <c r="A104" s="4" t="s">
        <v>1489</v>
      </c>
      <c r="B104" s="0" t="s">
        <v>1488</v>
      </c>
      <c r="C104" s="4" t="s">
        <v>1333</v>
      </c>
      <c r="D104" s="27" t="n">
        <v>254.761605802651</v>
      </c>
      <c r="E104" s="41" t="n">
        <f aca="false">D104/Val!$B$8-1</f>
        <v>-0.0133550980830934</v>
      </c>
      <c r="F104" s="7" t="s">
        <v>575</v>
      </c>
      <c r="G104" s="4" t="s">
        <v>1329</v>
      </c>
      <c r="H104" s="26" t="n">
        <v>-17.2796565311316</v>
      </c>
      <c r="I104" s="26" t="n">
        <v>290.365139656517</v>
      </c>
    </row>
    <row r="105" customFormat="false" ht="17.15" hidden="false" customHeight="false" outlineLevel="0" collapsed="false">
      <c r="A105" s="4" t="s">
        <v>1490</v>
      </c>
      <c r="B105" s="0" t="s">
        <v>1491</v>
      </c>
      <c r="C105" s="4" t="s">
        <v>1328</v>
      </c>
      <c r="D105" s="27" t="n">
        <v>260.259526840484</v>
      </c>
      <c r="E105" s="41" t="n">
        <f aca="false">D105/Val!$B$8-1</f>
        <v>0.00793734017905856</v>
      </c>
      <c r="F105" s="7" t="s">
        <v>592</v>
      </c>
      <c r="G105" s="4" t="s">
        <v>1329</v>
      </c>
      <c r="H105" s="26" t="n">
        <v>0.276841584730676</v>
      </c>
      <c r="I105" s="26" t="n">
        <v>290.365139656517</v>
      </c>
    </row>
    <row r="106" customFormat="false" ht="17.15" hidden="false" customHeight="false" outlineLevel="0" collapsed="false">
      <c r="A106" s="4" t="s">
        <v>1492</v>
      </c>
      <c r="B106" s="0" t="s">
        <v>1491</v>
      </c>
      <c r="C106" s="4" t="s">
        <v>1333</v>
      </c>
      <c r="D106" s="27" t="n">
        <v>257.201168471916</v>
      </c>
      <c r="E106" s="41" t="n">
        <f aca="false">D106/Val!$B$8-1</f>
        <v>-0.003907119990187</v>
      </c>
      <c r="F106" s="7" t="s">
        <v>592</v>
      </c>
      <c r="G106" s="4" t="s">
        <v>1329</v>
      </c>
      <c r="H106" s="26" t="n">
        <v>-1.11624879137682</v>
      </c>
      <c r="I106" s="26" t="n">
        <v>290.365139656517</v>
      </c>
    </row>
    <row r="107" customFormat="false" ht="17.15" hidden="false" customHeight="false" outlineLevel="0" collapsed="false">
      <c r="A107" s="4" t="s">
        <v>1493</v>
      </c>
      <c r="B107" s="0" t="s">
        <v>1494</v>
      </c>
      <c r="C107" s="4" t="s">
        <v>1328</v>
      </c>
      <c r="D107" s="27" t="n">
        <v>257.921001108096</v>
      </c>
      <c r="E107" s="41" t="n">
        <f aca="false">D107/Val!$B$8-1</f>
        <v>-0.00111934041687645</v>
      </c>
      <c r="F107" s="7" t="s">
        <v>598</v>
      </c>
      <c r="G107" s="4" t="s">
        <v>1329</v>
      </c>
      <c r="H107" s="26" t="n">
        <v>-6.14470167861056</v>
      </c>
      <c r="I107" s="26" t="n">
        <v>290.365139656517</v>
      </c>
    </row>
    <row r="108" customFormat="false" ht="17.15" hidden="false" customHeight="false" outlineLevel="0" collapsed="false">
      <c r="A108" s="4" t="s">
        <v>1495</v>
      </c>
      <c r="B108" s="0" t="s">
        <v>1494</v>
      </c>
      <c r="C108" s="4" t="s">
        <v>1333</v>
      </c>
      <c r="D108" s="27" t="n">
        <v>258.415060797282</v>
      </c>
      <c r="E108" s="41" t="n">
        <f aca="false">D108/Val!$B$8-1</f>
        <v>0.000794062005133878</v>
      </c>
      <c r="F108" s="7" t="s">
        <v>598</v>
      </c>
      <c r="G108" s="4" t="s">
        <v>1329</v>
      </c>
      <c r="H108" s="26" t="n">
        <v>3.25098327640742</v>
      </c>
      <c r="I108" s="26" t="n">
        <v>290.365139656517</v>
      </c>
    </row>
    <row r="109" customFormat="false" ht="17.15" hidden="false" customHeight="false" outlineLevel="0" collapsed="false">
      <c r="A109" s="0" t="s">
        <v>1496</v>
      </c>
      <c r="B109" s="0" t="s">
        <v>1497</v>
      </c>
      <c r="C109" s="4" t="s">
        <v>1328</v>
      </c>
      <c r="D109" s="27" t="n">
        <v>258.266224355032</v>
      </c>
      <c r="E109" s="41" t="n">
        <f aca="false">D109/Val!$B$8-1</f>
        <v>0.000217645804180933</v>
      </c>
      <c r="F109" s="7" t="s">
        <v>143</v>
      </c>
      <c r="G109" s="4" t="s">
        <v>1329</v>
      </c>
      <c r="H109" s="26" t="n">
        <v>-0.648225979925059</v>
      </c>
      <c r="I109" s="26" t="n">
        <v>290.365139656517</v>
      </c>
    </row>
    <row r="110" customFormat="false" ht="17.15" hidden="false" customHeight="false" outlineLevel="0" collapsed="false">
      <c r="A110" s="0" t="s">
        <v>1498</v>
      </c>
      <c r="B110" s="0" t="s">
        <v>1497</v>
      </c>
      <c r="C110" s="4" t="s">
        <v>1333</v>
      </c>
      <c r="D110" s="27" t="n">
        <v>258.125831389993</v>
      </c>
      <c r="E110" s="41" t="n">
        <f aca="false">D110/Val!$B$8-1</f>
        <v>-0.000326070360522679</v>
      </c>
      <c r="F110" s="7" t="s">
        <v>143</v>
      </c>
      <c r="G110" s="4" t="s">
        <v>1329</v>
      </c>
      <c r="H110" s="26" t="n">
        <v>-0.648225979925059</v>
      </c>
      <c r="I110" s="26" t="n">
        <v>290.365139656517</v>
      </c>
    </row>
    <row r="111" customFormat="false" ht="17.15" hidden="false" customHeight="false" outlineLevel="0" collapsed="false">
      <c r="A111" s="0" t="s">
        <v>1499</v>
      </c>
      <c r="B111" s="0" t="s">
        <v>1500</v>
      </c>
      <c r="C111" s="4" t="s">
        <v>1328</v>
      </c>
      <c r="D111" s="27" t="n">
        <v>257.229561860588</v>
      </c>
      <c r="E111" s="41" t="n">
        <f aca="false">D111/Val!$B$8-1</f>
        <v>-0.00379715761146393</v>
      </c>
      <c r="F111" s="7" t="s">
        <v>104</v>
      </c>
      <c r="G111" s="4" t="s">
        <v>1329</v>
      </c>
      <c r="H111" s="26" t="n">
        <v>-0.648225979925059</v>
      </c>
      <c r="I111" s="26" t="n">
        <v>290.365139656517</v>
      </c>
    </row>
    <row r="112" customFormat="false" ht="17.15" hidden="false" customHeight="false" outlineLevel="0" collapsed="false">
      <c r="A112" s="0" t="s">
        <v>1501</v>
      </c>
      <c r="B112" s="0" t="s">
        <v>1500</v>
      </c>
      <c r="C112" s="4" t="s">
        <v>1333</v>
      </c>
      <c r="D112" s="27" t="n">
        <v>259.190490191952</v>
      </c>
      <c r="E112" s="41" t="n">
        <f aca="false">D112/Val!$B$8-1</f>
        <v>0.00379715761146437</v>
      </c>
      <c r="F112" s="7" t="s">
        <v>104</v>
      </c>
      <c r="G112" s="4" t="s">
        <v>1329</v>
      </c>
      <c r="H112" s="26" t="n">
        <v>-0.648225979925059</v>
      </c>
      <c r="I112" s="26" t="n">
        <v>290.365139656517</v>
      </c>
    </row>
    <row r="113" customFormat="false" ht="17.15" hidden="false" customHeight="false" outlineLevel="0" collapsed="false">
      <c r="A113" s="4" t="s">
        <v>1502</v>
      </c>
      <c r="B113" s="0" t="s">
        <v>1503</v>
      </c>
      <c r="C113" s="4" t="s">
        <v>1328</v>
      </c>
      <c r="D113" s="27" t="n">
        <v>258.437342907885</v>
      </c>
      <c r="E113" s="41" t="n">
        <f aca="false">D113/Val!$B$8-1</f>
        <v>0.000880356526480997</v>
      </c>
      <c r="F113" s="7" t="s">
        <v>75</v>
      </c>
      <c r="G113" s="4" t="s">
        <v>1329</v>
      </c>
      <c r="H113" s="26" t="n">
        <v>-0.636459879425061</v>
      </c>
      <c r="I113" s="26" t="n">
        <v>290.365139656517</v>
      </c>
    </row>
    <row r="115" customFormat="false" ht="17.15" hidden="false" customHeight="false" outlineLevel="0" collapsed="false">
      <c r="A115" s="4" t="s">
        <v>1504</v>
      </c>
      <c r="D115" s="25" t="n">
        <f aca="false">Val!B8</f>
        <v>258.21002602627</v>
      </c>
      <c r="H115" s="24" t="n">
        <f aca="false">CF!C6</f>
        <v>-0.648225979925059</v>
      </c>
      <c r="I115" s="24" t="n">
        <f aca="false">CF!H53</f>
        <v>290.365139656517</v>
      </c>
    </row>
    <row r="116" customFormat="false" ht="15" hidden="false" customHeight="false" outlineLevel="0" collapsed="false">
      <c r="A116" s="4" t="s">
        <v>1505</v>
      </c>
      <c r="D116" s="27" t="n">
        <v>258.21002602627</v>
      </c>
      <c r="E116" s="21" t="n">
        <f aca="false">D116-D115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15" hidden="false" customHeight="false" outlineLevel="0" collapsed="false">
      <c r="A1" s="0" t="s">
        <v>1506</v>
      </c>
    </row>
    <row r="3" customFormat="false" ht="15" hidden="false" customHeight="false" outlineLevel="0" collapsed="false">
      <c r="A3" s="3" t="s">
        <v>1507</v>
      </c>
      <c r="B3" s="3" t="s">
        <v>1508</v>
      </c>
      <c r="C3" s="3" t="s">
        <v>1509</v>
      </c>
      <c r="D3" s="3" t="s">
        <v>1510</v>
      </c>
      <c r="E3" s="3" t="s">
        <v>48</v>
      </c>
      <c r="F3" s="3" t="s">
        <v>1511</v>
      </c>
    </row>
    <row r="4" customFormat="false" ht="17.15" hidden="false" customHeight="false" outlineLevel="0" collapsed="false">
      <c r="A4" s="0" t="s">
        <v>1512</v>
      </c>
      <c r="B4" s="0" t="s">
        <v>1513</v>
      </c>
      <c r="C4" s="0" t="s">
        <v>1514</v>
      </c>
      <c r="D4" s="0" t="s">
        <v>1515</v>
      </c>
      <c r="E4" s="0" t="s">
        <v>55</v>
      </c>
      <c r="F4" s="0" t="s">
        <v>1516</v>
      </c>
    </row>
    <row r="5" customFormat="false" ht="17.15" hidden="false" customHeight="false" outlineLevel="0" collapsed="false">
      <c r="A5" s="0" t="s">
        <v>1517</v>
      </c>
      <c r="B5" s="0" t="s">
        <v>1518</v>
      </c>
      <c r="C5" s="0" t="s">
        <v>1519</v>
      </c>
      <c r="D5" s="0" t="s">
        <v>1520</v>
      </c>
      <c r="E5" s="0" t="s">
        <v>65</v>
      </c>
      <c r="F5" s="0" t="s">
        <v>1521</v>
      </c>
    </row>
    <row r="6" customFormat="false" ht="17.15" hidden="false" customHeight="false" outlineLevel="0" collapsed="false">
      <c r="A6" s="0" t="s">
        <v>1522</v>
      </c>
      <c r="B6" s="0" t="s">
        <v>1523</v>
      </c>
      <c r="C6" s="0" t="s">
        <v>1524</v>
      </c>
      <c r="D6" s="0" t="s">
        <v>1525</v>
      </c>
      <c r="E6" s="0" t="s">
        <v>65</v>
      </c>
      <c r="F6" s="0" t="s">
        <v>1526</v>
      </c>
    </row>
    <row r="7" customFormat="false" ht="17.15" hidden="false" customHeight="false" outlineLevel="0" collapsed="false">
      <c r="A7" s="0" t="s">
        <v>1527</v>
      </c>
      <c r="B7" s="0" t="s">
        <v>1528</v>
      </c>
      <c r="C7" s="0" t="s">
        <v>1529</v>
      </c>
      <c r="D7" s="0" t="s">
        <v>1530</v>
      </c>
      <c r="E7" s="0" t="s">
        <v>65</v>
      </c>
      <c r="F7" s="0" t="s">
        <v>787</v>
      </c>
    </row>
    <row r="8" customFormat="false" ht="17.15" hidden="false" customHeight="false" outlineLevel="0" collapsed="false">
      <c r="A8" s="0" t="s">
        <v>1531</v>
      </c>
      <c r="B8" s="0" t="s">
        <v>1532</v>
      </c>
      <c r="C8" s="0" t="s">
        <v>1533</v>
      </c>
      <c r="D8" s="0" t="s">
        <v>1534</v>
      </c>
      <c r="E8" s="0" t="s">
        <v>65</v>
      </c>
      <c r="F8" s="0" t="s">
        <v>1535</v>
      </c>
    </row>
    <row r="9" customFormat="false" ht="15" hidden="false" customHeight="false" outlineLevel="0" collapsed="false">
      <c r="A9" s="0" t="s">
        <v>1536</v>
      </c>
      <c r="B9" s="0" t="s">
        <v>1537</v>
      </c>
      <c r="C9" s="0" t="s">
        <v>1538</v>
      </c>
      <c r="D9" s="0" t="s">
        <v>1539</v>
      </c>
      <c r="E9" s="0" t="s">
        <v>65</v>
      </c>
      <c r="F9" s="4" t="s">
        <v>1540</v>
      </c>
    </row>
    <row r="10" customFormat="false" ht="17.15" hidden="false" customHeight="false" outlineLevel="0" collapsed="false">
      <c r="A10" s="0" t="s">
        <v>1541</v>
      </c>
      <c r="B10" s="0" t="s">
        <v>1542</v>
      </c>
      <c r="C10" s="0" t="s">
        <v>1524</v>
      </c>
      <c r="D10" s="0" t="s">
        <v>1543</v>
      </c>
      <c r="E10" s="0" t="s">
        <v>65</v>
      </c>
      <c r="F10" s="0" t="s">
        <v>1544</v>
      </c>
    </row>
    <row r="11" customFormat="false" ht="17.15" hidden="false" customHeight="false" outlineLevel="0" collapsed="false">
      <c r="A11" s="0" t="s">
        <v>1545</v>
      </c>
      <c r="B11" s="4" t="s">
        <v>1546</v>
      </c>
      <c r="C11" s="0" t="s">
        <v>1547</v>
      </c>
      <c r="D11" s="0" t="s">
        <v>1548</v>
      </c>
      <c r="E11" s="4" t="s">
        <v>1549</v>
      </c>
      <c r="F11" s="0" t="s">
        <v>1550</v>
      </c>
    </row>
    <row r="12" customFormat="false" ht="17.15" hidden="false" customHeight="false" outlineLevel="0" collapsed="false">
      <c r="A12" s="0" t="s">
        <v>1551</v>
      </c>
      <c r="B12" s="0" t="s">
        <v>1552</v>
      </c>
      <c r="C12" s="0" t="s">
        <v>1553</v>
      </c>
      <c r="D12" s="0" t="s">
        <v>1554</v>
      </c>
      <c r="E12" s="0" t="s">
        <v>82</v>
      </c>
      <c r="F12" s="0" t="s">
        <v>1555</v>
      </c>
    </row>
    <row r="13" customFormat="false" ht="17.15" hidden="false" customHeight="false" outlineLevel="0" collapsed="false">
      <c r="A13" s="0" t="s">
        <v>1556</v>
      </c>
      <c r="B13" s="0" t="s">
        <v>1557</v>
      </c>
      <c r="C13" s="0" t="s">
        <v>1558</v>
      </c>
      <c r="D13" s="0" t="s">
        <v>1548</v>
      </c>
      <c r="E13" s="0" t="s">
        <v>1559</v>
      </c>
      <c r="F13" s="0" t="s">
        <v>1560</v>
      </c>
    </row>
    <row r="14" customFormat="false" ht="17.15" hidden="false" customHeight="false" outlineLevel="0" collapsed="false">
      <c r="A14" s="0" t="s">
        <v>1561</v>
      </c>
      <c r="B14" s="0" t="s">
        <v>1562</v>
      </c>
      <c r="C14" s="0" t="s">
        <v>1563</v>
      </c>
      <c r="D14" s="0" t="s">
        <v>1564</v>
      </c>
      <c r="E14" s="0" t="s">
        <v>82</v>
      </c>
      <c r="F14" s="0" t="s">
        <v>1565</v>
      </c>
    </row>
    <row r="15" customFormat="false" ht="17.15" hidden="false" customHeight="false" outlineLevel="0" collapsed="false">
      <c r="A15" s="0" t="s">
        <v>1566</v>
      </c>
      <c r="B15" s="0" t="s">
        <v>1567</v>
      </c>
      <c r="C15" s="0" t="s">
        <v>1568</v>
      </c>
      <c r="D15" s="0" t="s">
        <v>1569</v>
      </c>
      <c r="E15" s="0" t="s">
        <v>55</v>
      </c>
      <c r="F15" s="0" t="s">
        <v>1570</v>
      </c>
    </row>
    <row r="16" customFormat="false" ht="17.15" hidden="false" customHeight="false" outlineLevel="0" collapsed="false">
      <c r="A16" s="0" t="s">
        <v>1571</v>
      </c>
      <c r="B16" s="0" t="s">
        <v>1572</v>
      </c>
      <c r="C16" s="0" t="s">
        <v>1519</v>
      </c>
      <c r="D16" s="0" t="s">
        <v>1573</v>
      </c>
      <c r="E16" s="0" t="s">
        <v>65</v>
      </c>
      <c r="F16" s="0" t="s">
        <v>1574</v>
      </c>
    </row>
    <row r="17" customFormat="false" ht="17.15" hidden="false" customHeight="false" outlineLevel="0" collapsed="false">
      <c r="A17" s="0" t="s">
        <v>1575</v>
      </c>
      <c r="B17" s="0" t="s">
        <v>1576</v>
      </c>
      <c r="C17" s="0" t="s">
        <v>1519</v>
      </c>
      <c r="D17" s="0" t="s">
        <v>1577</v>
      </c>
      <c r="E17" s="0" t="s">
        <v>65</v>
      </c>
      <c r="F17" s="4" t="s">
        <v>1578</v>
      </c>
    </row>
    <row r="18" customFormat="false" ht="17.15" hidden="false" customHeight="false" outlineLevel="0" collapsed="false">
      <c r="A18" s="0" t="s">
        <v>1579</v>
      </c>
      <c r="B18" s="0" t="s">
        <v>1580</v>
      </c>
      <c r="C18" s="0" t="s">
        <v>1553</v>
      </c>
      <c r="D18" s="0" t="s">
        <v>1581</v>
      </c>
      <c r="E18" s="0" t="s">
        <v>55</v>
      </c>
      <c r="F18" s="4" t="s">
        <v>1582</v>
      </c>
    </row>
    <row r="19" customFormat="false" ht="17.15" hidden="false" customHeight="false" outlineLevel="0" collapsed="false">
      <c r="A19" s="0" t="s">
        <v>1583</v>
      </c>
      <c r="B19" s="0" t="s">
        <v>1584</v>
      </c>
      <c r="C19" s="0" t="s">
        <v>1585</v>
      </c>
      <c r="D19" s="0" t="s">
        <v>1586</v>
      </c>
      <c r="E19" s="0" t="s">
        <v>65</v>
      </c>
      <c r="F19" s="4" t="s">
        <v>1587</v>
      </c>
    </row>
    <row r="20" customFormat="false" ht="17.15" hidden="false" customHeight="false" outlineLevel="0" collapsed="false">
      <c r="A20" s="0" t="s">
        <v>1588</v>
      </c>
      <c r="B20" s="0" t="s">
        <v>1589</v>
      </c>
      <c r="C20" s="0" t="s">
        <v>1585</v>
      </c>
      <c r="D20" s="0" t="s">
        <v>1590</v>
      </c>
      <c r="E20" s="0" t="s">
        <v>65</v>
      </c>
      <c r="F20" s="0" t="s">
        <v>1591</v>
      </c>
    </row>
    <row r="21" customFormat="false" ht="17.15" hidden="false" customHeight="false" outlineLevel="0" collapsed="false">
      <c r="A21" s="0" t="s">
        <v>1592</v>
      </c>
      <c r="B21" s="4" t="s">
        <v>1593</v>
      </c>
      <c r="C21" s="0" t="s">
        <v>1594</v>
      </c>
      <c r="D21" s="0" t="s">
        <v>1595</v>
      </c>
      <c r="E21" s="0" t="s">
        <v>82</v>
      </c>
      <c r="F21" s="0" t="s">
        <v>1596</v>
      </c>
    </row>
    <row r="22" customFormat="false" ht="17.15" hidden="false" customHeight="false" outlineLevel="0" collapsed="false">
      <c r="A22" s="0" t="s">
        <v>1597</v>
      </c>
      <c r="B22" s="4" t="s">
        <v>1598</v>
      </c>
      <c r="C22" s="0" t="s">
        <v>1547</v>
      </c>
      <c r="D22" s="0" t="s">
        <v>1548</v>
      </c>
      <c r="E22" s="0" t="s">
        <v>65</v>
      </c>
      <c r="F22" s="0" t="s">
        <v>1599</v>
      </c>
    </row>
    <row r="23" customFormat="false" ht="17.15" hidden="false" customHeight="false" outlineLevel="0" collapsed="false">
      <c r="A23" s="0" t="s">
        <v>1600</v>
      </c>
      <c r="B23" s="0" t="s">
        <v>1601</v>
      </c>
      <c r="C23" s="0" t="s">
        <v>1602</v>
      </c>
      <c r="D23" s="0" t="s">
        <v>1548</v>
      </c>
      <c r="E23" s="0" t="s">
        <v>82</v>
      </c>
      <c r="F23" s="4" t="s">
        <v>1603</v>
      </c>
    </row>
    <row r="24" customFormat="false" ht="17.15" hidden="false" customHeight="false" outlineLevel="0" collapsed="false">
      <c r="A24" s="0" t="s">
        <v>1604</v>
      </c>
      <c r="B24" s="0" t="s">
        <v>1605</v>
      </c>
      <c r="C24" s="0" t="s">
        <v>1547</v>
      </c>
      <c r="D24" s="0" t="s">
        <v>1606</v>
      </c>
      <c r="E24" s="0" t="s">
        <v>804</v>
      </c>
      <c r="F24" s="4" t="s">
        <v>1607</v>
      </c>
    </row>
    <row r="25" customFormat="false" ht="17.15" hidden="false" customHeight="false" outlineLevel="0" collapsed="false">
      <c r="A25" s="0" t="s">
        <v>1608</v>
      </c>
      <c r="B25" s="0" t="s">
        <v>1609</v>
      </c>
      <c r="C25" s="0" t="s">
        <v>1610</v>
      </c>
      <c r="D25" s="0" t="s">
        <v>1611</v>
      </c>
      <c r="E25" s="0" t="s">
        <v>65</v>
      </c>
      <c r="F25" s="4" t="s">
        <v>1612</v>
      </c>
    </row>
    <row r="26" customFormat="false" ht="17.15" hidden="false" customHeight="false" outlineLevel="0" collapsed="false">
      <c r="A26" s="0" t="s">
        <v>1613</v>
      </c>
      <c r="B26" s="0" t="s">
        <v>1614</v>
      </c>
      <c r="C26" s="0" t="s">
        <v>1615</v>
      </c>
      <c r="D26" s="4" t="s">
        <v>1616</v>
      </c>
      <c r="E26" s="0" t="s">
        <v>65</v>
      </c>
      <c r="F26" s="4" t="s">
        <v>1617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2026-10-30T03:38:19Z</dcterms:created>
  <dc:creator>openpyxl</dc:creator>
  <dc:description/>
  <dc:language>en-US</dc:language>
  <cp:lastModifiedBy/>
  <dcterms:modified xsi:type="dcterms:W3CDTF">2026-10-30T03:38:19Z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