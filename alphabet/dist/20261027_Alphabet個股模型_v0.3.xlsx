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c_rate" vbProcedure="false">In!$E$154</definedName>
    <definedName function="false" hidden="false" name="abc_rate_hi" vbProcedure="false">In!$F$154</definedName>
    <definedName function="false" hidden="false" name="abc_rate_lo" vbProcedure="false">In!$D$154</definedName>
    <definedName function="false" hidden="false" name="abc_ttm" vbProcedure="false">Q!$B$78</definedName>
    <definedName function="false" hidden="false" name="ads_mode" vbProcedure="false">In!$E$70</definedName>
    <definedName function="false" hidden="false" name="ads_mode_hi" vbProcedure="false">In!$F$70</definedName>
    <definedName function="false" hidden="false" name="ads_mode_lo" vbProcedure="false">In!$D$70</definedName>
    <definedName function="false" hidden="false" name="ai_mw_pttm" vbProcedure="false">In!$E$126</definedName>
    <definedName function="false" hidden="false" name="ai_mw_ttm" vbProcedure="false">In!$E$125</definedName>
    <definedName function="false" hidden="false" name="ai_pttm" vbProcedure="false">Thesis!$C$14</definedName>
    <definedName function="false" hidden="false" name="ai_ttm" vbProcedure="false">Thesis!$C$13</definedName>
    <definedName function="false" hidden="false" name="ai_ttm_e" vbProcedure="false">Thesis!$C$15</definedName>
    <definedName function="false" hidden="false" name="am_26" vbProcedure="false">In!$E$82</definedName>
    <definedName function="false" hidden="false" name="am_27" vbProcedure="false">In!$E$85</definedName>
    <definedName function="false" hidden="false" name="am_28" vbProcedure="false">In!$E$83</definedName>
    <definedName function="false" hidden="false" name="anth_1H" vbProcedure="false">In!$E$202</definedName>
    <definedName function="false" hidden="false" name="anth_27" vbProcedure="false">In!$E$182</definedName>
    <definedName function="false" hidden="false" name="anth_28" vbProcedure="false">In!$E$183</definedName>
    <definedName function="false" hidden="false" name="anth_29" vbProcedure="false">In!$E$184</definedName>
    <definedName function="false" hidden="false" name="anth_2H" vbProcedure="false">In!$E$181</definedName>
    <definedName function="false" hidden="false" name="anth_30" vbProcedure="false">In!$E$185</definedName>
    <definedName function="false" hidden="false" name="anth_31" vbProcedure="false">In!$E$186</definedName>
    <definedName function="false" hidden="false" name="anth_32" vbProcedure="false">In!$E$187</definedName>
    <definedName function="false" hidden="false" name="ant_stake" vbProcedure="false">In!$E$17</definedName>
    <definedName function="false" hidden="false" name="ant_stake_hi" vbProcedure="false">In!$F$17</definedName>
    <definedName function="false" hidden="false" name="ant_stake_lo" vbProcedure="false">In!$D$17</definedName>
    <definedName function="false" hidden="false" name="ant_val" vbProcedure="false">In!$E$16</definedName>
    <definedName function="false" hidden="false" name="bb_t" vbProcedure="false">In!$E$172</definedName>
    <definedName function="false" hidden="false" name="bb_t_hi" vbProcedure="false">In!$F$172</definedName>
    <definedName function="false" hidden="false" name="bb_t_lo" vbProcedure="false">In!$D$172</definedName>
    <definedName function="false" hidden="false" name="beta" vbProcedure="false">In!$E$26</definedName>
    <definedName function="false" hidden="false" name="beta_gf" vbProcedure="false">In!$E$24</definedName>
    <definedName function="false" hidden="false" name="beta_hi" vbProcedure="false">In!$F$26</definedName>
    <definedName function="false" hidden="false" name="beta_lo" vbProcedure="false">In!$D$26</definedName>
    <definedName function="false" hidden="false" name="beta_sa" vbProcedure="false">In!$E$23</definedName>
    <definedName function="false" hidden="false" name="blume_a" vbProcedure="false">In!$E$25</definedName>
    <definedName function="false" hidden="false" name="capex_1h" vbProcedure="false">In!$E$123</definedName>
    <definedName function="false" hidden="false" name="capex_g" vbProcedure="false">In!$E$122</definedName>
    <definedName function="false" hidden="false" name="capex_g_hi" vbProcedure="false">In!$F$122</definedName>
    <definedName function="false" hidden="false" name="capex_g_lo" vbProcedure="false">In!$D$122</definedName>
    <definedName function="false" hidden="false" name="cap_b2" vbProcedure="false">In!$E$111</definedName>
    <definedName function="false" hidden="false" name="cap_b3" vbProcedure="false">In!$E$112</definedName>
    <definedName function="false" hidden="false" name="cap_h" vbProcedure="false">In!$E$110</definedName>
    <definedName function="false" hidden="false" name="cap_vr" vbProcedure="false">In!$E$113</definedName>
    <definedName function="false" hidden="false" name="cash_0" vbProcedure="false">In!$E$10</definedName>
    <definedName function="false" hidden="false" name="cash_ye25" vbProcedure="false">In!$E$11</definedName>
    <definedName function="false" hidden="false" name="cfac" vbProcedure="false">In!$E$109</definedName>
    <definedName function="false" hidden="false" name="cip_0" vbProcedure="false">In!$E$120</definedName>
    <definedName function="false" hidden="false" name="cip_it" vbProcedure="false">In!$E$121</definedName>
    <definedName function="false" hidden="false" name="cip_it_hi" vbProcedure="false">In!$F$121</definedName>
    <definedName function="false" hidden="false" name="cip_it_lo" vbProcedure="false">In!$D$121</definedName>
    <definedName function="false" hidden="false" name="cit_b2" vbProcedure="false">In!$E$103</definedName>
    <definedName function="false" hidden="false" name="cit_b3" vbProcedure="false">In!$E$104</definedName>
    <definedName function="false" hidden="false" name="cit_h" vbProcedure="false">In!$E$102</definedName>
    <definedName function="false" hidden="false" name="cit_vr" vbProcedure="false">In!$E$105</definedName>
    <definedName function="false" hidden="false" name="cloud_ebitda_ttm" vbProcedure="false">Q!$B$74</definedName>
    <definedName function="false" hidden="false" name="cloud_pttm" vbProcedure="false">Q!$B$76</definedName>
    <definedName function="false" hidden="false" name="cloud_ttm" vbProcedure="false">Q!$B$75</definedName>
    <definedName function="false" hidden="false" name="cons_tp" vbProcedure="false">In!$E$43</definedName>
    <definedName function="false" hidden="false" name="conv_mw" vbProcedure="false">In!$E$84</definedName>
    <definedName function="false" hidden="false" name="conv_n" vbProcedure="false">In!$E$132</definedName>
    <definedName function="false" hidden="false" name="conv_sh" vbProcedure="false">In!$E$9</definedName>
    <definedName function="false" hidden="false" name="conv_sh_hi" vbProcedure="false">In!$F$9</definedName>
    <definedName function="false" hidden="false" name="conv_sh_lo" vbProcedure="false">In!$D$9</definedName>
    <definedName function="false" hidden="false" name="cx_co" vbProcedure="false">In!$E$159</definedName>
    <definedName function="false" hidden="false" name="cx_co_hi" vbProcedure="false">In!$F$159</definedName>
    <definedName function="false" hidden="false" name="cx_co_lo" vbProcedure="false">In!$D$159</definedName>
    <definedName function="false" hidden="false" name="cx_ob" vbProcedure="false">In!$E$160</definedName>
    <definedName function="false" hidden="false" name="cx_svc" vbProcedure="false">In!$E$158</definedName>
    <definedName function="false" hidden="false" name="cx_svc_hi" vbProcedure="false">In!$F$158</definedName>
    <definedName function="false" hidden="false" name="cx_svc_lo" vbProcedure="false">In!$D$158</definedName>
    <definedName function="false" hidden="false" name="c_capex_26" vbProcedure="false">In!$E$222</definedName>
    <definedName function="false" hidden="false" name="c_capex_27" vbProcedure="false">In!$E$223</definedName>
    <definedName function="false" hidden="false" name="c_capex_28" vbProcedure="false">In!$E$224</definedName>
    <definedName function="false" hidden="false" name="c_ebitda_26" vbProcedure="false">In!$E$228</definedName>
    <definedName function="false" hidden="false" name="c_ebitda_27" vbProcedure="false">In!$E$229</definedName>
    <definedName function="false" hidden="false" name="c_ebitda_28" vbProcedure="false">In!$E$230</definedName>
    <definedName function="false" hidden="false" name="c_ebit_26" vbProcedure="false">In!$E$216</definedName>
    <definedName function="false" hidden="false" name="c_ebit_27" vbProcedure="false">In!$E$217</definedName>
    <definedName function="false" hidden="false" name="c_ebit_28" vbProcedure="false">In!$E$218</definedName>
    <definedName function="false" hidden="false" name="c_eps26_sa" vbProcedure="false">In!$E$231</definedName>
    <definedName function="false" hidden="false" name="c_eps26_sa_hi" vbProcedure="false">In!$F$231</definedName>
    <definedName function="false" hidden="false" name="c_eps26_sa_lo" vbProcedure="false">In!$D$231</definedName>
    <definedName function="false" hidden="false" name="c_eps_26" vbProcedure="false">In!$E$219</definedName>
    <definedName function="false" hidden="false" name="c_eps_27" vbProcedure="false">In!$E$220</definedName>
    <definedName function="false" hidden="false" name="c_eps_28" vbProcedure="false">In!$E$221</definedName>
    <definedName function="false" hidden="false" name="c_fcf_26" vbProcedure="false">In!$E$225</definedName>
    <definedName function="false" hidden="false" name="c_fcf_27" vbProcedure="false">In!$E$226</definedName>
    <definedName function="false" hidden="false" name="c_fcf_28" vbProcedure="false">In!$E$227</definedName>
    <definedName function="false" hidden="false" name="c_rev_26" vbProcedure="false">In!$E$213</definedName>
    <definedName function="false" hidden="false" name="c_rev_27" vbProcedure="false">In!$E$214</definedName>
    <definedName function="false" hidden="false" name="c_rev_28" vbProcedure="false">In!$E$215</definedName>
    <definedName function="false" hidden="false" name="dA" vbProcedure="false">In!$E$138</definedName>
    <definedName function="false" hidden="false" name="da_base" vbProcedure="false">In!$E$119</definedName>
    <definedName function="false" hidden="false" name="dA_hi" vbProcedure="false">In!$F$138</definedName>
    <definedName function="false" hidden="false" name="dA_lo" vbProcedure="false">In!$D$138</definedName>
    <definedName function="false" hidden="false" name="da_ttm" vbProcedure="false">Q!$B$68</definedName>
    <definedName function="false" hidden="false" name="dC" vbProcedure="false">In!$E$140</definedName>
    <definedName function="false" hidden="false" name="dC_hi" vbProcedure="false">In!$F$140</definedName>
    <definedName function="false" hidden="false" name="dC_lo" vbProcedure="false">In!$D$140</definedName>
    <definedName function="false" hidden="false" name="debt_0" vbProcedure="false">In!$E$12</definedName>
    <definedName function="false" hidden="false" name="debt_new_2h" vbProcedure="false">In!$E$195</definedName>
    <definedName function="false" hidden="false" name="debt_ye25" vbProcedure="false">In!$E$206</definedName>
    <definedName function="false" hidden="false" name="dil" vbProcedure="false">In!$E$167</definedName>
    <definedName function="false" hidden="false" name="dil_hi" vbProcedure="false">In!$F$167</definedName>
    <definedName function="false" hidden="false" name="dil_lo" vbProcedure="false">In!$D$167</definedName>
    <definedName function="false" hidden="false" name="dpi_b2" vbProcedure="false">In!$E$107</definedName>
    <definedName function="false" hidden="false" name="dpi_b3" vbProcedure="false">In!$E$108</definedName>
    <definedName function="false" hidden="false" name="dpi_h" vbProcedure="false">In!$E$106</definedName>
    <definedName function="false" hidden="false" name="dps" vbProcedure="false">In!$E$170</definedName>
    <definedName function="false" hidden="false" name="dps_g" vbProcedure="false">In!$E$171</definedName>
    <definedName function="false" hidden="false" name="dps_tgt" vbProcedure="false">In!$E$44</definedName>
    <definedName function="false" hidden="false" name="eq_1H" vbProcedure="false">In!$E$205</definedName>
    <definedName function="false" hidden="false" name="erp" vbProcedure="false">In!$E$27</definedName>
    <definedName function="false" hidden="false" name="erp_hi" vbProcedure="false">In!$F$27</definedName>
    <definedName function="false" hidden="false" name="erp_lo" vbProcedure="false">In!$D$27</definedName>
    <definedName function="false" hidden="false" name="ext_sh" vbProcedure="false">In!$E$73</definedName>
    <definedName function="false" hidden="false" name="ext_sh_hi" vbProcedure="false">In!$F$73</definedName>
    <definedName function="false" hidden="false" name="ext_sh_lo" vbProcedure="false">In!$D$73</definedName>
    <definedName function="false" hidden="false" name="fines" vbProcedure="false">In!$E$13</definedName>
    <definedName function="false" hidden="false" name="fin_lease" vbProcedure="false">In!$E$30</definedName>
    <definedName function="false" hidden="false" name="g0_cloud" vbProcedure="false">Q!$B$62</definedName>
    <definedName function="false" hidden="false" name="g0_co" vbProcedure="false">Thesis!$C$16</definedName>
    <definedName function="false" hidden="false" name="g0_net" vbProcedure="false">Q!$B$60</definedName>
    <definedName function="false" hidden="false" name="g0_search" vbProcedure="false">Q!$B$58</definedName>
    <definedName function="false" hidden="false" name="g0_subs" vbProcedure="false">Q!$B$61</definedName>
    <definedName function="false" hidden="false" name="g0_yt" vbProcedure="false">Q!$B$59</definedName>
    <definedName function="false" hidden="false" name="gl_co" vbProcedure="false">In!$E$137</definedName>
    <definedName function="false" hidden="false" name="gl_co_hi" vbProcedure="false">In!$F$137</definedName>
    <definedName function="false" hidden="false" name="gl_co_lo" vbProcedure="false">In!$D$137</definedName>
    <definedName function="false" hidden="false" name="gl_net" vbProcedure="false">In!$E$135</definedName>
    <definedName function="false" hidden="false" name="gl_net_hi" vbProcedure="false">In!$F$135</definedName>
    <definedName function="false" hidden="false" name="gl_net_lo" vbProcedure="false">In!$D$135</definedName>
    <definedName function="false" hidden="false" name="gl_search" vbProcedure="false">In!$E$133</definedName>
    <definedName function="false" hidden="false" name="gl_search_hi" vbProcedure="false">In!$F$133</definedName>
    <definedName function="false" hidden="false" name="gl_search_lo" vbProcedure="false">In!$D$133</definedName>
    <definedName function="false" hidden="false" name="gl_subs" vbProcedure="false">In!$E$136</definedName>
    <definedName function="false" hidden="false" name="gl_subs_hi" vbProcedure="false">In!$F$136</definedName>
    <definedName function="false" hidden="false" name="gl_subs_lo" vbProcedure="false">In!$D$136</definedName>
    <definedName function="false" hidden="false" name="gl_yt" vbProcedure="false">In!$E$134</definedName>
    <definedName function="false" hidden="false" name="gl_yt_hi" vbProcedure="false">In!$F$134</definedName>
    <definedName function="false" hidden="false" name="gl_yt_lo" vbProcedure="false">In!$D$134</definedName>
    <definedName function="false" hidden="false" name="gpuhr_h" vbProcedure="false">In!$E$97</definedName>
    <definedName function="false" hidden="false" name="g_tv" vbProcedure="false">In!$E$33</definedName>
    <definedName function="false" hidden="false" name="g_tv_hi" vbProcedure="false">In!$F$33</definedName>
    <definedName function="false" hidden="false" name="g_tv_lo" vbProcedure="false">In!$D$33</definedName>
    <definedName function="false" hidden="false" name="he_b2" vbProcedure="false">In!$E$94</definedName>
    <definedName function="false" hidden="false" name="he_b2_hi" vbProcedure="false">In!$F$94</definedName>
    <definedName function="false" hidden="false" name="he_b2_lo" vbProcedure="false">In!$D$94</definedName>
    <definedName function="false" hidden="false" name="he_b3" vbProcedure="false">In!$E$95</definedName>
    <definedName function="false" hidden="false" name="he_b3_hi" vbProcedure="false">In!$F$95</definedName>
    <definedName function="false" hidden="false" name="he_b3_lo" vbProcedure="false">In!$D$95</definedName>
    <definedName function="false" hidden="false" name="he_h" vbProcedure="false">In!$E$93</definedName>
    <definedName function="false" hidden="false" name="he_h_hi" vbProcedure="false">In!$F$93</definedName>
    <definedName function="false" hidden="false" name="he_h_lo" vbProcedure="false">In!$D$93</definedName>
    <definedName function="false" hidden="false" name="he_vr" vbProcedure="false">In!$E$96</definedName>
    <definedName function="false" hidden="false" name="he_vr_hi" vbProcedure="false">In!$F$96</definedName>
    <definedName function="false" hidden="false" name="he_vr_lo" vbProcedure="false">In!$D$96</definedName>
    <definedName function="false" hidden="false" name="illiq" vbProcedure="false">In!$E$18</definedName>
    <definedName function="false" hidden="false" name="illiq_hi" vbProcedure="false">In!$F$18</definedName>
    <definedName function="false" hidden="false" name="illiq_lo" vbProcedure="false">In!$D$18</definedName>
    <definedName function="false" hidden="false" name="inc_m" vbProcedure="false">In!$E$142</definedName>
    <definedName function="false" hidden="false" name="inc_m_hi" vbProcedure="false">In!$F$142</definedName>
    <definedName function="false" hidden="false" name="inc_m_lo" vbProcedure="false">In!$D$142</definedName>
    <definedName function="false" hidden="false" name="internal_ai_reading" vbProcedure="false">In!$E$47</definedName>
    <definedName function="false" hidden="false" name="internal_ai_reading_lo" vbProcedure="false">In!$D$47</definedName>
    <definedName function="false" hidden="false" name="kd" vbProcedure="false">In!$E$29</definedName>
    <definedName function="false" hidden="false" name="kd_sp" vbProcedure="false">In!$E$28</definedName>
    <definedName function="false" hidden="false" name="kd_sp_hi" vbProcedure="false">In!$F$28</definedName>
    <definedName function="false" hidden="false" name="kd_sp_lo" vbProcedure="false">In!$D$28</definedName>
    <definedName function="false" hidden="false" name="ke" vbProcedure="false">Val!$B$36</definedName>
    <definedName function="false" hidden="false" name="kl_px" vbProcedure="false">In!$E$90</definedName>
    <definedName function="false" hidden="false" name="kl_px_lo" vbProcedure="false">In!$D$90</definedName>
    <definedName function="false" hidden="false" name="ks_px" vbProcedure="false">In!$E$91</definedName>
    <definedName function="false" hidden="false" name="ks_px_hi" vbProcedure="false">In!$F$91</definedName>
    <definedName function="false" hidden="false" name="k_blend" vbProcedure="false">Thesis!$C$8</definedName>
    <definedName function="false" hidden="false" name="k_long" vbProcedure="false">Thesis!$C$6</definedName>
    <definedName function="false" hidden="false" name="k_spot" vbProcedure="false">Thesis!$C$7</definedName>
    <definedName function="false" hidden="false" name="lease_1H" vbProcedure="false">In!$E$201</definedName>
    <definedName function="false" hidden="false" name="lease_27" vbProcedure="false">In!$E$175</definedName>
    <definedName function="false" hidden="false" name="lease_28" vbProcedure="false">In!$E$176</definedName>
    <definedName function="false" hidden="false" name="lease_29" vbProcedure="false">In!$E$177</definedName>
    <definedName function="false" hidden="false" name="lease_2H" vbProcedure="false">In!$E$174</definedName>
    <definedName function="false" hidden="false" name="lease_30" vbProcedure="false">In!$E$178</definedName>
    <definedName function="false" hidden="false" name="lease_31" vbProcedure="false">In!$E$179</definedName>
    <definedName function="false" hidden="false" name="lease_32" vbProcedure="false">In!$E$180</definedName>
    <definedName function="false" hidden="false" name="life_fac" vbProcedure="false">In!$E$116</definedName>
    <definedName function="false" hidden="false" name="life_fac_hi" vbProcedure="false">In!$F$116</definedName>
    <definedName function="false" hidden="false" name="life_fac_lo" vbProcedure="false">In!$D$116</definedName>
    <definedName function="false" hidden="false" name="life_it" vbProcedure="false">In!$E$115</definedName>
    <definedName function="false" hidden="false" name="life_it_hi" vbProcedure="false">In!$F$115</definedName>
    <definedName function="false" hidden="false" name="life_it_lo" vbProcedure="false">In!$D$115</definedName>
    <definedName function="false" hidden="false" name="life_na" vbProcedure="false">In!$E$117</definedName>
    <definedName function="false" hidden="false" name="life_na_hi" vbProcedure="false">In!$F$117</definedName>
    <definedName function="false" hidden="false" name="life_na_lo" vbProcedure="false">In!$D$117</definedName>
    <definedName function="false" hidden="false" name="long_sh" vbProcedure="false">In!$E$92</definedName>
    <definedName function="false" hidden="false" name="long_sh_hi" vbProcedure="false">In!$F$92</definedName>
    <definedName function="false" hidden="false" name="long_sh_lo" vbProcedure="false">In!$D$92</definedName>
    <definedName function="false" hidden="false" name="mA" vbProcedure="false">In!$E$139</definedName>
    <definedName function="false" hidden="false" name="mat_1H" vbProcedure="false">In!$E$203</definedName>
    <definedName function="false" hidden="false" name="mat_27" vbProcedure="false">In!$E$189</definedName>
    <definedName function="false" hidden="false" name="mat_28" vbProcedure="false">In!$E$190</definedName>
    <definedName function="false" hidden="false" name="mat_29" vbProcedure="false">In!$E$191</definedName>
    <definedName function="false" hidden="false" name="mat_2H" vbProcedure="false">In!$E$188</definedName>
    <definedName function="false" hidden="false" name="mat_30" vbProcedure="false">In!$E$192</definedName>
    <definedName function="false" hidden="false" name="mat_31" vbProcedure="false">In!$E$193</definedName>
    <definedName function="false" hidden="false" name="mat_32" vbProcedure="false">In!$E$194</definedName>
    <definedName function="false" hidden="false" name="mA_hi" vbProcedure="false">In!$F$139</definedName>
    <definedName function="false" hidden="false" name="mA_lo" vbProcedure="false">In!$D$139</definedName>
    <definedName function="false" hidden="false" name="mb_ttm" vbProcedure="false">In!$E$46</definedName>
    <definedName function="false" hidden="false" name="mb_ttm_hi" vbProcedure="false">In!$F$46</definedName>
    <definedName function="false" hidden="false" name="mC" vbProcedure="false">In!$E$141</definedName>
    <definedName function="false" hidden="false" name="mC_hi" vbProcedure="false">In!$F$141</definedName>
    <definedName function="false" hidden="false" name="mC_lo" vbProcedure="false">In!$D$141</definedName>
    <definedName function="false" hidden="false" name="mid" vbProcedure="false">In!$E$35</definedName>
    <definedName function="false" hidden="false" name="min_cash" vbProcedure="false">In!$E$173</definedName>
    <definedName function="false" hidden="false" name="mix0_b2" vbProcedure="false">In!$E$80</definedName>
    <definedName function="false" hidden="false" name="mix0_b3" vbProcedure="false">In!$E$81</definedName>
    <definedName function="false" hidden="false" name="mix0_h" vbProcedure="false">In!$E$79</definedName>
    <definedName function="false" hidden="false" name="mult_ads" vbProcedure="false">Val!$B$118</definedName>
    <definedName function="false" hidden="false" name="mult_adsx" vbProcedure="false">Val!$B$121</definedName>
    <definedName function="false" hidden="false" name="mult_ads_own" vbProcedure="false">In!$E$69</definedName>
    <definedName function="false" hidden="false" name="mult_ai" vbProcedure="false">In!$E$68</definedName>
    <definedName function="false" hidden="false" name="mult_ai_hi" vbProcedure="false">In!$F$68</definedName>
    <definedName function="false" hidden="false" name="mult_ai_lo" vbProcedure="false">In!$D$68</definedName>
    <definedName function="false" hidden="false" name="mult_cloud" vbProcedure="false">Val!$B$120</definedName>
    <definedName function="false" hidden="false" name="mult_subs" vbProcedure="false">Val!$B$119</definedName>
    <definedName function="false" hidden="false" name="mw_tot0" vbProcedure="false">In!$E$74</definedName>
    <definedName function="false" hidden="false" name="mw_tot0_hi" vbProcedure="false">In!$F$74</definedName>
    <definedName function="false" hidden="false" name="mw_tot0_lo" vbProcedure="false">In!$D$74</definedName>
    <definedName function="false" hidden="false" name="mw_ye23" vbProcedure="false">In!$E$77</definedName>
    <definedName function="false" hidden="false" name="mw_ye24" vbProcedure="false">In!$E$76</definedName>
    <definedName function="false" hidden="false" name="mw_ye25" vbProcedure="false">In!$E$75</definedName>
    <definedName function="false" hidden="false" name="m_co" vbProcedure="false">Thesis!$C$19</definedName>
    <definedName function="false" hidden="false" name="m_co_1h" vbProcedure="false">Thesis!$C$18</definedName>
    <definedName function="false" hidden="false" name="m_co_ttm" vbProcedure="false">Thesis!$C$17</definedName>
    <definedName function="false" hidden="false" name="m_net" vbProcedure="false">In!$E$156</definedName>
    <definedName function="false" hidden="false" name="m_net_hi" vbProcedure="false">In!$F$156</definedName>
    <definedName function="false" hidden="false" name="m_net_lo" vbProcedure="false">In!$D$156</definedName>
    <definedName function="false" hidden="false" name="m_subs" vbProcedure="false">In!$E$157</definedName>
    <definedName function="false" hidden="false" name="m_subs_hi" vbProcedure="false">In!$F$157</definedName>
    <definedName function="false" hidden="false" name="m_subs_lo" vbProcedure="false">In!$D$157</definedName>
    <definedName function="false" hidden="false" name="m_svc" vbProcedure="false">Q!$B$73</definedName>
    <definedName function="false" hidden="false" name="m_svc_1h" vbProcedure="false">Q!$B$72</definedName>
    <definedName function="false" hidden="false" name="m_svc_ttm" vbProcedure="false">Q!$B$69</definedName>
    <definedName function="false" hidden="false" name="m_yt" vbProcedure="false">In!$E$155</definedName>
    <definedName function="false" hidden="false" name="m_yt_hi" vbProcedure="false">In!$F$155</definedName>
    <definedName function="false" hidden="false" name="m_yt_lo" vbProcedure="false">In!$D$155</definedName>
    <definedName function="false" hidden="false" name="nci" vbProcedure="false">In!$E$14</definedName>
    <definedName function="false" hidden="false" name="newd_1H" vbProcedure="false">In!$E$204</definedName>
    <definedName function="false" hidden="false" name="ob_oi" vbProcedure="false">In!$E$153</definedName>
    <definedName function="false" hidden="false" name="ob_oi_hi" vbProcedure="false">In!$F$153</definedName>
    <definedName function="false" hidden="false" name="ob_oi_lo" vbProcedure="false">In!$D$153</definedName>
    <definedName function="false" hidden="false" name="ob_rev_27" vbProcedure="false">In!$E$147</definedName>
    <definedName function="false" hidden="false" name="ob_rev_28" vbProcedure="false">In!$E$148</definedName>
    <definedName function="false" hidden="false" name="ob_rev_29" vbProcedure="false">In!$E$149</definedName>
    <definedName function="false" hidden="false" name="ob_rev_2H" vbProcedure="false">In!$E$146</definedName>
    <definedName function="false" hidden="false" name="ob_rev_30" vbProcedure="false">In!$E$150</definedName>
    <definedName function="false" hidden="false" name="ob_rev_31" vbProcedure="false">In!$E$151</definedName>
    <definedName function="false" hidden="false" name="ob_rev_32" vbProcedure="false">In!$E$152</definedName>
    <definedName function="false" hidden="false" name="ob_val" vbProcedure="false">In!$E$71</definedName>
    <definedName function="false" hidden="false" name="oi_ob_ttm" vbProcedure="false">Q!$B$77</definedName>
    <definedName function="false" hidden="false" name="opex0" vbProcedure="false">Thesis!$C$12</definedName>
    <definedName function="false" hidden="false" name="opx_b2" vbProcedure="false">In!$E$99</definedName>
    <definedName function="false" hidden="false" name="opx_b3" vbProcedure="false">In!$E$100</definedName>
    <definedName function="false" hidden="false" name="opx_h" vbProcedure="false">In!$E$98</definedName>
    <definedName function="false" hidden="false" name="opx_vr" vbProcedure="false">In!$E$101</definedName>
    <definedName function="false" hidden="false" name="oth_eq" vbProcedure="false">In!$E$20</definedName>
    <definedName function="false" hidden="false" name="pace" vbProcedure="false">In!$E$78</definedName>
    <definedName function="false" hidden="false" name="pace_hi" vbProcedure="false">In!$F$78</definedName>
    <definedName function="false" hidden="false" name="pace_lo" vbProcedure="false">In!$D$78</definedName>
    <definedName function="false" hidden="false" name="permw0" vbProcedure="false">Thesis!$C$11</definedName>
    <definedName function="false" hidden="false" name="phi_0" vbProcedure="false">In!$E$118</definedName>
    <definedName function="false" hidden="false" name="phi_0_hi" vbProcedure="false">In!$F$118</definedName>
    <definedName function="false" hidden="false" name="phi_0_lo" vbProcedure="false">In!$D$118</definedName>
    <definedName function="false" hidden="false" name="pm_ads_app" vbProcedure="false">In!$E$54</definedName>
    <definedName function="false" hidden="false" name="pm_ads_meta" vbProcedure="false">In!$E$51</definedName>
    <definedName function="false" hidden="false" name="pm_ads_pins" vbProcedure="false">In!$E$52</definedName>
    <definedName function="false" hidden="false" name="pm_ads_rddt" vbProcedure="false">In!$E$55</definedName>
    <definedName function="false" hidden="false" name="pm_ads_snap" vbProcedure="false">In!$E$56</definedName>
    <definedName function="false" hidden="false" name="pm_ads_ttd" vbProcedure="false">In!$E$53</definedName>
    <definedName function="false" hidden="false" name="pm_cloud_akam" vbProcedure="false">In!$E$65</definedName>
    <definedName function="false" hidden="false" name="pm_cloud_crm" vbProcedure="false">In!$E$63</definedName>
    <definedName function="false" hidden="false" name="pm_cloud_docn" vbProcedure="false">In!$E$67</definedName>
    <definedName function="false" hidden="false" name="pm_cloud_eqix" vbProcedure="false">In!$E$66</definedName>
    <definedName function="false" hidden="false" name="pm_cloud_ibm" vbProcedure="false">In!$E$61</definedName>
    <definedName function="false" hidden="false" name="pm_cloud_now" vbProcedure="false">In!$E$64</definedName>
    <definedName function="false" hidden="false" name="pm_cloud_orcl" vbProcedure="false">In!$E$60</definedName>
    <definedName function="false" hidden="false" name="pm_cloud_sap" vbProcedure="false">In!$E$62</definedName>
    <definedName function="false" hidden="false" name="pm_subs_dis" vbProcedure="false">In!$E$59</definedName>
    <definedName function="false" hidden="false" name="pm_subs_nflx" vbProcedure="false">In!$E$57</definedName>
    <definedName function="false" hidden="false" name="pm_subs_spot" vbProcedure="false">In!$E$58</definedName>
    <definedName function="false" hidden="false" name="pref_27" vbProcedure="false">In!$E$197</definedName>
    <definedName function="false" hidden="false" name="pref_28" vbProcedure="false">In!$E$198</definedName>
    <definedName function="false" hidden="false" name="pref_29" vbProcedure="false">In!$E$199</definedName>
    <definedName function="false" hidden="false" name="pref_2H" vbProcedure="false">In!$E$196</definedName>
    <definedName function="false" hidden="false" name="px" vbProcedure="false">In!$E$5</definedName>
    <definedName function="false" hidden="false" name="px_v022" vbProcedure="false">In!$E$212</definedName>
    <definedName function="false" hidden="false" name="rent_27" vbProcedure="false">In!$E$128</definedName>
    <definedName function="false" hidden="false" name="rent_28" vbProcedure="false">In!$E$129</definedName>
    <definedName function="false" hidden="false" name="rent_29" vbProcedure="false">In!$E$130</definedName>
    <definedName function="false" hidden="false" name="rent_2H" vbProcedure="false">In!$E$127</definedName>
    <definedName function="false" hidden="false" name="rev3_ttm" vbProcedure="false">Q!$B$64</definedName>
    <definedName function="false" hidden="false" name="rf" vbProcedure="false">In!$E$22</definedName>
    <definedName function="false" hidden="false" name="ronic" vbProcedure="false">Val!$B$39</definedName>
    <definedName function="false" hidden="false" name="ronic_sp" vbProcedure="false">In!$E$34</definedName>
    <definedName function="false" hidden="false" name="ronic_sp_hi" vbProcedure="false">In!$F$34</definedName>
    <definedName function="false" hidden="false" name="rpo_24m" vbProcedure="false">In!$E$208</definedName>
    <definedName function="false" hidden="false" name="rpo_cloud" vbProcedure="false">In!$E$207</definedName>
    <definedName function="false" hidden="false" name="r_cash" vbProcedure="false">In!$E$164</definedName>
    <definedName function="false" hidden="false" name="r_debt" vbProcedure="false">In!$E$165</definedName>
    <definedName function="false" hidden="false" name="sbc_add" vbProcedure="false">In!$E$48</definedName>
    <definedName function="false" hidden="false" name="sbc_add_hi" vbProcedure="false">In!$F$48</definedName>
    <definedName function="false" hidden="false" name="sbc_r" vbProcedure="false">In!$E$166</definedName>
    <definedName function="false" hidden="false" name="selfb" vbProcedure="false">In!$E$114</definedName>
    <definedName function="false" hidden="false" name="selfb_hi" vbProcedure="false">In!$F$114</definedName>
    <definedName function="false" hidden="false" name="selfb_lo" vbProcedure="false">In!$D$114</definedName>
    <definedName function="false" hidden="false" name="sh1_cloud" vbProcedure="false">Q!$B$71</definedName>
    <definedName function="false" hidden="false" name="sh1_svc" vbProcedure="false">Q!$B$70</definedName>
    <definedName function="false" hidden="false" name="sh_basic_q2" vbProcedure="false">In!$E$8</definedName>
    <definedName function="false" hidden="false" name="sh_cloud" vbProcedure="false">Q!$B$66</definedName>
    <definedName function="false" hidden="false" name="sh_dil_q2" vbProcedure="false">In!$E$7</definedName>
    <definedName function="false" hidden="false" name="sh_ob" vbProcedure="false">Q!$B$67</definedName>
    <definedName function="false" hidden="false" name="sh_out" vbProcedure="false">In!$E$6</definedName>
    <definedName function="false" hidden="false" name="sh_svc" vbProcedure="false">Q!$B$65</definedName>
    <definedName function="false" hidden="false" name="spacex" vbProcedure="false">In!$E$19</definedName>
    <definedName function="false" hidden="false" name="svc_sh" vbProcedure="false">In!$E$124</definedName>
    <definedName function="false" hidden="false" name="svc_sh_hi" vbProcedure="false">In!$F$124</definedName>
    <definedName function="false" hidden="false" name="svc_sh_lo" vbProcedure="false">In!$D$124</definedName>
    <definedName function="false" hidden="false" name="svc_ttm" vbProcedure="false">Q!$B$63</definedName>
    <definedName function="false" hidden="false" name="tac_sh" vbProcedure="false">Q!$B$79</definedName>
    <definedName function="false" hidden="false" name="tax" vbProcedure="false">In!$E$162</definedName>
    <definedName function="false" hidden="false" name="tax_eq" vbProcedure="false">In!$E$163</definedName>
    <definedName function="false" hidden="false" name="tax_hi" vbProcedure="false">In!$F$162</definedName>
    <definedName function="false" hidden="false" name="tax_lo" vbProcedure="false">In!$D$162</definedName>
    <definedName function="false" hidden="false" name="tax_w" vbProcedure="false">In!$E$32</definedName>
    <definedName function="false" hidden="false" name="tpu_2h" vbProcedure="false">In!$E$143</definedName>
    <definedName function="false" hidden="false" name="tpu_2h_hi" vbProcedure="false">In!$F$143</definedName>
    <definedName function="false" hidden="false" name="tpu_2h_lo" vbProcedure="false">In!$D$143</definedName>
    <definedName function="false" hidden="false" name="tpu_adj" vbProcedure="false">Thesis!$C$9</definedName>
    <definedName function="false" hidden="false" name="tpu_adjc" vbProcedure="false">Thesis!$C$10</definedName>
    <definedName function="false" hidden="false" name="tpu_cf" vbProcedure="false">In!$E$88</definedName>
    <definedName function="false" hidden="false" name="tpu_cf_hi" vbProcedure="false">In!$F$88</definedName>
    <definedName function="false" hidden="false" name="tpu_cf_lo" vbProcedure="false">In!$D$88</definedName>
    <definedName function="false" hidden="false" name="tpu_f" vbProcedure="false">In!$E$87</definedName>
    <definedName function="false" hidden="false" name="tpu_f_hi" vbProcedure="false">In!$F$87</definedName>
    <definedName function="false" hidden="false" name="tpu_f_lo" vbProcedure="false">In!$D$87</definedName>
    <definedName function="false" hidden="false" name="tpu_m" vbProcedure="false">In!$E$145</definedName>
    <definedName function="false" hidden="false" name="tpu_m_hi" vbProcedure="false">In!$F$145</definedName>
    <definedName function="false" hidden="false" name="tpu_m_lo" vbProcedure="false">In!$D$145</definedName>
    <definedName function="false" hidden="false" name="tpu_sh" vbProcedure="false">In!$E$86</definedName>
    <definedName function="false" hidden="false" name="tpu_yr" vbProcedure="false">In!$E$144</definedName>
    <definedName function="false" hidden="false" name="tpu_yr_hi" vbProcedure="false">In!$F$144</definedName>
    <definedName function="false" hidden="false" name="tpu_yr_lo" vbProcedure="false">In!$D$144</definedName>
    <definedName function="false" hidden="false" name="tpw_v022" vbProcedure="false">In!$E$211</definedName>
    <definedName function="false" hidden="false" name="tp_v022" vbProcedure="false">In!$E$210</definedName>
    <definedName function="false" hidden="false" name="tp_wA" vbProcedure="false">In!$E$37</definedName>
    <definedName function="false" hidden="false" name="tp_wB" vbProcedure="false">In!$E$38</definedName>
    <definedName function="false" hidden="false" name="tp_wC" vbProcedure="false">In!$E$39</definedName>
    <definedName function="false" hidden="false" name="tv_alt" vbProcedure="false">In!$E$49</definedName>
    <definedName function="false" hidden="false" name="tv_alt_hi" vbProcedure="false">In!$F$49</definedName>
    <definedName function="false" hidden="false" name="t_2h" vbProcedure="false">In!$E$36</definedName>
    <definedName function="false" hidden="false" name="t_px0" vbProcedure="false">In!$E$45</definedName>
    <definedName function="false" hidden="false" name="t_tgt" vbProcedure="false">In!$E$41</definedName>
    <definedName function="false" hidden="false" name="wacc" vbProcedure="false">Val!$B$38</definedName>
    <definedName function="false" hidden="false" name="wacc_adj" vbProcedure="false">In!$E$31</definedName>
    <definedName function="false" hidden="false" name="wacc_adj_hi" vbProcedure="false">In!$F$31</definedName>
    <definedName function="false" hidden="false" name="wacc_adj_lo" vbProcedure="false">In!$D$31</definedName>
    <definedName function="false" hidden="false" name="wc_2h" vbProcedure="false">In!$E$168</definedName>
    <definedName function="false" hidden="false" name="wc_k" vbProcedure="false">In!$E$169</definedName>
    <definedName function="false" hidden="false" name="wc_k_hi" vbProcedure="false">In!$F$169</definedName>
    <definedName function="false" hidden="false" name="wc_k_lo" vbProcedure="false">In!$D$169</definedName>
    <definedName function="false" hidden="false" name="w_dcf" vbProcedure="false">In!$E$40</definedName>
    <definedName function="false" hidden="false" name="w_dcf_hi" vbProcedure="false">In!$F$40</definedName>
    <definedName function="false" hidden="false" name="w_dcf_lo" vbProcedure="false">In!$D$40</definedName>
    <definedName function="false" hidden="false" name="w_ntm27" vbProcedure="false">In!$E$42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<sst xmlns="http://schemas.openxmlformats.org/spreadsheetml/2006/main" count="3207" uniqueCount="1396">
  <si>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</si>
  <si>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改變搜尋之後，</t>
    </r>
    <r>
      <rPr>
        <sz val="11"/>
        <color theme="1"/>
        <rFont val="Calibri"/>
        <family val="2"/>
        <charset val="1"/>
      </rPr>
      <t xml:space="preserve">Google Search </t>
    </r>
    <r>
      <rPr>
        <sz val="11"/>
        <color theme="1"/>
        <rFont val="Noto Sans CJK SC"/>
        <family val="2"/>
      </rPr>
      <t xml:space="preserve">的變現能否守住，同時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）能否把翻倍的資本支出變成營收；資本支出與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年股權發行後的每股價值是否高於現價。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</si>
  <si>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助理分流、每次查詢變現下降）下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營收與利益率會掉多少，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營收能否抵銷；加計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折舊與股權發行後的每股價值。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</si>
  <si>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</si>
  <si>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</si>
  <si>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</si>
  <si>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</si>
  <si>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</si>
  <si>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</si>
  <si>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mw_tot0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long_sh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</si>
  <si>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</si>
  <si>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資本支出 → 折舊 → 分部營業利益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</si>
  <si>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</si>
  <si>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g0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頁近四季）、</t>
    </r>
    <r>
      <rPr>
        <sz val="11"/>
        <color theme="1"/>
        <rFont val="Calibri"/>
        <family val="2"/>
        <charset val="1"/>
      </rPr>
      <t xml:space="preserve">gl_*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ob_rev_*</t>
    </r>
  </si>
  <si>
    <r>
      <rPr>
        <sz val="11"/>
        <color theme="1"/>
        <rFont val="Noto Sans CJK SC"/>
        <family val="2"/>
      </rPr>
      <t xml:space="preserve">四條產品線、三個分部、合併營收；非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</si>
  <si>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＋變現變動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</si>
  <si>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</si>
  <si>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abc_rate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</si>
  <si>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</si>
  <si>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</si>
  <si>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</si>
  <si>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anth_*</t>
    </r>
  </si>
  <si>
    <t xml:space="preserve">自由現金流、股利、回購、新債、淨現金、收支關卡</t>
  </si>
  <si>
    <t xml:space="preserve">淨利＋折舊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</si>
  <si>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</si>
  <si>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、同業倍數、持股、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</si>
  <si>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</si>
  <si>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</si>
  <si>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</si>
  <si>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</si>
  <si>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</si>
  <si>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</si>
  <si>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的差異</t>
    </r>
  </si>
  <si>
    <r>
      <rPr>
        <sz val="11"/>
        <color theme="1"/>
        <rFont val="Noto Sans CJK SC"/>
        <family val="2"/>
      </rPr>
      <t xml:space="preserve">營收主軸由「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收入＋其餘成長率線」改為官方分部（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四條產品線、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只是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的子列。</t>
    </r>
  </si>
  <si>
    <r>
      <rPr>
        <sz val="11"/>
        <color theme="1"/>
        <rFont val="Noto Sans CJK SC"/>
        <family val="2"/>
      </rPr>
      <t xml:space="preserve">情境軸由「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容量（保守／基準／積極）」改為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容量三情境相同，改列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</si>
  <si>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資本支出接到折舊與分部營業利益（對外 → 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 → </t>
    </r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層級），不只接現金。</t>
    </r>
  </si>
  <si>
    <r>
      <rPr>
        <sz val="11"/>
        <color theme="1"/>
        <rFont val="Noto Sans CJK SC"/>
        <family val="2"/>
      </rPr>
      <t xml:space="preserve">評價由 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（錨定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）改為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（各分部同業倍數）；評等改五級（上檔空間）。</t>
    </r>
  </si>
  <si>
    <r>
      <rPr>
        <sz val="11"/>
        <color theme="1"/>
        <rFont val="Noto Sans CJK SC"/>
        <family val="2"/>
      </rPr>
      <t xml:space="preserve">融資瀑布、站點、租賃承諾、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頁面移除（舊引擎保留在 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</si>
  <si>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修正一（獨立核對後）：自用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為主值（影子效益進評價口徑）、分部加總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加回同口徑、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Blume β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起收斂、基礎折舊隨汰換遞減、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估值未找到）。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</si>
  <si>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alphabet/make_v03.sh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</si>
  <si>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（換算）。本模型是研究整理，不是投資建議以外的保證。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</si>
  <si>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</si>
  <si>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已核准的參數（原出處：</t>
    </r>
    <r>
      <rPr>
        <sz val="11"/>
        <color theme="1"/>
        <rFont val="Calibri"/>
        <family val="2"/>
        <charset val="1"/>
      </rPr>
      <t xml:space="preserve">alphabet/legacy_v0.2/company.json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data/kevidence_alphabet_20261008.json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data/tokenomics_snapshot_v21.4.json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C1–C23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v21.4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</si>
  <si>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</si>
  <si>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</si>
  <si>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</si>
  <si>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</si>
  <si>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</si>
  <si>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</si>
  <si>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</si>
  <si>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</si>
  <si>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</si>
  <si>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2026Q2 10-Q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</si>
  <si>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</si>
  <si>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</si>
  <si>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</si>
  <si>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</si>
  <si>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歷史股價頁 </t>
    </r>
    <r>
      <rPr>
        <sz val="11"/>
        <color theme="1"/>
        <rFont val="Calibri"/>
        <family val="2"/>
        <charset val="1"/>
      </rPr>
      <t xml:space="preserve">https://stockanalysis.com/stocks/googl/history/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320.21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</si>
  <si>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markets/invest_map/data/prices.csv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）與同頁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值相同。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350.50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</si>
  <si>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</si>
  <si>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</si>
  <si>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</si>
  <si>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sh.out.20260715</t>
    </r>
    <r>
      <rPr>
        <sz val="11"/>
        <color theme="1"/>
        <rFont val="Noto Sans CJK SC"/>
        <family val="2"/>
      </rPr>
      <t xml:space="preserve">）</t>
    </r>
  </si>
  <si>
    <t xml:space="preserve">sh_dil_q2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</si>
  <si>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稀釋加權股數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</si>
  <si>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</si>
  <si>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sh.dilW.2026q2</t>
    </r>
    <r>
      <rPr>
        <sz val="11"/>
        <color theme="1"/>
        <rFont val="Noto Sans CJK SC"/>
        <family val="2"/>
      </rPr>
      <t xml:space="preserve">）</t>
    </r>
  </si>
  <si>
    <t xml:space="preserve">sh_basic_q2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</si>
  <si>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</si>
  <si>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Alphabet 2026Q2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legacy_v0.2/company.json latestQuarter.basicWaso</t>
    </r>
  </si>
  <si>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股權發行（</t>
    </r>
    <r>
      <rPr>
        <sz val="11"/>
        <color theme="1"/>
        <rFont val="Calibri"/>
        <family val="2"/>
        <charset val="1"/>
      </rPr>
      <t xml:space="preserve">6/4</t>
    </r>
    <r>
      <rPr>
        <sz val="11"/>
        <color theme="1"/>
        <rFont val="Noto Sans CJK SC"/>
        <family val="2"/>
      </rPr>
      <t xml:space="preserve">）只在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部分期間加權；期末稀釋股數＝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</si>
  <si>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</si>
  <si>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2029-05-15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</si>
  <si>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8-K 2026-06-05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系列每股轉 </t>
    </r>
    <r>
      <rPr>
        <sz val="11"/>
        <color theme="1"/>
        <rFont val="Calibri"/>
        <family val="2"/>
        <charset val="1"/>
      </rPr>
      <t xml:space="preserve">2.2520–2.8160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2.2740–2.8420 </t>
    </r>
    <r>
      <rPr>
        <sz val="11"/>
        <color theme="1"/>
        <rFont val="Noto Sans CJK SC"/>
        <family val="2"/>
      </rPr>
      <t xml:space="preserve">股 → </t>
    </r>
    <r>
      <rPr>
        <sz val="11"/>
        <color theme="1"/>
        <rFont val="Calibri"/>
        <family val="2"/>
        <charset val="1"/>
      </rPr>
      <t xml:space="preserve">43.6–54.6M </t>
    </r>
    <r>
      <rPr>
        <sz val="11"/>
        <color theme="1"/>
        <rFont val="Noto Sans CJK SC"/>
        <family val="2"/>
      </rPr>
      <t xml:space="preserve">股；沿用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debt.convertibles</t>
    </r>
  </si>
  <si>
    <t xml:space="preserve">取稀釋最大（保守）；評價時直接加入股數，特別股股利照付至轉換</t>
  </si>
  <si>
    <t xml:space="preserve">cash_0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</si>
  <si>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</si>
  <si>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</si>
  <si>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</si>
  <si>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55.911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186.563 − </t>
    </r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bs.mktEq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</si>
  <si>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defaults.cash</t>
    </r>
    <r>
      <rPr>
        <sz val="11"/>
        <color theme="1"/>
        <rFont val="Noto Sans CJK SC"/>
        <family val="2"/>
      </rPr>
      <t xml:space="preserve">（權益證券改列持股）</t>
    </r>
  </si>
  <si>
    <t xml:space="preserve">cash_ye25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</si>
  <si>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</si>
  <si>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96.135 − 6.313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ytdActual.cash1231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</si>
  <si>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</si>
  <si>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</si>
  <si>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</t>
    </r>
    <r>
      <rPr>
        <sz val="11"/>
        <color theme="1"/>
        <rFont val="Noto Sans CJK SC"/>
        <family val="2"/>
      </rPr>
      <t xml:space="preserve">）</t>
    </r>
  </si>
  <si>
    <t xml:space="preserve">fines</t>
  </si>
  <si>
    <t xml:space="preserve">應計罰款與和解（類債）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</si>
  <si>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bs.accruedFines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</si>
  <si>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案 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（仍以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餘額扣除，與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同）</t>
    </r>
  </si>
  <si>
    <t xml:space="preserve">nci</t>
  </si>
  <si>
    <t xml:space="preserve">非控制權益（類債）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</si>
  <si>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bs.nci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等少數股權）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</si>
  <si>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皆加入；非上市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流動性折價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；上市不折價）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</si>
  <si>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</si>
  <si>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最近一輪投後估值（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</si>
  <si>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Anthropic raises $65 billion, nears $1T valuation ahead of IPO</t>
    </r>
    <r>
      <rPr>
        <sz val="11"/>
        <color theme="1"/>
        <rFont val="Noto Sans CJK SC"/>
        <family val="2"/>
      </rPr>
      <t xml:space="preserve">〉（經 </t>
    </r>
    <r>
      <rPr>
        <sz val="11"/>
        <color theme="1"/>
        <rFont val="Calibri"/>
        <family val="2"/>
        <charset val="1"/>
      </rPr>
      <t xml:space="preserve">anthropic/ SRC_ANT_299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2026-05-28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rp.anthropic.val.seriesH</t>
    </r>
    <r>
      <rPr>
        <sz val="11"/>
        <color theme="1"/>
        <rFont val="Noto Sans CJK SC"/>
        <family val="2"/>
      </rPr>
      <t xml:space="preserve">）</t>
    </r>
  </si>
  <si>
    <t xml:space="preserve">ant_stake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</si>
  <si>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</si>
  <si>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</si>
  <si>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</si>
  <si>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一手不存在：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法院文件約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；非上市證券帳面 </t>
    </r>
    <r>
      <rPr>
        <sz val="11"/>
        <color theme="1"/>
        <rFont val="Calibri"/>
        <family val="2"/>
        <charset val="1"/>
      </rPr>
      <t xml:space="preserve">124.3B ÷ 965B </t>
    </r>
    <r>
      <rPr>
        <sz val="11"/>
        <color theme="1"/>
        <rFont val="Noto Sans CJK SC"/>
        <family val="2"/>
      </rPr>
      <t xml:space="preserve">隱含上限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valuation.holdings</t>
    </r>
    <r>
      <rPr>
        <sz val="11"/>
        <color theme="1"/>
        <rFont val="Noto Sans CJK SC"/>
        <family val="2"/>
      </rPr>
      <t xml:space="preserve">）</t>
    </r>
  </si>
  <si>
    <t xml:space="preserve">illiq</t>
  </si>
  <si>
    <t xml:space="preserve">非上市持股流動性折價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</si>
  <si>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）；對照表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條</t>
    </r>
  </si>
  <si>
    <t xml:space="preserve">spacex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</si>
  <si>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持股公允價值（上市、限售）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</si>
  <si>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：短期 </t>
    </r>
    <r>
      <rPr>
        <sz val="11"/>
        <color theme="1"/>
        <rFont val="Calibri"/>
        <family val="2"/>
        <charset val="1"/>
      </rPr>
      <t xml:space="preserve">80.0</t>
    </r>
    <r>
      <rPr>
        <sz val="11"/>
        <color theme="1"/>
        <rFont val="Noto Sans CJK SC"/>
        <family val="2"/>
      </rPr>
      <t xml:space="preserve">＋長期限售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rp.spacex.holding</t>
    </r>
    <r>
      <rPr>
        <sz val="11"/>
        <color theme="1"/>
        <rFont val="Noto Sans CJK SC"/>
        <family val="2"/>
      </rPr>
      <t xml:space="preserve">）</t>
    </r>
  </si>
  <si>
    <t xml:space="preserve">評價日公允價值；之後股價變動未更新（資料缺口）</t>
  </si>
  <si>
    <t xml:space="preserve">oth_eq</t>
  </si>
  <si>
    <t xml:space="preserve">其他有價權益證券</t>
  </si>
  <si>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14.126 − SpaceX 94.1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</si>
  <si>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</si>
  <si>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</si>
  <si>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</si>
  <si>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U.S. Treasury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val.rf.10y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</si>
  <si>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</si>
  <si>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</si>
  <si>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同值）</t>
    </r>
  </si>
  <si>
    <t xml:space="preserve">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</si>
  <si>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statistics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</si>
  <si>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</si>
  <si>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</si>
  <si>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Beta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</si>
  <si>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</si>
  <si>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</si>
  <si>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調整＝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</si>
  <si>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同式（修正一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</si>
  <si>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</si>
  <si>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調整後兩個獨立來源的中位數）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</si>
  <si>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），兩個獨立來源取中位數</t>
    </r>
  </si>
  <si>
    <r>
      <rPr>
        <sz val="11"/>
        <color theme="1"/>
        <rFont val="Noto Sans CJK SC"/>
        <family val="2"/>
      </rPr>
      <t xml:space="preserve">低／高＝兩個來源各自的調整值；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1.288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</si>
  <si>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</si>
  <si>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</si>
  <si>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</si>
  <si>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</si>
  <si>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</si>
  <si>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Aa2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AA+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debt.rating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50–90bp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長債發行利差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130bp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年期，不採（修正一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</si>
  <si>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</si>
  <si>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</si>
  <si>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</si>
  <si>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6.527%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定價條款 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票據）（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val.kd.2066</t>
    </r>
    <r>
      <rPr>
        <sz val="11"/>
        <color theme="1"/>
        <rFont val="Noto Sans CJK SC"/>
        <family val="2"/>
      </rPr>
      <t xml:space="preserve">））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</si>
  <si>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</si>
  <si>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</si>
  <si>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lease.finLiab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</si>
  <si>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、分部加總的淨負債（修正一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</si>
  <si>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</si>
  <si>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</si>
  <si>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 ±1 </t>
    </r>
    <r>
      <rPr>
        <sz val="11"/>
        <color theme="1"/>
        <rFont val="Noto Sans CJK SC"/>
        <family val="2"/>
      </rPr>
      <t xml:space="preserve">個百分點的目標價格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</si>
  <si>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</si>
  <si>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</si>
  <si>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26.656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158.826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</si>
  <si>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</si>
  <si>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</si>
  <si>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</si>
  <si>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</si>
  <si>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</si>
  <si>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（判斷；終值＝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</si>
  <si>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；修正前固定 </t>
    </r>
    <r>
      <rPr>
        <sz val="11"/>
        <color theme="1"/>
        <rFont val="Calibri"/>
        <family val="2"/>
        <charset val="1"/>
      </rPr>
      <t xml:space="preserve">12%</t>
    </r>
  </si>
  <si>
    <t xml:space="preserve">mid</t>
  </si>
  <si>
    <t xml:space="preserve">期中慣例：年度現金流距年初</t>
  </si>
  <si>
    <t xml:space="preserve">年</t>
  </si>
  <si>
    <r>
      <rPr>
        <sz val="11"/>
        <color theme="1"/>
        <rFont val="Noto Sans CJK SC"/>
        <family val="2"/>
      </rPr>
      <t xml:space="preserve">年度現金流平均發生在年中；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為評價日後 </t>
    </r>
    <r>
      <rPr>
        <sz val="11"/>
        <color theme="1"/>
        <rFont val="Calibri"/>
        <family val="2"/>
        <charset val="1"/>
      </rPr>
      <t xml:space="preserve">0.25 </t>
    </r>
    <r>
      <rPr>
        <sz val="11"/>
        <color theme="1"/>
        <rFont val="Noto Sans CJK SC"/>
        <family val="2"/>
      </rPr>
      <t xml:space="preserve">年</t>
    </r>
  </si>
  <si>
    <t xml:space="preserve">t_2h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</si>
  <si>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現金流折現年數（評價日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</si>
  <si>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Calibri"/>
        <family val="2"/>
        <charset val="1"/>
      </rPr>
      <t xml:space="preserve">2026-07-01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</si>
  <si>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</si>
  <si>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</si>
  <si>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</si>
  <si>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</si>
  <si>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</si>
  <si>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</si>
  <si>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</si>
  <si>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</si>
  <si>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</si>
  <si>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</si>
  <si>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</si>
  <si>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</si>
  <si>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2026-06-30 → 2027-10-27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</si>
  <si>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(2027-10-27 − 2026-06-30)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483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</si>
  <si>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個月後（今天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起算）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</si>
  <si>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</si>
  <si>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</si>
  <si>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(2027-12-31 − 2027-10-27)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</si>
  <si>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r>
      <rPr>
        <sz val="11"/>
        <color theme="1"/>
        <rFont val="Noto Sans CJK SC"/>
        <family val="2"/>
      </rPr>
      <t xml:space="preserve">分部加總用目標時點的未來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</si>
  <si>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</si>
  <si>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</si>
  <si>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https://stockanalysis.com/stocks/googl/forecast/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位分析師；中位數 </t>
    </r>
    <r>
      <rPr>
        <sz val="11"/>
        <color theme="1"/>
        <rFont val="Calibri"/>
        <family val="2"/>
        <charset val="1"/>
      </rPr>
      <t xml:space="preserve">430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340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</si>
  <si>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429.47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）；賣方有承銷關係，只作對照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</si>
  <si>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</si>
  <si>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</si>
  <si>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兩季＋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</si>
  <si>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t_px0</t>
  </si>
  <si>
    <r>
      <rPr>
        <sz val="11"/>
        <color theme="1"/>
        <rFont val="Noto Sans CJK SC"/>
        <family val="2"/>
      </rPr>
      <t xml:space="preserve">現價日（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</si>
  <si>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回購均價 ＝ 現價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ke)^(</t>
    </r>
    <r>
      <rPr>
        <sz val="11"/>
        <color theme="1"/>
        <rFont val="Noto Sans CJK SC"/>
        <family val="2"/>
      </rPr>
      <t xml:space="preserve">期中 − 本值</t>
    </r>
    <r>
      <rPr>
        <sz val="11"/>
        <color theme="1"/>
        <rFont val="Calibri"/>
        <family val="2"/>
        <charset val="1"/>
      </rPr>
      <t xml:space="preserve">)</t>
    </r>
  </si>
  <si>
    <t xml:space="preserve">mb_ttm</t>
  </si>
  <si>
    <r>
      <rPr>
        <sz val="11"/>
        <color theme="1"/>
        <rFont val="Noto Sans CJK SC"/>
        <family val="2"/>
      </rPr>
      <t xml:space="preserve">分部利益率起點改用近四季（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</si>
  <si>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（利潤率擴張中、與評價日機隊同時點）；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的近四季口徑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</si>
  <si>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</si>
  <si>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</si>
  <si>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端預設，已向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提出）：自用增量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影子效益（非財報營收），進評價口徑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</si>
  <si>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頁兩種讀法的目標價並列（皆為活公式）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</si>
  <si>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</si>
  <si>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</si>
  <si>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判斷：股權報酬視為真實成本、不加回（稀釋已在股數 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＝加回（稅後）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</si>
  <si>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</si>
  <si>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</si>
  <si>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判斷：基準用價值驅動公式（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＝替代口徑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</si>
  <si>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）倍數：同業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共用同業檔，基準日 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</si>
  <si>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</si>
  <si>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</si>
  <si>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</si>
  <si>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</si>
  <si>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</si>
  <si>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</si>
  <si>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</si>
  <si>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</si>
  <si>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</si>
  <si>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</si>
  <si>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</si>
  <si>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</si>
  <si>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</si>
  <si>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</si>
  <si>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pm_subs_nflx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</si>
  <si>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Netflix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</si>
  <si>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</t>
    </r>
  </si>
  <si>
    <t xml:space="preserve">pm_subs_spot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</si>
  <si>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Spotify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</si>
  <si>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pm_subs_dis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</si>
  <si>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Disney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</si>
  <si>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</si>
  <si>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</si>
  <si>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</si>
  <si>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t xml:space="preserve">pm_cloud_ibm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</si>
  <si>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</si>
  <si>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pm_cloud_sap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</si>
  <si>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</si>
  <si>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pm_cloud_crm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</si>
  <si>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</si>
  <si>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pm_cloud_now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</si>
  <si>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ServiceNow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</si>
  <si>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pm_cloud_akam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</si>
  <si>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Akamai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</si>
  <si>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pm_cloud_eqix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</si>
  <si>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</si>
  <si>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pm_cloud_docn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</si>
  <si>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DigitalOcean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</si>
  <si>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mult_ai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</si>
  <si>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系統銷售的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同業倍數對照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</si>
  <si>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valuation.evEbitda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 9.5× </t>
    </r>
    <r>
      <rPr>
        <sz val="11"/>
        <color theme="1"/>
        <rFont val="Noto Sans CJK SC"/>
        <family val="2"/>
      </rPr>
      <t xml:space="preserve">為對照，事實總帳 </t>
    </r>
    <r>
      <rPr>
        <sz val="11"/>
        <color theme="1"/>
        <rFont val="Calibri"/>
        <family val="2"/>
        <charset val="1"/>
      </rPr>
      <t xml:space="preserve">val.peer.aiInfra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</si>
  <si>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主值改用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；本倍數版只作對照列</t>
    </r>
  </si>
  <si>
    <t xml:space="preserve">mult_ads_own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</si>
  <si>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</si>
  <si>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val.googl.ownNtm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</si>
  <si>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</si>
  <si>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＝六家廣告同業中位數；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</si>
  <si>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修正一：小型廣告科技（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）規模與護城河不可比 → 預設 </t>
    </r>
    <r>
      <rPr>
        <sz val="11"/>
        <color theme="1"/>
        <rFont val="Calibri"/>
        <family val="2"/>
        <charset val="1"/>
      </rPr>
      <t xml:space="preserve">META NTM 10.79×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仍用六家中位數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</si>
  <si>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／自身 </t>
    </r>
    <r>
      <rPr>
        <sz val="11"/>
        <color theme="1"/>
        <rFont val="Calibri"/>
        <family val="2"/>
        <charset val="1"/>
      </rPr>
      <t xml:space="preserve">14.68×</t>
    </r>
  </si>
  <si>
    <t xml:space="preserve">ob_val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</si>
  <si>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分部加總價值</t>
    </r>
  </si>
  <si>
    <r>
      <rPr>
        <sz val="11"/>
        <color theme="1"/>
        <rFont val="Noto Sans CJK SC"/>
        <family val="2"/>
      </rPr>
      <t xml:space="preserve">修正一：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最近一輪估值未找到（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Noto Sans CJK SC"/>
        <family val="2"/>
      </rPr>
      <t xml:space="preserve">已知；本次網路搜尋額度用盡）→ 分部加總以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仍含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</si>
  <si>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Waymo 2026 </t>
    </r>
    <r>
      <rPr>
        <sz val="11"/>
        <color theme="1"/>
        <rFont val="Noto Sans CJK SC"/>
        <family val="2"/>
      </rPr>
      <t xml:space="preserve">年募資估值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</si>
  <si>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；總 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＝對外 </t>
    </r>
    <r>
      <rPr>
        <b val="true"/>
        <sz val="11"/>
        <rFont val="Cambria"/>
        <family val="0"/>
        <charset val="1"/>
      </rPr>
      <t xml:space="preserve">MW ÷ </t>
    </r>
    <r>
      <rPr>
        <b val="true"/>
        <sz val="11"/>
        <rFont val="Noto Sans CJK SC"/>
        <family val="2"/>
      </rPr>
      <t xml:space="preserve">對外比例）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</si>
  <si>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</si>
  <si>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MW ÷ 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</si>
  <si>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mw.extShare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25%–40%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</si>
  <si>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capexModel.extShare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：公司未揭露，是最大不確定（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）</t>
    </r>
  </si>
  <si>
    <t xml:space="preserve">mw_tot0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</si>
  <si>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，自用＋對外）</t>
    </r>
  </si>
  <si>
    <t xml:space="preserve">MW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</si>
  <si>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</si>
  <si>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3,841 MW × IT/TDP 1.65</t>
    </r>
    <r>
      <rPr>
        <sz val="11"/>
        <color theme="1"/>
        <rFont val="Noto Sans CJK SC"/>
        <family val="2"/>
      </rPr>
      <t xml:space="preserve">；對外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6,337 × 30%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defaults.billableOpen</t>
    </r>
    <r>
      <rPr>
        <sz val="11"/>
        <color theme="1"/>
        <rFont val="Noto Sans CJK SC"/>
        <family val="2"/>
      </rPr>
      <t xml:space="preserve">）</t>
    </r>
  </si>
  <si>
    <t xml:space="preserve">mw_ye25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</si>
  <si>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</si>
  <si>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mw.ai.it.epoch.2025q4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</si>
  <si>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1,462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</si>
  <si>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t xml:space="preserve">mw_ye24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</si>
  <si>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</si>
  <si>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2024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643 ÷ 30%</t>
    </r>
  </si>
  <si>
    <t xml:space="preserve">mw_ye23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</si>
  <si>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</si>
  <si>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2023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191 ÷ 30%</t>
    </r>
  </si>
  <si>
    <t xml:space="preserve">pace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</si>
  <si>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每年新增（三情境相同）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</si>
  <si>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</si>
  <si>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）：對外速度 </t>
    </r>
    <r>
      <rPr>
        <sz val="11"/>
        <color theme="1"/>
        <rFont val="Calibri"/>
        <family val="2"/>
        <charset val="1"/>
      </rPr>
      <t xml:space="preserve">1,247.9 MW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 </t>
    </r>
    <r>
      <rPr>
        <sz val="11"/>
        <color theme="1"/>
        <rFont val="Calibri"/>
        <family val="2"/>
        <charset val="1"/>
      </rPr>
      <t xml:space="preserve">200B </t>
    </r>
    <r>
      <rPr>
        <sz val="11"/>
        <color theme="1"/>
        <rFont val="Noto Sans CJK SC"/>
        <family val="2"/>
      </rPr>
      <t xml:space="preserve">解出，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</si>
  <si>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850 ÷ 30%</t>
    </r>
    <r>
      <rPr>
        <sz val="11"/>
        <color theme="1"/>
        <rFont val="Noto Sans CJK SC"/>
        <family val="2"/>
      </rPr>
      <t xml:space="preserve">（已公開在建）、高＝積極 </t>
    </r>
    <r>
      <rPr>
        <sz val="11"/>
        <color theme="1"/>
        <rFont val="Calibri"/>
        <family val="2"/>
        <charset val="1"/>
      </rPr>
      <t xml:space="preserve">1,871.9 ÷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 × </t>
    </r>
    <r>
      <rPr>
        <sz val="11"/>
        <color theme="1"/>
        <rFont val="Noto Sans CJK SC"/>
        <family val="2"/>
      </rPr>
      <t xml:space="preserve">基準）；本版不作情境軸（預設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節），只列 </t>
    </r>
    <r>
      <rPr>
        <sz val="11"/>
        <color theme="1"/>
        <rFont val="Calibri"/>
        <family val="2"/>
        <charset val="1"/>
      </rPr>
      <t xml:space="preserve">Sens</t>
    </r>
  </si>
  <si>
    <t xml:space="preserve">mix0_h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</si>
  <si>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</si>
  <si>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pricing.chips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 15%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</si>
  <si>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世代代理</t>
    </r>
  </si>
  <si>
    <t xml:space="preserve">mix0_b2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</si>
  <si>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Trillium v6e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</si>
  <si>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Trillium 35%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 10%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</si>
  <si>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</si>
  <si>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mix0_b3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</si>
  <si>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</si>
  <si>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Ironwood 30%</t>
    </r>
    <r>
      <rPr>
        <sz val="11"/>
        <color theme="1"/>
        <rFont val="Noto Sans CJK SC"/>
        <family val="2"/>
      </rPr>
      <t xml:space="preserve">）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</si>
  <si>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</si>
  <si>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</si>
  <si>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 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</si>
  <si>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</si>
  <si>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</si>
  <si>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起下一代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 25%</t>
    </r>
    <r>
      <rPr>
        <sz val="11"/>
        <color theme="1"/>
        <rFont val="Noto Sans CJK SC"/>
        <family val="2"/>
      </rPr>
      <t xml:space="preserve">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</si>
  <si>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</si>
  <si>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</si>
  <si>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</si>
  <si>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</si>
  <si>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</si>
  <si>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2027 Ironwood 40%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</si>
  <si>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</si>
  <si>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tpu_sh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</si>
  <si>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</si>
  <si>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年新增功耗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pricing.mixNote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</si>
  <si>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係數不等於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時有作用</t>
    </r>
  </si>
  <si>
    <t xml:space="preserve">tpu_f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</si>
  <si>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收入錨係數（相對同期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</si>
  <si>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：基準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、敏感度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pricing.customFactor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</si>
  <si>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v21.4 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IF_NonNV_Hold_TPU 0.8</t>
    </r>
    <r>
      <rPr>
        <sz val="11"/>
        <color theme="1"/>
        <rFont val="Noto Sans CJK SC"/>
        <family val="2"/>
      </rPr>
      <t xml:space="preserve">）只登錄、不切換（工作單：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本版維持 </t>
    </r>
    <r>
      <rPr>
        <sz val="11"/>
        <color theme="1"/>
        <rFont val="Calibri"/>
        <family val="2"/>
        <charset val="1"/>
      </rPr>
      <t xml:space="preserve">v21.4</t>
    </r>
    <r>
      <rPr>
        <sz val="11"/>
        <color theme="1"/>
        <rFont val="Noto Sans CJK SC"/>
        <family val="2"/>
      </rPr>
      <t xml:space="preserve">）</t>
    </r>
  </si>
  <si>
    <t xml:space="preserve">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</si>
  <si>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</si>
  <si>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pricing.customCapexFactor</t>
    </r>
  </si>
  <si>
    <r>
      <rPr>
        <sz val="11"/>
        <color theme="1"/>
        <rFont val="Noto Sans CJK SC"/>
        <family val="2"/>
      </rPr>
      <t xml:space="preserve">雙邊敏感度時與 </t>
    </r>
    <r>
      <rPr>
        <sz val="11"/>
        <color theme="1"/>
        <rFont val="Calibri"/>
        <family val="2"/>
        <charset val="1"/>
      </rPr>
      <t xml:space="preserve">tpu_f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</si>
  <si>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價格（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＝證據價格 </t>
    </r>
    <r>
      <rPr>
        <b val="true"/>
        <sz val="11"/>
        <rFont val="Cambria"/>
        <family val="0"/>
        <charset val="1"/>
      </rPr>
      <t xml:space="preserve">÷ Tokenomics </t>
    </r>
    <r>
      <rPr>
        <b val="true"/>
        <sz val="11"/>
        <rFont val="Noto Sans CJK SC"/>
        <family val="2"/>
      </rPr>
      <t xml:space="preserve">同世代成本；沿用 </t>
    </r>
    <r>
      <rPr>
        <b val="true"/>
        <sz val="11"/>
        <rFont val="Cambria"/>
        <family val="0"/>
        <charset val="1"/>
      </rPr>
      <t xml:space="preserve">v0.2.2 kspec.py</t>
    </r>
    <r>
      <rPr>
        <b val="true"/>
        <sz val="11"/>
        <rFont val="Noto Sans CJK SC"/>
        <family val="2"/>
      </rPr>
      <t xml:space="preserve">）</t>
    </r>
  </si>
  <si>
    <t xml:space="preserve">kl_px</t>
  </si>
  <si>
    <r>
      <rPr>
        <sz val="11"/>
        <color theme="1"/>
        <rFont val="Noto Sans CJK SC"/>
        <family val="2"/>
      </rPr>
      <t xml:space="preserve">長約證據價格（判斷倍數 </t>
    </r>
    <r>
      <rPr>
        <sz val="11"/>
        <color theme="1"/>
        <rFont val="Calibri"/>
        <family val="2"/>
        <charset val="1"/>
      </rPr>
      <t xml:space="preserve">0.75 × v5.27 VR200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</si>
  <si>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</si>
  <si>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legacy_v0.2/company.json pricing.kEvidence long.base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long.low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data/kevidence_alphabet_20261008.json kspecInputs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</si>
  <si>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不是觀察到的市場價格；分母＝</t>
    </r>
    <r>
      <rPr>
        <sz val="11"/>
        <color theme="1"/>
        <rFont val="Calibri"/>
        <family val="2"/>
        <charset val="1"/>
      </rPr>
      <t xml:space="preserve">VR200 IF_HoldEcon</t>
    </r>
  </si>
  <si>
    <t xml:space="preserve">ks_px</t>
  </si>
  <si>
    <r>
      <rPr>
        <sz val="11"/>
        <color theme="1"/>
        <rFont val="Noto Sans CJK SC"/>
        <family val="2"/>
      </rPr>
      <t xml:space="preserve">現貨證據價格（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</si>
  <si>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</si>
  <si>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https://www.silicondata.com/products/silicon-index/h100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GCP a3-highgpu-8g 3 </t>
    </r>
    <r>
      <rPr>
        <sz val="11"/>
        <color theme="1"/>
        <rFont val="Noto Sans CJK SC"/>
        <family val="2"/>
      </rPr>
      <t xml:space="preserve">年預留 </t>
    </r>
    <r>
      <rPr>
        <sz val="11"/>
        <color theme="1"/>
        <rFont val="Calibri"/>
        <family val="2"/>
        <charset val="1"/>
      </rPr>
      <t xml:space="preserve">4.858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</si>
  <si>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分母＝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三家一致</t>
    </r>
  </si>
  <si>
    <t xml:space="preserve">long_sh</t>
  </si>
  <si>
    <t xml:space="preserve">長約占比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</si>
  <si>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積壓以多年期大客戶為主）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</si>
  <si>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</si>
  <si>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</si>
  <si>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</si>
  <si>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</si>
  <si>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</si>
  <si>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</si>
  <si>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</si>
  <si>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</si>
  <si>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</si>
  <si>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</si>
  <si>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gpuhr_h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</si>
  <si>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</si>
  <si>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data/tokenomics_snapshot_v21.4.json</t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</si>
  <si>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</si>
  <si>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</si>
  <si>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</si>
  <si>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</si>
  <si>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</si>
  <si>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</si>
  <si>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</si>
  <si>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</si>
  <si>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</si>
  <si>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</si>
  <si>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</si>
  <si>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</si>
  <si>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</si>
  <si>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</si>
  <si>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</si>
  <si>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</si>
  <si>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</si>
  <si>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</si>
  <si>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</si>
  <si>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期初機隊汰換時遞減基礎折舊（修正一）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</si>
  <si>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</si>
  <si>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</si>
  <si>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</si>
  <si>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</si>
  <si>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</si>
  <si>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</si>
  <si>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cap_h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</si>
  <si>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（上限檢查用，不得作預測）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</si>
  <si>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本值 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</t>
    </r>
  </si>
  <si>
    <t xml:space="preserve">cap_b2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</si>
  <si>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</si>
  <si>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cap_b3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</si>
  <si>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</si>
  <si>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cap_vr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</si>
  <si>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</si>
  <si>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</si>
  <si>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</si>
  <si>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capexModel.selfBuild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</si>
  <si>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</si>
  <si>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</si>
  <si>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：伺服器與網通設備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ppe.serverLife</t>
    </r>
    <r>
      <rPr>
        <sz val="11"/>
        <color theme="1"/>
        <rFont val="Noto Sans CJK SC"/>
        <family val="2"/>
      </rPr>
      <t xml:space="preserve">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</si>
  <si>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</si>
  <si>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</si>
  <si>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</si>
  <si>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</si>
  <si>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</si>
  <si>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capexModel.nonAiLife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</si>
  <si>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phi_0</t>
  </si>
  <si>
    <t xml:space="preserve">資本支出當期折舊比例（在役時點與半年慣例）</t>
  </si>
  <si>
    <r>
      <rPr>
        <sz val="11"/>
        <color theme="1"/>
        <rFont val="Noto Sans CJK SC"/>
        <family val="2"/>
      </rPr>
      <t xml:space="preserve">判斷：支出平均於期中、約半年後上線 → 當期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；最後一年補足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</si>
  <si>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折舊進損益的時點（工作單第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</si>
  <si>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</si>
  <si>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2026Q2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</si>
  <si>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</si>
  <si>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現金流量表折舊 </t>
    </r>
    <r>
      <rPr>
        <sz val="11"/>
        <color theme="1"/>
        <rFont val="Calibri"/>
        <family val="2"/>
        <charset val="1"/>
      </rPr>
      <t xml:space="preserve">2026Q2 7.104 × 4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capexModel.segDaRunRate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</si>
  <si>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在役淨額 ≈ </t>
    </r>
    <r>
      <rPr>
        <sz val="11"/>
        <color theme="1"/>
        <rFont val="Calibri"/>
        <family val="2"/>
        <charset val="1"/>
      </rPr>
      <t xml:space="preserve">PP&amp;E 321.2 −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÷ 28.4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7.0 </t>
    </r>
    <r>
      <rPr>
        <sz val="11"/>
        <color theme="1"/>
        <rFont val="Noto Sans CJK SC"/>
        <family val="2"/>
      </rPr>
      <t xml:space="preserve">年 → 模型期內以直線法每年 </t>
    </r>
    <r>
      <rPr>
        <sz val="11"/>
        <color theme="1"/>
        <rFont val="Calibri"/>
        <family val="2"/>
        <charset val="1"/>
      </rPr>
      <t xml:space="preserve">28.4</t>
    </r>
  </si>
  <si>
    <t xml:space="preserve">cip_0</t>
  </si>
  <si>
    <r>
      <rPr>
        <sz val="11"/>
        <color theme="1"/>
        <rFont val="Noto Sans CJK SC"/>
        <family val="2"/>
      </rPr>
      <t xml:space="preserve">在建工程（尚未在役，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</si>
  <si>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附註（事實總帳 </t>
    </r>
    <r>
      <rPr>
        <sz val="11"/>
        <color theme="1"/>
        <rFont val="Calibri"/>
        <family val="2"/>
        <charset val="1"/>
      </rPr>
      <t xml:space="preserve">bs.ppe.notInService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</si>
  <si>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2026H2 </t>
    </r>
    <r>
      <rPr>
        <sz val="11"/>
        <color theme="1"/>
        <rFont val="Noto Sans CJK SC"/>
        <family val="2"/>
      </rPr>
      <t xml:space="preserve">起轉入在役；依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資本支出結構分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</t>
    </r>
  </si>
  <si>
    <t xml:space="preserve">cip_it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</si>
  <si>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（伺服器）占比</t>
    </r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</si>
  <si>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自動轉錄，二手；一手 </t>
    </r>
    <r>
      <rPr>
        <sz val="11"/>
        <color theme="1"/>
        <rFont val="Calibri"/>
        <family val="2"/>
        <charset val="1"/>
      </rPr>
      <t xml:space="preserve">webcast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abc.xyz/investor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capex.mix.2026q2</t>
    </r>
    <r>
      <rPr>
        <sz val="11"/>
        <color theme="1"/>
        <rFont val="Noto Sans CJK SC"/>
        <family val="2"/>
      </rPr>
      <t xml:space="preserve">）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</si>
  <si>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</si>
  <si>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</t>
    </r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</si>
  <si>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自動轉錄，二手；一手 </t>
    </r>
    <r>
      <rPr>
        <sz val="11"/>
        <color theme="1"/>
        <rFont val="Calibri"/>
        <family val="2"/>
        <charset val="1"/>
      </rPr>
      <t xml:space="preserve">webcast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abc.xyz/investor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guid.capex.2026.jul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</si>
  <si>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首期資本支出下限：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上半年實際（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</si>
  <si>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t xml:space="preserve">capex_1h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</si>
  <si>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上半年資本支出（購置不動產與設備）</t>
    </r>
  </si>
  <si>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</si>
  <si>
    <t xml:space="preserve">svc_sh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</si>
  <si>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增量成本中歸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的比例（其餘＝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層級：</t>
    </r>
    <r>
      <rPr>
        <sz val="11"/>
        <color theme="1"/>
        <rFont val="Calibri"/>
        <family val="2"/>
        <charset val="1"/>
      </rPr>
      <t xml:space="preserve">DeepMind </t>
    </r>
    <r>
      <rPr>
        <sz val="11"/>
        <color theme="1"/>
        <rFont val="Noto Sans CJK SC"/>
        <family val="2"/>
      </rPr>
      <t xml:space="preserve">模型開發）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</si>
  <si>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：技術基礎設施依使用量分攤到分部；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Google DeepMind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模型開發費用列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</si>
  <si>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Noto Sans CJK SC"/>
        <family val="2"/>
      </rPr>
      <t xml:space="preserve">服務端推論（搜尋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 app</t>
    </r>
    <r>
      <rPr>
        <sz val="11"/>
        <color theme="1"/>
        <rFont val="Noto Sans CJK SC"/>
        <family val="2"/>
      </rPr>
      <t xml:space="preserve">）歸 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；訓練歸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</t>
    </r>
  </si>
  <si>
    <t xml:space="preserve">ai_mw_ttm</t>
  </si>
  <si>
    <r>
      <rPr>
        <sz val="11"/>
        <color theme="1"/>
        <rFont val="Noto Sans CJK SC"/>
        <family val="2"/>
      </rPr>
      <t xml:space="preserve">近四季平均對外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2025Q3–2026Q2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</si>
  <si>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cloudNonAi.aiMwTTM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</si>
  <si>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其他的近四季年增（起始成長率）</t>
    </r>
  </si>
  <si>
    <t xml:space="preserve">ai_mw_pttm</t>
  </si>
  <si>
    <r>
      <rPr>
        <sz val="11"/>
        <color theme="1"/>
        <rFont val="Noto Sans CJK SC"/>
        <family val="2"/>
      </rPr>
      <t xml:space="preserve">前四季平均對外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2024Q3–2025Q2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</si>
  <si>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cloudNonAi.aiMwPrevTTM</t>
    </r>
  </si>
  <si>
    <t xml:space="preserve">rent_2H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</si>
  <si>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</si>
  <si>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SpaceX FWP 2026-06-05</t>
    </r>
    <r>
      <rPr>
        <sz val="11"/>
        <color theme="1"/>
        <rFont val="Noto Sans CJK SC"/>
        <family val="2"/>
      </rPr>
      <t xml:space="preserve">：每月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rent.spacex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leases.rentedCompute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</si>
  <si>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列自用、計入營運成本（</t>
    </r>
    <r>
      <rPr>
        <sz val="11"/>
        <color theme="1"/>
        <rFont val="Calibri"/>
        <family val="2"/>
        <charset val="1"/>
      </rPr>
      <t xml:space="preserve">C8 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2026-12-31 </t>
    </r>
    <r>
      <rPr>
        <sz val="11"/>
        <color theme="1"/>
        <rFont val="Noto Sans CJK SC"/>
        <family val="2"/>
      </rPr>
      <t xml:space="preserve">後可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天通知解約</t>
    </r>
  </si>
  <si>
    <t xml:space="preserve">rent_27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</si>
  <si>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FY2027E</t>
    </r>
  </si>
  <si>
    <t xml:space="preserve">rent_28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</si>
  <si>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FY2028E</t>
    </r>
  </si>
  <si>
    <t xml:space="preserve">rent_29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</si>
  <si>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</si>
  <si>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頁）：成長路徑與 </t>
    </r>
    <r>
      <rPr>
        <b val="true"/>
        <sz val="11"/>
        <rFont val="Cambria"/>
        <family val="0"/>
        <charset val="1"/>
      </rPr>
      <t xml:space="preserve">Search </t>
    </r>
    <r>
      <rPr>
        <b val="true"/>
        <sz val="11"/>
        <rFont val="Noto Sans CJK SC"/>
        <family val="2"/>
      </rPr>
      <t xml:space="preserve">情境軸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</si>
  <si>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</si>
  <si>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</si>
  <si>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判斷：近四季年增在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收斂到長期值（工作單：「近四季年增率 → 長期值」）</t>
    </r>
  </si>
  <si>
    <t xml:space="preserve">gl_search</t>
  </si>
  <si>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長期成長（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基準路徑）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</si>
  <si>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search.gLT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</si>
  <si>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13%</t>
    </r>
  </si>
  <si>
    <t xml:space="preserve">gl_yt</t>
  </si>
  <si>
    <r>
      <rPr>
        <sz val="11"/>
        <color theme="1"/>
        <rFont val="Calibri"/>
        <family val="2"/>
        <charset val="1"/>
      </rPr>
      <t xml:space="preserve">YouTube ads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</si>
  <si>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youtube.gLT</t>
    </r>
  </si>
  <si>
    <t xml:space="preserve">gl_net</t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</si>
  <si>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</si>
  <si>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network.gLT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</si>
  <si>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2.2%</t>
    </r>
  </si>
  <si>
    <t xml:space="preserve">gl_subs</t>
  </si>
  <si>
    <r>
      <rPr>
        <sz val="11"/>
        <color theme="1"/>
        <rFont val="Calibri"/>
        <family val="2"/>
        <charset val="1"/>
      </rPr>
      <t xml:space="preserve">Google subscriptions, platforms, and devices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</si>
  <si>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subs.gLT</t>
    </r>
  </si>
  <si>
    <t xml:space="preserve">gl_co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</si>
  <si>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）長期成長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</si>
  <si>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cloudNonAi.gLT</t>
    </r>
  </si>
  <si>
    <t xml:space="preserve">dA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</si>
  <si>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：查詢分流（負值＝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</si>
  <si>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Overviews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Mode </t>
    </r>
    <r>
      <rPr>
        <sz val="11"/>
        <color theme="1"/>
        <rFont val="Noto Sans CJK SC"/>
        <family val="2"/>
      </rPr>
      <t xml:space="preserve">擴大使用：公司稱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帶動相關查詢增加（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法說，二手；本次未重新查核）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</si>
  <si>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</si>
  <si>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</si>
  <si>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</si>
  <si>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Mode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廣告：公司稱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變現率與傳統搜尋約略相同（</t>
    </r>
    <r>
      <rPr>
        <sz val="11"/>
        <color theme="1"/>
        <rFont val="Calibri"/>
        <family val="2"/>
        <charset val="1"/>
      </rPr>
      <t xml:space="preserve">2025Q1 </t>
    </r>
    <r>
      <rPr>
        <sz val="11"/>
        <color theme="1"/>
        <rFont val="Noto Sans CJK SC"/>
        <family val="2"/>
      </rPr>
      <t xml:space="preserve">法說，二手；本次未重新查核）；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假設新廣告格式提高商業意圖查詢單價</t>
    </r>
  </si>
  <si>
    <t xml:space="preserve">dC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</si>
  <si>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：查詢被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</si>
  <si>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Gartner 2024-02-19 </t>
    </r>
    <r>
      <rPr>
        <sz val="11"/>
        <color theme="1"/>
        <rFont val="Noto Sans CJK SC"/>
        <family val="2"/>
      </rPr>
      <t xml:space="preserve">預測：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年傳統搜尋引擎查詢量因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（第三方預測）；</t>
    </r>
    <r>
      <rPr>
        <sz val="11"/>
        <color theme="1"/>
        <rFont val="Calibri"/>
        <family val="2"/>
        <charset val="1"/>
      </rPr>
      <t xml:space="preserve">Apple Eddy Cue 2025-05-07 </t>
    </r>
    <r>
      <rPr>
        <sz val="11"/>
        <color theme="1"/>
        <rFont val="Noto Sans CJK SC"/>
        <family val="2"/>
      </rPr>
      <t xml:space="preserve">美國司法部案證詞：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首次下滑（二手；本次未重新查核）</t>
    </r>
  </si>
  <si>
    <r>
      <rPr>
        <sz val="11"/>
        <color theme="1"/>
        <rFont val="Noto Sans CJK SC"/>
        <family val="2"/>
      </rPr>
      <t xml:space="preserve">反證：</t>
    </r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近四季仍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頁）→ 分流至今未見於營收；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是壓力情境</t>
    </r>
  </si>
  <si>
    <t xml:space="preserve">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</si>
  <si>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</si>
  <si>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答案頁的廣告位少於十條藍色連結、點擊率下降（第三方點擊研究，二手；本次未重新查核）</t>
    </r>
  </si>
  <si>
    <t xml:space="preserve">inc_m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</si>
  <si>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</si>
  <si>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判斷：搜尋營收增減主要只連動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（約占搜尋營收兩成，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TAC ÷ </t>
    </r>
    <r>
      <rPr>
        <sz val="11"/>
        <color theme="1"/>
        <rFont val="Noto Sans CJK SC"/>
        <family val="2"/>
      </rPr>
      <t xml:space="preserve">搜尋＋聯播網）→ 增量利潤率高於分部平均</t>
    </r>
  </si>
  <si>
    <t xml:space="preserve">營收減少時利潤減少得更多（營運槓桿）</t>
  </si>
  <si>
    <t xml:space="preserve">tpu_2h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</si>
  <si>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2H26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</si>
  <si>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認列一小部分、大部分在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guid.tpuRev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</si>
  <si>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子列（命題子列）</t>
    </r>
  </si>
  <si>
    <t xml:space="preserve">tpu_yr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</si>
  <si>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</si>
  <si>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萬顆、約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億（賣方；沿用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</si>
  <si>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±50% [Assumed]</t>
    </r>
  </si>
  <si>
    <t xml:space="preserve">tpu_m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</si>
  <si>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</si>
  <si>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tpuSales.m0</t>
    </r>
  </si>
  <si>
    <t xml:space="preserve">ob_rev_2H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</si>
  <si>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</si>
  <si>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otherBets.rev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FY2031–32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+0.2 </t>
    </r>
    <r>
      <rPr>
        <sz val="11"/>
        <color theme="1"/>
        <rFont val="Noto Sans CJK SC"/>
        <family val="2"/>
      </rPr>
      <t xml:space="preserve">延伸）</t>
    </r>
  </si>
  <si>
    <t xml:space="preserve">ob_rev_27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</si>
  <si>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FY2027E</t>
    </r>
  </si>
  <si>
    <t xml:space="preserve">ob_rev_28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</si>
  <si>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FY2028E</t>
    </r>
  </si>
  <si>
    <t xml:space="preserve">ob_rev_29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</si>
  <si>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FY2029E</t>
    </r>
  </si>
  <si>
    <t xml:space="preserve">ob_rev_30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</si>
  <si>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FY2030E</t>
    </r>
  </si>
  <si>
    <t xml:space="preserve">ob_rev_31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</si>
  <si>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FY2031E</t>
    </r>
  </si>
  <si>
    <t xml:space="preserve">ob_rev_32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</si>
  <si>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FY2032E</t>
    </r>
  </si>
  <si>
    <t xml:space="preserve">ob_oi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</si>
  <si>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營業利益（每年；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為一半）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</si>
  <si>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8.942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擴張（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16B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ob.waymo.funding</t>
    </r>
    <r>
      <rPr>
        <sz val="11"/>
        <color theme="1"/>
        <rFont val="Noto Sans CJK SC"/>
        <family val="2"/>
      </rPr>
      <t xml:space="preserve">）</t>
    </r>
  </si>
  <si>
    <t xml:space="preserve">abc_rate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</si>
  <si>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層級未分攤費用占營收（不含自用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增量成本）</t>
    </r>
  </si>
  <si>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5.789 ÷ 119.796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legacyBiz.split.corpShareOfRevenue</t>
    </r>
    <r>
      <rPr>
        <sz val="11"/>
        <color theme="1"/>
        <rFont val="Noto Sans CJK SC"/>
        <family val="2"/>
      </rPr>
      <t xml:space="preserve">）</t>
    </r>
  </si>
  <si>
    <t xml:space="preserve">m_yt</t>
  </si>
  <si>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率（分部加總拆線用）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</si>
  <si>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legacyBiz.split.youtubeMargin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</si>
  <si>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分部利益只揭露合計；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＝分部殘差</t>
    </r>
  </si>
  <si>
    <t xml:space="preserve">m_net</t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</si>
  <si>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</si>
  <si>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legacyBiz.split.networkMargin</t>
    </r>
  </si>
  <si>
    <t xml:space="preserve">m_subs</t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</si>
  <si>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</si>
  <si>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legacyBiz.split.subsMargin</t>
    </r>
  </si>
  <si>
    <t xml:space="preserve">cx_svc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</si>
  <si>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各線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</si>
  <si>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</si>
  <si>
    <t xml:space="preserve">cx_co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</si>
  <si>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</si>
  <si>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</si>
  <si>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cx_ob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</si>
  <si>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Other Bets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</si>
  <si>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</si>
  <si>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</si>
  <si>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</si>
  <si>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2026H1 19.1% </t>
    </r>
    <r>
      <rPr>
        <sz val="11"/>
        <color theme="1"/>
        <rFont val="Noto Sans CJK SC"/>
        <family val="2"/>
      </rPr>
      <t xml:space="preserve">含權益證券利益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</si>
  <si>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valuation.tax</t>
    </r>
  </si>
  <si>
    <t xml:space="preserve">tax_eq</t>
  </si>
  <si>
    <r>
      <rPr>
        <sz val="11"/>
        <color theme="1"/>
        <rFont val="Noto Sans CJK SC"/>
        <family val="2"/>
      </rPr>
      <t xml:space="preserve">權益證券損益的稅率（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不含權益證券損益用）</t>
    </r>
  </si>
  <si>
    <r>
      <rPr>
        <sz val="11"/>
        <color theme="1"/>
        <rFont val="Noto Sans CJK SC"/>
        <family val="2"/>
      </rPr>
      <t xml:space="preserve">美國聯邦稅率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（未實現利益之遞延所得稅）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</si>
  <si>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</si>
  <si>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</si>
  <si>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平均現金＋債權證券（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4.3–4.6B</t>
    </r>
    <r>
      <rPr>
        <sz val="11"/>
        <color theme="1"/>
        <rFont val="Noto Sans CJK SC"/>
        <family val="2"/>
      </rPr>
      <t xml:space="preserve">／季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3.8–4.0%</t>
    </r>
  </si>
  <si>
    <t xml:space="preserve">r_debt</t>
  </si>
  <si>
    <t xml:space="preserve">債務利率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</si>
  <si>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1.278 × 4 ÷ 101.1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新債加權票面 </t>
    </r>
    <r>
      <rPr>
        <sz val="11"/>
        <color theme="1"/>
        <rFont val="Calibri"/>
        <family val="2"/>
        <charset val="1"/>
      </rPr>
      <t xml:space="preserve">3.9%–5.3% → 4.8%</t>
    </r>
  </si>
  <si>
    <t xml:space="preserve">sbc_r</t>
  </si>
  <si>
    <t xml:space="preserve">股權報酬占營收</t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</si>
  <si>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SBC 28.147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445.866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defaults.sbcRate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</si>
  <si>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不加回（視為真實成本）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</si>
  <si>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</si>
  <si>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</si>
  <si>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）（沿用模板每年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；代扣稅與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不建模）</t>
    </r>
  </si>
  <si>
    <t xml:space="preserve">wc_2h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</si>
  <si>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營運資金變動（流入）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</si>
  <si>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+0.618 − 2025H1 −7.872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defaults.wcStub</t>
    </r>
    <r>
      <rPr>
        <sz val="11"/>
        <color theme="1"/>
        <rFont val="Noto Sans CJK SC"/>
        <family val="2"/>
      </rPr>
      <t xml:space="preserve">）</t>
    </r>
  </si>
  <si>
    <t xml:space="preserve">wc_k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</si>
  <si>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</si>
  <si>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+0.618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52.818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</si>
  <si>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dps</t>
  </si>
  <si>
    <r>
      <rPr>
        <sz val="11"/>
        <color theme="1"/>
        <rFont val="Noto Sans CJK SC"/>
        <family val="2"/>
      </rPr>
      <t xml:space="preserve">普通股每股年股利（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／季）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</si>
  <si>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div.dps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起每季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）</t>
    </r>
  </si>
  <si>
    <t xml:space="preserve">dps_g</t>
  </si>
  <si>
    <t xml:space="preserve">每股股利年成長</t>
  </si>
  <si>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C19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</si>
  <si>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</si>
  <si>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</si>
  <si>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Noto Sans CJK SC"/>
        <family val="2"/>
      </rPr>
      <t xml:space="preserve">近四季實際 </t>
    </r>
    <r>
      <rPr>
        <sz val="11"/>
        <color theme="1"/>
        <rFont val="Calibri"/>
        <family val="2"/>
        <charset val="1"/>
      </rPr>
      <t xml:space="preserve">17.003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bb.paid.4q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暫停（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</si>
  <si>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；現金不足時先減回購、再舉債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</si>
  <si>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</si>
  <si>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</si>
  <si>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defaults.minCash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</si>
  <si>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</si>
  <si>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</si>
  <si>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到期表（沿用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leases.financePayments</t>
    </r>
    <r>
      <rPr>
        <sz val="11"/>
        <color theme="1"/>
        <rFont val="Noto Sans CJK SC"/>
        <family val="2"/>
      </rPr>
      <t xml:space="preserve">）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</si>
  <si>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</si>
  <si>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</si>
  <si>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</si>
  <si>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</si>
  <si>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</si>
  <si>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</si>
  <si>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</si>
  <si>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</si>
  <si>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</si>
  <si>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</si>
  <si>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／年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</si>
  <si>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</si>
  <si>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</si>
  <si>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t xml:space="preserve">anth_2H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</si>
  <si>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</si>
  <si>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20.0B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defaults.jvCommit</t>
    </r>
    <r>
      <rPr>
        <sz val="11"/>
        <color theme="1"/>
        <rFont val="Noto Sans CJK SC"/>
        <family val="2"/>
      </rPr>
      <t xml:space="preserve">）</t>
    </r>
  </si>
  <si>
    <t xml:space="preserve">投資活動，不在自由現金流；換得持股（評價中性）</t>
  </si>
  <si>
    <t xml:space="preserve">anth_27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</si>
  <si>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FY2027E</t>
    </r>
  </si>
  <si>
    <t xml:space="preserve">anth_28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</si>
  <si>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FY2028E</t>
    </r>
  </si>
  <si>
    <t xml:space="preserve">anth_29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</si>
  <si>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FY2029E</t>
    </r>
  </si>
  <si>
    <t xml:space="preserve">anth_30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</si>
  <si>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FY2030E</t>
    </r>
  </si>
  <si>
    <t xml:space="preserve">anth_31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</si>
  <si>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FY2031E</t>
    </r>
  </si>
  <si>
    <t xml:space="preserve">anth_32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</si>
  <si>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FY2032E</t>
    </r>
  </si>
  <si>
    <t xml:space="preserve">mat_2H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</si>
  <si>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</si>
  <si>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10-K 2025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到期表＋信用額度（沿用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debt.amortization</t>
    </r>
    <r>
      <rPr>
        <sz val="11"/>
        <color theme="1"/>
        <rFont val="Noto Sans CJK SC"/>
        <family val="2"/>
      </rPr>
      <t xml:space="preserve">）</t>
    </r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</si>
  <si>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</si>
  <si>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</si>
  <si>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</si>
  <si>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</si>
  <si>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</si>
  <si>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</si>
  <si>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</si>
  <si>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</si>
  <si>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</si>
  <si>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</si>
  <si>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86.5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</si>
  <si>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</si>
  <si>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FY2032E</t>
    </r>
  </si>
  <si>
    <t xml:space="preserve">debt_new_2h</t>
  </si>
  <si>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新發美元票據</t>
    </r>
  </si>
  <si>
    <r>
      <rPr>
        <sz val="11"/>
        <color theme="1"/>
        <rFont val="Calibri"/>
        <family val="2"/>
        <charset val="1"/>
      </rPr>
      <t xml:space="preserve">Alphabet Form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優先無擔保票據交割）（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debt.iss.202608</t>
    </r>
    <r>
      <rPr>
        <sz val="11"/>
        <color theme="1"/>
        <rFont val="Noto Sans CJK SC"/>
        <family val="2"/>
      </rPr>
      <t xml:space="preserve">）</t>
    </r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</si>
  <si>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</si>
  <si>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2H26E</t>
    </r>
  </si>
  <si>
    <r>
      <rPr>
        <sz val="11"/>
        <color theme="1"/>
        <rFont val="Calibri"/>
        <family val="2"/>
        <charset val="1"/>
      </rPr>
      <t xml:space="preserve">6.25% × 19.25B</t>
    </r>
    <r>
      <rPr>
        <sz val="11"/>
        <color theme="1"/>
        <rFont val="Noto Sans CJK SC"/>
        <family val="2"/>
      </rPr>
      <t xml:space="preserve">，每季 </t>
    </r>
    <r>
      <rPr>
        <sz val="11"/>
        <color theme="1"/>
        <rFont val="Calibri"/>
        <family val="2"/>
        <charset val="1"/>
      </rPr>
      <t xml:space="preserve">2/15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11/15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2029-05-15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defaults.dividend.preferred</t>
    </r>
    <r>
      <rPr>
        <sz val="11"/>
        <color theme="1"/>
        <rFont val="Noto Sans CJK SC"/>
        <family val="2"/>
      </rPr>
      <t xml:space="preserve">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</si>
  <si>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</si>
  <si>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</si>
  <si>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</si>
  <si>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</si>
  <si>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</si>
  <si>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</si>
  <si>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G2. 2026 </t>
    </r>
    <r>
      <rPr>
        <b val="true"/>
        <sz val="11"/>
        <rFont val="Noto Sans CJK SC"/>
        <family val="2"/>
      </rPr>
      <t xml:space="preserve">上半年實績（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：原寫死在公式內）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</si>
  <si>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</si>
  <si>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</si>
  <si>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補充資訊</t>
    </r>
  </si>
  <si>
    <t xml:space="preserve">anth_1H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</si>
  <si>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策略投資（非上市證券 </t>
    </r>
    <r>
      <rPr>
        <sz val="11"/>
        <color theme="1"/>
        <rFont val="Calibri"/>
        <family val="2"/>
        <charset val="1"/>
      </rPr>
      <t xml:space="preserve">22.1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33.7</t>
    </r>
    <r>
      <rPr>
        <sz val="11"/>
        <color theme="1"/>
        <rFont val="Noto Sans CJK SC"/>
        <family val="2"/>
      </rPr>
      <t xml:space="preserve">＋其他 − 出售）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</si>
  <si>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ytdActual.jv</t>
    </r>
  </si>
  <si>
    <t xml:space="preserve">mat_1H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</si>
  <si>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償還債務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</si>
  <si>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</t>
    </r>
  </si>
  <si>
    <t xml:space="preserve">newd_1H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</si>
  <si>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發債淨額</t>
    </r>
  </si>
  <si>
    <t xml:space="preserve">eq_1H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</si>
  <si>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股權發行淨額（普通股 </t>
    </r>
    <r>
      <rPr>
        <sz val="11"/>
        <color theme="1"/>
        <rFont val="Calibri"/>
        <family val="2"/>
        <charset val="1"/>
      </rPr>
      <t xml:space="preserve">30.5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</si>
  <si>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</si>
  <si>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t xml:space="preserve">debt_ye25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</si>
  <si>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</si>
  <si>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，經查核合併財報）（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</si>
  <si>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rpo_cloud</t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</si>
  <si>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</si>
  <si>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rpo.cloud.2026q2</t>
    </r>
    <r>
      <rPr>
        <sz val="11"/>
        <color theme="1"/>
        <rFont val="Noto Sans CJK SC"/>
        <family val="2"/>
      </rPr>
      <t xml:space="preserve">）</t>
    </r>
  </si>
  <si>
    <t xml:space="preserve">rpo_24m</t>
  </si>
  <si>
    <r>
      <rPr>
        <sz val="11"/>
        <color theme="1"/>
        <rFont val="Noto Sans CJK SC"/>
        <family val="2"/>
      </rPr>
      <t xml:space="preserve">積壓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個月內認列比例</t>
    </r>
  </si>
  <si>
    <r>
      <rPr>
        <sz val="11"/>
        <color theme="1"/>
        <rFont val="Calibri"/>
        <family val="2"/>
        <charset val="1"/>
      </rPr>
      <t xml:space="preserve">Alphabet 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，核閱數）（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rpo.share24m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</si>
  <si>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</si>
  <si>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tp_v022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</si>
  <si>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</si>
  <si>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docs/reports/20261025_alphabet_v0.2.2.md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</si>
  <si>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；三情境皆賣出</t>
    </r>
  </si>
  <si>
    <t xml:space="preserve">tpw_v022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</si>
  <si>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146.09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122.89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</si>
  <si>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節三情境目標價；本表以本版情境權重換算</t>
    </r>
  </si>
  <si>
    <t xml:space="preserve">px_v022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</si>
  <si>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</si>
  <si>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mkt.price.close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</si>
  <si>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c_rev_26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</si>
  <si>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</si>
  <si>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https://www.marketscreener.com/quote/stock/ALPHABET-INC-24203373/finances/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</si>
  <si>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498.69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615.04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734.20</t>
    </r>
  </si>
  <si>
    <t xml:space="preserve">c_rev_27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</si>
  <si>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</si>
  <si>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</si>
  <si>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</si>
  <si>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</si>
  <si>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</si>
  <si>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</si>
  <si>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</si>
  <si>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</si>
  <si>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</si>
  <si>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</si>
  <si>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</si>
  <si>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</si>
  <si>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</si>
  <si>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</si>
  <si>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</si>
  <si>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</si>
  <si>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</si>
  <si>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</si>
  <si>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</si>
  <si>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</si>
  <si>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</si>
  <si>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</si>
  <si>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</si>
  <si>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</si>
  <si>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</si>
  <si>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</si>
  <si>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</si>
  <si>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</si>
  <si>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</si>
  <si>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</si>
  <si>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</si>
  <si>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</si>
  <si>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</si>
  <si>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c_eps26_sa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</si>
  <si>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，排除權益證券利益）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</si>
  <si>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</si>
  <si>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一手資料；季度數＝財報新聞稿 </t>
    </r>
    <r>
      <rPr>
        <sz val="11"/>
        <color theme="1"/>
        <rFont val="Calibri"/>
        <family val="2"/>
        <charset val="1"/>
      </rPr>
      <t xml:space="preserve">[Interested-party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核閱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，年度＝</t>
    </r>
    <r>
      <rPr>
        <sz val="11"/>
        <color theme="1"/>
        <rFont val="Calibri"/>
        <family val="2"/>
        <charset val="1"/>
      </rPr>
      <t xml:space="preserve">10-K [Verified]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</si>
  <si>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）：產品線合計＝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、分部合計＝合併營收、分部營業利益合計＝合併營業利益（</t>
    </r>
    <r>
      <rPr>
        <sz val="11"/>
        <color theme="1"/>
        <rFont val="Calibri"/>
        <family val="2"/>
        <charset val="1"/>
      </rPr>
      <t xml:space="preserve">Alphabet-level activities </t>
    </r>
    <r>
      <rPr>
        <sz val="11"/>
        <color theme="1"/>
        <rFont val="Noto Sans CJK SC"/>
        <family val="2"/>
      </rPr>
      <t xml:space="preserve">含避險損益營收與未分攤費用）、營收 − 成本費用＝營業利益、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四季合計＝年報</t>
    </r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</si>
  <si>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</si>
  <si>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</si>
  <si>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</si>
  <si>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</si>
  <si>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</si>
  <si>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</si>
  <si>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</si>
  <si>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</si>
  <si>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FY2024</t>
  </si>
  <si>
    <t xml:space="preserve">FY2025</t>
  </si>
  <si>
    <t xml:space="preserve">1H26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</si>
  <si>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</si>
  <si>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</si>
  <si>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營收（官方分部與產品線）</t>
  </si>
  <si>
    <t xml:space="preserve">Google Search &amp; other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</si>
  <si>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</si>
  <si>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Noto Sans CJK SC"/>
        <family val="2"/>
      </rPr>
      <t xml:space="preserve">季：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，各季；事實總帳 </t>
    </r>
    <r>
      <rPr>
        <sz val="11"/>
        <color theme="1"/>
        <rFont val="Calibri"/>
        <family val="2"/>
        <charset val="1"/>
      </rPr>
      <t xml:space="preserve">is.*.2024q3–2026q2</t>
    </r>
    <r>
      <rPr>
        <sz val="11"/>
        <color theme="1"/>
        <rFont val="Noto Sans CJK SC"/>
        <family val="2"/>
      </rPr>
      <t xml:space="preserve">）；年：</t>
    </r>
    <r>
      <rPr>
        <sz val="11"/>
        <color theme="1"/>
        <rFont val="Calibri"/>
        <family val="2"/>
        <charset val="1"/>
      </rPr>
      <t xml:space="preserve">Form 10-K 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（經查核）；例：</t>
    </r>
    <r>
      <rPr>
        <sz val="11"/>
        <color theme="1"/>
        <rFont val="Calibri"/>
        <family val="2"/>
        <charset val="1"/>
      </rPr>
      <t xml:space="preserve">2026Q2 https://www.sec.gov/Archives/edgar/data/1652044/000165204426000066/googexhibit991q22026.htm</t>
    </r>
  </si>
  <si>
    <t xml:space="preserve">YouTube ads</t>
  </si>
  <si>
    <t xml:space="preserve">Google Network</t>
  </si>
  <si>
    <t xml:space="preserve">Google subscriptions, platforms, and devices</t>
  </si>
  <si>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</si>
  <si>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檢查：產品線合計 − </t>
    </r>
    <r>
      <rPr>
        <sz val="11"/>
        <color theme="1"/>
        <rFont val="Calibri"/>
        <family val="2"/>
        <charset val="1"/>
      </rPr>
      <t xml:space="preserve">Google Services</t>
    </r>
  </si>
  <si>
    <t xml:space="preserve">—</t>
  </si>
  <si>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</si>
  <si>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</si>
  <si>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Hedging gains (losses)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）</t>
    </r>
  </si>
  <si>
    <t xml:space="preserve">合併營收</t>
  </si>
  <si>
    <t xml:space="preserve">檢查：分部合計＋避險 − 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</si>
  <si>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</si>
  <si>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</si>
  <si>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</si>
  <si>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</si>
  <si>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（避險營收 − 未分攤費用）</t>
    </r>
  </si>
  <si>
    <t xml:space="preserve">合併營業利益</t>
  </si>
  <si>
    <t xml:space="preserve">檢查：分部營業利益合計 − 合併營業利益</t>
  </si>
  <si>
    <t xml:space="preserve">合併損益</t>
  </si>
  <si>
    <t xml:space="preserve">營業成本</t>
  </si>
  <si>
    <r>
      <rPr>
        <sz val="11"/>
        <color theme="1"/>
        <rFont val="Noto Sans CJK SC"/>
        <family val="2"/>
      </rPr>
      <t xml:space="preserve">  其中：流量獲取成本 </t>
    </r>
    <r>
      <rPr>
        <sz val="11"/>
        <color theme="1"/>
        <rFont val="Calibri"/>
        <family val="2"/>
        <charset val="1"/>
      </rPr>
      <t xml:space="preserve">TAC</t>
    </r>
  </si>
  <si>
    <t xml:space="preserve">研發費用</t>
  </si>
  <si>
    <t xml:space="preserve">行銷費用</t>
  </si>
  <si>
    <t xml:space="preserve">管理費用</t>
  </si>
  <si>
    <t xml:space="preserve">檢查：營收 − 成本費用 − 營業利益</t>
  </si>
  <si>
    <t xml:space="preserve">其他收益淨額（含權益證券損益）</t>
  </si>
  <si>
    <t xml:space="preserve">  其中：權益證券淨損益</t>
  </si>
  <si>
    <t xml:space="preserve">稅前利益</t>
  </si>
  <si>
    <t xml:space="preserve">檢查：營業利益＋其他收益 − 稅前利益</t>
  </si>
  <si>
    <t xml:space="preserve">所得稅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</si>
  <si>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</si>
  <si>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</si>
  <si>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</si>
  <si>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</si>
  <si>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現金流、資本支出與股東回饋</t>
  </si>
  <si>
    <t xml:space="preserve">折舊（不動產與設備）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</si>
  <si>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</si>
  <si>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</si>
  <si>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資本支出（購置不動產與設備）</t>
  </si>
  <si>
    <t xml:space="preserve">自由現金流（公司定義：營運現金流 − 資本支出）</t>
  </si>
  <si>
    <t xml:space="preserve">檢查：營運現金流 − 資本支出 − 自由現金流</t>
  </si>
  <si>
    <t xml:space="preserve">回購</t>
  </si>
  <si>
    <t xml:space="preserve">普通股股利</t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</si>
  <si>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</si>
  <si>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</si>
  <si>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年報（分部營收、產品線、分部營業利益、資本支出、營運現金、折舊）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</si>
  <si>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</si>
  <si>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</si>
  <si>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Search &amp; other</t>
    </r>
  </si>
  <si>
    <r>
      <rPr>
        <sz val="11"/>
        <color theme="1"/>
        <rFont val="Calibri"/>
        <family val="2"/>
        <charset val="1"/>
      </rPr>
      <t xml:space="preserve">(2025Q3–2026Q2) ÷ (2024Q3–2025Q2)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的年增，之後收斂到長期值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</si>
  <si>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YouTube ads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</si>
  <si>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Network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</si>
  <si>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subscriptions, platforms, and devices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</si>
  <si>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</si>
  <si>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營收</t>
    </r>
  </si>
  <si>
    <t xml:space="preserve">近四季三分部營收合計（不含避險）</t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</si>
  <si>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（按近四季營收）</t>
    </r>
  </si>
  <si>
    <r>
      <rPr>
        <sz val="11"/>
        <color theme="1"/>
        <rFont val="Noto Sans CJK SC"/>
        <family val="2"/>
      </rPr>
      <t xml:space="preserve">公司不揭露分部折舊（技術基礎設施依使用量分攤，已含在分部營業利益）→ 按營收分攤（沿用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）；替代＝依使用量，雲端占比更高）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</si>
  <si>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</si>
  <si>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Other Bets</t>
    </r>
  </si>
  <si>
    <t xml:space="preserve">近四季折舊</t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</si>
  <si>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率（近四季；營業利益＋分攤折舊）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</si>
  <si>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47.55%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</si>
  <si>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</si>
  <si>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</si>
  <si>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；營業利益＋分攤折舊）</t>
    </r>
  </si>
  <si>
    <r>
      <rPr>
        <sz val="11"/>
        <color theme="1"/>
        <rFont val="Noto Sans CJK SC"/>
        <family val="2"/>
      </rPr>
      <t xml:space="preserve">與評價日機隊與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折舊年化（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）同一時點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</si>
  <si>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</si>
  <si>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（最新已申報半年，利潤率仍在擴張；近四季口徑列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</si>
  <si>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EBITDA</t>
    </r>
    <r>
      <rPr>
        <sz val="11"/>
        <color theme="1"/>
        <rFont val="Noto Sans CJK SC"/>
        <family val="2"/>
      </rPr>
      <t xml:space="preserve">（營業利益＋分攤折舊）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</si>
  <si>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</si>
  <si>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</si>
  <si>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</si>
  <si>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</si>
  <si>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Calibri"/>
        <family val="2"/>
        <charset val="1"/>
      </rPr>
      <t xml:space="preserve">TAC ÷ (Search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Network) </t>
    </r>
    <r>
      <rPr>
        <sz val="11"/>
        <color theme="1"/>
        <rFont val="Noto Sans CJK SC"/>
        <family val="2"/>
      </rPr>
      <t xml:space="preserve">近四季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</si>
  <si>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的參考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</si>
  <si>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子列；同一套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折舊與營運成本，接到分部營業利益（對外 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；自用 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</si>
  <si>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sz val="11"/>
        <color theme="1"/>
        <rFont val="Noto Sans CJK SC"/>
        <family val="2"/>
      </rPr>
      <t xml:space="preserve">三情境共用（本版的情境軸是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速度、對外比例、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的區間在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基準速度、對外比例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快照。不以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</si>
  <si>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</si>
  <si>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長約＝長約證據價格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</si>
  <si>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）：證據價格不變、分母隨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</si>
  <si>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</si>
  <si>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三家一致</t>
    </r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</si>
  <si>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長約占比</t>
    </r>
    <r>
      <rPr>
        <sz val="11"/>
        <color theme="1"/>
        <rFont val="Calibri"/>
        <family val="2"/>
        <charset val="1"/>
      </rPr>
      <t xml:space="preserve">) 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</si>
  <si>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1.201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</si>
  <si>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收入錨調整＝</t>
    </r>
    <r>
      <rPr>
        <sz val="11"/>
        <color theme="1"/>
        <rFont val="Calibri"/>
        <family val="2"/>
        <charset val="1"/>
      </rPr>
      <t xml:space="preserve">1 − TPU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×(1 − TPU </t>
    </r>
    <r>
      <rPr>
        <sz val="11"/>
        <color theme="1"/>
        <rFont val="Noto Sans CJK SC"/>
        <family val="2"/>
      </rPr>
      <t xml:space="preserve">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</si>
  <si>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</si>
  <si>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IT </t>
    </r>
    <r>
      <rPr>
        <sz val="11"/>
        <color theme="1"/>
        <rFont val="Noto Sans CJK SC"/>
        <family val="2"/>
      </rPr>
      <t xml:space="preserve">資本支出調整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</si>
  <si>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</si>
  <si>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Tokenomics 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</si>
  <si>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營收估計（近四季平均對外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收入）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</si>
  <si>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其他的起始成長率與利潤率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</si>
  <si>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</si>
  <si>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EBITDA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</si>
  <si>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Cloud − Cloud AI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</si>
  <si>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雲端、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併入）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</si>
  <si>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率（近四季：</t>
    </r>
    <r>
      <rPr>
        <sz val="11"/>
        <color theme="1"/>
        <rFont val="Calibri"/>
        <family val="2"/>
        <charset val="1"/>
      </rPr>
      <t xml:space="preserve">Cloud EBITDA − Cloud AI EBITDA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Calibri"/>
        <family val="2"/>
        <charset val="1"/>
      </rPr>
      <t xml:space="preserve">÷ Cloud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</si>
  <si>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</si>
  <si>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</si>
  <si>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(1H26 Cloud </t>
    </r>
    <r>
      <rPr>
        <sz val="11"/>
        <color theme="1"/>
        <rFont val="Noto Sans CJK SC"/>
        <family val="2"/>
      </rPr>
      <t xml:space="preserve">營業利益＋分攤折舊 − </t>
    </r>
    <r>
      <rPr>
        <sz val="11"/>
        <color theme="1"/>
        <rFont val="Calibri"/>
        <family val="2"/>
        <charset val="1"/>
      </rPr>
      <t xml:space="preserve">Cloud AI 1H EBITDA) ÷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1H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</si>
  <si>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率（預測期採用，固定）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</si>
  <si>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</si>
  <si>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IT MW</t>
    </r>
    <r>
      <rPr>
        <b val="true"/>
        <sz val="11"/>
        <rFont val="Noto Sans CJK SC"/>
        <family val="2"/>
      </rPr>
      <t xml:space="preserve">；期末）—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</si>
  <si>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FY2024A</t>
  </si>
  <si>
    <t xml:space="preserve">FY2025A</t>
  </si>
  <si>
    <t xml:space="preserve">1H26A</t>
  </si>
  <si>
    <t xml:space="preserve">2H26E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</si>
  <si>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</si>
  <si>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</si>
  <si>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</si>
  <si>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</si>
  <si>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</si>
  <si>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</si>
  <si>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</si>
  <si>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</si>
  <si>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三情境相同；修正一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一致的增量（另加汰換）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</si>
  <si>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</si>
  <si>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期初（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期初機隊占比；新增依年度世代組合（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</si>
  <si>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</si>
  <si>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</si>
  <si>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</si>
  <si>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</si>
  <si>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期末對外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（＝總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</si>
  <si>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defaults.billableOpen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</si>
  <si>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</si>
  <si>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</si>
  <si>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</si>
  <si>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</si>
  <si>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</si>
  <si>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平均在役對外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</si>
  <si>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Cloud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雲端；</t>
    </r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的命題子列）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</si>
  <si>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營收＝對外比例 </t>
    </r>
    <r>
      <rPr>
        <sz val="11"/>
        <color theme="1"/>
        <rFont val="Calibri"/>
        <family val="2"/>
        <charset val="1"/>
      </rPr>
      <t xml:space="preserve">× Σ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MW × IF_HoldEcon × k × TPU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</si>
  <si>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為模型估計（公司未揭露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其他＝實際 </t>
    </r>
    <r>
      <rPr>
        <sz val="11"/>
        <color theme="1"/>
        <rFont val="Calibri"/>
        <family val="2"/>
        <charset val="1"/>
      </rPr>
      <t xml:space="preserve">Cloud − </t>
    </r>
    <r>
      <rPr>
        <sz val="11"/>
        <color theme="1"/>
        <rFont val="Noto Sans CJK SC"/>
        <family val="2"/>
      </rPr>
      <t xml:space="preserve">本列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</si>
  <si>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</si>
  <si>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，含電費）</t>
    </r>
  </si>
  <si>
    <t xml:space="preserve">Cloud AI EBITDA</t>
  </si>
  <si>
    <r>
      <rPr>
        <sz val="11"/>
        <color theme="1"/>
        <rFont val="Calibri"/>
        <family val="2"/>
        <charset val="1"/>
      </rPr>
      <t xml:space="preserve">  Cloud AI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</si>
  <si>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上限檢查：每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示警；不得作預測）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</si>
  <si>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基準最高 </t>
    </r>
    <r>
      <rPr>
        <sz val="11"/>
        <color theme="1"/>
        <rFont val="Calibri"/>
        <family val="2"/>
        <charset val="1"/>
      </rPr>
      <t xml:space="preserve">38.0%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</si>
  <si>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</si>
  <si>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</si>
  <si>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</si>
  <si>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</si>
  <si>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照常在役（收入不變）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</si>
  <si>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</si>
  <si>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</si>
  <si>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指引下限補足（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指引 − 上半年 − 公式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；歸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</si>
  <si>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：首期資本支出＝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公司指引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三情境營收相同（情境爬坡自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起），用情境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</si>
  <si>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資本支出（含指引下限補足）</t>
    </r>
  </si>
  <si>
    <r>
      <rPr>
        <sz val="11"/>
        <color theme="1"/>
        <rFont val="Calibri"/>
        <family val="2"/>
        <charset val="1"/>
      </rPr>
      <t xml:space="preserve">  Cloud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</si>
  <si>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折舊（在建工程與新增資本支出依年限直線攤提；評價日在役資產的折舊在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頁「基礎折舊」）</t>
    </r>
  </si>
  <si>
    <r>
      <rPr>
        <sz val="11"/>
        <color theme="1"/>
        <rFont val="Noto Sans CJK SC"/>
        <family val="2"/>
      </rPr>
      <t xml:space="preserve">每個資本支出年度：當期 </t>
    </r>
    <r>
      <rPr>
        <sz val="11"/>
        <color theme="1"/>
        <rFont val="Calibri"/>
        <family val="2"/>
        <charset val="1"/>
      </rPr>
      <t xml:space="preserve">× phi_0</t>
    </r>
    <r>
      <rPr>
        <sz val="11"/>
        <color theme="1"/>
        <rFont val="Noto Sans CJK SC"/>
        <family val="2"/>
      </rPr>
      <t xml:space="preserve">、之後每年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、最後一年 </t>
    </r>
    <r>
      <rPr>
        <sz val="11"/>
        <color theme="1"/>
        <rFont val="Calibri"/>
        <family val="2"/>
        <charset val="1"/>
      </rPr>
      <t xml:space="preserve">1 − phi_0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含汰換與指引補足；在建工程 </t>
    </r>
    <r>
      <rPr>
        <sz val="11"/>
        <color theme="1"/>
        <rFont val="Calibri"/>
        <family val="2"/>
        <charset val="1"/>
      </rPr>
      <t xml:space="preserve">2026H2 </t>
    </r>
    <r>
      <rPr>
        <sz val="11"/>
        <color theme="1"/>
        <rFont val="Noto Sans CJK SC"/>
        <family val="2"/>
      </rPr>
      <t xml:space="preserve">起轉入）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</si>
  <si>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</si>
  <si>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在建工程轉入：機房與網通（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</si>
  <si>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批次金額（成長＋汰換＋指引補足）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</si>
  <si>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</si>
  <si>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</si>
  <si>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</si>
  <si>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</si>
  <si>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）</t>
    </r>
  </si>
  <si>
    <t xml:space="preserve">按對外比例分攤（在建工程同）</t>
  </si>
  <si>
    <r>
      <rPr>
        <sz val="11"/>
        <color theme="1"/>
        <rFont val="Noto Sans CJK SC"/>
        <family val="2"/>
      </rPr>
      <t xml:space="preserve">  其中：自用（→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</si>
  <si>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增量成本（相對評價日機隊；評價日機隊的成本已在近四季分部利益率內）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</si>
  <si>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</si>
  <si>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算力租金（自用，營運成本）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</si>
  <si>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增量成本合計（營運＋租金＋自用折舊）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</si>
  <si>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</si>
  <si>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</si>
  <si>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評價日在役資產的基礎折舊（隨期初機隊汰換遞減；修正一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</si>
  <si>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</si>
  <si>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</si>
  <si>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</si>
  <si>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折舊取代，避免重複計折舊；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占比沿用 </t>
    </r>
    <r>
      <rPr>
        <sz val="11"/>
        <color theme="1"/>
        <rFont val="Calibri"/>
        <family val="2"/>
        <charset val="1"/>
      </rPr>
      <t xml:space="preserve">cip_it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</si>
  <si>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：自用增量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計，＝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持有成本；非財報營收）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</si>
  <si>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MW × IF_HoldEcon × TPU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</si>
  <si>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進評價口徑（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</si>
  <si>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</si>
  <si>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</si>
  <si>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</si>
  <si>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營收分部層：官方分部（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層級避險；產品線為子列。情境差異只在 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查詢分流、變現下降），其餘三情境相同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</si>
  <si>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情境：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 ×(1</t>
    </r>
    <r>
      <rPr>
        <sz val="11"/>
        <color theme="1"/>
        <rFont val="Noto Sans CJK SC"/>
        <family val="2"/>
      </rPr>
      <t xml:space="preserve">＋每次查詢變現變動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，分流與變現變動自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頁帶入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</si>
  <si>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搜尋擴大變現）</t>
    </r>
  </si>
  <si>
    <r>
      <rPr>
        <sz val="11"/>
        <color theme="1"/>
        <rFont val="Calibri"/>
        <family val="2"/>
        <charset val="1"/>
      </rPr>
      <t xml:space="preserve">  Search B </t>
    </r>
    <r>
      <rPr>
        <sz val="11"/>
        <color theme="1"/>
        <rFont val="Noto Sans CJK SC"/>
        <family val="2"/>
      </rPr>
      <t xml:space="preserve">路徑年增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</si>
  <si>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年增＝近四季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gl_search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</si>
  <si>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</si>
  <si>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</si>
  <si>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查詢分流（相對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</si>
  <si>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</si>
  <si>
    <r>
      <rPr>
        <sz val="11"/>
        <color theme="1"/>
        <rFont val="Noto Sans CJK SC"/>
        <family val="2"/>
      </rPr>
      <t xml:space="preserve">  每次查詢變現變動（相對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</si>
  <si>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  YouTube ads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</si>
  <si>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</si>
  <si>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r>
      <rPr>
        <sz val="11"/>
        <color theme="1"/>
        <rFont val="Calibri"/>
        <family val="2"/>
        <charset val="1"/>
      </rPr>
      <t xml:space="preserve">  Google Network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</si>
  <si>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Google subscriptions, platforms, and devices </t>
    </r>
    <r>
      <rPr>
        <sz val="11"/>
        <color theme="1"/>
        <rFont val="Noto Sans CJK SC"/>
        <family val="2"/>
      </rPr>
      <t xml:space="preserve">年增</t>
    </r>
  </si>
  <si>
    <t xml:space="preserve">Google Services</t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</si>
  <si>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</si>
  <si>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頁：對外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為模型估計）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</si>
  <si>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系統銷售（命題子列）</t>
    </r>
  </si>
  <si>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：不走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金額未揭露 →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</si>
  <si>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</si>
  <si>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起始＝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g0_co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gl_co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</si>
  <si>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其他（命題子列）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</si>
  <si>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估計 −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)^0.5</t>
    </r>
  </si>
  <si>
    <t xml:space="preserve">Google Cloud</t>
  </si>
  <si>
    <t xml:space="preserve">Other Bets</t>
  </si>
  <si>
    <t xml:space="preserve">Hedging gains (losses)</t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</si>
  <si>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；預測期 </t>
    </r>
    <r>
      <rPr>
        <sz val="11"/>
        <color theme="1"/>
        <rFont val="Calibri"/>
        <family val="2"/>
        <charset val="1"/>
      </rPr>
      <t xml:space="preserve">0 [Assumed]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</si>
  <si>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</si>
  <si>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</si>
  <si>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cx_svc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</si>
  <si>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cx_co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</si>
  <si>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cx_ob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</si>
  <si>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</si>
  <si>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</si>
  <si>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</si>
  <si>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</si>
  <si>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新增非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</si>
  <si>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</si>
  <si>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t xml:space="preserve">基準不設分流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</si>
  <si>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（查詢被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助理分流、每次查詢變現下降）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</si>
  <si>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（壓力情境）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</si>
  <si>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</si>
  <si>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分部營業利益＝分部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分攤折舊。分部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 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。折舊＝評價日在役資產基礎折舊（按近四季營收分攤）＋新增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折舊（對外→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、自用→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層級）＋新增非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折舊。持股評價損益預測期設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</si>
  <si>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</si>
  <si>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</si>
  <si>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</si>
  <si>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Search </t>
    </r>
    <r>
      <rPr>
        <sz val="11"/>
        <color theme="1"/>
        <rFont val="Noto Sans CJK SC"/>
        <family val="2"/>
      </rPr>
      <t xml:space="preserve">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</si>
  <si>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t xml:space="preserve">Google Services EBITDA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</si>
  <si>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m_svc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頁；預設 </t>
    </r>
    <r>
      <rPr>
        <sz val="11"/>
        <color theme="1"/>
        <rFont val="Calibri"/>
        <family val="2"/>
        <charset val="1"/>
      </rPr>
      <t xml:space="preserve">1H26 49.4%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時近四季 </t>
    </r>
    <r>
      <rPr>
        <sz val="11"/>
        <color theme="1"/>
        <rFont val="Calibri"/>
        <family val="2"/>
        <charset val="1"/>
      </rPr>
      <t xml:space="preserve">47.6%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增量營運與租金 </t>
    </r>
    <r>
      <rPr>
        <sz val="11"/>
        <color theme="1"/>
        <rFont val="Calibri"/>
        <family val="2"/>
        <charset val="1"/>
      </rPr>
      <t xml:space="preserve">× svc_sh</t>
    </r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</si>
  <si>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× svc_sh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</si>
  <si>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Services </t>
    </r>
    <r>
      <rPr>
        <b val="true"/>
        <sz val="11"/>
        <rFont val="Noto Sans CJK SC"/>
        <family val="2"/>
      </rPr>
      <t xml:space="preserve">營業利益</t>
    </r>
  </si>
  <si>
    <t xml:space="preserve">Google Cloud EBITDA</t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</si>
  <si>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</si>
  <si>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折舊（基礎分攤＋對外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</si>
  <si>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</si>
  <si>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</si>
  <si>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Other Bets </t>
    </r>
    <r>
      <rPr>
        <b val="true"/>
        <sz val="11"/>
        <rFont val="Noto Sans CJK SC"/>
        <family val="2"/>
      </rPr>
      <t xml:space="preserve">營業利益</t>
    </r>
  </si>
  <si>
    <t xml:space="preserve">Other Bets EBITDA</t>
  </si>
  <si>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折舊（自用 </t>
    </r>
    <r>
      <rPr>
        <sz val="11"/>
        <color theme="1"/>
        <rFont val="Calibri"/>
        <family val="2"/>
        <charset val="1"/>
      </rPr>
      <t xml:space="preserve">AI 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</si>
  <si>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Alphabet-level activities</t>
    </r>
    <r>
      <rPr>
        <b val="true"/>
        <sz val="11"/>
        <rFont val="Noto Sans CJK SC"/>
        <family val="2"/>
      </rPr>
      <t xml:space="preserve">（避險營收 − 未分攤費用 − 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 </t>
    </r>
    <r>
      <rPr>
        <b val="true"/>
        <sz val="11"/>
        <rFont val="Cambria"/>
        <family val="0"/>
        <charset val="1"/>
      </rPr>
      <t xml:space="preserve">× (1 − svc_sh)</t>
    </r>
    <r>
      <rPr>
        <b val="true"/>
        <sz val="11"/>
        <rFont val="Noto Sans CJK SC"/>
        <family val="2"/>
      </rPr>
      <t xml:space="preserve">）</t>
    </r>
  </si>
  <si>
    <t xml:space="preserve">Alphabet-level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</si>
  <si>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</si>
  <si>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</si>
  <si>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</si>
  <si>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與以前為現金流量表實績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</si>
  <si>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</si>
  <si>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折舊合計（與分部營業利益合計獨立計算，下一列核對折舊分攤）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</si>
  <si>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</si>
  <si>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）；只進評價口徑，不進營收與分部對帳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</si>
  <si>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</si>
  <si>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</si>
  <si>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Google Services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</si>
  <si>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  Google Cloud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</si>
  <si>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</si>
  <si>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</si>
  <si>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權益證券淨損益（預測期設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</si>
  <si>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2026H1 135.9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上市與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重估（非營業）；預測期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</si>
  <si>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</si>
  <si>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</si>
  <si>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</si>
  <si>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</si>
  <si>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</si>
  <si>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(7/15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</si>
  <si>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</si>
  <si>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</si>
  <si>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</si>
  <si>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權益證券損益以 </t>
    </r>
    <r>
      <rPr>
        <sz val="11"/>
        <color theme="1"/>
        <rFont val="Calibri"/>
        <family val="2"/>
        <charset val="1"/>
      </rPr>
      <t xml:space="preserve">tax_eq 21% </t>
    </r>
    <r>
      <rPr>
        <sz val="11"/>
        <color theme="1"/>
        <rFont val="Noto Sans CJK SC"/>
        <family val="2"/>
      </rPr>
      <t xml:space="preserve">稅後扣除；可與共識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比較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</si>
  <si>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</si>
  <si>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t xml:space="preserve">評價口徑；財報口徑見上兩列</t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</si>
  <si>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</si>
  <si>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 − 融資租賃本金。融資順序：現金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</si>
  <si>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年：上半年發行普通股 </t>
    </r>
    <r>
      <rPr>
        <sz val="11"/>
        <color theme="1"/>
        <rFont val="Calibri"/>
        <family val="2"/>
        <charset val="1"/>
      </rPr>
      <t xml:space="preserve">30.5B</t>
    </r>
    <r>
      <rPr>
        <sz val="11"/>
        <color theme="1"/>
        <rFont val="Noto Sans CJK SC"/>
        <family val="2"/>
      </rPr>
      <t xml:space="preserve">（承銷＋</t>
    </r>
    <r>
      <rPr>
        <sz val="11"/>
        <color theme="1"/>
        <rFont val="Calibri"/>
        <family val="2"/>
        <charset val="1"/>
      </rPr>
      <t xml:space="preserve">Berkshire</t>
    </r>
    <r>
      <rPr>
        <sz val="11"/>
        <color theme="1"/>
        <rFont val="Noto Sans CJK SC"/>
        <family val="2"/>
      </rPr>
      <t xml:space="preserve">）與強制轉換特別股 </t>
    </r>
    <r>
      <rPr>
        <sz val="11"/>
        <color theme="1"/>
        <rFont val="Calibri"/>
        <family val="2"/>
        <charset val="1"/>
      </rPr>
      <t xml:space="preserve">19.1B</t>
    </r>
    <r>
      <rPr>
        <sz val="11"/>
        <color theme="1"/>
        <rFont val="Noto Sans CJK SC"/>
        <family val="2"/>
      </rPr>
      <t xml:space="preserve">、暫停回購（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：現金牛最強，但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已轉向外部融資）；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起回購目標 </t>
    </r>
    <r>
      <rPr>
        <sz val="11"/>
        <color theme="1"/>
        <rFont val="Calibri"/>
        <family val="2"/>
        <charset val="1"/>
      </rPr>
      <t xml:space="preserve">17.0</t>
    </r>
    <r>
      <rPr>
        <sz val="11"/>
        <color theme="1"/>
        <rFont val="Noto Sans CJK SC"/>
        <family val="2"/>
      </rPr>
      <t xml:space="preserve">／年（現金不足時先減回購）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</si>
  <si>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含上半年實績）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</si>
  <si>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</si>
  <si>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</si>
  <si>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</si>
  <si>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</si>
  <si>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自由現金流（扣融資租賃本金）−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含上半年實績。負值＝入不敷出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</si>
  <si>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</si>
  <si>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其中：五年回購合計（</t>
    </r>
    <r>
      <rPr>
        <sz val="11"/>
        <color theme="1"/>
        <rFont val="Calibri"/>
        <family val="2"/>
        <charset val="1"/>
      </rPr>
      <t xml:space="preserve">FY2027–FY2030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4 × bb_t</t>
    </r>
    <r>
      <rPr>
        <sz val="11"/>
        <color theme="1"/>
        <rFont val="Noto Sans CJK SC"/>
        <family val="2"/>
      </rPr>
      <t xml:space="preserve">）</t>
    </r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</si>
  <si>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</si>
  <si>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上半年已發行股權 </t>
    </r>
    <r>
      <rPr>
        <sz val="11"/>
        <color theme="1"/>
        <rFont val="Calibri"/>
        <family val="2"/>
        <charset val="1"/>
      </rPr>
      <t xml:space="preserve">49.6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起新債 </t>
    </r>
    <r>
      <rPr>
        <sz val="11"/>
        <color theme="1"/>
        <rFont val="Calibri"/>
        <family val="2"/>
        <charset val="1"/>
      </rPr>
      <t xml:space="preserve">25.0 </t>
    </r>
    <r>
      <rPr>
        <sz val="11"/>
        <color theme="1"/>
        <rFont val="Noto Sans CJK SC"/>
        <family val="2"/>
      </rPr>
      <t xml:space="preserve">為已發生事件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</si>
  <si>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</si>
  <si>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折舊</t>
  </si>
  <si>
    <t xml:space="preserve">股權報酬（非現金）</t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</si>
  <si>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</si>
  <si>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＝上一年度同期實際（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）；之後＝營收增量 </t>
    </r>
    <r>
      <rPr>
        <sz val="11"/>
        <color theme="1"/>
        <rFont val="Calibri"/>
        <family val="2"/>
        <charset val="1"/>
      </rPr>
      <t xml:space="preserve">× wc_k</t>
    </r>
  </si>
  <si>
    <t xml:space="preserve">其他非現金調整（實績差額：權益證券利益迴轉、遞延稅等）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</si>
  <si>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</si>
  <si>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</si>
  <si>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</t>
  </si>
  <si>
    <t xml:space="preserve">融資租賃本金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</si>
  <si>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補充資訊 </t>
    </r>
    <r>
      <rPr>
        <sz val="11"/>
        <color theme="1"/>
        <rFont val="Calibri"/>
        <family val="2"/>
        <charset val="1"/>
      </rPr>
      <t xml:space="preserve">0.840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未列（公司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定義不扣）</t>
    </r>
  </si>
  <si>
    <t xml:space="preserve">自由現金流（營運現金 − 資本支出 − 融資租賃本金）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</si>
  <si>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0.22 × 2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期初稀釋股數（避免與回購循環）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</si>
  <si>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</si>
  <si>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Intersect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</si>
  <si>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：非上市證券 </t>
    </r>
    <r>
      <rPr>
        <sz val="11"/>
        <color theme="1"/>
        <rFont val="Calibri"/>
        <family val="2"/>
        <charset val="1"/>
      </rPr>
      <t xml:space="preserve">22.1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33.7</t>
    </r>
    <r>
      <rPr>
        <sz val="11"/>
        <color theme="1"/>
        <rFont val="Noto Sans CJK SC"/>
        <family val="2"/>
      </rPr>
      <t xml:space="preserve">＋其他 − 出售（</t>
    </r>
    <r>
      <rPr>
        <sz val="11"/>
        <color theme="1"/>
        <rFont val="Calibri"/>
        <family val="2"/>
        <charset val="1"/>
      </rPr>
      <t xml:space="preserve">legacy_v0.2/company.json ytdActual.jv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；投資活動，不在自由現金流</t>
    </r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</si>
  <si>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</si>
  <si>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償還債務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</si>
  <si>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</si>
  <si>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：發債淨額（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美元票據 </t>
    </r>
    <r>
      <rPr>
        <sz val="11"/>
        <color theme="1"/>
        <rFont val="Calibri"/>
        <family val="2"/>
        <charset val="1"/>
      </rPr>
      <t xml:space="preserve">25.0</t>
    </r>
  </si>
  <si>
    <t xml:space="preserve">股權發行（普通股＋強制轉換特別股，淨額）</t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</si>
  <si>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30.5</t>
    </r>
    <r>
      <rPr>
        <sz val="11"/>
        <color theme="1"/>
        <rFont val="Noto Sans CJK SC"/>
        <family val="2"/>
      </rPr>
      <t xml:space="preserve">（承銷 </t>
    </r>
    <r>
      <rPr>
        <sz val="11"/>
        <color theme="1"/>
        <rFont val="Calibri"/>
        <family val="2"/>
        <charset val="1"/>
      </rPr>
      <t xml:space="preserve">20.5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Berkshire 10.0</t>
    </r>
    <r>
      <rPr>
        <sz val="11"/>
        <color theme="1"/>
        <rFont val="Noto Sans CJK SC"/>
        <family val="2"/>
      </rPr>
      <t xml:space="preserve">）＋特別股 </t>
    </r>
    <r>
      <rPr>
        <sz val="11"/>
        <color theme="1"/>
        <rFont val="Calibri"/>
        <family val="2"/>
        <charset val="1"/>
      </rPr>
      <t xml:space="preserve">19.1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ATM 40B </t>
    </r>
    <r>
      <rPr>
        <sz val="11"/>
        <color theme="1"/>
        <rFont val="Noto Sans CJK SC"/>
        <family val="2"/>
      </rPr>
      <t xml:space="preserve">與代扣稅不建模</t>
    </r>
  </si>
  <si>
    <t xml:space="preserve">期初現金（現金＋債權類有價證券）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</si>
  <si>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實績差額：代扣稅、</t>
    </r>
    <r>
      <rPr>
        <sz val="11"/>
        <color theme="1"/>
        <rFont val="Calibri"/>
        <family val="2"/>
        <charset val="1"/>
      </rPr>
      <t xml:space="preserve">capped call</t>
    </r>
    <r>
      <rPr>
        <sz val="11"/>
        <color theme="1"/>
        <rFont val="Noto Sans CJK SC"/>
        <family val="2"/>
      </rPr>
      <t xml:space="preserve">、匯率；預測期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</si>
  <si>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</si>
  <si>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</si>
  <si>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</si>
  <si>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期末現金（現金＋債權類有價證券）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</si>
  <si>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</si>
  <si>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</si>
  <si>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49.085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</si>
  <si>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期末債務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</si>
  <si>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面額（含匯率變動）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</si>
  <si>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</si>
  <si>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回購均價（現價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</si>
  <si>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</si>
  <si>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資本支出＋營運資金；股權報酬視為現金成本、不加回）以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（股權報酬加回，與同業倍數同口徑）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</si>
  <si>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</si>
  <si>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</si>
  <si>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</si>
  <si>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</si>
  <si>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）情境加權；各分部用各自同業倍數，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</si>
  <si>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</si>
  <si>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</si>
  <si>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</si>
  <si>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61 </t>
    </r>
    <r>
      <rPr>
        <sz val="11"/>
        <color theme="1"/>
        <rFont val="Noto Sans CJK SC"/>
        <family val="2"/>
      </rPr>
      <t xml:space="preserve">位分析師平均（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</si>
  <si>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</si>
  <si>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</si>
  <si>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</si>
  <si>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</si>
  <si>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</si>
  <si>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</si>
  <si>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</si>
  <si>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</si>
  <si>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</si>
  <si>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</si>
  <si>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</si>
  <si>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</si>
  <si>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</si>
  <si>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</si>
  <si>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r>
      <rPr>
        <sz val="11"/>
        <color theme="1"/>
        <rFont val="Noto Sans CJK SC"/>
        <family val="2"/>
      </rPr>
      <t xml:space="preserve">活公式（修正一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</si>
  <si>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</si>
  <si>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r>
      <rPr>
        <sz val="11"/>
        <color theme="1"/>
        <rFont val="Noto Sans CJK SC"/>
        <family val="2"/>
      </rPr>
      <t xml:space="preserve">活公式（敏感度；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修正前的主值）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</si>
  <si>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</si>
  <si>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</si>
  <si>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</si>
  <si>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＋分部加總（各分部同業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</si>
  <si>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</si>
  <si>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</si>
  <si>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；修正一 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</si>
  <si>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</si>
  <si>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</si>
  <si>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</si>
  <si>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</si>
  <si>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</si>
  <si>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修正前 </t>
    </r>
    <r>
      <rPr>
        <sz val="11"/>
        <color theme="1"/>
        <rFont val="Calibri"/>
        <family val="2"/>
        <charset val="1"/>
      </rPr>
      <t xml:space="preserve">11.56%</t>
    </r>
    <r>
      <rPr>
        <sz val="11"/>
        <color theme="1"/>
        <rFont val="Noto Sans CJK SC"/>
        <family val="2"/>
      </rPr>
      <t xml:space="preserve">（原始 </t>
    </r>
    <r>
      <rPr>
        <sz val="11"/>
        <color theme="1"/>
        <rFont val="Calibri"/>
        <family val="2"/>
        <charset val="1"/>
      </rPr>
      <t xml:space="preserve">β 1.288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 6.527%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</si>
  <si>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</si>
  <si>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</si>
  <si>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2H26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；不含影子效益的「財報口徑」與影子效益分開列）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</si>
  <si>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</si>
  <si>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</si>
  <si>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</si>
  <si>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</t>
  </si>
  <si>
    <t xml:space="preserve">＋營運資金變動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</si>
  <si>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</si>
  <si>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股權報酬視為現金成本（修正一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</si>
  <si>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</si>
  <si>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</si>
  <si>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</si>
  <si>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</si>
  <si>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</si>
  <si>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</si>
  <si>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</si>
  <si>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</si>
  <si>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</si>
  <si>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Noto Sans CJK SC"/>
        <family val="2"/>
      </rPr>
      <t xml:space="preserve">終值現值（折現年數＝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期中＋</t>
    </r>
    <r>
      <rPr>
        <sz val="11"/>
        <color theme="1"/>
        <rFont val="Calibri"/>
        <family val="2"/>
        <charset val="1"/>
      </rPr>
      <t xml:space="preserve">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</si>
  <si>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</si>
  <si>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</si>
  <si>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</si>
  <si>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</si>
  <si>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</si>
  <si>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</si>
  <si>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債務 − 融資租賃）</t>
  </si>
  <si>
    <r>
      <rPr>
        <sz val="11"/>
        <color theme="1"/>
        <rFont val="Noto Sans CJK SC"/>
        <family val="2"/>
      </rPr>
      <t xml:space="preserve">＋持股（</t>
    </r>
    <r>
      <rPr>
        <sz val="11"/>
        <color theme="1"/>
        <rFont val="Calibri"/>
        <family val="2"/>
        <charset val="1"/>
      </rPr>
      <t xml:space="preserve">Anthropic ×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＋其他上市權益證券）</t>
    </r>
  </si>
  <si>
    <t xml:space="preserve">− 類債（應計罰款＋非控制權益）</t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</si>
  <si>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</si>
  <si>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修正一：強制轉換特別股 </t>
    </r>
    <r>
      <rPr>
        <sz val="11"/>
        <color theme="1"/>
        <rFont val="Calibri"/>
        <family val="2"/>
        <charset val="1"/>
      </rPr>
      <t xml:space="preserve">2029-05 </t>
    </r>
    <r>
      <rPr>
        <sz val="11"/>
        <color theme="1"/>
        <rFont val="Noto Sans CJK SC"/>
        <family val="2"/>
      </rPr>
      <t xml:space="preserve">轉股前的股利屬特別股股東</t>
    </r>
  </si>
  <si>
    <t xml:space="preserve">股數（評價日期末稀釋＋強制轉換特別股）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</si>
  <si>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</si>
  <si>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＋淨現金＋持股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</si>
  <si>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</si>
  <si>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</si>
  <si>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0.15 Cloud AI </t>
    </r>
    <r>
      <rPr>
        <b val="true"/>
        <sz val="11"/>
        <rFont val="Noto Sans CJK SC"/>
        <family val="2"/>
      </rPr>
      <t xml:space="preserve">模組自身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（修正一 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：分部加總的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腿；</t>
    </r>
    <r>
      <rPr>
        <b val="true"/>
        <sz val="11"/>
        <rFont val="Cambria"/>
        <family val="0"/>
        <charset val="1"/>
      </rPr>
      <t xml:space="preserve">FCF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AI EBITDA − </t>
    </r>
    <r>
      <rPr>
        <b val="true"/>
        <sz val="11"/>
        <rFont val="Noto Sans CJK SC"/>
        <family val="2"/>
      </rPr>
      <t xml:space="preserve">稅 − 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資本支出〔含汰換〕；三情境相同）</t>
    </r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</si>
  <si>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</si>
  <si>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</si>
  <si>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(EBITDA −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</si>
  <si>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對外比例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</si>
  <si>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</t>
    </r>
  </si>
  <si>
    <t xml:space="preserve">現值</t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</si>
  <si>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明確期現值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</si>
  <si>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終值現值</t>
    </r>
  </si>
  <si>
    <r>
      <rPr>
        <b val="true"/>
        <sz val="11"/>
        <rFont val="Cambria"/>
        <family val="0"/>
        <charset val="1"/>
      </rPr>
      <t xml:space="preserve">Cloud AI </t>
    </r>
    <r>
      <rPr>
        <b val="true"/>
        <sz val="11"/>
        <rFont val="Noto Sans CJK SC"/>
        <family val="2"/>
      </rPr>
      <t xml:space="preserve">價值（目標時點＝評價日價值 </t>
    </r>
    <r>
      <rPr>
        <b val="true"/>
        <sz val="11"/>
        <rFont val="Cambria"/>
        <family val="0"/>
        <charset val="1"/>
      </rPr>
      <t xml:space="preserve">×(1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WACC)^t_tgt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</si>
  <si>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期初對外機隊（</t>
    </r>
    <r>
      <rPr>
        <sz val="11"/>
        <color theme="1"/>
        <rFont val="Calibri"/>
        <family val="2"/>
        <charset val="1"/>
      </rPr>
      <t xml:space="preserve">1,901 MW</t>
    </r>
    <r>
      <rPr>
        <sz val="11"/>
        <color theme="1"/>
        <rFont val="Noto Sans CJK SC"/>
        <family val="2"/>
      </rPr>
      <t xml:space="preserve">）的資本已投入（不再扣），其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計入；之後新增與汰換的對外資本支出全數扣除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</si>
  <si>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</si>
  <si>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</si>
  <si>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</si>
  <si>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</si>
  <si>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</si>
  <si>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</si>
  <si>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</si>
  <si>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事實總帳）：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</si>
  <si>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</si>
  <si>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</si>
  <si>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META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六家中位數／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</si>
  <si>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修正一：預設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（小型廣告科技不可比）；</t>
    </r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用六家中位數</t>
    </r>
  </si>
  <si>
    <r>
      <rPr>
        <b val="true"/>
        <sz val="11"/>
        <rFont val="Noto Sans CJK SC"/>
        <family val="2"/>
      </rPr>
      <t xml:space="preserve">分部／產品線（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</si>
  <si>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</si>
  <si>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</si>
  <si>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</si>
  <si>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</si>
  <si>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YouTube ads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m_yt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</si>
  <si>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Network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m_net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</si>
  <si>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subscriptions, platforms, and devices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m_subs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</si>
  <si>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Services EBITDA − </t>
    </r>
    <r>
      <rPr>
        <sz val="11"/>
        <color theme="1"/>
        <rFont val="Noto Sans CJK SC"/>
        <family val="2"/>
      </rPr>
      <t xml:space="preserve">其他三線＋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</si>
  <si>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系統銷售（營收 </t>
    </r>
    <r>
      <rPr>
        <sz val="11"/>
        <color theme="1"/>
        <rFont val="Calibri"/>
        <family val="2"/>
        <charset val="1"/>
      </rPr>
      <t xml:space="preserve">× tpu_m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</si>
  <si>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</si>
  <si>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，負值）</t>
    </r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</si>
  <si>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節自身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</si>
  <si>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</si>
  <si>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估值未找到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ob_val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</si>
  <si>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</si>
  <si>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NTM × </t>
    </r>
    <r>
      <rPr>
        <sz val="11"/>
        <color theme="1"/>
        <rFont val="Noto Sans CJK SC"/>
        <family val="2"/>
      </rPr>
      <t xml:space="preserve">搜尋倍數）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</si>
  <si>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</si>
  <si>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</si>
  <si>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</si>
  <si>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合計（含 </t>
    </r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</si>
  <si>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mult_ai </t>
    </r>
    <r>
      <rPr>
        <sz val="11"/>
        <color theme="1"/>
        <rFont val="Noto Sans CJK SC"/>
        <family val="2"/>
      </rPr>
      <t xml:space="preserve">倍數計的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（不進加總）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</si>
  <si>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</si>
  <si>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2H26–FY2027 </t>
    </r>
    <r>
      <rPr>
        <sz val="11"/>
        <color theme="1"/>
        <rFont val="Noto Sans CJK SC"/>
        <family val="2"/>
      </rPr>
      <t xml:space="preserve">的自由現金流、股利與回購</t>
    </r>
  </si>
  <si>
    <r>
      <rPr>
        <sz val="11"/>
        <color theme="1"/>
        <rFont val="Noto Sans CJK SC"/>
        <family val="2"/>
      </rPr>
      <t xml:space="preserve">＋持股（同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2H26–FY2027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出資，按成本）</t>
    </r>
  </si>
  <si>
    <t xml:space="preserve">修正一：出資已自淨現金扣除，持股價值同步增加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</si>
  <si>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</si>
  <si>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</si>
  <si>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</si>
  <si>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</si>
  <si>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</si>
  <si>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</si>
  <si>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）、逐分部對共識與公司指引、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。只作對照，不作校準（工作單第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</si>
  <si>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</si>
  <si>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</si>
  <si>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</si>
  <si>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</si>
  <si>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</si>
  <si>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</si>
  <si>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</si>
  <si>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</si>
  <si>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</si>
  <si>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，含權益證券損益）</t>
    </r>
  </si>
  <si>
    <r>
      <rPr>
        <sz val="11"/>
        <color theme="1"/>
        <rFont val="Noto Sans CJK SC"/>
        <family val="2"/>
      </rPr>
      <t xml:space="preserve">含上半年權益證券利益 </t>
    </r>
    <r>
      <rPr>
        <sz val="11"/>
        <color theme="1"/>
        <rFont val="Calibri"/>
        <family val="2"/>
        <charset val="1"/>
      </rPr>
      <t xml:space="preserve">135.9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排除後的共識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）</t>
    </r>
  </si>
  <si>
    <t xml:space="preserve">資本支出</t>
  </si>
  <si>
    <t xml:space="preserve">自由現金流</t>
  </si>
  <si>
    <t xml:space="preserve">本模型扣融資租賃本金；共識＝營運現金 − 資本支出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</si>
  <si>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FY2026 vs StockAnalysis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</si>
  <si>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逐分部、逐產品線：本模型（情境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共識與公司指引</t>
    </r>
  </si>
  <si>
    <t xml:space="preserve">分部／產品線</t>
  </si>
  <si>
    <t xml:space="preserve">公司指引</t>
  </si>
  <si>
    <t xml:space="preserve">未找到</t>
  </si>
  <si>
    <t xml:space="preserve">無（公司不給營收指引）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</si>
  <si>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免費頁只有合併層；分部共識需付費資料，本次網路搜尋額度用盡，未能補（資料缺口：未找到）</t>
    </r>
  </si>
  <si>
    <r>
      <rPr>
        <sz val="11"/>
        <color theme="1"/>
        <rFont val="Noto Sans CJK SC"/>
        <family val="2"/>
      </rPr>
      <t xml:space="preserve">仍供不應求（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）；無營收指引</t>
    </r>
  </si>
  <si>
    <r>
      <rPr>
        <sz val="11"/>
        <color theme="1"/>
        <rFont val="Calibri"/>
        <family val="2"/>
        <charset val="1"/>
      </rPr>
      <t xml:space="preserve">  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</si>
  <si>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TPU </t>
    </r>
    <r>
      <rPr>
        <sz val="11"/>
        <color theme="1"/>
        <rFont val="Noto Sans CJK SC"/>
        <family val="2"/>
      </rPr>
      <t xml:space="preserve">系統銷售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</si>
  <si>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認列一小部分、大部分在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法說，事實總帳 </t>
    </r>
    <r>
      <rPr>
        <sz val="11"/>
        <color theme="1"/>
        <rFont val="Calibri"/>
        <family val="2"/>
        <charset val="1"/>
      </rPr>
      <t xml:space="preserve">guid.tpuRev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</si>
  <si>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</si>
  <si>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 → </t>
    </r>
    <r>
      <rPr>
        <sz val="11"/>
        <color theme="1"/>
        <rFont val="Calibri"/>
        <family val="2"/>
        <charset val="1"/>
      </rPr>
      <t xml:space="preserve">2026H2–2028H1 </t>
    </r>
    <r>
      <rPr>
        <sz val="11"/>
        <color theme="1"/>
        <rFont val="Noto Sans CJK SC"/>
        <family val="2"/>
      </rPr>
      <t xml:space="preserve">至少可認列</t>
    </r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</si>
  <si>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RPO 513.9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個月內（事實總帳 </t>
    </r>
    <r>
      <rPr>
        <sz val="11"/>
        <color theme="1"/>
        <rFont val="Calibri"/>
        <family val="2"/>
        <charset val="1"/>
      </rPr>
      <t xml:space="preserve">rpo.cloud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rpo.share24m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；只作驗證列，不反推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</si>
  <si>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2026H2–2028H1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</si>
  <si>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積壓可認列（</t>
    </r>
    <r>
      <rPr>
        <sz val="11"/>
        <color theme="1"/>
        <rFont val="Calibri"/>
        <family val="2"/>
        <charset val="1"/>
      </rPr>
      <t xml:space="preserve">&gt; 1 </t>
    </r>
    <r>
      <rPr>
        <sz val="11"/>
        <color theme="1"/>
        <rFont val="Noto Sans CJK SC"/>
        <family val="2"/>
      </rPr>
      <t xml:space="preserve">表示模型營收高於積壓可支撐的下限，差額需新簽約）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</si>
  <si>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195–205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</si>
  <si>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：首期＝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</si>
  <si>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公司「顯著增加」（無數字）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</si>
  <si>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路徑推導（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 </t>
    </r>
    <r>
      <rPr>
        <sz val="11"/>
        <color theme="1"/>
        <rFont val="Calibri"/>
        <family val="2"/>
        <charset val="1"/>
      </rPr>
      <t xml:space="preserve">= 2026 </t>
    </r>
    <r>
      <rPr>
        <sz val="11"/>
        <color theme="1"/>
        <rFont val="Noto Sans CJK SC"/>
        <family val="2"/>
      </rPr>
      <t xml:space="preserve">指引隱含量延續）；低於共識是已知差異（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同）</t>
    </r>
  </si>
  <si>
    <r>
      <rPr>
        <b val="true"/>
        <sz val="11"/>
        <rFont val="Cambria"/>
        <family val="0"/>
        <charset val="1"/>
      </rPr>
      <t xml:space="preserve">3. v0.3 vs v0.2.2</t>
    </r>
    <r>
      <rPr>
        <b val="true"/>
        <sz val="11"/>
        <rFont val="Noto Sans CJK SC"/>
        <family val="2"/>
      </rPr>
      <t xml:space="preserve">：目標價與主要差異來源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</si>
  <si>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</si>
  <si>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146.09</t>
    </r>
    <r>
      <rPr>
        <sz val="11"/>
        <color theme="1"/>
        <rFont val="Noto Sans CJK SC"/>
        <family val="2"/>
      </rPr>
      <t xml:space="preserve">／積極 </t>
    </r>
    <r>
      <rPr>
        <sz val="11"/>
        <color theme="1"/>
        <rFont val="Calibri"/>
        <family val="2"/>
        <charset val="1"/>
      </rPr>
      <t xml:space="preserve">122.89</t>
    </r>
    <r>
      <rPr>
        <sz val="11"/>
        <color theme="1"/>
        <rFont val="Noto Sans CJK SC"/>
        <family val="2"/>
      </rPr>
      <t xml:space="preserve">（容量情境；讀法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</si>
  <si>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</t>
    </r>
  </si>
  <si>
    <t xml:space="preserve">差額</t>
  </si>
  <si>
    <r>
      <rPr>
        <b val="true"/>
        <sz val="11"/>
        <rFont val="Noto Sans CJK SC"/>
        <family val="2"/>
      </rPr>
      <t xml:space="preserve">拆解（以改輸入重算；</t>
    </r>
    <r>
      <rPr>
        <b val="true"/>
        <sz val="11"/>
        <rFont val="Cambria"/>
        <family val="0"/>
        <charset val="1"/>
      </rPr>
      <t xml:space="preserve">make_v03.sh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</si>
  <si>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評價法權重：</t>
    </r>
    <r>
      <rPr>
        <sz val="11"/>
        <color theme="1"/>
        <rFont val="Calibri"/>
        <family val="2"/>
        <charset val="1"/>
      </rPr>
      <t xml:space="preserve">DCF 50% → 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（其餘不變）</t>
    </r>
  </si>
  <si>
    <r>
      <rPr>
        <sz val="11"/>
        <color theme="1"/>
        <rFont val="Calibri"/>
        <family val="2"/>
        <charset val="1"/>
      </rPr>
      <t xml:space="preserve">v0.3 − </t>
    </r>
    <r>
      <rPr>
        <sz val="11"/>
        <color theme="1"/>
        <rFont val="Noto Sans CJK SC"/>
        <family val="2"/>
      </rPr>
      <t xml:space="preserve">改成 </t>
    </r>
    <r>
      <rPr>
        <sz val="11"/>
        <color theme="1"/>
        <rFont val="Calibri"/>
        <family val="2"/>
        <charset val="1"/>
      </rPr>
      <t xml:space="preserve">w_dcf=0.45 </t>
    </r>
    <r>
      <rPr>
        <sz val="11"/>
        <color theme="1"/>
        <rFont val="Noto Sans CJK SC"/>
        <family val="2"/>
      </rPr>
      <t xml:space="preserve">後的目標價（正值＝本版設定使目標價較高）</t>
    </r>
  </si>
  <si>
    <r>
      <rPr>
        <sz val="11"/>
        <color theme="1"/>
        <rFont val="Noto Sans CJK SC"/>
        <family val="2"/>
      </rPr>
      <t xml:space="preserve">現價回到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350.50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的權益權重與回購價）</t>
    </r>
  </si>
  <si>
    <r>
      <rPr>
        <sz val="11"/>
        <color theme="1"/>
        <rFont val="Calibri"/>
        <family val="2"/>
        <charset val="1"/>
      </rPr>
      <t xml:space="preserve">v0.3 − </t>
    </r>
    <r>
      <rPr>
        <sz val="11"/>
        <color theme="1"/>
        <rFont val="Noto Sans CJK SC"/>
        <family val="2"/>
      </rPr>
      <t xml:space="preserve">改成 </t>
    </r>
    <r>
      <rPr>
        <sz val="11"/>
        <color theme="1"/>
        <rFont val="Calibri"/>
        <family val="2"/>
        <charset val="1"/>
      </rPr>
      <t xml:space="preserve">px=350.5 </t>
    </r>
    <r>
      <rPr>
        <sz val="11"/>
        <color theme="1"/>
        <rFont val="Noto Sans CJK SC"/>
        <family val="2"/>
      </rPr>
      <t xml:space="preserve">後的目標價（正值＝本版設定使目標價較高）</t>
    </r>
  </si>
  <si>
    <r>
      <rPr>
        <sz val="11"/>
        <color theme="1"/>
        <rFont val="Noto Sans CJK SC"/>
        <family val="2"/>
      </rPr>
      <t xml:space="preserve">其餘：營收結構（分部＋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情境軸）、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成本進分部損益、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終值口徑（價值驅動）、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以各分部同業倍數取代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錨定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、情境定義改為 </t>
    </r>
    <r>
      <rPr>
        <sz val="11"/>
        <color theme="1"/>
        <rFont val="Calibri"/>
        <family val="2"/>
        <charset val="1"/>
      </rPr>
      <t xml:space="preserve">Search</t>
    </r>
  </si>
  <si>
    <r>
      <rPr>
        <sz val="11"/>
        <color theme="1"/>
        <rFont val="Noto Sans CJK SC"/>
        <family val="2"/>
      </rPr>
      <t xml:space="preserve">兩版引擎不同，無法逐項以同一引擎重算；本列為殘差（報告第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節逐項說明方向）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</si>
  <si>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alphabet/make_v03.sh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</si>
  <si>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</si>
  <si>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</si>
  <si>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</si>
  <si>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</si>
  <si>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</si>
  <si>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</si>
  <si>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</si>
  <si>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</si>
  <si>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make_v03.sh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</si>
  <si>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</si>
  <si>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；總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</si>
  <si>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</si>
  <si>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新增速度：低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</si>
  <si>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保守／積極速度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</si>
  <si>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新增速度：高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</si>
  <si>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：長約價格（低＝判斷倍數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</si>
  <si>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0.75 → 0.60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</si>
  <si>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：現貨價格（高＝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牌價）：高</t>
    </r>
  </si>
  <si>
    <t xml:space="preserve">2.82 → 4.858 US$/GPU-hr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</si>
  <si>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</si>
  <si>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敏感度；同時改 </t>
    </r>
    <r>
      <rPr>
        <sz val="11"/>
        <color theme="1"/>
        <rFont val="Calibri"/>
        <family val="2"/>
        <charset val="1"/>
      </rPr>
      <t xml:space="preserve">tpu_cf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</si>
  <si>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</si>
  <si>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</si>
  <si>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</si>
  <si>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</si>
  <si>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</si>
  <si>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</si>
  <si>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</si>
  <si>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</si>
  <si>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</si>
  <si>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</si>
  <si>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</si>
  <si>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</si>
  <si>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</si>
  <si>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</si>
  <si>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</si>
  <si>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</si>
  <si>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</si>
  <si>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</si>
  <si>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</si>
  <si>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</si>
  <si>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</si>
  <si>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1.246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</si>
  <si>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</si>
  <si>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</si>
  <si>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</si>
  <si>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</si>
  <si>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</si>
  <si>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</si>
  <si>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</si>
  <si>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</si>
  <si>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</si>
  <si>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</si>
  <si>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</si>
  <si>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系統銷售倍數：低</t>
    </r>
  </si>
  <si>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</si>
  <si>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系統銷售倍數：高</t>
    </r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</si>
  <si>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倍數：六家中位數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：低</t>
    </r>
  </si>
  <si>
    <t xml:space="preserve">META 10.79× → 9.11×</t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</si>
  <si>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14.68×</t>
    </r>
    <r>
      <rPr>
        <sz val="11"/>
        <color theme="1"/>
        <rFont val="Noto Sans CJK SC"/>
        <family val="2"/>
      </rPr>
      <t xml:space="preserve">：高</t>
    </r>
  </si>
  <si>
    <t xml:space="preserve">META 10.79× → 14.68×</t>
  </si>
  <si>
    <t xml:space="preserve">非上市持股折價：低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</si>
  <si>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</si>
  <si>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非上市持股折價：高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</si>
  <si>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</si>
  <si>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</si>
  <si>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</si>
  <si>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t xml:space="preserve">回購目標：低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</si>
  <si>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全年）</t>
    </r>
  </si>
  <si>
    <t xml:space="preserve">回購目標：高</t>
  </si>
  <si>
    <t xml:space="preserve">分部利益率起點改用近四季：高</t>
  </si>
  <si>
    <r>
      <rPr>
        <sz val="11"/>
        <color theme="1"/>
        <rFont val="Calibri"/>
        <family val="2"/>
        <charset val="1"/>
      </rPr>
      <t xml:space="preserve">1H26 → </t>
    </r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</si>
  <si>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</si>
  <si>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</si>
  <si>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</si>
  <si>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</si>
  <si>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</si>
  <si>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</si>
  <si>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</si>
  <si>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</si>
  <si>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</si>
  <si>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</si>
  <si>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</si>
  <si>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（經查核）</t>
    </r>
  </si>
  <si>
    <t xml:space="preserve">2026-02-05</t>
  </si>
  <si>
    <t xml:space="preserve">https://www.sec.gov/Archives/edgar/data/1652044/000165204426000018/goog-20251231.htm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</si>
  <si>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分部與產品線、合併損益、現金流（經事實總帳）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</si>
  <si>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</si>
  <si>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</si>
  <si>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2026-07-22</t>
  </si>
  <si>
    <t xml:space="preserve">https://www.sec.gov/Archives/edgar/data/1652044/000165204426000066/googexhibit991q22026.htm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</si>
  <si>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與比較季</t>
    </r>
  </si>
  <si>
    <t xml:space="preserve">S03</t>
  </si>
  <si>
    <r>
      <rPr>
        <sz val="11"/>
        <color theme="1"/>
        <rFont val="Calibri"/>
        <family val="2"/>
        <charset val="1"/>
      </rPr>
      <t xml:space="preserve">Alphabet 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</si>
  <si>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</t>
  </si>
  <si>
    <t xml:space="preserve">https://www.sec.gov/Archives/edgar/data/1652044/000165204426000043/googexhibit991q12026.htm</t>
  </si>
  <si>
    <t xml:space="preserve">S04</t>
  </si>
  <si>
    <r>
      <rPr>
        <sz val="11"/>
        <color theme="1"/>
        <rFont val="Calibri"/>
        <family val="2"/>
        <charset val="1"/>
      </rPr>
      <t xml:space="preserve">Alphabet 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</si>
  <si>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2025-10-29</t>
  </si>
  <si>
    <t xml:space="preserve">https://www.sec.gov/Archives/edgar/data/1652044/000165204425000087/googexhibit991q32025.htm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</si>
  <si>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比較季</t>
    </r>
  </si>
  <si>
    <t xml:space="preserve">S05</t>
  </si>
  <si>
    <t xml:space="preserve">Alphabet 2026Q2 10-Q</t>
  </si>
  <si>
    <t xml:space="preserve">2026-07-23</t>
  </si>
  <si>
    <t xml:space="preserve">https://www.sec.gov/cgi-bin/browse-edgar?action=getcompany&amp;CIK=1652044&amp;type=10-Q</t>
  </si>
  <si>
    <t xml:space="preserve">資產負債、在建工程、租賃、債務、股數</t>
  </si>
  <si>
    <t xml:space="preserve">S06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</si>
  <si>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</si>
  <si>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https://www.benzinga.com/news/26/09/61834150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</si>
  <si>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營收時點、供不應求</t>
    </r>
  </si>
  <si>
    <t xml:space="preserve">S07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</si>
  <si>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alphabet/data/alphabet_facts_20261008.json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</t>
    </r>
    <r>
      <rPr>
        <sz val="11"/>
        <color theme="1"/>
        <rFont val="Noto Sans CJK SC"/>
        <family val="2"/>
      </rPr>
      <t xml:space="preserve">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</si>
  <si>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</si>
  <si>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</si>
  <si>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</si>
  <si>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</si>
  <si>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S08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</si>
  <si>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alphabet/data/tokenomics_snapshot_v21.4.json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</si>
  <si>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</si>
  <si>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</si>
  <si>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、上限檢查</t>
    </r>
  </si>
  <si>
    <t xml:space="preserve">S09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</si>
  <si>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alphabet/data/kevidence_alphabet_20261008.json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legacy_v0.2/kspec.py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</si>
  <si>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</si>
  <si>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</si>
  <si>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</si>
  <si>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S10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</si>
  <si>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cumulative by designer</t>
    </r>
  </si>
  <si>
    <t xml:space="preserve">2026-05-12</t>
  </si>
  <si>
    <t xml:space="preserve">https://epoch.ai/data/ai_chip_owners_cumulative_by_designer.csv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</si>
  <si>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（期初、歷史）</t>
    </r>
  </si>
  <si>
    <t xml:space="preserve">S11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</si>
  <si>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</si>
  <si>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</si>
  <si>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</si>
  <si>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</si>
  <si>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S12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</si>
  <si>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歷史股價</t>
    </r>
  </si>
  <si>
    <t xml:space="preserve">2026-10-26</t>
  </si>
  <si>
    <t xml:space="preserve">https://stockanalysis.com/stocks/googl/history/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</si>
  <si>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</si>
  <si>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S13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</si>
  <si>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</si>
  <si>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https://stockanalysis.com/stocks/googl/forecast/</t>
  </si>
  <si>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429.12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non-GAAP EPS 11.89</t>
    </r>
  </si>
  <si>
    <t xml:space="preserve">S14</t>
  </si>
  <si>
    <r>
      <rPr>
        <sz val="11"/>
        <color theme="1"/>
        <rFont val="Calibri"/>
        <family val="2"/>
        <charset val="1"/>
      </rPr>
      <t xml:space="preserve">MarketScreener Alphabet </t>
    </r>
    <r>
      <rPr>
        <sz val="11"/>
        <color theme="1"/>
        <rFont val="Noto Sans CJK SC"/>
        <family val="2"/>
      </rPr>
      <t xml:space="preserve">財務預估（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系）</t>
    </r>
  </si>
  <si>
    <t xml:space="preserve">https://www.marketscreener.com/quote/stock/ALPHABET-INC-24203373/finances/</t>
  </si>
  <si>
    <r>
      <rPr>
        <sz val="11"/>
        <color theme="1"/>
        <rFont val="Calibri"/>
        <family val="2"/>
        <charset val="1"/>
      </rPr>
      <t xml:space="preserve">FY2026–2028 </t>
    </r>
    <r>
      <rPr>
        <sz val="11"/>
        <color theme="1"/>
        <rFont val="Noto Sans CJK SC"/>
        <family val="2"/>
      </rPr>
      <t xml:space="preserve">合併共識</t>
    </r>
  </si>
  <si>
    <t xml:space="preserve">S15</t>
  </si>
  <si>
    <r>
      <rPr>
        <sz val="11"/>
        <color theme="1"/>
        <rFont val="Noto Sans CJK SC"/>
        <family val="2"/>
      </rPr>
      <t xml:space="preserve">共用同業檔 </t>
    </r>
    <r>
      <rPr>
        <sz val="11"/>
        <color theme="1"/>
        <rFont val="Calibri"/>
        <family val="2"/>
        <charset val="1"/>
      </rPr>
      <t xml:space="preserve">alphabet/data/peers_ads_20261009.json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peers_cloud_20261008.json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</si>
  <si>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</si>
  <si>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</si>
  <si>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</si>
  <si>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S16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</si>
  <si>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alphabet/data/consensus_googl_20261008.json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</si>
  <si>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時的共識（對照）</t>
    </r>
  </si>
  <si>
    <t xml:space="preserve">S17</t>
  </si>
  <si>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成品與交接檔（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docs/handoff/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</si>
  <si>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沿用參數與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目標價</t>
    </r>
  </si>
  <si>
    <t xml:space="preserve">S18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</si>
  <si>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</si>
  <si>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</si>
  <si>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t xml:space="preserve">已決定的口徑</t>
  </si>
  <si>
    <t xml:space="preserve">S19</t>
  </si>
  <si>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（預測）</t>
    </r>
  </si>
  <si>
    <t xml:space="preserve">2024-02-19</t>
  </si>
  <si>
    <r>
      <rPr>
        <sz val="11"/>
        <color theme="1"/>
        <rFont val="Calibri"/>
        <family val="2"/>
        <charset val="1"/>
      </rPr>
      <t xml:space="preserve">https://www.gartner.com/en/newsroom</t>
    </r>
    <r>
      <rPr>
        <sz val="11"/>
        <color theme="1"/>
        <rFont val="Noto Sans CJK SC"/>
        <family val="2"/>
      </rPr>
      <t xml:space="preserve">（本次未重新查核）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</si>
  <si>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分流幅度的參考（第三方預測）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</si>
  <si>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</si>
  <si>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Apple Eddy Cue </t>
    </r>
    <r>
      <rPr>
        <sz val="11"/>
        <color theme="1"/>
        <rFont val="Noto Sans CJK SC"/>
        <family val="2"/>
      </rPr>
      <t xml:space="preserve">美國司法部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案證詞（媒體轉述）</t>
    </r>
  </si>
  <si>
    <t xml:space="preserve">2025-05-07</t>
  </si>
  <si>
    <t xml:space="preserve">（媒體轉述；本次未重新查核）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</si>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</sst>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0"/>
    <numFmt numFmtId="168" formatCode="0.000"/>
    <numFmt numFmtId="169" formatCode="0.00"/>
    <numFmt numFmtId="170" formatCode="#,##0.0"/>
    <numFmt numFmtId="171" formatCode="#,##0.00"/>
    <numFmt numFmtId="172" formatCode="@"/>
    <numFmt numFmtId="173" formatCode="0.00%"/>
    <numFmt numFmtId="174" formatCode="0"/>
    <numFmt numFmtId="175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"&amp;TEXT(px,"0.00")&amp;"，2026-10-26）"</f>
        <v>投資建議：中立（加權目標價 US$248.94，上檔空間 -21.4%；現價 316.80，2026-10-26）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"&amp;TEXT(Val!B17,"0")&amp;"／"&amp;TEXT(Val!C17,"0")&amp;"／"&amp;TEXT(Val!D17,"0")&amp;"，DCF 終值占 EV "&amp;TEXT(Val!C19,"0%")&amp;"（B）。市場共識目標價 "&amp;TEXT(cons_tp,"0")&amp;"。"</f>
        <v>重點觀察 1：目標價 249＝DCF 180、分部加總 318 各半；情境 A／B／C 為 273／253／216，DCF 終值占 EV 74%（B）。市場共識目標價 429。</v>
      </c>
    </row>
    <row r="7" customFormat="false" ht="48.5" hidden="false" customHeight="false" outlineLevel="0" collapsed="false">
      <c r="A7" s="1" t="str">
        <f aca="false">"重點觀察 2：C 情境 FY2028 Search &amp; other "&amp;TEXT(PL!I131,"0.0")&amp;"（比 B 少 "&amp;TEXT(1-PL!I131/PL!I72,"0.0%")&amp;"），Google Services 營業利益率 "&amp;TEXT(PL!I169,"0.0%")&amp;"（B "&amp;TEXT(PL!I110,"0.0%")&amp;"）；同年 Cloud AI 營收 "&amp;TEXT(PL!I77,"0.0")&amp;"、Google Cloud 營業利益 "&amp;TEXT(PL!I94,"0.0")&amp;"，Cloud 營業利益比 FY2025 增加 "&amp;TEXT(PL!I94-PL!D94,"0.0")&amp;"，是 C 情境 Services 營業利益損失 "&amp;TEXT(PL!I91-PL!I150,"0.0")&amp;" 的 "&amp;TEXT((PL!I94-PL!D94)/(PL!I91-PL!I150),"0%")&amp;"（Cloud 的成長足以抵銷搜尋被侵蝕的利潤）。"</f>
        <v>重點觀察 2：C 情境 FY2028 Search &amp; other 290.1（比 B 少 14.5%），Google Services 營業利益率 32.1%（B 35.8%）；同年 Cloud AI 營收 56.7、Google Cloud 營業利益 62.1，Cloud 營業利益比 FY2025 增加 48.2，是 C 情境 Services 營業利益損失 34.2 的 141%（Cloud 的成長足以抵銷搜尋被侵蝕的利潤）。</v>
      </c>
    </row>
    <row r="8" customFormat="false" ht="32.8" hidden="false" customHeight="false" outlineLevel="0" collapsed="false">
      <c r="A8" s="1" t="str">
        <f aca="false">"重點觀察 3：AI 折舊進損益——情境 B 新增 AI 折舊 FY2028 "&amp;TEXT(PL!I104,"0.0")&amp;"，合併營業利益率由 FY2025 "&amp;TEXT(PL!D109,"0.0%")&amp;" 變為 FY2028 "&amp;TEXT(PL!I109,"0.0%")&amp;"；收支關卡（FY2026–2030 自由現金流扣股利合計）B "&amp;TEXT(CF!C6,"0.0")&amp;"，"&amp;CF!C9&amp;"。"</f>
        <v>重點觀察 3：AI 折舊進損益——情境 B 新增 AI 折舊 FY2028 62.0，合併營業利益率由 FY2025 32.0% 變為 FY2028 24.2%；收支關卡（FY2026–2030 自由現金流扣股利合計）B 180.0，不需舉債，回購照目標。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4" t="s">
        <v>34</v>
      </c>
    </row>
    <row r="22" customFormat="false" ht="17.15" hidden="false" customHeight="false" outlineLevel="0" collapsed="false">
      <c r="A22" s="0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4" t="s">
        <v>37</v>
      </c>
    </row>
    <row r="25" customFormat="false" ht="17.15" hidden="false" customHeight="false" outlineLevel="0" collapsed="false">
      <c r="A25" s="4" t="s">
        <v>38</v>
      </c>
    </row>
    <row r="27" customFormat="false" ht="17.15" hidden="false" customHeight="false" outlineLevel="0" collapsed="false">
      <c r="A27" s="2" t="s">
        <v>39</v>
      </c>
    </row>
    <row r="28" customFormat="false" ht="17.15" hidden="false" customHeight="false" outlineLevel="0" collapsed="false">
      <c r="A28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41</v>
      </c>
    </row>
    <row r="2" customFormat="false" ht="17.15" hidden="false" customHeight="false" outlineLevel="0" collapsed="false">
      <c r="A2" s="4" t="s">
        <v>42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</row>
    <row r="4" customFormat="false" ht="17.15" hidden="false" customHeight="false" outlineLevel="0" collapsed="false">
      <c r="A4" s="5" t="s">
        <v>52</v>
      </c>
    </row>
    <row r="5" customFormat="false" ht="17.15" hidden="false" customHeight="false" outlineLevel="0" collapsed="false">
      <c r="A5" s="0" t="s">
        <v>53</v>
      </c>
      <c r="B5" s="4" t="s">
        <v>54</v>
      </c>
      <c r="C5" s="0" t="s">
        <v>55</v>
      </c>
      <c r="E5" s="6" t="n">
        <v>316.8</v>
      </c>
      <c r="G5" s="7" t="s">
        <v>56</v>
      </c>
      <c r="H5" s="7" t="s">
        <v>57</v>
      </c>
      <c r="I5" s="4" t="s">
        <v>58</v>
      </c>
    </row>
    <row r="6" customFormat="false" ht="17.15" hidden="false" customHeight="false" outlineLevel="0" collapsed="false">
      <c r="A6" s="0" t="s">
        <v>59</v>
      </c>
      <c r="B6" s="4" t="s">
        <v>60</v>
      </c>
      <c r="C6" s="4" t="s">
        <v>61</v>
      </c>
      <c r="E6" s="6" t="n">
        <v>12.23</v>
      </c>
      <c r="G6" s="7" t="s">
        <v>56</v>
      </c>
      <c r="H6" s="7" t="s">
        <v>62</v>
      </c>
    </row>
    <row r="7" customFormat="false" ht="17.15" hidden="false" customHeight="false" outlineLevel="0" collapsed="false">
      <c r="A7" s="0" t="s">
        <v>63</v>
      </c>
      <c r="B7" s="0" t="s">
        <v>64</v>
      </c>
      <c r="C7" s="4" t="s">
        <v>61</v>
      </c>
      <c r="E7" s="6" t="n">
        <v>12.309</v>
      </c>
      <c r="G7" s="7" t="s">
        <v>65</v>
      </c>
      <c r="H7" s="7" t="s">
        <v>66</v>
      </c>
    </row>
    <row r="8" customFormat="false" ht="17.15" hidden="false" customHeight="false" outlineLevel="0" collapsed="false">
      <c r="A8" s="0" t="s">
        <v>67</v>
      </c>
      <c r="B8" s="0" t="s">
        <v>68</v>
      </c>
      <c r="C8" s="4" t="s">
        <v>61</v>
      </c>
      <c r="E8" s="6" t="n">
        <v>12.151</v>
      </c>
      <c r="G8" s="7" t="s">
        <v>65</v>
      </c>
      <c r="H8" s="7" t="s">
        <v>69</v>
      </c>
      <c r="I8" s="7" t="s">
        <v>70</v>
      </c>
    </row>
    <row r="9" customFormat="false" ht="17.15" hidden="false" customHeight="false" outlineLevel="0" collapsed="false">
      <c r="A9" s="0" t="s">
        <v>71</v>
      </c>
      <c r="B9" s="4" t="s">
        <v>72</v>
      </c>
      <c r="C9" s="4" t="s">
        <v>61</v>
      </c>
      <c r="D9" s="6" t="n">
        <v>0.0436</v>
      </c>
      <c r="E9" s="6" t="n">
        <v>0.0546</v>
      </c>
      <c r="F9" s="6" t="n">
        <v>0.0546</v>
      </c>
      <c r="G9" s="7" t="s">
        <v>65</v>
      </c>
      <c r="H9" s="7" t="s">
        <v>73</v>
      </c>
      <c r="I9" s="4" t="s">
        <v>74</v>
      </c>
    </row>
    <row r="10" customFormat="false" ht="17.15" hidden="false" customHeight="false" outlineLevel="0" collapsed="false">
      <c r="A10" s="0" t="s">
        <v>75</v>
      </c>
      <c r="B10" s="4" t="s">
        <v>76</v>
      </c>
      <c r="C10" s="0" t="s">
        <v>77</v>
      </c>
      <c r="E10" s="6" t="n">
        <v>155.411</v>
      </c>
      <c r="G10" s="7" t="s">
        <v>78</v>
      </c>
      <c r="H10" s="7" t="s">
        <v>79</v>
      </c>
      <c r="I10" s="4" t="s">
        <v>80</v>
      </c>
    </row>
    <row r="11" customFormat="false" ht="17.15" hidden="false" customHeight="false" outlineLevel="0" collapsed="false">
      <c r="A11" s="0" t="s">
        <v>81</v>
      </c>
      <c r="B11" s="4" t="s">
        <v>82</v>
      </c>
      <c r="C11" s="0" t="s">
        <v>77</v>
      </c>
      <c r="E11" s="6" t="n">
        <v>120.53</v>
      </c>
      <c r="G11" s="7" t="s">
        <v>78</v>
      </c>
      <c r="H11" s="7" t="s">
        <v>83</v>
      </c>
    </row>
    <row r="12" customFormat="false" ht="17.15" hidden="false" customHeight="false" outlineLevel="0" collapsed="false">
      <c r="A12" s="0" t="s">
        <v>84</v>
      </c>
      <c r="B12" s="4" t="s">
        <v>85</v>
      </c>
      <c r="C12" s="0" t="s">
        <v>77</v>
      </c>
      <c r="E12" s="6" t="n">
        <v>101.085</v>
      </c>
      <c r="G12" s="7" t="s">
        <v>65</v>
      </c>
      <c r="H12" s="7" t="s">
        <v>86</v>
      </c>
    </row>
    <row r="13" customFormat="false" ht="17.15" hidden="false" customHeight="false" outlineLevel="0" collapsed="false">
      <c r="A13" s="0" t="s">
        <v>87</v>
      </c>
      <c r="B13" s="4" t="s">
        <v>88</v>
      </c>
      <c r="C13" s="0" t="s">
        <v>77</v>
      </c>
      <c r="E13" s="6" t="n">
        <v>17.356</v>
      </c>
      <c r="G13" s="7" t="s">
        <v>65</v>
      </c>
      <c r="H13" s="7" t="s">
        <v>89</v>
      </c>
      <c r="I13" s="7" t="s">
        <v>90</v>
      </c>
    </row>
    <row r="14" customFormat="false" ht="17.15" hidden="false" customHeight="false" outlineLevel="0" collapsed="false">
      <c r="A14" s="0" t="s">
        <v>91</v>
      </c>
      <c r="B14" s="4" t="s">
        <v>92</v>
      </c>
      <c r="C14" s="0" t="s">
        <v>77</v>
      </c>
      <c r="E14" s="6" t="n">
        <v>7.1</v>
      </c>
      <c r="G14" s="7" t="s">
        <v>65</v>
      </c>
      <c r="H14" s="7" t="s">
        <v>93</v>
      </c>
    </row>
    <row r="15" customFormat="false" ht="17.15" hidden="false" customHeight="false" outlineLevel="0" collapsed="false">
      <c r="A15" s="5" t="s">
        <v>94</v>
      </c>
    </row>
    <row r="16" customFormat="false" ht="17.15" hidden="false" customHeight="false" outlineLevel="0" collapsed="false">
      <c r="A16" s="0" t="s">
        <v>95</v>
      </c>
      <c r="B16" s="0" t="s">
        <v>96</v>
      </c>
      <c r="C16" s="0" t="s">
        <v>77</v>
      </c>
      <c r="E16" s="6" t="n">
        <v>965</v>
      </c>
      <c r="G16" s="7" t="s">
        <v>65</v>
      </c>
      <c r="H16" s="7" t="s">
        <v>97</v>
      </c>
    </row>
    <row r="17" customFormat="false" ht="17.15" hidden="false" customHeight="false" outlineLevel="0" collapsed="false">
      <c r="A17" s="0" t="s">
        <v>98</v>
      </c>
      <c r="B17" s="0" t="s">
        <v>99</v>
      </c>
      <c r="C17" s="0" t="s">
        <v>100</v>
      </c>
      <c r="D17" s="8" t="n">
        <v>0.11</v>
      </c>
      <c r="E17" s="8" t="n">
        <v>0.125</v>
      </c>
      <c r="F17" s="8" t="n">
        <v>0.14</v>
      </c>
      <c r="G17" s="7" t="s">
        <v>101</v>
      </c>
      <c r="H17" s="4" t="s">
        <v>102</v>
      </c>
    </row>
    <row r="18" customFormat="false" ht="17.15" hidden="false" customHeight="false" outlineLevel="0" collapsed="false">
      <c r="A18" s="9" t="s">
        <v>103</v>
      </c>
      <c r="B18" s="10" t="s">
        <v>104</v>
      </c>
      <c r="C18" s="9" t="s">
        <v>100</v>
      </c>
      <c r="D18" s="11" t="n">
        <v>0</v>
      </c>
      <c r="E18" s="11" t="n">
        <v>0.2</v>
      </c>
      <c r="F18" s="11" t="n">
        <v>0.4</v>
      </c>
      <c r="G18" s="9" t="s">
        <v>101</v>
      </c>
      <c r="H18" s="10" t="s">
        <v>105</v>
      </c>
      <c r="I18" s="9"/>
    </row>
    <row r="19" customFormat="false" ht="17.15" hidden="false" customHeight="false" outlineLevel="0" collapsed="false">
      <c r="A19" s="0" t="s">
        <v>106</v>
      </c>
      <c r="B19" s="0" t="s">
        <v>107</v>
      </c>
      <c r="C19" s="0" t="s">
        <v>77</v>
      </c>
      <c r="E19" s="6" t="n">
        <v>94.1</v>
      </c>
      <c r="G19" s="7" t="s">
        <v>65</v>
      </c>
      <c r="H19" s="7" t="s">
        <v>108</v>
      </c>
      <c r="I19" s="4" t="s">
        <v>109</v>
      </c>
    </row>
    <row r="20" customFormat="false" ht="17.15" hidden="false" customHeight="false" outlineLevel="0" collapsed="false">
      <c r="A20" s="0" t="s">
        <v>110</v>
      </c>
      <c r="B20" s="4" t="s">
        <v>111</v>
      </c>
      <c r="C20" s="0" t="s">
        <v>77</v>
      </c>
      <c r="E20" s="6" t="n">
        <v>7.089</v>
      </c>
      <c r="G20" s="7" t="s">
        <v>78</v>
      </c>
      <c r="H20" s="4" t="s">
        <v>112</v>
      </c>
    </row>
    <row r="21" customFormat="false" ht="17.15" hidden="false" customHeight="false" outlineLevel="0" collapsed="false">
      <c r="A21" s="5" t="s">
        <v>113</v>
      </c>
    </row>
    <row r="22" customFormat="false" ht="17.15" hidden="false" customHeight="false" outlineLevel="0" collapsed="false">
      <c r="A22" s="0" t="s">
        <v>114</v>
      </c>
      <c r="B22" s="4" t="s">
        <v>115</v>
      </c>
      <c r="C22" s="0" t="s">
        <v>100</v>
      </c>
      <c r="E22" s="8" t="n">
        <v>0.0528</v>
      </c>
      <c r="G22" s="7" t="s">
        <v>56</v>
      </c>
      <c r="H22" s="7" t="s">
        <v>116</v>
      </c>
      <c r="I22" s="4" t="s">
        <v>117</v>
      </c>
    </row>
    <row r="23" customFormat="false" ht="17.15" hidden="false" customHeight="false" outlineLevel="0" collapsed="false">
      <c r="A23" s="0" t="s">
        <v>118</v>
      </c>
      <c r="B23" s="4" t="s">
        <v>119</v>
      </c>
      <c r="C23" s="0" t="s">
        <v>120</v>
      </c>
      <c r="E23" s="12" t="n">
        <v>1.21</v>
      </c>
      <c r="G23" s="7" t="s">
        <v>56</v>
      </c>
      <c r="H23" s="7" t="s">
        <v>121</v>
      </c>
      <c r="I23" s="4" t="s">
        <v>117</v>
      </c>
    </row>
    <row r="24" customFormat="false" ht="17.15" hidden="false" customHeight="false" outlineLevel="0" collapsed="false">
      <c r="A24" s="0" t="s">
        <v>122</v>
      </c>
      <c r="B24" s="4" t="s">
        <v>123</v>
      </c>
      <c r="C24" s="0" t="s">
        <v>120</v>
      </c>
      <c r="E24" s="12" t="n">
        <v>1.3669</v>
      </c>
      <c r="G24" s="7" t="s">
        <v>56</v>
      </c>
      <c r="H24" s="7" t="s">
        <v>124</v>
      </c>
      <c r="I24" s="4" t="s">
        <v>125</v>
      </c>
    </row>
    <row r="25" customFormat="false" ht="17.15" hidden="false" customHeight="false" outlineLevel="0" collapsed="false">
      <c r="A25" s="0" t="s">
        <v>126</v>
      </c>
      <c r="B25" s="0" t="s">
        <v>127</v>
      </c>
      <c r="C25" s="0" t="s">
        <v>120</v>
      </c>
      <c r="E25" s="12" t="n">
        <v>0.67</v>
      </c>
      <c r="G25" s="7" t="s">
        <v>78</v>
      </c>
      <c r="H25" s="7" t="s">
        <v>128</v>
      </c>
    </row>
    <row r="26" customFormat="false" ht="17.15" hidden="false" customHeight="false" outlineLevel="0" collapsed="false">
      <c r="A26" s="0" t="s">
        <v>129</v>
      </c>
      <c r="B26" s="0" t="s">
        <v>130</v>
      </c>
      <c r="C26" s="0" t="s">
        <v>120</v>
      </c>
      <c r="D26" s="12" t="n">
        <v>1.1407</v>
      </c>
      <c r="E26" s="13" t="n">
        <f aca="false">MEDIAN(blume_a*beta_sa+1-blume_a,blume_a*beta_gf+1-blume_a)</f>
        <v>1.1932615</v>
      </c>
      <c r="F26" s="12" t="n">
        <v>1.2458</v>
      </c>
      <c r="G26" s="7" t="s">
        <v>78</v>
      </c>
      <c r="H26" s="4" t="s">
        <v>131</v>
      </c>
      <c r="I26" s="4" t="s">
        <v>132</v>
      </c>
    </row>
    <row r="27" customFormat="false" ht="17.15" hidden="false" customHeight="false" outlineLevel="0" collapsed="false">
      <c r="A27" s="0" t="s">
        <v>133</v>
      </c>
      <c r="B27" s="4" t="s">
        <v>134</v>
      </c>
      <c r="C27" s="0" t="s">
        <v>100</v>
      </c>
      <c r="D27" s="8" t="n">
        <v>0.04</v>
      </c>
      <c r="E27" s="8" t="n">
        <v>0.05</v>
      </c>
      <c r="F27" s="8" t="n">
        <v>0.06</v>
      </c>
      <c r="G27" s="7" t="s">
        <v>101</v>
      </c>
      <c r="H27" s="4" t="s">
        <v>135</v>
      </c>
    </row>
    <row r="28" customFormat="false" ht="17.15" hidden="false" customHeight="false" outlineLevel="0" collapsed="false">
      <c r="A28" s="0" t="s">
        <v>136</v>
      </c>
      <c r="B28" s="4" t="s">
        <v>137</v>
      </c>
      <c r="C28" s="0" t="s">
        <v>100</v>
      </c>
      <c r="D28" s="8" t="n">
        <v>0.004</v>
      </c>
      <c r="E28" s="8" t="n">
        <v>0.006</v>
      </c>
      <c r="F28" s="8" t="n">
        <v>0.009</v>
      </c>
      <c r="G28" s="7" t="s">
        <v>101</v>
      </c>
      <c r="H28" s="4" t="s">
        <v>138</v>
      </c>
    </row>
    <row r="29" customFormat="false" ht="17.15" hidden="false" customHeight="false" outlineLevel="0" collapsed="false">
      <c r="A29" s="0" t="s">
        <v>139</v>
      </c>
      <c r="B29" s="4" t="s">
        <v>140</v>
      </c>
      <c r="C29" s="0" t="s">
        <v>100</v>
      </c>
      <c r="E29" s="14" t="n">
        <f aca="false">rf+kd_sp</f>
        <v>0.0588</v>
      </c>
      <c r="G29" s="7" t="s">
        <v>78</v>
      </c>
      <c r="H29" s="4" t="s">
        <v>141</v>
      </c>
      <c r="I29" s="7" t="s">
        <v>142</v>
      </c>
    </row>
    <row r="30" customFormat="false" ht="17.15" hidden="false" customHeight="false" outlineLevel="0" collapsed="false">
      <c r="A30" s="0" t="s">
        <v>143</v>
      </c>
      <c r="B30" s="4" t="s">
        <v>144</v>
      </c>
      <c r="C30" s="0" t="s">
        <v>77</v>
      </c>
      <c r="E30" s="6" t="n">
        <v>2.59</v>
      </c>
      <c r="G30" s="7" t="s">
        <v>65</v>
      </c>
      <c r="H30" s="7" t="s">
        <v>145</v>
      </c>
      <c r="I30" s="4" t="s">
        <v>146</v>
      </c>
    </row>
    <row r="31" customFormat="false" ht="17.15" hidden="false" customHeight="false" outlineLevel="0" collapsed="false">
      <c r="A31" s="0" t="s">
        <v>147</v>
      </c>
      <c r="B31" s="0" t="s">
        <v>148</v>
      </c>
      <c r="C31" s="0" t="s">
        <v>100</v>
      </c>
      <c r="D31" s="8" t="n">
        <v>-0.01</v>
      </c>
      <c r="E31" s="8" t="n">
        <v>0</v>
      </c>
      <c r="F31" s="8" t="n">
        <v>0.01</v>
      </c>
      <c r="G31" s="7" t="s">
        <v>101</v>
      </c>
      <c r="H31" s="4" t="s">
        <v>149</v>
      </c>
    </row>
    <row r="32" customFormat="false" ht="17.15" hidden="false" customHeight="false" outlineLevel="0" collapsed="false">
      <c r="A32" s="0" t="s">
        <v>150</v>
      </c>
      <c r="B32" s="0" t="s">
        <v>151</v>
      </c>
      <c r="C32" s="0" t="s">
        <v>100</v>
      </c>
      <c r="E32" s="8" t="n">
        <v>0.168</v>
      </c>
      <c r="G32" s="7" t="s">
        <v>78</v>
      </c>
      <c r="H32" s="7" t="s">
        <v>152</v>
      </c>
      <c r="I32" s="4" t="s">
        <v>117</v>
      </c>
    </row>
    <row r="33" customFormat="false" ht="17.15" hidden="false" customHeight="false" outlineLevel="0" collapsed="false">
      <c r="A33" s="9" t="s">
        <v>153</v>
      </c>
      <c r="B33" s="10" t="s">
        <v>154</v>
      </c>
      <c r="C33" s="9" t="s">
        <v>100</v>
      </c>
      <c r="D33" s="11" t="n">
        <v>0.02</v>
      </c>
      <c r="E33" s="11" t="n">
        <v>0.03</v>
      </c>
      <c r="F33" s="11" t="n">
        <v>0.04</v>
      </c>
      <c r="G33" s="9" t="s">
        <v>101</v>
      </c>
      <c r="H33" s="10" t="s">
        <v>155</v>
      </c>
      <c r="I33" s="9"/>
    </row>
    <row r="34" customFormat="false" ht="17.15" hidden="false" customHeight="false" outlineLevel="0" collapsed="false">
      <c r="A34" s="9" t="s">
        <v>156</v>
      </c>
      <c r="B34" s="10" t="s">
        <v>157</v>
      </c>
      <c r="C34" s="9" t="s">
        <v>100</v>
      </c>
      <c r="D34" s="9"/>
      <c r="E34" s="11" t="n">
        <v>0</v>
      </c>
      <c r="F34" s="11" t="n">
        <v>0.05</v>
      </c>
      <c r="G34" s="9" t="s">
        <v>101</v>
      </c>
      <c r="H34" s="10" t="s">
        <v>158</v>
      </c>
      <c r="I34" s="9" t="s">
        <v>159</v>
      </c>
    </row>
    <row r="35" customFormat="false" ht="17.15" hidden="false" customHeight="false" outlineLevel="0" collapsed="false">
      <c r="A35" s="0" t="s">
        <v>160</v>
      </c>
      <c r="B35" s="4" t="s">
        <v>161</v>
      </c>
      <c r="C35" s="4" t="s">
        <v>162</v>
      </c>
      <c r="E35" s="6" t="n">
        <v>0.5</v>
      </c>
      <c r="G35" s="7" t="s">
        <v>78</v>
      </c>
      <c r="H35" s="4" t="s">
        <v>163</v>
      </c>
    </row>
    <row r="36" customFormat="false" ht="17.15" hidden="false" customHeight="false" outlineLevel="0" collapsed="false">
      <c r="A36" s="0" t="s">
        <v>164</v>
      </c>
      <c r="B36" s="0" t="s">
        <v>165</v>
      </c>
      <c r="C36" s="4" t="s">
        <v>162</v>
      </c>
      <c r="E36" s="6" t="n">
        <v>0.25</v>
      </c>
      <c r="G36" s="7" t="s">
        <v>78</v>
      </c>
      <c r="H36" s="7" t="s">
        <v>166</v>
      </c>
    </row>
    <row r="37" customFormat="false" ht="17.15" hidden="false" customHeight="false" outlineLevel="0" collapsed="false">
      <c r="A37" s="9" t="s">
        <v>167</v>
      </c>
      <c r="B37" s="10" t="s">
        <v>168</v>
      </c>
      <c r="C37" s="9" t="s">
        <v>100</v>
      </c>
      <c r="D37" s="9"/>
      <c r="E37" s="11" t="n">
        <v>0.25</v>
      </c>
      <c r="F37" s="9"/>
      <c r="G37" s="9" t="s">
        <v>101</v>
      </c>
      <c r="H37" s="10" t="s">
        <v>169</v>
      </c>
      <c r="I37" s="9"/>
    </row>
    <row r="38" customFormat="false" ht="17.15" hidden="false" customHeight="false" outlineLevel="0" collapsed="false">
      <c r="A38" s="9" t="s">
        <v>170</v>
      </c>
      <c r="B38" s="10" t="s">
        <v>171</v>
      </c>
      <c r="C38" s="9" t="s">
        <v>100</v>
      </c>
      <c r="D38" s="9"/>
      <c r="E38" s="11" t="n">
        <v>0.5</v>
      </c>
      <c r="F38" s="9"/>
      <c r="G38" s="9" t="s">
        <v>101</v>
      </c>
      <c r="H38" s="10" t="s">
        <v>172</v>
      </c>
      <c r="I38" s="9"/>
    </row>
    <row r="39" customFormat="false" ht="17.15" hidden="false" customHeight="false" outlineLevel="0" collapsed="false">
      <c r="A39" s="9" t="s">
        <v>173</v>
      </c>
      <c r="B39" s="10" t="s">
        <v>174</v>
      </c>
      <c r="C39" s="9" t="s">
        <v>100</v>
      </c>
      <c r="D39" s="9"/>
      <c r="E39" s="11" t="n">
        <v>0.25</v>
      </c>
      <c r="F39" s="9"/>
      <c r="G39" s="9" t="s">
        <v>101</v>
      </c>
      <c r="H39" s="10" t="s">
        <v>172</v>
      </c>
      <c r="I39" s="9"/>
    </row>
    <row r="40" customFormat="false" ht="17.15" hidden="false" customHeight="false" outlineLevel="0" collapsed="false">
      <c r="A40" s="9" t="s">
        <v>175</v>
      </c>
      <c r="B40" s="10" t="s">
        <v>176</v>
      </c>
      <c r="C40" s="9" t="s">
        <v>100</v>
      </c>
      <c r="D40" s="11" t="n">
        <v>0.3</v>
      </c>
      <c r="E40" s="11" t="n">
        <v>0.5</v>
      </c>
      <c r="F40" s="11" t="n">
        <v>0.7</v>
      </c>
      <c r="G40" s="9" t="s">
        <v>101</v>
      </c>
      <c r="H40" s="10" t="s">
        <v>177</v>
      </c>
      <c r="I40" s="9"/>
    </row>
    <row r="41" customFormat="false" ht="17.15" hidden="false" customHeight="false" outlineLevel="0" collapsed="false">
      <c r="A41" s="0" t="s">
        <v>178</v>
      </c>
      <c r="B41" s="4" t="s">
        <v>179</v>
      </c>
      <c r="C41" s="4" t="s">
        <v>162</v>
      </c>
      <c r="E41" s="6" t="n">
        <v>1.3233</v>
      </c>
      <c r="G41" s="7" t="s">
        <v>78</v>
      </c>
      <c r="H41" s="7" t="s">
        <v>180</v>
      </c>
      <c r="I41" s="4" t="s">
        <v>181</v>
      </c>
    </row>
    <row r="42" customFormat="false" ht="17.15" hidden="false" customHeight="false" outlineLevel="0" collapsed="false">
      <c r="A42" s="0" t="s">
        <v>182</v>
      </c>
      <c r="B42" s="4" t="s">
        <v>183</v>
      </c>
      <c r="C42" s="0" t="s">
        <v>100</v>
      </c>
      <c r="E42" s="8" t="n">
        <v>0.1781</v>
      </c>
      <c r="G42" s="7" t="s">
        <v>78</v>
      </c>
      <c r="H42" s="7" t="s">
        <v>184</v>
      </c>
      <c r="I42" s="4" t="s">
        <v>185</v>
      </c>
    </row>
    <row r="43" customFormat="false" ht="17.15" hidden="false" customHeight="false" outlineLevel="0" collapsed="false">
      <c r="A43" s="0" t="s">
        <v>186</v>
      </c>
      <c r="B43" s="4" t="s">
        <v>187</v>
      </c>
      <c r="C43" s="0" t="s">
        <v>55</v>
      </c>
      <c r="E43" s="6" t="n">
        <v>429.12</v>
      </c>
      <c r="G43" s="7" t="s">
        <v>65</v>
      </c>
      <c r="H43" s="7" t="s">
        <v>188</v>
      </c>
      <c r="I43" s="7" t="s">
        <v>189</v>
      </c>
    </row>
    <row r="44" customFormat="false" ht="17.15" hidden="false" customHeight="false" outlineLevel="0" collapsed="false">
      <c r="A44" s="0" t="s">
        <v>190</v>
      </c>
      <c r="B44" s="4" t="s">
        <v>191</v>
      </c>
      <c r="C44" s="0" t="s">
        <v>55</v>
      </c>
      <c r="E44" s="15" t="n">
        <f aca="false">dps/2+dps*(1+dps_g)*(1-w_ntm27)</f>
        <v>1.1994356</v>
      </c>
      <c r="G44" s="7" t="s">
        <v>78</v>
      </c>
      <c r="H44" s="7" t="s">
        <v>192</v>
      </c>
    </row>
    <row r="45" customFormat="false" ht="17.15" hidden="false" customHeight="false" outlineLevel="0" collapsed="false">
      <c r="A45" s="0" t="s">
        <v>193</v>
      </c>
      <c r="B45" s="4" t="s">
        <v>194</v>
      </c>
      <c r="C45" s="4" t="s">
        <v>162</v>
      </c>
      <c r="E45" s="6" t="n">
        <v>2026.82</v>
      </c>
      <c r="G45" s="7" t="s">
        <v>78</v>
      </c>
      <c r="H45" s="4" t="s">
        <v>195</v>
      </c>
    </row>
    <row r="46" customFormat="false" ht="17.15" hidden="false" customHeight="false" outlineLevel="0" collapsed="false">
      <c r="A46" s="9" t="s">
        <v>196</v>
      </c>
      <c r="B46" s="10" t="s">
        <v>197</v>
      </c>
      <c r="C46" s="9" t="s">
        <v>120</v>
      </c>
      <c r="D46" s="9"/>
      <c r="E46" s="16" t="n">
        <v>0</v>
      </c>
      <c r="F46" s="16" t="n">
        <v>1</v>
      </c>
      <c r="G46" s="9" t="s">
        <v>101</v>
      </c>
      <c r="H46" s="10" t="s">
        <v>198</v>
      </c>
      <c r="I46" s="9"/>
    </row>
    <row r="47" customFormat="false" ht="17.15" hidden="false" customHeight="false" outlineLevel="0" collapsed="false">
      <c r="A47" s="9" t="s">
        <v>199</v>
      </c>
      <c r="B47" s="10" t="s">
        <v>200</v>
      </c>
      <c r="C47" s="9" t="s">
        <v>120</v>
      </c>
      <c r="D47" s="16" t="n">
        <v>1</v>
      </c>
      <c r="E47" s="16" t="n">
        <v>2</v>
      </c>
      <c r="F47" s="9"/>
      <c r="G47" s="9" t="s">
        <v>101</v>
      </c>
      <c r="H47" s="10" t="s">
        <v>201</v>
      </c>
      <c r="I47" s="10" t="s">
        <v>202</v>
      </c>
    </row>
    <row r="48" customFormat="false" ht="17.15" hidden="false" customHeight="false" outlineLevel="0" collapsed="false">
      <c r="A48" s="9" t="s">
        <v>203</v>
      </c>
      <c r="B48" s="9" t="s">
        <v>204</v>
      </c>
      <c r="C48" s="9" t="s">
        <v>120</v>
      </c>
      <c r="D48" s="9"/>
      <c r="E48" s="16" t="n">
        <v>0</v>
      </c>
      <c r="F48" s="16" t="n">
        <v>1</v>
      </c>
      <c r="G48" s="9" t="s">
        <v>101</v>
      </c>
      <c r="H48" s="10" t="s">
        <v>205</v>
      </c>
      <c r="I48" s="9"/>
    </row>
    <row r="49" customFormat="false" ht="17.15" hidden="false" customHeight="false" outlineLevel="0" collapsed="false">
      <c r="A49" s="9" t="s">
        <v>206</v>
      </c>
      <c r="B49" s="10" t="s">
        <v>207</v>
      </c>
      <c r="C49" s="9" t="s">
        <v>120</v>
      </c>
      <c r="D49" s="9"/>
      <c r="E49" s="16" t="n">
        <v>0</v>
      </c>
      <c r="F49" s="16" t="n">
        <v>1</v>
      </c>
      <c r="G49" s="9" t="s">
        <v>101</v>
      </c>
      <c r="H49" s="10" t="s">
        <v>208</v>
      </c>
      <c r="I49" s="9"/>
    </row>
    <row r="50" customFormat="false" ht="17.15" hidden="false" customHeight="false" outlineLevel="0" collapsed="false">
      <c r="A50" s="5" t="s">
        <v>209</v>
      </c>
    </row>
    <row r="51" customFormat="false" ht="17.15" hidden="false" customHeight="false" outlineLevel="0" collapsed="false">
      <c r="A51" s="0" t="s">
        <v>210</v>
      </c>
      <c r="B51" s="4" t="s">
        <v>211</v>
      </c>
      <c r="C51" s="0" t="s">
        <v>120</v>
      </c>
      <c r="E51" s="12" t="n">
        <v>10.79</v>
      </c>
      <c r="G51" s="7" t="s">
        <v>78</v>
      </c>
      <c r="H51" s="7" t="s">
        <v>212</v>
      </c>
      <c r="I51" s="7" t="s">
        <v>213</v>
      </c>
    </row>
    <row r="52" customFormat="false" ht="17.15" hidden="false" customHeight="false" outlineLevel="0" collapsed="false">
      <c r="A52" s="0" t="s">
        <v>214</v>
      </c>
      <c r="B52" s="4" t="s">
        <v>215</v>
      </c>
      <c r="C52" s="0" t="s">
        <v>120</v>
      </c>
      <c r="E52" s="12" t="n">
        <v>6.91</v>
      </c>
      <c r="G52" s="7" t="s">
        <v>78</v>
      </c>
      <c r="H52" s="7" t="s">
        <v>212</v>
      </c>
      <c r="I52" s="7" t="s">
        <v>213</v>
      </c>
    </row>
    <row r="53" customFormat="false" ht="17.15" hidden="false" customHeight="false" outlineLevel="0" collapsed="false">
      <c r="A53" s="0" t="s">
        <v>216</v>
      </c>
      <c r="B53" s="4" t="s">
        <v>217</v>
      </c>
      <c r="C53" s="0" t="s">
        <v>120</v>
      </c>
      <c r="E53" s="12" t="n">
        <v>6.53</v>
      </c>
      <c r="G53" s="7" t="s">
        <v>78</v>
      </c>
      <c r="H53" s="7" t="s">
        <v>212</v>
      </c>
      <c r="I53" s="7" t="s">
        <v>213</v>
      </c>
    </row>
    <row r="54" customFormat="false" ht="17.15" hidden="false" customHeight="false" outlineLevel="0" collapsed="false">
      <c r="A54" s="0" t="s">
        <v>218</v>
      </c>
      <c r="B54" s="4" t="s">
        <v>219</v>
      </c>
      <c r="C54" s="0" t="s">
        <v>120</v>
      </c>
      <c r="E54" s="12" t="n">
        <v>11.38</v>
      </c>
      <c r="G54" s="7" t="s">
        <v>78</v>
      </c>
      <c r="H54" s="7" t="s">
        <v>212</v>
      </c>
      <c r="I54" s="7" t="s">
        <v>213</v>
      </c>
    </row>
    <row r="55" customFormat="false" ht="17.15" hidden="false" customHeight="false" outlineLevel="0" collapsed="false">
      <c r="A55" s="0" t="s">
        <v>220</v>
      </c>
      <c r="B55" s="4" t="s">
        <v>221</v>
      </c>
      <c r="C55" s="0" t="s">
        <v>120</v>
      </c>
      <c r="E55" s="12" t="n">
        <v>13.63</v>
      </c>
      <c r="G55" s="7" t="s">
        <v>78</v>
      </c>
      <c r="H55" s="7" t="s">
        <v>212</v>
      </c>
      <c r="I55" s="7" t="s">
        <v>213</v>
      </c>
    </row>
    <row r="56" customFormat="false" ht="17.15" hidden="false" customHeight="false" outlineLevel="0" collapsed="false">
      <c r="A56" s="0" t="s">
        <v>222</v>
      </c>
      <c r="B56" s="4" t="s">
        <v>223</v>
      </c>
      <c r="C56" s="0" t="s">
        <v>120</v>
      </c>
      <c r="E56" s="12" t="n">
        <v>7.43</v>
      </c>
      <c r="G56" s="7" t="s">
        <v>78</v>
      </c>
      <c r="H56" s="7" t="s">
        <v>212</v>
      </c>
      <c r="I56" s="7" t="s">
        <v>213</v>
      </c>
    </row>
    <row r="57" customFormat="false" ht="17.15" hidden="false" customHeight="false" outlineLevel="0" collapsed="false">
      <c r="A57" s="0" t="s">
        <v>224</v>
      </c>
      <c r="B57" s="4" t="s">
        <v>225</v>
      </c>
      <c r="C57" s="0" t="s">
        <v>120</v>
      </c>
      <c r="E57" s="12" t="n">
        <v>15.41</v>
      </c>
      <c r="G57" s="7" t="s">
        <v>78</v>
      </c>
      <c r="H57" s="7" t="s">
        <v>226</v>
      </c>
      <c r="I57" s="7" t="s">
        <v>213</v>
      </c>
    </row>
    <row r="58" customFormat="false" ht="17.15" hidden="false" customHeight="false" outlineLevel="0" collapsed="false">
      <c r="A58" s="0" t="s">
        <v>227</v>
      </c>
      <c r="B58" s="4" t="s">
        <v>228</v>
      </c>
      <c r="C58" s="0" t="s">
        <v>120</v>
      </c>
      <c r="E58" s="12" t="n">
        <v>31.97</v>
      </c>
      <c r="G58" s="7" t="s">
        <v>78</v>
      </c>
      <c r="H58" s="7" t="s">
        <v>226</v>
      </c>
      <c r="I58" s="7" t="s">
        <v>213</v>
      </c>
    </row>
    <row r="59" customFormat="false" ht="17.15" hidden="false" customHeight="false" outlineLevel="0" collapsed="false">
      <c r="A59" s="0" t="s">
        <v>229</v>
      </c>
      <c r="B59" s="4" t="s">
        <v>230</v>
      </c>
      <c r="C59" s="0" t="s">
        <v>120</v>
      </c>
      <c r="E59" s="12" t="n">
        <v>10.58</v>
      </c>
      <c r="G59" s="7" t="s">
        <v>78</v>
      </c>
      <c r="H59" s="7" t="s">
        <v>226</v>
      </c>
      <c r="I59" s="7" t="s">
        <v>213</v>
      </c>
    </row>
    <row r="60" customFormat="false" ht="17.15" hidden="false" customHeight="false" outlineLevel="0" collapsed="false">
      <c r="A60" s="0" t="s">
        <v>231</v>
      </c>
      <c r="B60" s="4" t="s">
        <v>232</v>
      </c>
      <c r="C60" s="0" t="s">
        <v>120</v>
      </c>
      <c r="E60" s="12" t="n">
        <v>9.49</v>
      </c>
      <c r="G60" s="7" t="s">
        <v>78</v>
      </c>
      <c r="H60" s="7" t="s">
        <v>233</v>
      </c>
      <c r="I60" s="7" t="s">
        <v>213</v>
      </c>
    </row>
    <row r="61" customFormat="false" ht="17.15" hidden="false" customHeight="false" outlineLevel="0" collapsed="false">
      <c r="A61" s="0" t="s">
        <v>234</v>
      </c>
      <c r="B61" s="4" t="s">
        <v>235</v>
      </c>
      <c r="C61" s="0" t="s">
        <v>120</v>
      </c>
      <c r="E61" s="12" t="n">
        <v>12.51</v>
      </c>
      <c r="G61" s="7" t="s">
        <v>78</v>
      </c>
      <c r="H61" s="7" t="s">
        <v>233</v>
      </c>
      <c r="I61" s="7" t="s">
        <v>213</v>
      </c>
    </row>
    <row r="62" customFormat="false" ht="17.15" hidden="false" customHeight="false" outlineLevel="0" collapsed="false">
      <c r="A62" s="0" t="s">
        <v>236</v>
      </c>
      <c r="B62" s="4" t="s">
        <v>237</v>
      </c>
      <c r="C62" s="0" t="s">
        <v>120</v>
      </c>
      <c r="E62" s="12" t="n">
        <v>15.13</v>
      </c>
      <c r="G62" s="7" t="s">
        <v>78</v>
      </c>
      <c r="H62" s="7" t="s">
        <v>233</v>
      </c>
      <c r="I62" s="7" t="s">
        <v>213</v>
      </c>
    </row>
    <row r="63" customFormat="false" ht="17.15" hidden="false" customHeight="false" outlineLevel="0" collapsed="false">
      <c r="A63" s="0" t="s">
        <v>238</v>
      </c>
      <c r="B63" s="4" t="s">
        <v>239</v>
      </c>
      <c r="C63" s="0" t="s">
        <v>120</v>
      </c>
      <c r="E63" s="12" t="n">
        <v>10.81</v>
      </c>
      <c r="G63" s="7" t="s">
        <v>78</v>
      </c>
      <c r="H63" s="7" t="s">
        <v>233</v>
      </c>
      <c r="I63" s="7" t="s">
        <v>213</v>
      </c>
    </row>
    <row r="64" customFormat="false" ht="17.15" hidden="false" customHeight="false" outlineLevel="0" collapsed="false">
      <c r="A64" s="0" t="s">
        <v>240</v>
      </c>
      <c r="B64" s="4" t="s">
        <v>241</v>
      </c>
      <c r="C64" s="0" t="s">
        <v>120</v>
      </c>
      <c r="E64" s="12" t="n">
        <v>20.63</v>
      </c>
      <c r="G64" s="7" t="s">
        <v>78</v>
      </c>
      <c r="H64" s="7" t="s">
        <v>233</v>
      </c>
      <c r="I64" s="7" t="s">
        <v>213</v>
      </c>
    </row>
    <row r="65" customFormat="false" ht="17.15" hidden="false" customHeight="false" outlineLevel="0" collapsed="false">
      <c r="A65" s="0" t="s">
        <v>242</v>
      </c>
      <c r="B65" s="4" t="s">
        <v>243</v>
      </c>
      <c r="C65" s="0" t="s">
        <v>120</v>
      </c>
      <c r="E65" s="12" t="n">
        <v>9.7</v>
      </c>
      <c r="G65" s="7" t="s">
        <v>78</v>
      </c>
      <c r="H65" s="7" t="s">
        <v>233</v>
      </c>
      <c r="I65" s="7" t="s">
        <v>213</v>
      </c>
    </row>
    <row r="66" customFormat="false" ht="17.15" hidden="false" customHeight="false" outlineLevel="0" collapsed="false">
      <c r="A66" s="0" t="s">
        <v>244</v>
      </c>
      <c r="B66" s="4" t="s">
        <v>245</v>
      </c>
      <c r="C66" s="0" t="s">
        <v>120</v>
      </c>
      <c r="E66" s="12" t="n">
        <v>21.2</v>
      </c>
      <c r="G66" s="7" t="s">
        <v>78</v>
      </c>
      <c r="H66" s="7" t="s">
        <v>233</v>
      </c>
      <c r="I66" s="7" t="s">
        <v>213</v>
      </c>
    </row>
    <row r="67" customFormat="false" ht="17.15" hidden="false" customHeight="false" outlineLevel="0" collapsed="false">
      <c r="A67" s="0" t="s">
        <v>246</v>
      </c>
      <c r="B67" s="4" t="s">
        <v>247</v>
      </c>
      <c r="C67" s="0" t="s">
        <v>120</v>
      </c>
      <c r="E67" s="12" t="n">
        <v>24.49</v>
      </c>
      <c r="G67" s="7" t="s">
        <v>78</v>
      </c>
      <c r="H67" s="7" t="s">
        <v>233</v>
      </c>
      <c r="I67" s="7" t="s">
        <v>213</v>
      </c>
    </row>
    <row r="68" customFormat="false" ht="17.15" hidden="false" customHeight="false" outlineLevel="0" collapsed="false">
      <c r="A68" s="9" t="s">
        <v>248</v>
      </c>
      <c r="B68" s="9" t="s">
        <v>249</v>
      </c>
      <c r="C68" s="9" t="s">
        <v>120</v>
      </c>
      <c r="D68" s="16" t="n">
        <v>4</v>
      </c>
      <c r="E68" s="16" t="n">
        <v>6</v>
      </c>
      <c r="F68" s="16" t="n">
        <v>10</v>
      </c>
      <c r="G68" s="9" t="s">
        <v>101</v>
      </c>
      <c r="H68" s="10" t="s">
        <v>250</v>
      </c>
      <c r="I68" s="10" t="s">
        <v>251</v>
      </c>
    </row>
    <row r="69" customFormat="false" ht="17.15" hidden="false" customHeight="false" outlineLevel="0" collapsed="false">
      <c r="A69" s="0" t="s">
        <v>252</v>
      </c>
      <c r="B69" s="0" t="s">
        <v>253</v>
      </c>
      <c r="C69" s="0" t="s">
        <v>120</v>
      </c>
      <c r="E69" s="12" t="n">
        <v>14.68</v>
      </c>
      <c r="G69" s="7" t="s">
        <v>78</v>
      </c>
      <c r="H69" s="4" t="s">
        <v>254</v>
      </c>
    </row>
    <row r="70" customFormat="false" ht="17.15" hidden="false" customHeight="false" outlineLevel="0" collapsed="false">
      <c r="A70" s="9" t="s">
        <v>255</v>
      </c>
      <c r="B70" s="9" t="s">
        <v>256</v>
      </c>
      <c r="C70" s="9" t="s">
        <v>120</v>
      </c>
      <c r="D70" s="16" t="n">
        <v>1</v>
      </c>
      <c r="E70" s="16" t="n">
        <v>0</v>
      </c>
      <c r="F70" s="16" t="n">
        <v>2</v>
      </c>
      <c r="G70" s="9" t="s">
        <v>101</v>
      </c>
      <c r="H70" s="10" t="s">
        <v>257</v>
      </c>
      <c r="I70" s="9" t="s">
        <v>258</v>
      </c>
    </row>
    <row r="71" customFormat="false" ht="17.15" hidden="false" customHeight="false" outlineLevel="0" collapsed="false">
      <c r="A71" s="9" t="s">
        <v>259</v>
      </c>
      <c r="B71" s="9" t="s">
        <v>260</v>
      </c>
      <c r="C71" s="9" t="s">
        <v>77</v>
      </c>
      <c r="D71" s="9"/>
      <c r="E71" s="17" t="n">
        <v>0</v>
      </c>
      <c r="F71" s="9"/>
      <c r="G71" s="9" t="s">
        <v>101</v>
      </c>
      <c r="H71" s="10" t="s">
        <v>261</v>
      </c>
      <c r="I71" s="10" t="s">
        <v>262</v>
      </c>
    </row>
    <row r="72" customFormat="false" ht="17.15" hidden="false" customHeight="false" outlineLevel="0" collapsed="false">
      <c r="A72" s="5" t="s">
        <v>263</v>
      </c>
    </row>
    <row r="73" customFormat="false" ht="17.15" hidden="false" customHeight="false" outlineLevel="0" collapsed="false">
      <c r="A73" s="0" t="s">
        <v>264</v>
      </c>
      <c r="B73" s="4" t="s">
        <v>265</v>
      </c>
      <c r="C73" s="0" t="s">
        <v>100</v>
      </c>
      <c r="D73" s="8" t="n">
        <v>0.25</v>
      </c>
      <c r="E73" s="8" t="n">
        <v>0.3</v>
      </c>
      <c r="F73" s="8" t="n">
        <v>0.4</v>
      </c>
      <c r="G73" s="7" t="s">
        <v>101</v>
      </c>
      <c r="H73" s="4" t="s">
        <v>266</v>
      </c>
      <c r="I73" s="4" t="s">
        <v>267</v>
      </c>
    </row>
    <row r="74" customFormat="false" ht="17.15" hidden="false" customHeight="false" outlineLevel="0" collapsed="false">
      <c r="A74" s="0" t="s">
        <v>268</v>
      </c>
      <c r="B74" s="0" t="s">
        <v>269</v>
      </c>
      <c r="C74" s="0" t="s">
        <v>270</v>
      </c>
      <c r="D74" s="6" t="n">
        <v>5012</v>
      </c>
      <c r="E74" s="6" t="n">
        <v>6337</v>
      </c>
      <c r="F74" s="6" t="n">
        <v>7891</v>
      </c>
      <c r="G74" s="7" t="s">
        <v>78</v>
      </c>
      <c r="H74" s="7" t="s">
        <v>271</v>
      </c>
      <c r="I74" s="7" t="s">
        <v>272</v>
      </c>
    </row>
    <row r="75" customFormat="false" ht="17.15" hidden="false" customHeight="false" outlineLevel="0" collapsed="false">
      <c r="A75" s="0" t="s">
        <v>273</v>
      </c>
      <c r="B75" s="0" t="s">
        <v>274</v>
      </c>
      <c r="C75" s="0" t="s">
        <v>270</v>
      </c>
      <c r="E75" s="6" t="n">
        <v>4873</v>
      </c>
      <c r="G75" s="7" t="s">
        <v>78</v>
      </c>
      <c r="H75" s="7" t="s">
        <v>275</v>
      </c>
      <c r="I75" s="4" t="s">
        <v>276</v>
      </c>
    </row>
    <row r="76" customFormat="false" ht="17.15" hidden="false" customHeight="false" outlineLevel="0" collapsed="false">
      <c r="A76" s="0" t="s">
        <v>277</v>
      </c>
      <c r="B76" s="0" t="s">
        <v>278</v>
      </c>
      <c r="C76" s="0" t="s">
        <v>270</v>
      </c>
      <c r="E76" s="6" t="n">
        <v>2143.3</v>
      </c>
      <c r="G76" s="7" t="s">
        <v>78</v>
      </c>
      <c r="H76" s="4" t="s">
        <v>279</v>
      </c>
    </row>
    <row r="77" customFormat="false" ht="17.15" hidden="false" customHeight="false" outlineLevel="0" collapsed="false">
      <c r="A77" s="0" t="s">
        <v>280</v>
      </c>
      <c r="B77" s="0" t="s">
        <v>281</v>
      </c>
      <c r="C77" s="0" t="s">
        <v>270</v>
      </c>
      <c r="E77" s="6" t="n">
        <v>636.7</v>
      </c>
      <c r="G77" s="7" t="s">
        <v>78</v>
      </c>
      <c r="H77" s="4" t="s">
        <v>282</v>
      </c>
    </row>
    <row r="78" customFormat="false" ht="17.15" hidden="false" customHeight="false" outlineLevel="0" collapsed="false">
      <c r="A78" s="0" t="s">
        <v>283</v>
      </c>
      <c r="B78" s="0" t="s">
        <v>284</v>
      </c>
      <c r="C78" s="0" t="s">
        <v>285</v>
      </c>
      <c r="D78" s="6" t="n">
        <v>2833.3</v>
      </c>
      <c r="E78" s="6" t="n">
        <v>4159.67</v>
      </c>
      <c r="F78" s="6" t="n">
        <v>6239.67</v>
      </c>
      <c r="G78" s="7" t="s">
        <v>78</v>
      </c>
      <c r="H78" s="4" t="s">
        <v>286</v>
      </c>
      <c r="I78" s="4" t="s">
        <v>287</v>
      </c>
    </row>
    <row r="79" customFormat="false" ht="17.15" hidden="false" customHeight="false" outlineLevel="0" collapsed="false">
      <c r="A79" s="0" t="s">
        <v>288</v>
      </c>
      <c r="B79" s="4" t="s">
        <v>289</v>
      </c>
      <c r="C79" s="0" t="s">
        <v>100</v>
      </c>
      <c r="E79" s="8" t="n">
        <v>0.25</v>
      </c>
      <c r="G79" s="7" t="s">
        <v>101</v>
      </c>
      <c r="H79" s="4" t="s">
        <v>290</v>
      </c>
      <c r="I79" s="7" t="s">
        <v>291</v>
      </c>
    </row>
    <row r="80" customFormat="false" ht="17.15" hidden="false" customHeight="false" outlineLevel="0" collapsed="false">
      <c r="A80" s="0" t="s">
        <v>292</v>
      </c>
      <c r="B80" s="4" t="s">
        <v>293</v>
      </c>
      <c r="C80" s="0" t="s">
        <v>100</v>
      </c>
      <c r="E80" s="8" t="n">
        <v>0.45</v>
      </c>
      <c r="G80" s="7" t="s">
        <v>101</v>
      </c>
      <c r="H80" s="4" t="s">
        <v>294</v>
      </c>
      <c r="I80" s="7" t="s">
        <v>295</v>
      </c>
    </row>
    <row r="81" customFormat="false" ht="17.15" hidden="false" customHeight="false" outlineLevel="0" collapsed="false">
      <c r="A81" s="0" t="s">
        <v>296</v>
      </c>
      <c r="B81" s="4" t="s">
        <v>297</v>
      </c>
      <c r="C81" s="0" t="s">
        <v>100</v>
      </c>
      <c r="E81" s="8" t="n">
        <v>0.3</v>
      </c>
      <c r="G81" s="7" t="s">
        <v>101</v>
      </c>
      <c r="H81" s="4" t="s">
        <v>298</v>
      </c>
      <c r="I81" s="7" t="s">
        <v>295</v>
      </c>
    </row>
    <row r="82" customFormat="false" ht="17.15" hidden="false" customHeight="false" outlineLevel="0" collapsed="false">
      <c r="A82" s="0" t="s">
        <v>299</v>
      </c>
      <c r="B82" s="0" t="s">
        <v>300</v>
      </c>
      <c r="C82" s="0" t="s">
        <v>100</v>
      </c>
      <c r="E82" s="8" t="n">
        <v>1</v>
      </c>
      <c r="G82" s="7" t="s">
        <v>101</v>
      </c>
      <c r="H82" s="4" t="s">
        <v>301</v>
      </c>
    </row>
    <row r="83" customFormat="false" ht="17.15" hidden="false" customHeight="false" outlineLevel="0" collapsed="false">
      <c r="A83" s="0" t="s">
        <v>302</v>
      </c>
      <c r="B83" s="0" t="s">
        <v>303</v>
      </c>
      <c r="C83" s="0" t="s">
        <v>100</v>
      </c>
      <c r="E83" s="8" t="n">
        <v>1</v>
      </c>
      <c r="G83" s="7" t="s">
        <v>101</v>
      </c>
      <c r="H83" s="4" t="s">
        <v>304</v>
      </c>
    </row>
    <row r="84" customFormat="false" ht="17.15" hidden="false" customHeight="false" outlineLevel="0" collapsed="false">
      <c r="A84" s="9" t="s">
        <v>305</v>
      </c>
      <c r="B84" s="9" t="s">
        <v>306</v>
      </c>
      <c r="C84" s="10" t="s">
        <v>162</v>
      </c>
      <c r="D84" s="9"/>
      <c r="E84" s="17" t="n">
        <v>4</v>
      </c>
      <c r="F84" s="9"/>
      <c r="G84" s="9" t="s">
        <v>101</v>
      </c>
      <c r="H84" s="10" t="s">
        <v>307</v>
      </c>
      <c r="I84" s="9"/>
    </row>
    <row r="85" customFormat="false" ht="17.15" hidden="false" customHeight="false" outlineLevel="0" collapsed="false">
      <c r="A85" s="0" t="s">
        <v>308</v>
      </c>
      <c r="B85" s="0" t="s">
        <v>309</v>
      </c>
      <c r="C85" s="0" t="s">
        <v>100</v>
      </c>
      <c r="E85" s="8" t="n">
        <v>0.5</v>
      </c>
      <c r="G85" s="7" t="s">
        <v>101</v>
      </c>
      <c r="H85" s="4" t="s">
        <v>310</v>
      </c>
      <c r="I85" s="7" t="s">
        <v>311</v>
      </c>
    </row>
    <row r="86" customFormat="false" ht="17.15" hidden="false" customHeight="false" outlineLevel="0" collapsed="false">
      <c r="A86" s="0" t="s">
        <v>312</v>
      </c>
      <c r="B86" s="0" t="s">
        <v>313</v>
      </c>
      <c r="C86" s="0" t="s">
        <v>100</v>
      </c>
      <c r="E86" s="8" t="n">
        <v>0.75</v>
      </c>
      <c r="G86" s="7" t="s">
        <v>78</v>
      </c>
      <c r="H86" s="7" t="s">
        <v>314</v>
      </c>
      <c r="I86" s="4" t="s">
        <v>315</v>
      </c>
    </row>
    <row r="87" customFormat="false" ht="17.15" hidden="false" customHeight="false" outlineLevel="0" collapsed="false">
      <c r="A87" s="0" t="s">
        <v>316</v>
      </c>
      <c r="B87" s="0" t="s">
        <v>317</v>
      </c>
      <c r="C87" s="0" t="s">
        <v>120</v>
      </c>
      <c r="D87" s="12" t="n">
        <v>0.7</v>
      </c>
      <c r="E87" s="12" t="n">
        <v>1</v>
      </c>
      <c r="F87" s="12" t="n">
        <v>1</v>
      </c>
      <c r="G87" s="7" t="s">
        <v>101</v>
      </c>
      <c r="H87" s="7" t="s">
        <v>318</v>
      </c>
      <c r="I87" s="7" t="s">
        <v>319</v>
      </c>
    </row>
    <row r="88" customFormat="false" ht="17.15" hidden="false" customHeight="false" outlineLevel="0" collapsed="false">
      <c r="A88" s="0" t="s">
        <v>320</v>
      </c>
      <c r="B88" s="0" t="s">
        <v>321</v>
      </c>
      <c r="C88" s="0" t="s">
        <v>120</v>
      </c>
      <c r="D88" s="12" t="n">
        <v>0.7</v>
      </c>
      <c r="E88" s="12" t="n">
        <v>1</v>
      </c>
      <c r="F88" s="12" t="n">
        <v>1</v>
      </c>
      <c r="G88" s="7" t="s">
        <v>101</v>
      </c>
      <c r="H88" s="4" t="s">
        <v>322</v>
      </c>
      <c r="I88" s="4" t="s">
        <v>323</v>
      </c>
    </row>
    <row r="89" customFormat="false" ht="17.15" hidden="false" customHeight="false" outlineLevel="0" collapsed="false">
      <c r="A89" s="5" t="s">
        <v>324</v>
      </c>
    </row>
    <row r="90" customFormat="false" ht="17.15" hidden="false" customHeight="false" outlineLevel="0" collapsed="false">
      <c r="A90" s="0" t="s">
        <v>325</v>
      </c>
      <c r="B90" s="4" t="s">
        <v>326</v>
      </c>
      <c r="C90" s="0" t="s">
        <v>327</v>
      </c>
      <c r="D90" s="6" t="n">
        <v>7.6572</v>
      </c>
      <c r="E90" s="6" t="n">
        <v>9.5715</v>
      </c>
      <c r="G90" s="7" t="s">
        <v>101</v>
      </c>
      <c r="H90" s="7" t="s">
        <v>328</v>
      </c>
      <c r="I90" s="4" t="s">
        <v>329</v>
      </c>
    </row>
    <row r="91" customFormat="false" ht="17.15" hidden="false" customHeight="false" outlineLevel="0" collapsed="false">
      <c r="A91" s="0" t="s">
        <v>330</v>
      </c>
      <c r="B91" s="4" t="s">
        <v>331</v>
      </c>
      <c r="C91" s="0" t="s">
        <v>332</v>
      </c>
      <c r="E91" s="6" t="n">
        <v>2.82</v>
      </c>
      <c r="F91" s="6" t="n">
        <v>4.858</v>
      </c>
      <c r="G91" s="7" t="s">
        <v>56</v>
      </c>
      <c r="H91" s="7" t="s">
        <v>333</v>
      </c>
      <c r="I91" s="4" t="s">
        <v>334</v>
      </c>
    </row>
    <row r="92" customFormat="false" ht="17.15" hidden="false" customHeight="false" outlineLevel="0" collapsed="false">
      <c r="A92" s="0" t="s">
        <v>335</v>
      </c>
      <c r="B92" s="4" t="s">
        <v>336</v>
      </c>
      <c r="C92" s="0" t="s">
        <v>100</v>
      </c>
      <c r="D92" s="8" t="n">
        <v>0.4</v>
      </c>
      <c r="E92" s="8" t="n">
        <v>0.6</v>
      </c>
      <c r="F92" s="8" t="n">
        <v>0.8</v>
      </c>
      <c r="G92" s="7" t="s">
        <v>101</v>
      </c>
      <c r="H92" s="4" t="s">
        <v>337</v>
      </c>
    </row>
    <row r="93" customFormat="false" ht="17.15" hidden="false" customHeight="false" outlineLevel="0" collapsed="false">
      <c r="A93" s="0" t="s">
        <v>338</v>
      </c>
      <c r="B93" s="0" t="s">
        <v>339</v>
      </c>
      <c r="C93" s="0" t="s">
        <v>327</v>
      </c>
      <c r="D93" s="6" t="n">
        <v>6.79107465326444</v>
      </c>
      <c r="E93" s="6" t="n">
        <v>9.70308728611469</v>
      </c>
      <c r="F93" s="6" t="n">
        <v>16.6637697337026</v>
      </c>
      <c r="G93" s="7" t="s">
        <v>78</v>
      </c>
      <c r="H93" s="7" t="s">
        <v>340</v>
      </c>
      <c r="I93" s="7" t="s">
        <v>341</v>
      </c>
    </row>
    <row r="94" customFormat="false" ht="17.15" hidden="false" customHeight="false" outlineLevel="0" collapsed="false">
      <c r="A94" s="0" t="s">
        <v>342</v>
      </c>
      <c r="B94" s="0" t="s">
        <v>343</v>
      </c>
      <c r="C94" s="0" t="s">
        <v>327</v>
      </c>
      <c r="D94" s="6" t="n">
        <v>6.6118162762144</v>
      </c>
      <c r="E94" s="6" t="n">
        <v>8.82816556596761</v>
      </c>
      <c r="F94" s="6" t="n">
        <v>14.3185748619737</v>
      </c>
      <c r="G94" s="7" t="s">
        <v>78</v>
      </c>
      <c r="H94" s="7" t="s">
        <v>340</v>
      </c>
      <c r="I94" s="7" t="s">
        <v>341</v>
      </c>
    </row>
    <row r="95" customFormat="false" ht="17.15" hidden="false" customHeight="false" outlineLevel="0" collapsed="false">
      <c r="A95" s="0" t="s">
        <v>344</v>
      </c>
      <c r="B95" s="0" t="s">
        <v>345</v>
      </c>
      <c r="C95" s="0" t="s">
        <v>327</v>
      </c>
      <c r="D95" s="6" t="n">
        <v>8.42889912085495</v>
      </c>
      <c r="E95" s="6" t="n">
        <v>10.8864110021101</v>
      </c>
      <c r="F95" s="6" t="n">
        <v>18.5346455040469</v>
      </c>
      <c r="G95" s="7" t="s">
        <v>78</v>
      </c>
      <c r="H95" s="7" t="s">
        <v>340</v>
      </c>
      <c r="I95" s="7" t="s">
        <v>341</v>
      </c>
    </row>
    <row r="96" customFormat="false" ht="17.15" hidden="false" customHeight="false" outlineLevel="0" collapsed="false">
      <c r="A96" s="0" t="s">
        <v>346</v>
      </c>
      <c r="B96" s="0" t="s">
        <v>347</v>
      </c>
      <c r="C96" s="0" t="s">
        <v>327</v>
      </c>
      <c r="D96" s="6" t="n">
        <v>9.21907146281596</v>
      </c>
      <c r="E96" s="6" t="n">
        <v>12.2254710045841</v>
      </c>
      <c r="F96" s="6" t="n">
        <v>19.7506269894487</v>
      </c>
      <c r="G96" s="7" t="s">
        <v>78</v>
      </c>
      <c r="H96" s="7" t="s">
        <v>340</v>
      </c>
      <c r="I96" s="7" t="s">
        <v>341</v>
      </c>
    </row>
    <row r="97" customFormat="false" ht="17.15" hidden="false" customHeight="false" outlineLevel="0" collapsed="false">
      <c r="A97" s="0" t="s">
        <v>348</v>
      </c>
      <c r="B97" s="0" t="s">
        <v>349</v>
      </c>
      <c r="C97" s="0" t="s">
        <v>332</v>
      </c>
      <c r="E97" s="6" t="n">
        <v>1.54259654785589</v>
      </c>
      <c r="G97" s="7" t="s">
        <v>78</v>
      </c>
      <c r="H97" s="7" t="s">
        <v>350</v>
      </c>
    </row>
    <row r="98" customFormat="false" ht="17.15" hidden="false" customHeight="false" outlineLevel="0" collapsed="false">
      <c r="A98" s="0" t="s">
        <v>351</v>
      </c>
      <c r="B98" s="0" t="s">
        <v>352</v>
      </c>
      <c r="C98" s="0" t="s">
        <v>327</v>
      </c>
      <c r="E98" s="6" t="n">
        <v>1.88466748019734</v>
      </c>
      <c r="G98" s="7" t="s">
        <v>78</v>
      </c>
      <c r="H98" s="7" t="s">
        <v>350</v>
      </c>
    </row>
    <row r="99" customFormat="false" ht="17.15" hidden="false" customHeight="false" outlineLevel="0" collapsed="false">
      <c r="A99" s="0" t="s">
        <v>353</v>
      </c>
      <c r="B99" s="0" t="s">
        <v>354</v>
      </c>
      <c r="C99" s="0" t="s">
        <v>327</v>
      </c>
      <c r="E99" s="6" t="n">
        <v>1.812232738713</v>
      </c>
      <c r="G99" s="7" t="s">
        <v>78</v>
      </c>
      <c r="H99" s="7" t="s">
        <v>350</v>
      </c>
    </row>
    <row r="100" customFormat="false" ht="17.15" hidden="false" customHeight="false" outlineLevel="0" collapsed="false">
      <c r="A100" s="0" t="s">
        <v>355</v>
      </c>
      <c r="B100" s="0" t="s">
        <v>356</v>
      </c>
      <c r="C100" s="0" t="s">
        <v>327</v>
      </c>
      <c r="E100" s="6" t="n">
        <v>1.98263481314457</v>
      </c>
      <c r="G100" s="7" t="s">
        <v>78</v>
      </c>
      <c r="H100" s="7" t="s">
        <v>350</v>
      </c>
    </row>
    <row r="101" customFormat="false" ht="17.15" hidden="false" customHeight="false" outlineLevel="0" collapsed="false">
      <c r="A101" s="0" t="s">
        <v>357</v>
      </c>
      <c r="B101" s="0" t="s">
        <v>358</v>
      </c>
      <c r="C101" s="0" t="s">
        <v>327</v>
      </c>
      <c r="E101" s="6" t="n">
        <v>2.09349554831403</v>
      </c>
      <c r="G101" s="7" t="s">
        <v>78</v>
      </c>
      <c r="H101" s="7" t="s">
        <v>350</v>
      </c>
    </row>
    <row r="102" customFormat="false" ht="17.15" hidden="false" customHeight="false" outlineLevel="0" collapsed="false">
      <c r="A102" s="0" t="s">
        <v>359</v>
      </c>
      <c r="B102" s="0" t="s">
        <v>360</v>
      </c>
      <c r="C102" s="0" t="s">
        <v>361</v>
      </c>
      <c r="E102" s="6" t="n">
        <v>27.510214</v>
      </c>
      <c r="G102" s="7" t="s">
        <v>78</v>
      </c>
      <c r="H102" s="7" t="s">
        <v>350</v>
      </c>
    </row>
    <row r="103" customFormat="false" ht="17.15" hidden="false" customHeight="false" outlineLevel="0" collapsed="false">
      <c r="A103" s="0" t="s">
        <v>362</v>
      </c>
      <c r="B103" s="0" t="s">
        <v>363</v>
      </c>
      <c r="C103" s="0" t="s">
        <v>361</v>
      </c>
      <c r="E103" s="6" t="n">
        <v>24.015174</v>
      </c>
      <c r="G103" s="7" t="s">
        <v>78</v>
      </c>
      <c r="H103" s="7" t="s">
        <v>350</v>
      </c>
    </row>
    <row r="104" customFormat="false" ht="17.15" hidden="false" customHeight="false" outlineLevel="0" collapsed="false">
      <c r="A104" s="0" t="s">
        <v>364</v>
      </c>
      <c r="B104" s="0" t="s">
        <v>365</v>
      </c>
      <c r="C104" s="0" t="s">
        <v>361</v>
      </c>
      <c r="E104" s="6" t="n">
        <v>32.237224</v>
      </c>
      <c r="G104" s="7" t="s">
        <v>78</v>
      </c>
      <c r="H104" s="7" t="s">
        <v>350</v>
      </c>
    </row>
    <row r="105" customFormat="false" ht="17.15" hidden="false" customHeight="false" outlineLevel="0" collapsed="false">
      <c r="A105" s="0" t="s">
        <v>366</v>
      </c>
      <c r="B105" s="0" t="s">
        <v>367</v>
      </c>
      <c r="C105" s="0" t="s">
        <v>361</v>
      </c>
      <c r="E105" s="6" t="n">
        <v>37.586352</v>
      </c>
      <c r="G105" s="7" t="s">
        <v>78</v>
      </c>
      <c r="H105" s="7" t="s">
        <v>350</v>
      </c>
    </row>
    <row r="106" customFormat="false" ht="17.15" hidden="false" customHeight="false" outlineLevel="0" collapsed="false">
      <c r="A106" s="0" t="s">
        <v>368</v>
      </c>
      <c r="B106" s="0" t="s">
        <v>369</v>
      </c>
      <c r="C106" s="0" t="s">
        <v>327</v>
      </c>
      <c r="E106" s="6" t="n">
        <v>4.58503566666667</v>
      </c>
      <c r="G106" s="7" t="s">
        <v>78</v>
      </c>
      <c r="H106" s="7" t="s">
        <v>350</v>
      </c>
      <c r="I106" s="4" t="s">
        <v>370</v>
      </c>
    </row>
    <row r="107" customFormat="false" ht="17.15" hidden="false" customHeight="false" outlineLevel="0" collapsed="false">
      <c r="A107" s="0" t="s">
        <v>371</v>
      </c>
      <c r="B107" s="0" t="s">
        <v>372</v>
      </c>
      <c r="C107" s="0" t="s">
        <v>327</v>
      </c>
      <c r="E107" s="6" t="n">
        <v>4.002529</v>
      </c>
      <c r="G107" s="7" t="s">
        <v>78</v>
      </c>
      <c r="H107" s="7" t="s">
        <v>350</v>
      </c>
    </row>
    <row r="108" customFormat="false" ht="17.15" hidden="false" customHeight="false" outlineLevel="0" collapsed="false">
      <c r="A108" s="0" t="s">
        <v>373</v>
      </c>
      <c r="B108" s="0" t="s">
        <v>374</v>
      </c>
      <c r="C108" s="0" t="s">
        <v>327</v>
      </c>
      <c r="E108" s="6" t="n">
        <v>5.37287066666667</v>
      </c>
      <c r="G108" s="7" t="s">
        <v>78</v>
      </c>
      <c r="H108" s="7" t="s">
        <v>350</v>
      </c>
    </row>
    <row r="109" customFormat="false" ht="17.15" hidden="false" customHeight="false" outlineLevel="0" collapsed="false">
      <c r="A109" s="0" t="s">
        <v>375</v>
      </c>
      <c r="B109" s="0" t="s">
        <v>376</v>
      </c>
      <c r="C109" s="0" t="s">
        <v>361</v>
      </c>
      <c r="E109" s="6" t="n">
        <v>12.67</v>
      </c>
      <c r="G109" s="7" t="s">
        <v>78</v>
      </c>
      <c r="H109" s="7" t="s">
        <v>350</v>
      </c>
    </row>
    <row r="110" customFormat="false" ht="17.15" hidden="false" customHeight="false" outlineLevel="0" collapsed="false">
      <c r="A110" s="0" t="s">
        <v>377</v>
      </c>
      <c r="B110" s="0" t="s">
        <v>378</v>
      </c>
      <c r="C110" s="0" t="s">
        <v>327</v>
      </c>
      <c r="E110" s="6" t="n">
        <v>6.71554695343303</v>
      </c>
      <c r="G110" s="7" t="s">
        <v>78</v>
      </c>
      <c r="H110" s="7" t="s">
        <v>350</v>
      </c>
      <c r="I110" s="4" t="s">
        <v>379</v>
      </c>
    </row>
    <row r="111" customFormat="false" ht="17.15" hidden="false" customHeight="false" outlineLevel="0" collapsed="false">
      <c r="A111" s="0" t="s">
        <v>380</v>
      </c>
      <c r="B111" s="0" t="s">
        <v>381</v>
      </c>
      <c r="C111" s="0" t="s">
        <v>327</v>
      </c>
      <c r="E111" s="6" t="n">
        <v>33.0426250546846</v>
      </c>
      <c r="G111" s="7" t="s">
        <v>78</v>
      </c>
      <c r="H111" s="7" t="s">
        <v>350</v>
      </c>
      <c r="I111" s="4" t="s">
        <v>379</v>
      </c>
    </row>
    <row r="112" customFormat="false" ht="17.15" hidden="false" customHeight="false" outlineLevel="0" collapsed="false">
      <c r="A112" s="0" t="s">
        <v>382</v>
      </c>
      <c r="B112" s="0" t="s">
        <v>383</v>
      </c>
      <c r="C112" s="0" t="s">
        <v>327</v>
      </c>
      <c r="E112" s="6" t="n">
        <v>40.2705941922573</v>
      </c>
      <c r="G112" s="7" t="s">
        <v>78</v>
      </c>
      <c r="H112" s="7" t="s">
        <v>350</v>
      </c>
      <c r="I112" s="4" t="s">
        <v>379</v>
      </c>
    </row>
    <row r="113" customFormat="false" ht="17.15" hidden="false" customHeight="false" outlineLevel="0" collapsed="false">
      <c r="A113" s="0" t="s">
        <v>384</v>
      </c>
      <c r="B113" s="0" t="s">
        <v>385</v>
      </c>
      <c r="C113" s="0" t="s">
        <v>327</v>
      </c>
      <c r="E113" s="6" t="n">
        <v>66.3455197420479</v>
      </c>
      <c r="G113" s="7" t="s">
        <v>78</v>
      </c>
      <c r="H113" s="7" t="s">
        <v>350</v>
      </c>
      <c r="I113" s="4" t="s">
        <v>379</v>
      </c>
    </row>
    <row r="114" customFormat="false" ht="17.15" hidden="false" customHeight="false" outlineLevel="0" collapsed="false">
      <c r="A114" s="0" t="s">
        <v>386</v>
      </c>
      <c r="B114" s="4" t="s">
        <v>387</v>
      </c>
      <c r="C114" s="0" t="s">
        <v>100</v>
      </c>
      <c r="D114" s="8" t="n">
        <v>0.75</v>
      </c>
      <c r="E114" s="8" t="n">
        <v>0.85</v>
      </c>
      <c r="F114" s="8" t="n">
        <v>0.95</v>
      </c>
      <c r="G114" s="7" t="s">
        <v>101</v>
      </c>
      <c r="H114" s="4" t="s">
        <v>388</v>
      </c>
    </row>
    <row r="115" customFormat="false" ht="17.15" hidden="false" customHeight="false" outlineLevel="0" collapsed="false">
      <c r="A115" s="0" t="s">
        <v>389</v>
      </c>
      <c r="B115" s="0" t="s">
        <v>390</v>
      </c>
      <c r="C115" s="4" t="s">
        <v>162</v>
      </c>
      <c r="D115" s="6" t="n">
        <v>5</v>
      </c>
      <c r="E115" s="6" t="n">
        <v>6</v>
      </c>
      <c r="F115" s="6" t="n">
        <v>7</v>
      </c>
      <c r="G115" s="7" t="s">
        <v>56</v>
      </c>
      <c r="H115" s="7" t="s">
        <v>391</v>
      </c>
    </row>
    <row r="116" customFormat="false" ht="17.15" hidden="false" customHeight="false" outlineLevel="0" collapsed="false">
      <c r="A116" s="0" t="s">
        <v>392</v>
      </c>
      <c r="B116" s="4" t="s">
        <v>393</v>
      </c>
      <c r="C116" s="4" t="s">
        <v>162</v>
      </c>
      <c r="D116" s="6" t="n">
        <v>15</v>
      </c>
      <c r="E116" s="6" t="n">
        <v>20</v>
      </c>
      <c r="F116" s="6" t="n">
        <v>25</v>
      </c>
      <c r="G116" s="7" t="s">
        <v>78</v>
      </c>
      <c r="H116" s="7" t="s">
        <v>394</v>
      </c>
    </row>
    <row r="117" customFormat="false" ht="17.15" hidden="false" customHeight="false" outlineLevel="0" collapsed="false">
      <c r="A117" s="0" t="s">
        <v>395</v>
      </c>
      <c r="B117" s="4" t="s">
        <v>396</v>
      </c>
      <c r="C117" s="4" t="s">
        <v>162</v>
      </c>
      <c r="D117" s="6" t="n">
        <v>8</v>
      </c>
      <c r="E117" s="6" t="n">
        <v>10</v>
      </c>
      <c r="F117" s="6" t="n">
        <v>15</v>
      </c>
      <c r="G117" s="7" t="s">
        <v>101</v>
      </c>
      <c r="H117" s="4" t="s">
        <v>397</v>
      </c>
    </row>
    <row r="118" customFormat="false" ht="17.15" hidden="false" customHeight="false" outlineLevel="0" collapsed="false">
      <c r="A118" s="0" t="s">
        <v>398</v>
      </c>
      <c r="B118" s="4" t="s">
        <v>399</v>
      </c>
      <c r="C118" s="0" t="s">
        <v>120</v>
      </c>
      <c r="D118" s="12" t="n">
        <v>0</v>
      </c>
      <c r="E118" s="12" t="n">
        <v>0.25</v>
      </c>
      <c r="F118" s="12" t="n">
        <v>0.5</v>
      </c>
      <c r="G118" s="7" t="s">
        <v>101</v>
      </c>
      <c r="H118" s="4" t="s">
        <v>400</v>
      </c>
      <c r="I118" s="7" t="s">
        <v>401</v>
      </c>
    </row>
    <row r="119" customFormat="false" ht="17.15" hidden="false" customHeight="false" outlineLevel="0" collapsed="false">
      <c r="A119" s="0" t="s">
        <v>402</v>
      </c>
      <c r="B119" s="4" t="s">
        <v>403</v>
      </c>
      <c r="C119" s="0" t="s">
        <v>404</v>
      </c>
      <c r="E119" s="6" t="n">
        <v>28.416</v>
      </c>
      <c r="G119" s="7" t="s">
        <v>78</v>
      </c>
      <c r="H119" s="4" t="s">
        <v>405</v>
      </c>
      <c r="I119" s="4" t="s">
        <v>406</v>
      </c>
    </row>
    <row r="120" customFormat="false" ht="17.15" hidden="false" customHeight="false" outlineLevel="0" collapsed="false">
      <c r="A120" s="0" t="s">
        <v>407</v>
      </c>
      <c r="B120" s="4" t="s">
        <v>408</v>
      </c>
      <c r="C120" s="0" t="s">
        <v>77</v>
      </c>
      <c r="E120" s="6" t="n">
        <v>122.814</v>
      </c>
      <c r="G120" s="7" t="s">
        <v>65</v>
      </c>
      <c r="H120" s="7" t="s">
        <v>409</v>
      </c>
      <c r="I120" s="7" t="s">
        <v>410</v>
      </c>
    </row>
    <row r="121" customFormat="false" ht="17.15" hidden="false" customHeight="false" outlineLevel="0" collapsed="false">
      <c r="A121" s="0" t="s">
        <v>411</v>
      </c>
      <c r="B121" s="4" t="s">
        <v>412</v>
      </c>
      <c r="C121" s="0" t="s">
        <v>100</v>
      </c>
      <c r="D121" s="8" t="n">
        <v>0.5</v>
      </c>
      <c r="E121" s="8" t="n">
        <v>0.6</v>
      </c>
      <c r="F121" s="8" t="n">
        <v>0.7</v>
      </c>
      <c r="G121" s="7" t="s">
        <v>65</v>
      </c>
      <c r="H121" s="7" t="s">
        <v>413</v>
      </c>
    </row>
    <row r="122" customFormat="false" ht="17.15" hidden="false" customHeight="false" outlineLevel="0" collapsed="false">
      <c r="A122" s="0" t="s">
        <v>414</v>
      </c>
      <c r="B122" s="0" t="s">
        <v>415</v>
      </c>
      <c r="C122" s="0" t="s">
        <v>77</v>
      </c>
      <c r="D122" s="6" t="n">
        <v>195</v>
      </c>
      <c r="E122" s="6" t="n">
        <v>200</v>
      </c>
      <c r="F122" s="6" t="n">
        <v>205</v>
      </c>
      <c r="G122" s="7" t="s">
        <v>65</v>
      </c>
      <c r="H122" s="7" t="s">
        <v>416</v>
      </c>
      <c r="I122" s="4" t="s">
        <v>417</v>
      </c>
    </row>
    <row r="123" customFormat="false" ht="17.15" hidden="false" customHeight="false" outlineLevel="0" collapsed="false">
      <c r="A123" s="0" t="s">
        <v>418</v>
      </c>
      <c r="B123" s="0" t="s">
        <v>419</v>
      </c>
      <c r="C123" s="0" t="s">
        <v>77</v>
      </c>
      <c r="E123" s="6" t="n">
        <v>80.598</v>
      </c>
      <c r="G123" s="7" t="s">
        <v>65</v>
      </c>
      <c r="H123" s="4" t="s">
        <v>420</v>
      </c>
    </row>
    <row r="124" customFormat="false" ht="17.15" hidden="false" customHeight="false" outlineLevel="0" collapsed="false">
      <c r="A124" s="9" t="s">
        <v>421</v>
      </c>
      <c r="B124" s="10" t="s">
        <v>422</v>
      </c>
      <c r="C124" s="9" t="s">
        <v>100</v>
      </c>
      <c r="D124" s="11" t="n">
        <v>0.4</v>
      </c>
      <c r="E124" s="11" t="n">
        <v>0.6</v>
      </c>
      <c r="F124" s="11" t="n">
        <v>0.8</v>
      </c>
      <c r="G124" s="9" t="s">
        <v>101</v>
      </c>
      <c r="H124" s="9" t="s">
        <v>423</v>
      </c>
      <c r="I124" s="10" t="s">
        <v>424</v>
      </c>
    </row>
    <row r="125" customFormat="false" ht="17.15" hidden="false" customHeight="false" outlineLevel="0" collapsed="false">
      <c r="A125" s="0" t="s">
        <v>425</v>
      </c>
      <c r="B125" s="4" t="s">
        <v>426</v>
      </c>
      <c r="C125" s="0" t="s">
        <v>270</v>
      </c>
      <c r="E125" s="6" t="n">
        <v>1447.9</v>
      </c>
      <c r="G125" s="7" t="s">
        <v>78</v>
      </c>
      <c r="H125" s="4" t="s">
        <v>427</v>
      </c>
      <c r="I125" s="4" t="s">
        <v>428</v>
      </c>
    </row>
    <row r="126" customFormat="false" ht="17.15" hidden="false" customHeight="false" outlineLevel="0" collapsed="false">
      <c r="A126" s="0" t="s">
        <v>429</v>
      </c>
      <c r="B126" s="4" t="s">
        <v>430</v>
      </c>
      <c r="C126" s="0" t="s">
        <v>270</v>
      </c>
      <c r="E126" s="6" t="n">
        <v>657.3</v>
      </c>
      <c r="G126" s="7" t="s">
        <v>78</v>
      </c>
      <c r="H126" s="4" t="s">
        <v>431</v>
      </c>
    </row>
    <row r="127" customFormat="false" ht="17.15" hidden="false" customHeight="false" outlineLevel="0" collapsed="false">
      <c r="A127" s="0" t="s">
        <v>432</v>
      </c>
      <c r="B127" s="0" t="s">
        <v>433</v>
      </c>
      <c r="C127" s="0" t="s">
        <v>77</v>
      </c>
      <c r="E127" s="6" t="n">
        <v>2.76</v>
      </c>
      <c r="G127" s="7" t="s">
        <v>65</v>
      </c>
      <c r="H127" s="7" t="s">
        <v>434</v>
      </c>
      <c r="I127" s="4" t="s">
        <v>435</v>
      </c>
    </row>
    <row r="128" customFormat="false" ht="17.15" hidden="false" customHeight="false" outlineLevel="0" collapsed="false">
      <c r="A128" s="0" t="s">
        <v>436</v>
      </c>
      <c r="B128" s="0" t="s">
        <v>437</v>
      </c>
      <c r="C128" s="0" t="s">
        <v>77</v>
      </c>
      <c r="E128" s="6" t="n">
        <v>11.04</v>
      </c>
      <c r="G128" s="7" t="s">
        <v>65</v>
      </c>
      <c r="H128" s="7" t="s">
        <v>434</v>
      </c>
    </row>
    <row r="129" customFormat="false" ht="17.15" hidden="false" customHeight="false" outlineLevel="0" collapsed="false">
      <c r="A129" s="0" t="s">
        <v>438</v>
      </c>
      <c r="B129" s="0" t="s">
        <v>439</v>
      </c>
      <c r="C129" s="0" t="s">
        <v>77</v>
      </c>
      <c r="E129" s="6" t="n">
        <v>11.04</v>
      </c>
      <c r="G129" s="7" t="s">
        <v>65</v>
      </c>
      <c r="H129" s="7" t="s">
        <v>434</v>
      </c>
    </row>
    <row r="130" customFormat="false" ht="17.15" hidden="false" customHeight="false" outlineLevel="0" collapsed="false">
      <c r="A130" s="0" t="s">
        <v>440</v>
      </c>
      <c r="B130" s="0" t="s">
        <v>441</v>
      </c>
      <c r="C130" s="0" t="s">
        <v>77</v>
      </c>
      <c r="E130" s="6" t="n">
        <v>5.52</v>
      </c>
      <c r="G130" s="7" t="s">
        <v>65</v>
      </c>
      <c r="H130" s="7" t="s">
        <v>434</v>
      </c>
    </row>
    <row r="131" customFormat="false" ht="17.15" hidden="false" customHeight="false" outlineLevel="0" collapsed="false">
      <c r="A131" s="5" t="s">
        <v>442</v>
      </c>
    </row>
    <row r="132" customFormat="false" ht="17.15" hidden="false" customHeight="false" outlineLevel="0" collapsed="false">
      <c r="A132" s="0" t="s">
        <v>443</v>
      </c>
      <c r="B132" s="4" t="s">
        <v>444</v>
      </c>
      <c r="C132" s="4" t="s">
        <v>162</v>
      </c>
      <c r="E132" s="6" t="n">
        <v>4</v>
      </c>
      <c r="G132" s="7" t="s">
        <v>101</v>
      </c>
      <c r="H132" s="4" t="s">
        <v>445</v>
      </c>
    </row>
    <row r="133" customFormat="false" ht="17.15" hidden="false" customHeight="false" outlineLevel="0" collapsed="false">
      <c r="A133" s="0" t="s">
        <v>446</v>
      </c>
      <c r="B133" s="0" t="s">
        <v>447</v>
      </c>
      <c r="C133" s="0" t="s">
        <v>100</v>
      </c>
      <c r="D133" s="8" t="n">
        <v>0.05</v>
      </c>
      <c r="E133" s="8" t="n">
        <v>0.08</v>
      </c>
      <c r="F133" s="8" t="n">
        <v>0.11</v>
      </c>
      <c r="G133" s="7" t="s">
        <v>101</v>
      </c>
      <c r="H133" s="4" t="s">
        <v>448</v>
      </c>
      <c r="I133" s="4" t="s">
        <v>449</v>
      </c>
    </row>
    <row r="134" customFormat="false" ht="17.15" hidden="false" customHeight="false" outlineLevel="0" collapsed="false">
      <c r="A134" s="0" t="s">
        <v>450</v>
      </c>
      <c r="B134" s="0" t="s">
        <v>451</v>
      </c>
      <c r="C134" s="0" t="s">
        <v>100</v>
      </c>
      <c r="D134" s="8" t="n">
        <v>0.05</v>
      </c>
      <c r="E134" s="8" t="n">
        <v>0.08</v>
      </c>
      <c r="F134" s="8" t="n">
        <v>0.11</v>
      </c>
      <c r="G134" s="7" t="s">
        <v>101</v>
      </c>
      <c r="H134" s="4" t="s">
        <v>452</v>
      </c>
    </row>
    <row r="135" customFormat="false" ht="17.15" hidden="false" customHeight="false" outlineLevel="0" collapsed="false">
      <c r="A135" s="0" t="s">
        <v>453</v>
      </c>
      <c r="B135" s="0" t="s">
        <v>454</v>
      </c>
      <c r="C135" s="0" t="s">
        <v>100</v>
      </c>
      <c r="D135" s="8" t="n">
        <v>-0.03</v>
      </c>
      <c r="E135" s="8" t="n">
        <v>0</v>
      </c>
      <c r="F135" s="8" t="n">
        <v>0.03</v>
      </c>
      <c r="G135" s="7" t="s">
        <v>101</v>
      </c>
      <c r="H135" s="4" t="s">
        <v>455</v>
      </c>
      <c r="I135" s="4" t="s">
        <v>456</v>
      </c>
    </row>
    <row r="136" customFormat="false" ht="17.15" hidden="false" customHeight="false" outlineLevel="0" collapsed="false">
      <c r="A136" s="0" t="s">
        <v>457</v>
      </c>
      <c r="B136" s="0" t="s">
        <v>458</v>
      </c>
      <c r="C136" s="0" t="s">
        <v>100</v>
      </c>
      <c r="D136" s="8" t="n">
        <v>0.07</v>
      </c>
      <c r="E136" s="8" t="n">
        <v>0.1</v>
      </c>
      <c r="F136" s="8" t="n">
        <v>0.13</v>
      </c>
      <c r="G136" s="7" t="s">
        <v>101</v>
      </c>
      <c r="H136" s="4" t="s">
        <v>459</v>
      </c>
    </row>
    <row r="137" customFormat="false" ht="17.15" hidden="false" customHeight="false" outlineLevel="0" collapsed="false">
      <c r="A137" s="0" t="s">
        <v>460</v>
      </c>
      <c r="B137" s="0" t="s">
        <v>461</v>
      </c>
      <c r="C137" s="0" t="s">
        <v>100</v>
      </c>
      <c r="D137" s="8" t="n">
        <v>0.05</v>
      </c>
      <c r="E137" s="8" t="n">
        <v>0.08</v>
      </c>
      <c r="F137" s="8" t="n">
        <v>0.12</v>
      </c>
      <c r="G137" s="7" t="s">
        <v>101</v>
      </c>
      <c r="H137" s="4" t="s">
        <v>462</v>
      </c>
    </row>
    <row r="138" customFormat="false" ht="17.15" hidden="false" customHeight="false" outlineLevel="0" collapsed="false">
      <c r="A138" s="9" t="s">
        <v>463</v>
      </c>
      <c r="B138" s="10" t="s">
        <v>464</v>
      </c>
      <c r="C138" s="9" t="s">
        <v>100</v>
      </c>
      <c r="D138" s="11" t="n">
        <v>-0.1</v>
      </c>
      <c r="E138" s="11" t="n">
        <v>-0.05</v>
      </c>
      <c r="F138" s="11" t="n">
        <v>0</v>
      </c>
      <c r="G138" s="9" t="s">
        <v>101</v>
      </c>
      <c r="H138" s="9" t="s">
        <v>465</v>
      </c>
      <c r="I138" s="10" t="s">
        <v>466</v>
      </c>
    </row>
    <row r="139" customFormat="false" ht="17.15" hidden="false" customHeight="false" outlineLevel="0" collapsed="false">
      <c r="A139" s="9" t="s">
        <v>467</v>
      </c>
      <c r="B139" s="10" t="s">
        <v>468</v>
      </c>
      <c r="C139" s="9" t="s">
        <v>100</v>
      </c>
      <c r="D139" s="11" t="n">
        <v>0.05</v>
      </c>
      <c r="E139" s="11" t="n">
        <v>0.1</v>
      </c>
      <c r="F139" s="11" t="n">
        <v>0.15</v>
      </c>
      <c r="G139" s="9" t="s">
        <v>101</v>
      </c>
      <c r="H139" s="9" t="s">
        <v>469</v>
      </c>
      <c r="I139" s="9"/>
    </row>
    <row r="140" customFormat="false" ht="17.15" hidden="false" customHeight="false" outlineLevel="0" collapsed="false">
      <c r="A140" s="9" t="s">
        <v>470</v>
      </c>
      <c r="B140" s="10" t="s">
        <v>471</v>
      </c>
      <c r="C140" s="9" t="s">
        <v>100</v>
      </c>
      <c r="D140" s="11" t="n">
        <v>0.1</v>
      </c>
      <c r="E140" s="11" t="n">
        <v>0.2</v>
      </c>
      <c r="F140" s="11" t="n">
        <v>0.3</v>
      </c>
      <c r="G140" s="9" t="s">
        <v>101</v>
      </c>
      <c r="H140" s="9" t="s">
        <v>472</v>
      </c>
      <c r="I140" s="10" t="s">
        <v>473</v>
      </c>
    </row>
    <row r="141" customFormat="false" ht="17.15" hidden="false" customHeight="false" outlineLevel="0" collapsed="false">
      <c r="A141" s="9" t="s">
        <v>474</v>
      </c>
      <c r="B141" s="10" t="s">
        <v>475</v>
      </c>
      <c r="C141" s="9" t="s">
        <v>100</v>
      </c>
      <c r="D141" s="11" t="n">
        <v>-0.15</v>
      </c>
      <c r="E141" s="11" t="n">
        <v>-0.1</v>
      </c>
      <c r="F141" s="11" t="n">
        <v>-0.05</v>
      </c>
      <c r="G141" s="9" t="s">
        <v>101</v>
      </c>
      <c r="H141" s="9" t="s">
        <v>476</v>
      </c>
      <c r="I141" s="9"/>
    </row>
    <row r="142" customFormat="false" ht="17.15" hidden="false" customHeight="false" outlineLevel="0" collapsed="false">
      <c r="A142" s="9" t="s">
        <v>477</v>
      </c>
      <c r="B142" s="9" t="s">
        <v>478</v>
      </c>
      <c r="C142" s="9" t="s">
        <v>100</v>
      </c>
      <c r="D142" s="11" t="n">
        <v>0.6</v>
      </c>
      <c r="E142" s="11" t="n">
        <v>0.7</v>
      </c>
      <c r="F142" s="11" t="n">
        <v>0.8</v>
      </c>
      <c r="G142" s="9" t="s">
        <v>101</v>
      </c>
      <c r="H142" s="10" t="s">
        <v>479</v>
      </c>
      <c r="I142" s="10" t="s">
        <v>480</v>
      </c>
    </row>
    <row r="143" customFormat="false" ht="17.15" hidden="false" customHeight="false" outlineLevel="0" collapsed="false">
      <c r="A143" s="0" t="s">
        <v>481</v>
      </c>
      <c r="B143" s="0" t="s">
        <v>482</v>
      </c>
      <c r="C143" s="0" t="s">
        <v>77</v>
      </c>
      <c r="D143" s="6" t="n">
        <v>0</v>
      </c>
      <c r="E143" s="6" t="n">
        <v>1</v>
      </c>
      <c r="F143" s="6" t="n">
        <v>2</v>
      </c>
      <c r="G143" s="7" t="s">
        <v>101</v>
      </c>
      <c r="H143" s="4" t="s">
        <v>483</v>
      </c>
      <c r="I143" s="4" t="s">
        <v>484</v>
      </c>
    </row>
    <row r="144" customFormat="false" ht="17.15" hidden="false" customHeight="false" outlineLevel="0" collapsed="false">
      <c r="A144" s="0" t="s">
        <v>485</v>
      </c>
      <c r="B144" s="0" t="s">
        <v>486</v>
      </c>
      <c r="C144" s="0" t="s">
        <v>77</v>
      </c>
      <c r="D144" s="6" t="n">
        <v>6.5</v>
      </c>
      <c r="E144" s="6" t="n">
        <v>13</v>
      </c>
      <c r="F144" s="6" t="n">
        <v>19.5</v>
      </c>
      <c r="G144" s="7" t="s">
        <v>65</v>
      </c>
      <c r="H144" s="7" t="s">
        <v>487</v>
      </c>
      <c r="I144" s="4" t="s">
        <v>488</v>
      </c>
    </row>
    <row r="145" customFormat="false" ht="17.15" hidden="false" customHeight="false" outlineLevel="0" collapsed="false">
      <c r="A145" s="0" t="s">
        <v>489</v>
      </c>
      <c r="B145" s="0" t="s">
        <v>490</v>
      </c>
      <c r="C145" s="0" t="s">
        <v>100</v>
      </c>
      <c r="D145" s="8" t="n">
        <v>0.15</v>
      </c>
      <c r="E145" s="8" t="n">
        <v>0.25</v>
      </c>
      <c r="F145" s="8" t="n">
        <v>0.35</v>
      </c>
      <c r="G145" s="7" t="s">
        <v>101</v>
      </c>
      <c r="H145" s="4" t="s">
        <v>491</v>
      </c>
    </row>
    <row r="146" customFormat="false" ht="17.15" hidden="false" customHeight="false" outlineLevel="0" collapsed="false">
      <c r="A146" s="0" t="s">
        <v>492</v>
      </c>
      <c r="B146" s="0" t="s">
        <v>493</v>
      </c>
      <c r="C146" s="0" t="s">
        <v>77</v>
      </c>
      <c r="E146" s="6" t="n">
        <v>0.75</v>
      </c>
      <c r="G146" s="7" t="s">
        <v>101</v>
      </c>
      <c r="H146" s="4" t="s">
        <v>494</v>
      </c>
    </row>
    <row r="147" customFormat="false" ht="17.15" hidden="false" customHeight="false" outlineLevel="0" collapsed="false">
      <c r="A147" s="0" t="s">
        <v>495</v>
      </c>
      <c r="B147" s="0" t="s">
        <v>496</v>
      </c>
      <c r="C147" s="0" t="s">
        <v>77</v>
      </c>
      <c r="E147" s="6" t="n">
        <v>1.6</v>
      </c>
      <c r="G147" s="7" t="s">
        <v>101</v>
      </c>
    </row>
    <row r="148" customFormat="false" ht="17.15" hidden="false" customHeight="false" outlineLevel="0" collapsed="false">
      <c r="A148" s="0" t="s">
        <v>497</v>
      </c>
      <c r="B148" s="0" t="s">
        <v>498</v>
      </c>
      <c r="C148" s="0" t="s">
        <v>77</v>
      </c>
      <c r="E148" s="6" t="n">
        <v>1.8</v>
      </c>
      <c r="G148" s="7" t="s">
        <v>101</v>
      </c>
    </row>
    <row r="149" customFormat="false" ht="17.15" hidden="false" customHeight="false" outlineLevel="0" collapsed="false">
      <c r="A149" s="0" t="s">
        <v>499</v>
      </c>
      <c r="B149" s="0" t="s">
        <v>500</v>
      </c>
      <c r="C149" s="0" t="s">
        <v>77</v>
      </c>
      <c r="E149" s="6" t="n">
        <v>2</v>
      </c>
      <c r="G149" s="7" t="s">
        <v>101</v>
      </c>
    </row>
    <row r="150" customFormat="false" ht="17.15" hidden="false" customHeight="false" outlineLevel="0" collapsed="false">
      <c r="A150" s="0" t="s">
        <v>501</v>
      </c>
      <c r="B150" s="0" t="s">
        <v>502</v>
      </c>
      <c r="C150" s="0" t="s">
        <v>77</v>
      </c>
      <c r="E150" s="6" t="n">
        <v>2.2</v>
      </c>
      <c r="G150" s="7" t="s">
        <v>101</v>
      </c>
    </row>
    <row r="151" customFormat="false" ht="17.15" hidden="false" customHeight="false" outlineLevel="0" collapsed="false">
      <c r="A151" s="0" t="s">
        <v>503</v>
      </c>
      <c r="B151" s="0" t="s">
        <v>504</v>
      </c>
      <c r="C151" s="0" t="s">
        <v>77</v>
      </c>
      <c r="E151" s="6" t="n">
        <v>2.4</v>
      </c>
      <c r="G151" s="7" t="s">
        <v>101</v>
      </c>
    </row>
    <row r="152" customFormat="false" ht="17.15" hidden="false" customHeight="false" outlineLevel="0" collapsed="false">
      <c r="A152" s="0" t="s">
        <v>505</v>
      </c>
      <c r="B152" s="0" t="s">
        <v>506</v>
      </c>
      <c r="C152" s="0" t="s">
        <v>77</v>
      </c>
      <c r="E152" s="6" t="n">
        <v>2.6</v>
      </c>
      <c r="G152" s="7" t="s">
        <v>101</v>
      </c>
    </row>
    <row r="153" customFormat="false" ht="17.15" hidden="false" customHeight="false" outlineLevel="0" collapsed="false">
      <c r="A153" s="0" t="s">
        <v>507</v>
      </c>
      <c r="B153" s="0" t="s">
        <v>508</v>
      </c>
      <c r="C153" s="0" t="s">
        <v>77</v>
      </c>
      <c r="D153" s="6" t="n">
        <v>-11</v>
      </c>
      <c r="E153" s="6" t="n">
        <v>-9</v>
      </c>
      <c r="F153" s="6" t="n">
        <v>-7</v>
      </c>
      <c r="G153" s="7" t="s">
        <v>101</v>
      </c>
      <c r="H153" s="4" t="s">
        <v>509</v>
      </c>
    </row>
    <row r="154" customFormat="false" ht="17.15" hidden="false" customHeight="false" outlineLevel="0" collapsed="false">
      <c r="A154" s="0" t="s">
        <v>510</v>
      </c>
      <c r="B154" s="0" t="s">
        <v>511</v>
      </c>
      <c r="C154" s="0" t="s">
        <v>100</v>
      </c>
      <c r="D154" s="8" t="n">
        <v>0.04</v>
      </c>
      <c r="E154" s="8" t="n">
        <v>0.0483</v>
      </c>
      <c r="F154" s="8" t="n">
        <v>0.055</v>
      </c>
      <c r="G154" s="7" t="s">
        <v>78</v>
      </c>
      <c r="H154" s="7" t="s">
        <v>512</v>
      </c>
    </row>
    <row r="155" customFormat="false" ht="17.15" hidden="false" customHeight="false" outlineLevel="0" collapsed="false">
      <c r="A155" s="0" t="s">
        <v>513</v>
      </c>
      <c r="B155" s="0" t="s">
        <v>514</v>
      </c>
      <c r="C155" s="0" t="s">
        <v>100</v>
      </c>
      <c r="D155" s="8" t="n">
        <v>0.3</v>
      </c>
      <c r="E155" s="8" t="n">
        <v>0.4</v>
      </c>
      <c r="F155" s="8" t="n">
        <v>0.5</v>
      </c>
      <c r="G155" s="7" t="s">
        <v>101</v>
      </c>
      <c r="H155" s="4" t="s">
        <v>515</v>
      </c>
      <c r="I155" s="7" t="s">
        <v>516</v>
      </c>
    </row>
    <row r="156" customFormat="false" ht="17.15" hidden="false" customHeight="false" outlineLevel="0" collapsed="false">
      <c r="A156" s="0" t="s">
        <v>517</v>
      </c>
      <c r="B156" s="0" t="s">
        <v>518</v>
      </c>
      <c r="C156" s="0" t="s">
        <v>100</v>
      </c>
      <c r="D156" s="8" t="n">
        <v>0.1</v>
      </c>
      <c r="E156" s="8" t="n">
        <v>0.15</v>
      </c>
      <c r="F156" s="8" t="n">
        <v>0.25</v>
      </c>
      <c r="G156" s="7" t="s">
        <v>101</v>
      </c>
      <c r="H156" s="4" t="s">
        <v>519</v>
      </c>
    </row>
    <row r="157" customFormat="false" ht="17.15" hidden="false" customHeight="false" outlineLevel="0" collapsed="false">
      <c r="A157" s="0" t="s">
        <v>520</v>
      </c>
      <c r="B157" s="0" t="s">
        <v>521</v>
      </c>
      <c r="C157" s="0" t="s">
        <v>100</v>
      </c>
      <c r="D157" s="8" t="n">
        <v>0.1</v>
      </c>
      <c r="E157" s="8" t="n">
        <v>0.2</v>
      </c>
      <c r="F157" s="8" t="n">
        <v>0.3</v>
      </c>
      <c r="G157" s="7" t="s">
        <v>101</v>
      </c>
      <c r="H157" s="4" t="s">
        <v>522</v>
      </c>
    </row>
    <row r="158" customFormat="false" ht="17.15" hidden="false" customHeight="false" outlineLevel="0" collapsed="false">
      <c r="A158" s="0" t="s">
        <v>523</v>
      </c>
      <c r="B158" s="4" t="s">
        <v>524</v>
      </c>
      <c r="C158" s="0" t="s">
        <v>100</v>
      </c>
      <c r="D158" s="8" t="n">
        <v>0.04</v>
      </c>
      <c r="E158" s="8" t="n">
        <v>0.06</v>
      </c>
      <c r="F158" s="8" t="n">
        <v>0.105</v>
      </c>
      <c r="G158" s="7" t="s">
        <v>101</v>
      </c>
      <c r="H158" s="4" t="s">
        <v>525</v>
      </c>
    </row>
    <row r="159" customFormat="false" ht="17.15" hidden="false" customHeight="false" outlineLevel="0" collapsed="false">
      <c r="A159" s="0" t="s">
        <v>526</v>
      </c>
      <c r="B159" s="4" t="s">
        <v>527</v>
      </c>
      <c r="C159" s="0" t="s">
        <v>100</v>
      </c>
      <c r="D159" s="8" t="n">
        <v>0.15</v>
      </c>
      <c r="E159" s="8" t="n">
        <v>0.2</v>
      </c>
      <c r="F159" s="8" t="n">
        <v>0.27</v>
      </c>
      <c r="G159" s="7" t="s">
        <v>101</v>
      </c>
      <c r="H159" s="4" t="s">
        <v>528</v>
      </c>
    </row>
    <row r="160" customFormat="false" ht="17.15" hidden="false" customHeight="false" outlineLevel="0" collapsed="false">
      <c r="A160" s="0" t="s">
        <v>529</v>
      </c>
      <c r="B160" s="4" t="s">
        <v>530</v>
      </c>
      <c r="C160" s="0" t="s">
        <v>100</v>
      </c>
      <c r="E160" s="8" t="n">
        <v>0.06</v>
      </c>
      <c r="G160" s="7" t="s">
        <v>101</v>
      </c>
      <c r="H160" s="4" t="s">
        <v>117</v>
      </c>
    </row>
    <row r="161" customFormat="false" ht="17.15" hidden="false" customHeight="false" outlineLevel="0" collapsed="false">
      <c r="A161" s="5" t="s">
        <v>531</v>
      </c>
    </row>
    <row r="162" customFormat="false" ht="17.15" hidden="false" customHeight="false" outlineLevel="0" collapsed="false">
      <c r="A162" s="0" t="s">
        <v>532</v>
      </c>
      <c r="B162" s="4" t="s">
        <v>533</v>
      </c>
      <c r="C162" s="0" t="s">
        <v>100</v>
      </c>
      <c r="D162" s="8" t="n">
        <v>0.15</v>
      </c>
      <c r="E162" s="8" t="n">
        <v>0.168</v>
      </c>
      <c r="F162" s="8" t="n">
        <v>0.19</v>
      </c>
      <c r="G162" s="7" t="s">
        <v>78</v>
      </c>
      <c r="H162" s="7" t="s">
        <v>534</v>
      </c>
      <c r="I162" s="4" t="s">
        <v>535</v>
      </c>
    </row>
    <row r="163" customFormat="false" ht="17.15" hidden="false" customHeight="false" outlineLevel="0" collapsed="false">
      <c r="A163" s="0" t="s">
        <v>536</v>
      </c>
      <c r="B163" s="4" t="s">
        <v>537</v>
      </c>
      <c r="C163" s="0" t="s">
        <v>100</v>
      </c>
      <c r="E163" s="8" t="n">
        <v>0.21</v>
      </c>
      <c r="G163" s="7" t="s">
        <v>101</v>
      </c>
      <c r="H163" s="4" t="s">
        <v>538</v>
      </c>
    </row>
    <row r="164" customFormat="false" ht="17.15" hidden="false" customHeight="false" outlineLevel="0" collapsed="false">
      <c r="A164" s="0" t="s">
        <v>539</v>
      </c>
      <c r="B164" s="4" t="s">
        <v>540</v>
      </c>
      <c r="C164" s="0" t="s">
        <v>100</v>
      </c>
      <c r="E164" s="8" t="n">
        <v>0.038</v>
      </c>
      <c r="G164" s="7" t="s">
        <v>78</v>
      </c>
      <c r="H164" s="7" t="s">
        <v>541</v>
      </c>
    </row>
    <row r="165" customFormat="false" ht="17.15" hidden="false" customHeight="false" outlineLevel="0" collapsed="false">
      <c r="A165" s="0" t="s">
        <v>542</v>
      </c>
      <c r="B165" s="4" t="s">
        <v>543</v>
      </c>
      <c r="C165" s="0" t="s">
        <v>100</v>
      </c>
      <c r="E165" s="8" t="n">
        <v>0.048</v>
      </c>
      <c r="G165" s="7" t="s">
        <v>78</v>
      </c>
      <c r="H165" s="7" t="s">
        <v>544</v>
      </c>
    </row>
    <row r="166" customFormat="false" ht="17.15" hidden="false" customHeight="false" outlineLevel="0" collapsed="false">
      <c r="A166" s="0" t="s">
        <v>545</v>
      </c>
      <c r="B166" s="4" t="s">
        <v>546</v>
      </c>
      <c r="C166" s="0" t="s">
        <v>100</v>
      </c>
      <c r="E166" s="8" t="n">
        <v>0.0631</v>
      </c>
      <c r="G166" s="7" t="s">
        <v>78</v>
      </c>
      <c r="H166" s="4" t="s">
        <v>547</v>
      </c>
      <c r="I166" s="4" t="s">
        <v>548</v>
      </c>
    </row>
    <row r="167" customFormat="false" ht="17.15" hidden="false" customHeight="false" outlineLevel="0" collapsed="false">
      <c r="A167" s="0" t="s">
        <v>549</v>
      </c>
      <c r="B167" s="4" t="s">
        <v>550</v>
      </c>
      <c r="C167" s="0" t="s">
        <v>100</v>
      </c>
      <c r="D167" s="8" t="n">
        <v>0</v>
      </c>
      <c r="E167" s="8" t="n">
        <v>0.01</v>
      </c>
      <c r="F167" s="8" t="n">
        <v>0.015</v>
      </c>
      <c r="G167" s="7" t="s">
        <v>101</v>
      </c>
      <c r="H167" s="4" t="s">
        <v>551</v>
      </c>
    </row>
    <row r="168" customFormat="false" ht="17.15" hidden="false" customHeight="false" outlineLevel="0" collapsed="false">
      <c r="A168" s="0" t="s">
        <v>552</v>
      </c>
      <c r="B168" s="0" t="s">
        <v>553</v>
      </c>
      <c r="C168" s="0" t="s">
        <v>77</v>
      </c>
      <c r="E168" s="6" t="n">
        <v>8.49</v>
      </c>
      <c r="G168" s="7" t="s">
        <v>78</v>
      </c>
      <c r="H168" s="7" t="s">
        <v>554</v>
      </c>
    </row>
    <row r="169" customFormat="false" ht="17.15" hidden="false" customHeight="false" outlineLevel="0" collapsed="false">
      <c r="A169" s="0" t="s">
        <v>555</v>
      </c>
      <c r="B169" s="0" t="s">
        <v>556</v>
      </c>
      <c r="C169" s="0" t="s">
        <v>100</v>
      </c>
      <c r="D169" s="8" t="n">
        <v>0</v>
      </c>
      <c r="E169" s="8" t="n">
        <v>0.0117</v>
      </c>
      <c r="F169" s="8" t="n">
        <v>0.02</v>
      </c>
      <c r="G169" s="7" t="s">
        <v>78</v>
      </c>
      <c r="H169" s="7" t="s">
        <v>557</v>
      </c>
    </row>
    <row r="170" customFormat="false" ht="17.15" hidden="false" customHeight="false" outlineLevel="0" collapsed="false">
      <c r="A170" s="0" t="s">
        <v>558</v>
      </c>
      <c r="B170" s="4" t="s">
        <v>559</v>
      </c>
      <c r="C170" s="0" t="s">
        <v>55</v>
      </c>
      <c r="E170" s="6" t="n">
        <v>0.88</v>
      </c>
      <c r="G170" s="7" t="s">
        <v>65</v>
      </c>
      <c r="H170" s="4" t="s">
        <v>560</v>
      </c>
    </row>
    <row r="171" customFormat="false" ht="17.15" hidden="false" customHeight="false" outlineLevel="0" collapsed="false">
      <c r="A171" s="0" t="s">
        <v>561</v>
      </c>
      <c r="B171" s="4" t="s">
        <v>562</v>
      </c>
      <c r="C171" s="0" t="s">
        <v>100</v>
      </c>
      <c r="E171" s="8" t="n">
        <v>0.05</v>
      </c>
      <c r="G171" s="7" t="s">
        <v>78</v>
      </c>
      <c r="H171" s="7" t="s">
        <v>563</v>
      </c>
    </row>
    <row r="172" customFormat="false" ht="17.15" hidden="false" customHeight="false" outlineLevel="0" collapsed="false">
      <c r="A172" s="0" t="s">
        <v>564</v>
      </c>
      <c r="B172" s="4" t="s">
        <v>565</v>
      </c>
      <c r="C172" s="0" t="s">
        <v>77</v>
      </c>
      <c r="D172" s="6" t="n">
        <v>0</v>
      </c>
      <c r="E172" s="6" t="n">
        <v>17.003</v>
      </c>
      <c r="F172" s="6" t="n">
        <v>45.709</v>
      </c>
      <c r="G172" s="7" t="s">
        <v>78</v>
      </c>
      <c r="H172" s="4" t="s">
        <v>566</v>
      </c>
      <c r="I172" s="4" t="s">
        <v>567</v>
      </c>
    </row>
    <row r="173" customFormat="false" ht="17.15" hidden="false" customHeight="false" outlineLevel="0" collapsed="false">
      <c r="A173" s="0" t="s">
        <v>568</v>
      </c>
      <c r="B173" s="4" t="s">
        <v>569</v>
      </c>
      <c r="C173" s="0" t="s">
        <v>77</v>
      </c>
      <c r="E173" s="6" t="n">
        <v>50</v>
      </c>
      <c r="G173" s="7" t="s">
        <v>101</v>
      </c>
      <c r="H173" s="4" t="s">
        <v>570</v>
      </c>
    </row>
    <row r="174" customFormat="false" ht="17.15" hidden="false" customHeight="false" outlineLevel="0" collapsed="false">
      <c r="A174" s="0" t="s">
        <v>571</v>
      </c>
      <c r="B174" s="4" t="s">
        <v>572</v>
      </c>
      <c r="C174" s="0" t="s">
        <v>77</v>
      </c>
      <c r="E174" s="6" t="n">
        <v>0.206</v>
      </c>
      <c r="G174" s="7" t="s">
        <v>65</v>
      </c>
      <c r="H174" s="7" t="s">
        <v>573</v>
      </c>
    </row>
    <row r="175" customFormat="false" ht="17.15" hidden="false" customHeight="false" outlineLevel="0" collapsed="false">
      <c r="A175" s="0" t="s">
        <v>574</v>
      </c>
      <c r="B175" s="4" t="s">
        <v>575</v>
      </c>
      <c r="C175" s="0" t="s">
        <v>77</v>
      </c>
      <c r="E175" s="6" t="n">
        <v>0.387</v>
      </c>
      <c r="G175" s="7" t="s">
        <v>65</v>
      </c>
    </row>
    <row r="176" customFormat="false" ht="17.15" hidden="false" customHeight="false" outlineLevel="0" collapsed="false">
      <c r="A176" s="0" t="s">
        <v>576</v>
      </c>
      <c r="B176" s="4" t="s">
        <v>577</v>
      </c>
      <c r="C176" s="0" t="s">
        <v>77</v>
      </c>
      <c r="E176" s="6" t="n">
        <v>0.377</v>
      </c>
      <c r="G176" s="7" t="s">
        <v>65</v>
      </c>
    </row>
    <row r="177" customFormat="false" ht="17.15" hidden="false" customHeight="false" outlineLevel="0" collapsed="false">
      <c r="A177" s="0" t="s">
        <v>578</v>
      </c>
      <c r="B177" s="4" t="s">
        <v>579</v>
      </c>
      <c r="C177" s="0" t="s">
        <v>77</v>
      </c>
      <c r="E177" s="6" t="n">
        <v>0.356</v>
      </c>
      <c r="G177" s="7" t="s">
        <v>65</v>
      </c>
    </row>
    <row r="178" customFormat="false" ht="17.15" hidden="false" customHeight="false" outlineLevel="0" collapsed="false">
      <c r="A178" s="0" t="s">
        <v>580</v>
      </c>
      <c r="B178" s="4" t="s">
        <v>581</v>
      </c>
      <c r="C178" s="0" t="s">
        <v>77</v>
      </c>
      <c r="E178" s="6" t="n">
        <v>0.285</v>
      </c>
      <c r="G178" s="7" t="s">
        <v>65</v>
      </c>
    </row>
    <row r="179" customFormat="false" ht="17.15" hidden="false" customHeight="false" outlineLevel="0" collapsed="false">
      <c r="A179" s="0" t="s">
        <v>582</v>
      </c>
      <c r="B179" s="4" t="s">
        <v>583</v>
      </c>
      <c r="C179" s="0" t="s">
        <v>77</v>
      </c>
      <c r="E179" s="6" t="n">
        <v>0.25</v>
      </c>
      <c r="G179" s="7" t="s">
        <v>101</v>
      </c>
      <c r="H179" s="7" t="s">
        <v>584</v>
      </c>
    </row>
    <row r="180" customFormat="false" ht="17.15" hidden="false" customHeight="false" outlineLevel="0" collapsed="false">
      <c r="A180" s="0" t="s">
        <v>585</v>
      </c>
      <c r="B180" s="4" t="s">
        <v>586</v>
      </c>
      <c r="C180" s="0" t="s">
        <v>77</v>
      </c>
      <c r="E180" s="6" t="n">
        <v>0.25</v>
      </c>
      <c r="G180" s="7" t="s">
        <v>101</v>
      </c>
    </row>
    <row r="181" customFormat="false" ht="17.15" hidden="false" customHeight="false" outlineLevel="0" collapsed="false">
      <c r="A181" s="0" t="s">
        <v>587</v>
      </c>
      <c r="B181" s="0" t="s">
        <v>588</v>
      </c>
      <c r="C181" s="0" t="s">
        <v>77</v>
      </c>
      <c r="E181" s="6" t="n">
        <v>2.222</v>
      </c>
      <c r="G181" s="7" t="s">
        <v>65</v>
      </c>
      <c r="H181" s="4" t="s">
        <v>589</v>
      </c>
      <c r="I181" s="4" t="s">
        <v>590</v>
      </c>
    </row>
    <row r="182" customFormat="false" ht="17.15" hidden="false" customHeight="false" outlineLevel="0" collapsed="false">
      <c r="A182" s="0" t="s">
        <v>591</v>
      </c>
      <c r="B182" s="0" t="s">
        <v>592</v>
      </c>
      <c r="C182" s="0" t="s">
        <v>77</v>
      </c>
      <c r="E182" s="6" t="n">
        <v>4.444</v>
      </c>
      <c r="G182" s="7" t="s">
        <v>65</v>
      </c>
    </row>
    <row r="183" customFormat="false" ht="17.15" hidden="false" customHeight="false" outlineLevel="0" collapsed="false">
      <c r="A183" s="0" t="s">
        <v>593</v>
      </c>
      <c r="B183" s="0" t="s">
        <v>594</v>
      </c>
      <c r="C183" s="0" t="s">
        <v>77</v>
      </c>
      <c r="E183" s="6" t="n">
        <v>4.444</v>
      </c>
      <c r="G183" s="7" t="s">
        <v>65</v>
      </c>
    </row>
    <row r="184" customFormat="false" ht="17.15" hidden="false" customHeight="false" outlineLevel="0" collapsed="false">
      <c r="A184" s="0" t="s">
        <v>595</v>
      </c>
      <c r="B184" s="0" t="s">
        <v>596</v>
      </c>
      <c r="C184" s="0" t="s">
        <v>77</v>
      </c>
      <c r="E184" s="6" t="n">
        <v>4.444</v>
      </c>
      <c r="G184" s="7" t="s">
        <v>65</v>
      </c>
    </row>
    <row r="185" customFormat="false" ht="17.15" hidden="false" customHeight="false" outlineLevel="0" collapsed="false">
      <c r="A185" s="0" t="s">
        <v>597</v>
      </c>
      <c r="B185" s="0" t="s">
        <v>598</v>
      </c>
      <c r="C185" s="0" t="s">
        <v>77</v>
      </c>
      <c r="E185" s="6" t="n">
        <v>4.444</v>
      </c>
      <c r="G185" s="7" t="s">
        <v>65</v>
      </c>
    </row>
    <row r="186" customFormat="false" ht="17.15" hidden="false" customHeight="false" outlineLevel="0" collapsed="false">
      <c r="A186" s="0" t="s">
        <v>599</v>
      </c>
      <c r="B186" s="0" t="s">
        <v>600</v>
      </c>
      <c r="C186" s="0" t="s">
        <v>77</v>
      </c>
      <c r="E186" s="6" t="n">
        <v>0</v>
      </c>
      <c r="G186" s="7" t="s">
        <v>65</v>
      </c>
    </row>
    <row r="187" customFormat="false" ht="17.15" hidden="false" customHeight="false" outlineLevel="0" collapsed="false">
      <c r="A187" s="0" t="s">
        <v>601</v>
      </c>
      <c r="B187" s="0" t="s">
        <v>602</v>
      </c>
      <c r="C187" s="0" t="s">
        <v>77</v>
      </c>
      <c r="E187" s="6" t="n">
        <v>0</v>
      </c>
      <c r="G187" s="7" t="s">
        <v>65</v>
      </c>
    </row>
    <row r="188" customFormat="false" ht="17.15" hidden="false" customHeight="false" outlineLevel="0" collapsed="false">
      <c r="A188" s="0" t="s">
        <v>603</v>
      </c>
      <c r="B188" s="4" t="s">
        <v>604</v>
      </c>
      <c r="C188" s="0" t="s">
        <v>77</v>
      </c>
      <c r="E188" s="6" t="n">
        <v>2</v>
      </c>
      <c r="G188" s="7" t="s">
        <v>65</v>
      </c>
      <c r="H188" s="7" t="s">
        <v>605</v>
      </c>
    </row>
    <row r="189" customFormat="false" ht="17.15" hidden="false" customHeight="false" outlineLevel="0" collapsed="false">
      <c r="A189" s="0" t="s">
        <v>606</v>
      </c>
      <c r="B189" s="4" t="s">
        <v>607</v>
      </c>
      <c r="C189" s="0" t="s">
        <v>77</v>
      </c>
      <c r="E189" s="6" t="n">
        <v>1</v>
      </c>
      <c r="G189" s="7" t="s">
        <v>65</v>
      </c>
    </row>
    <row r="190" customFormat="false" ht="17.15" hidden="false" customHeight="false" outlineLevel="0" collapsed="false">
      <c r="A190" s="0" t="s">
        <v>608</v>
      </c>
      <c r="B190" s="4" t="s">
        <v>609</v>
      </c>
      <c r="C190" s="0" t="s">
        <v>77</v>
      </c>
      <c r="E190" s="6" t="n">
        <v>2.676</v>
      </c>
      <c r="G190" s="7" t="s">
        <v>65</v>
      </c>
    </row>
    <row r="191" customFormat="false" ht="17.15" hidden="false" customHeight="false" outlineLevel="0" collapsed="false">
      <c r="A191" s="0" t="s">
        <v>610</v>
      </c>
      <c r="B191" s="4" t="s">
        <v>611</v>
      </c>
      <c r="C191" s="0" t="s">
        <v>77</v>
      </c>
      <c r="E191" s="6" t="n">
        <v>1.764</v>
      </c>
      <c r="G191" s="7" t="s">
        <v>65</v>
      </c>
    </row>
    <row r="192" customFormat="false" ht="17.15" hidden="false" customHeight="false" outlineLevel="0" collapsed="false">
      <c r="A192" s="0" t="s">
        <v>612</v>
      </c>
      <c r="B192" s="4" t="s">
        <v>613</v>
      </c>
      <c r="C192" s="0" t="s">
        <v>77</v>
      </c>
      <c r="E192" s="6" t="n">
        <v>7.186</v>
      </c>
      <c r="G192" s="7" t="s">
        <v>65</v>
      </c>
    </row>
    <row r="193" customFormat="false" ht="17.15" hidden="false" customHeight="false" outlineLevel="0" collapsed="false">
      <c r="A193" s="0" t="s">
        <v>614</v>
      </c>
      <c r="B193" s="4" t="s">
        <v>615</v>
      </c>
      <c r="C193" s="0" t="s">
        <v>77</v>
      </c>
      <c r="E193" s="6" t="n">
        <v>5</v>
      </c>
      <c r="G193" s="7" t="s">
        <v>101</v>
      </c>
      <c r="H193" s="7" t="s">
        <v>616</v>
      </c>
    </row>
    <row r="194" customFormat="false" ht="17.15" hidden="false" customHeight="false" outlineLevel="0" collapsed="false">
      <c r="A194" s="0" t="s">
        <v>617</v>
      </c>
      <c r="B194" s="4" t="s">
        <v>618</v>
      </c>
      <c r="C194" s="0" t="s">
        <v>77</v>
      </c>
      <c r="E194" s="6" t="n">
        <v>5</v>
      </c>
      <c r="G194" s="7" t="s">
        <v>101</v>
      </c>
    </row>
    <row r="195" customFormat="false" ht="17.15" hidden="false" customHeight="false" outlineLevel="0" collapsed="false">
      <c r="A195" s="0" t="s">
        <v>619</v>
      </c>
      <c r="B195" s="0" t="s">
        <v>620</v>
      </c>
      <c r="C195" s="0" t="s">
        <v>77</v>
      </c>
      <c r="E195" s="6" t="n">
        <v>25</v>
      </c>
      <c r="G195" s="7" t="s">
        <v>65</v>
      </c>
      <c r="H195" s="7" t="s">
        <v>621</v>
      </c>
    </row>
    <row r="196" customFormat="false" ht="17.15" hidden="false" customHeight="false" outlineLevel="0" collapsed="false">
      <c r="A196" s="0" t="s">
        <v>622</v>
      </c>
      <c r="B196" s="4" t="s">
        <v>623</v>
      </c>
      <c r="C196" s="0" t="s">
        <v>77</v>
      </c>
      <c r="E196" s="6" t="n">
        <v>0.535</v>
      </c>
      <c r="G196" s="7" t="s">
        <v>78</v>
      </c>
      <c r="H196" s="7" t="s">
        <v>624</v>
      </c>
    </row>
    <row r="197" customFormat="false" ht="17.15" hidden="false" customHeight="false" outlineLevel="0" collapsed="false">
      <c r="A197" s="0" t="s">
        <v>625</v>
      </c>
      <c r="B197" s="4" t="s">
        <v>626</v>
      </c>
      <c r="C197" s="0" t="s">
        <v>77</v>
      </c>
      <c r="E197" s="6" t="n">
        <v>1.203</v>
      </c>
      <c r="G197" s="7" t="s">
        <v>78</v>
      </c>
    </row>
    <row r="198" customFormat="false" ht="17.15" hidden="false" customHeight="false" outlineLevel="0" collapsed="false">
      <c r="A198" s="0" t="s">
        <v>627</v>
      </c>
      <c r="B198" s="4" t="s">
        <v>628</v>
      </c>
      <c r="C198" s="0" t="s">
        <v>77</v>
      </c>
      <c r="E198" s="6" t="n">
        <v>1.203</v>
      </c>
      <c r="G198" s="7" t="s">
        <v>78</v>
      </c>
    </row>
    <row r="199" customFormat="false" ht="17.15" hidden="false" customHeight="false" outlineLevel="0" collapsed="false">
      <c r="A199" s="0" t="s">
        <v>629</v>
      </c>
      <c r="B199" s="4" t="s">
        <v>630</v>
      </c>
      <c r="C199" s="0" t="s">
        <v>77</v>
      </c>
      <c r="E199" s="6" t="n">
        <v>0.602</v>
      </c>
      <c r="G199" s="7" t="s">
        <v>78</v>
      </c>
    </row>
    <row r="200" customFormat="false" ht="17.15" hidden="false" customHeight="false" outlineLevel="0" collapsed="false">
      <c r="A200" s="5" t="s">
        <v>631</v>
      </c>
    </row>
    <row r="201" customFormat="false" ht="17.15" hidden="false" customHeight="false" outlineLevel="0" collapsed="false">
      <c r="A201" s="0" t="s">
        <v>632</v>
      </c>
      <c r="B201" s="0" t="s">
        <v>633</v>
      </c>
      <c r="C201" s="0" t="s">
        <v>77</v>
      </c>
      <c r="E201" s="6" t="n">
        <v>0.84</v>
      </c>
      <c r="G201" s="7" t="s">
        <v>65</v>
      </c>
      <c r="H201" s="7" t="s">
        <v>634</v>
      </c>
    </row>
    <row r="202" customFormat="false" ht="17.15" hidden="false" customHeight="false" outlineLevel="0" collapsed="false">
      <c r="A202" s="0" t="s">
        <v>635</v>
      </c>
      <c r="B202" s="0" t="s">
        <v>636</v>
      </c>
      <c r="C202" s="0" t="s">
        <v>77</v>
      </c>
      <c r="E202" s="6" t="n">
        <v>55.44</v>
      </c>
      <c r="G202" s="7" t="s">
        <v>78</v>
      </c>
      <c r="H202" s="4" t="s">
        <v>637</v>
      </c>
    </row>
    <row r="203" customFormat="false" ht="17.15" hidden="false" customHeight="false" outlineLevel="0" collapsed="false">
      <c r="A203" s="0" t="s">
        <v>638</v>
      </c>
      <c r="B203" s="0" t="s">
        <v>639</v>
      </c>
      <c r="C203" s="0" t="s">
        <v>77</v>
      </c>
      <c r="E203" s="6" t="n">
        <v>5.253</v>
      </c>
      <c r="G203" s="7" t="s">
        <v>65</v>
      </c>
      <c r="H203" s="7" t="s">
        <v>640</v>
      </c>
    </row>
    <row r="204" customFormat="false" ht="17.15" hidden="false" customHeight="false" outlineLevel="0" collapsed="false">
      <c r="A204" s="0" t="s">
        <v>641</v>
      </c>
      <c r="B204" s="0" t="s">
        <v>642</v>
      </c>
      <c r="C204" s="0" t="s">
        <v>77</v>
      </c>
      <c r="E204" s="6" t="n">
        <v>56.226</v>
      </c>
      <c r="G204" s="7" t="s">
        <v>65</v>
      </c>
      <c r="H204" s="7" t="s">
        <v>640</v>
      </c>
    </row>
    <row r="205" customFormat="false" ht="17.15" hidden="false" customHeight="false" outlineLevel="0" collapsed="false">
      <c r="A205" s="0" t="s">
        <v>643</v>
      </c>
      <c r="B205" s="0" t="s">
        <v>644</v>
      </c>
      <c r="C205" s="0" t="s">
        <v>77</v>
      </c>
      <c r="E205" s="6" t="n">
        <v>49.562</v>
      </c>
      <c r="G205" s="7" t="s">
        <v>65</v>
      </c>
      <c r="H205" s="7" t="s">
        <v>645</v>
      </c>
    </row>
    <row r="206" customFormat="false" ht="17.15" hidden="false" customHeight="false" outlineLevel="0" collapsed="false">
      <c r="A206" s="0" t="s">
        <v>646</v>
      </c>
      <c r="B206" s="4" t="s">
        <v>647</v>
      </c>
      <c r="C206" s="0" t="s">
        <v>77</v>
      </c>
      <c r="E206" s="6" t="n">
        <v>49.085</v>
      </c>
      <c r="G206" s="7" t="s">
        <v>56</v>
      </c>
      <c r="H206" s="7" t="s">
        <v>648</v>
      </c>
    </row>
    <row r="207" customFormat="false" ht="17.15" hidden="false" customHeight="false" outlineLevel="0" collapsed="false">
      <c r="A207" s="0" t="s">
        <v>649</v>
      </c>
      <c r="B207" s="0" t="s">
        <v>650</v>
      </c>
      <c r="C207" s="0" t="s">
        <v>77</v>
      </c>
      <c r="E207" s="6" t="n">
        <v>513.9</v>
      </c>
      <c r="G207" s="7" t="s">
        <v>65</v>
      </c>
      <c r="H207" s="7" t="s">
        <v>651</v>
      </c>
    </row>
    <row r="208" customFormat="false" ht="17.15" hidden="false" customHeight="false" outlineLevel="0" collapsed="false">
      <c r="A208" s="0" t="s">
        <v>652</v>
      </c>
      <c r="B208" s="4" t="s">
        <v>653</v>
      </c>
      <c r="C208" s="0" t="s">
        <v>100</v>
      </c>
      <c r="E208" s="8" t="n">
        <v>0.5</v>
      </c>
      <c r="G208" s="7" t="s">
        <v>65</v>
      </c>
      <c r="H208" s="7" t="s">
        <v>654</v>
      </c>
    </row>
    <row r="209" customFormat="false" ht="17.15" hidden="false" customHeight="false" outlineLevel="0" collapsed="false">
      <c r="A209" s="5" t="s">
        <v>655</v>
      </c>
    </row>
    <row r="210" customFormat="false" ht="17.15" hidden="false" customHeight="false" outlineLevel="0" collapsed="false">
      <c r="A210" s="0" t="s">
        <v>656</v>
      </c>
      <c r="B210" s="0" t="s">
        <v>657</v>
      </c>
      <c r="C210" s="0" t="s">
        <v>55</v>
      </c>
      <c r="E210" s="6" t="n">
        <v>146.09</v>
      </c>
      <c r="G210" s="7" t="s">
        <v>78</v>
      </c>
      <c r="H210" s="7" t="s">
        <v>658</v>
      </c>
      <c r="I210" s="4" t="s">
        <v>659</v>
      </c>
    </row>
    <row r="211" customFormat="false" ht="17.15" hidden="false" customHeight="false" outlineLevel="0" collapsed="false">
      <c r="A211" s="0" t="s">
        <v>660</v>
      </c>
      <c r="B211" s="0" t="s">
        <v>661</v>
      </c>
      <c r="C211" s="0" t="s">
        <v>55</v>
      </c>
      <c r="E211" s="6" t="n">
        <v>147.54</v>
      </c>
      <c r="G211" s="7" t="s">
        <v>78</v>
      </c>
      <c r="H211" s="4" t="s">
        <v>662</v>
      </c>
    </row>
    <row r="212" customFormat="false" ht="17.15" hidden="false" customHeight="false" outlineLevel="0" collapsed="false">
      <c r="A212" s="0" t="s">
        <v>663</v>
      </c>
      <c r="B212" s="0" t="s">
        <v>664</v>
      </c>
      <c r="C212" s="0" t="s">
        <v>55</v>
      </c>
      <c r="E212" s="6" t="n">
        <v>350.5</v>
      </c>
      <c r="G212" s="7" t="s">
        <v>56</v>
      </c>
      <c r="H212" s="4" t="s">
        <v>665</v>
      </c>
    </row>
    <row r="213" customFormat="false" ht="17.15" hidden="false" customHeight="false" outlineLevel="0" collapsed="false">
      <c r="A213" s="0" t="s">
        <v>666</v>
      </c>
      <c r="B213" s="4" t="s">
        <v>667</v>
      </c>
      <c r="C213" s="0" t="s">
        <v>77</v>
      </c>
      <c r="E213" s="6" t="n">
        <v>500.142</v>
      </c>
      <c r="G213" s="7" t="s">
        <v>65</v>
      </c>
      <c r="H213" s="7" t="s">
        <v>668</v>
      </c>
      <c r="I213" s="7" t="s">
        <v>669</v>
      </c>
    </row>
    <row r="214" customFormat="false" ht="17.15" hidden="false" customHeight="false" outlineLevel="0" collapsed="false">
      <c r="A214" s="0" t="s">
        <v>670</v>
      </c>
      <c r="B214" s="4" t="s">
        <v>671</v>
      </c>
      <c r="C214" s="0" t="s">
        <v>77</v>
      </c>
      <c r="E214" s="6" t="n">
        <v>626.817</v>
      </c>
      <c r="G214" s="7" t="s">
        <v>65</v>
      </c>
      <c r="H214" s="4" t="s">
        <v>172</v>
      </c>
    </row>
    <row r="215" customFormat="false" ht="17.15" hidden="false" customHeight="false" outlineLevel="0" collapsed="false">
      <c r="A215" s="0" t="s">
        <v>672</v>
      </c>
      <c r="B215" s="4" t="s">
        <v>673</v>
      </c>
      <c r="C215" s="0" t="s">
        <v>77</v>
      </c>
      <c r="E215" s="6" t="n">
        <v>754.762</v>
      </c>
      <c r="G215" s="7" t="s">
        <v>65</v>
      </c>
      <c r="H215" s="4" t="s">
        <v>172</v>
      </c>
    </row>
    <row r="216" customFormat="false" ht="17.15" hidden="false" customHeight="false" outlineLevel="0" collapsed="false">
      <c r="A216" s="0" t="s">
        <v>674</v>
      </c>
      <c r="B216" s="4" t="s">
        <v>675</v>
      </c>
      <c r="C216" s="0" t="s">
        <v>77</v>
      </c>
      <c r="E216" s="6" t="n">
        <v>172.033</v>
      </c>
      <c r="G216" s="7" t="s">
        <v>65</v>
      </c>
      <c r="H216" s="7" t="s">
        <v>668</v>
      </c>
    </row>
    <row r="217" customFormat="false" ht="17.15" hidden="false" customHeight="false" outlineLevel="0" collapsed="false">
      <c r="A217" s="0" t="s">
        <v>676</v>
      </c>
      <c r="B217" s="4" t="s">
        <v>677</v>
      </c>
      <c r="C217" s="0" t="s">
        <v>77</v>
      </c>
      <c r="E217" s="6" t="n">
        <v>220.967</v>
      </c>
      <c r="G217" s="7" t="s">
        <v>65</v>
      </c>
      <c r="H217" s="4" t="s">
        <v>172</v>
      </c>
    </row>
    <row r="218" customFormat="false" ht="17.15" hidden="false" customHeight="false" outlineLevel="0" collapsed="false">
      <c r="A218" s="0" t="s">
        <v>678</v>
      </c>
      <c r="B218" s="4" t="s">
        <v>679</v>
      </c>
      <c r="C218" s="0" t="s">
        <v>77</v>
      </c>
      <c r="E218" s="6" t="n">
        <v>268.322</v>
      </c>
      <c r="G218" s="7" t="s">
        <v>65</v>
      </c>
      <c r="H218" s="4" t="s">
        <v>172</v>
      </c>
    </row>
    <row r="219" customFormat="false" ht="17.15" hidden="false" customHeight="false" outlineLevel="0" collapsed="false">
      <c r="A219" s="0" t="s">
        <v>680</v>
      </c>
      <c r="B219" s="4" t="s">
        <v>681</v>
      </c>
      <c r="C219" s="0" t="s">
        <v>55</v>
      </c>
      <c r="E219" s="6" t="n">
        <v>20.6</v>
      </c>
      <c r="G219" s="7" t="s">
        <v>65</v>
      </c>
      <c r="H219" s="7" t="s">
        <v>668</v>
      </c>
    </row>
    <row r="220" customFormat="false" ht="17.15" hidden="false" customHeight="false" outlineLevel="0" collapsed="false">
      <c r="A220" s="0" t="s">
        <v>682</v>
      </c>
      <c r="B220" s="4" t="s">
        <v>683</v>
      </c>
      <c r="C220" s="0" t="s">
        <v>55</v>
      </c>
      <c r="E220" s="6" t="n">
        <v>15.12</v>
      </c>
      <c r="G220" s="7" t="s">
        <v>65</v>
      </c>
      <c r="H220" s="4" t="s">
        <v>172</v>
      </c>
    </row>
    <row r="221" customFormat="false" ht="17.15" hidden="false" customHeight="false" outlineLevel="0" collapsed="false">
      <c r="A221" s="0" t="s">
        <v>684</v>
      </c>
      <c r="B221" s="4" t="s">
        <v>685</v>
      </c>
      <c r="C221" s="0" t="s">
        <v>55</v>
      </c>
      <c r="E221" s="6" t="n">
        <v>18.21</v>
      </c>
      <c r="G221" s="7" t="s">
        <v>65</v>
      </c>
      <c r="H221" s="4" t="s">
        <v>172</v>
      </c>
    </row>
    <row r="222" customFormat="false" ht="17.15" hidden="false" customHeight="false" outlineLevel="0" collapsed="false">
      <c r="A222" s="0" t="s">
        <v>686</v>
      </c>
      <c r="B222" s="4" t="s">
        <v>687</v>
      </c>
      <c r="C222" s="0" t="s">
        <v>77</v>
      </c>
      <c r="E222" s="6" t="n">
        <v>202.078</v>
      </c>
      <c r="G222" s="7" t="s">
        <v>65</v>
      </c>
      <c r="H222" s="7" t="s">
        <v>668</v>
      </c>
    </row>
    <row r="223" customFormat="false" ht="17.15" hidden="false" customHeight="false" outlineLevel="0" collapsed="false">
      <c r="A223" s="0" t="s">
        <v>688</v>
      </c>
      <c r="B223" s="4" t="s">
        <v>689</v>
      </c>
      <c r="C223" s="0" t="s">
        <v>77</v>
      </c>
      <c r="E223" s="6" t="n">
        <v>308.024</v>
      </c>
      <c r="G223" s="7" t="s">
        <v>65</v>
      </c>
      <c r="H223" s="4" t="s">
        <v>172</v>
      </c>
    </row>
    <row r="224" customFormat="false" ht="17.15" hidden="false" customHeight="false" outlineLevel="0" collapsed="false">
      <c r="A224" s="0" t="s">
        <v>690</v>
      </c>
      <c r="B224" s="4" t="s">
        <v>691</v>
      </c>
      <c r="C224" s="0" t="s">
        <v>77</v>
      </c>
      <c r="E224" s="6" t="n">
        <v>352.387</v>
      </c>
      <c r="G224" s="7" t="s">
        <v>65</v>
      </c>
      <c r="H224" s="4" t="s">
        <v>172</v>
      </c>
    </row>
    <row r="225" customFormat="false" ht="17.15" hidden="false" customHeight="false" outlineLevel="0" collapsed="false">
      <c r="A225" s="0" t="s">
        <v>692</v>
      </c>
      <c r="B225" s="4" t="s">
        <v>693</v>
      </c>
      <c r="C225" s="0" t="s">
        <v>77</v>
      </c>
      <c r="E225" s="6" t="n">
        <v>7.069</v>
      </c>
      <c r="G225" s="7" t="s">
        <v>65</v>
      </c>
      <c r="H225" s="7" t="s">
        <v>668</v>
      </c>
    </row>
    <row r="226" customFormat="false" ht="17.15" hidden="false" customHeight="false" outlineLevel="0" collapsed="false">
      <c r="A226" s="0" t="s">
        <v>694</v>
      </c>
      <c r="B226" s="4" t="s">
        <v>695</v>
      </c>
      <c r="C226" s="0" t="s">
        <v>77</v>
      </c>
      <c r="E226" s="6" t="n">
        <v>-37.207</v>
      </c>
      <c r="G226" s="7" t="s">
        <v>65</v>
      </c>
      <c r="H226" s="4" t="s">
        <v>172</v>
      </c>
    </row>
    <row r="227" customFormat="false" ht="17.15" hidden="false" customHeight="false" outlineLevel="0" collapsed="false">
      <c r="A227" s="0" t="s">
        <v>696</v>
      </c>
      <c r="B227" s="4" t="s">
        <v>697</v>
      </c>
      <c r="C227" s="0" t="s">
        <v>77</v>
      </c>
      <c r="E227" s="6" t="n">
        <v>6.132</v>
      </c>
      <c r="G227" s="7" t="s">
        <v>65</v>
      </c>
      <c r="H227" s="4" t="s">
        <v>172</v>
      </c>
    </row>
    <row r="228" customFormat="false" ht="17.15" hidden="false" customHeight="false" outlineLevel="0" collapsed="false">
      <c r="A228" s="0" t="s">
        <v>698</v>
      </c>
      <c r="B228" s="4" t="s">
        <v>699</v>
      </c>
      <c r="C228" s="0" t="s">
        <v>77</v>
      </c>
      <c r="E228" s="6" t="n">
        <v>233.956</v>
      </c>
      <c r="G228" s="7" t="s">
        <v>65</v>
      </c>
      <c r="H228" s="7" t="s">
        <v>668</v>
      </c>
    </row>
    <row r="229" customFormat="false" ht="17.15" hidden="false" customHeight="false" outlineLevel="0" collapsed="false">
      <c r="A229" s="0" t="s">
        <v>700</v>
      </c>
      <c r="B229" s="4" t="s">
        <v>701</v>
      </c>
      <c r="C229" s="0" t="s">
        <v>77</v>
      </c>
      <c r="E229" s="6" t="n">
        <v>305.081</v>
      </c>
      <c r="G229" s="7" t="s">
        <v>65</v>
      </c>
      <c r="H229" s="4" t="s">
        <v>172</v>
      </c>
    </row>
    <row r="230" customFormat="false" ht="17.15" hidden="false" customHeight="false" outlineLevel="0" collapsed="false">
      <c r="A230" s="0" t="s">
        <v>702</v>
      </c>
      <c r="B230" s="4" t="s">
        <v>703</v>
      </c>
      <c r="C230" s="0" t="s">
        <v>77</v>
      </c>
      <c r="E230" s="6" t="n">
        <v>393.759</v>
      </c>
      <c r="G230" s="7" t="s">
        <v>65</v>
      </c>
      <c r="H230" s="4" t="s">
        <v>172</v>
      </c>
    </row>
    <row r="231" customFormat="false" ht="17.15" hidden="false" customHeight="false" outlineLevel="0" collapsed="false">
      <c r="A231" s="0" t="s">
        <v>704</v>
      </c>
      <c r="B231" s="4" t="s">
        <v>705</v>
      </c>
      <c r="C231" s="0" t="s">
        <v>55</v>
      </c>
      <c r="D231" s="6" t="n">
        <v>11.38</v>
      </c>
      <c r="E231" s="6" t="n">
        <v>11.89</v>
      </c>
      <c r="F231" s="6" t="n">
        <v>12.43</v>
      </c>
      <c r="G231" s="7" t="s">
        <v>65</v>
      </c>
      <c r="H231" s="7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90"/>
  </cols>
  <sheetData>
    <row r="1" customFormat="false" ht="17.15" hidden="false" customHeight="false" outlineLevel="0" collapsed="false">
      <c r="A1" s="0" t="s">
        <v>707</v>
      </c>
    </row>
    <row r="2" customFormat="false" ht="17.15" hidden="false" customHeight="false" outlineLevel="0" collapsed="false">
      <c r="A2" s="4" t="s">
        <v>708</v>
      </c>
    </row>
    <row r="3" customFormat="false" ht="17.15" hidden="false" customHeight="false" outlineLevel="0" collapsed="false">
      <c r="A3" s="3" t="s">
        <v>44</v>
      </c>
      <c r="B3" s="18" t="s">
        <v>709</v>
      </c>
      <c r="C3" s="18" t="s">
        <v>710</v>
      </c>
      <c r="D3" s="18" t="s">
        <v>711</v>
      </c>
      <c r="E3" s="18" t="s">
        <v>712</v>
      </c>
      <c r="F3" s="18" t="s">
        <v>713</v>
      </c>
      <c r="G3" s="18" t="s">
        <v>714</v>
      </c>
      <c r="H3" s="18" t="s">
        <v>715</v>
      </c>
      <c r="I3" s="18" t="s">
        <v>716</v>
      </c>
      <c r="J3" s="18" t="s">
        <v>717</v>
      </c>
      <c r="K3" s="18" t="s">
        <v>718</v>
      </c>
      <c r="L3" s="18" t="s">
        <v>719</v>
      </c>
      <c r="M3" s="3" t="s">
        <v>720</v>
      </c>
      <c r="N3" s="3" t="s">
        <v>721</v>
      </c>
      <c r="O3" s="3" t="s">
        <v>49</v>
      </c>
      <c r="P3" s="3" t="s">
        <v>50</v>
      </c>
    </row>
    <row r="4" customFormat="false" ht="15" hidden="false" customHeight="false" outlineLevel="0" collapsed="false">
      <c r="A4" s="2" t="s">
        <v>722</v>
      </c>
    </row>
    <row r="5" customFormat="false" ht="17.15" hidden="false" customHeight="false" outlineLevel="0" collapsed="false">
      <c r="A5" s="0" t="s">
        <v>723</v>
      </c>
      <c r="B5" s="6" t="n">
        <v>49.385</v>
      </c>
      <c r="C5" s="6" t="n">
        <v>54.034</v>
      </c>
      <c r="D5" s="6" t="n">
        <v>50.702</v>
      </c>
      <c r="E5" s="6" t="n">
        <v>54.19</v>
      </c>
      <c r="F5" s="6" t="n">
        <v>56.567</v>
      </c>
      <c r="G5" s="6" t="n">
        <v>63.073</v>
      </c>
      <c r="H5" s="6" t="n">
        <v>60.399</v>
      </c>
      <c r="I5" s="6" t="n">
        <v>63.271</v>
      </c>
      <c r="J5" s="6" t="n">
        <v>198.084</v>
      </c>
      <c r="K5" s="6" t="n">
        <v>224.532</v>
      </c>
      <c r="L5" s="15" t="n">
        <f aca="false">H5+I5</f>
        <v>123.67</v>
      </c>
      <c r="M5" s="15" t="n">
        <f aca="false">SUM(F5:I5)</f>
        <v>243.31</v>
      </c>
      <c r="N5" s="15" t="n">
        <f aca="false">SUM(B5:E5)</f>
        <v>208.311</v>
      </c>
      <c r="O5" s="7" t="s">
        <v>724</v>
      </c>
      <c r="P5" s="4" t="s">
        <v>725</v>
      </c>
    </row>
    <row r="6" customFormat="false" ht="17.15" hidden="false" customHeight="false" outlineLevel="0" collapsed="false">
      <c r="A6" s="0" t="s">
        <v>726</v>
      </c>
      <c r="B6" s="6" t="n">
        <v>8.921</v>
      </c>
      <c r="C6" s="6" t="n">
        <v>10.473</v>
      </c>
      <c r="D6" s="6" t="n">
        <v>8.927</v>
      </c>
      <c r="E6" s="6" t="n">
        <v>9.796</v>
      </c>
      <c r="F6" s="6" t="n">
        <v>10.261</v>
      </c>
      <c r="G6" s="6" t="n">
        <v>11.383</v>
      </c>
      <c r="H6" s="6" t="n">
        <v>9.883</v>
      </c>
      <c r="I6" s="6" t="n">
        <v>11.055</v>
      </c>
      <c r="J6" s="6" t="n">
        <v>36.147</v>
      </c>
      <c r="K6" s="6" t="n">
        <v>40.367</v>
      </c>
      <c r="L6" s="15" t="n">
        <f aca="false">H6+I6</f>
        <v>20.938</v>
      </c>
      <c r="M6" s="15" t="n">
        <f aca="false">SUM(F6:I6)</f>
        <v>42.582</v>
      </c>
      <c r="N6" s="15" t="n">
        <f aca="false">SUM(B6:E6)</f>
        <v>38.117</v>
      </c>
      <c r="O6" s="7" t="s">
        <v>724</v>
      </c>
      <c r="P6" s="4" t="s">
        <v>725</v>
      </c>
    </row>
    <row r="7" customFormat="false" ht="17.15" hidden="false" customHeight="false" outlineLevel="0" collapsed="false">
      <c r="A7" s="0" t="s">
        <v>727</v>
      </c>
      <c r="B7" s="6" t="n">
        <v>7.548</v>
      </c>
      <c r="C7" s="6" t="n">
        <v>7.954</v>
      </c>
      <c r="D7" s="6" t="n">
        <v>7.256</v>
      </c>
      <c r="E7" s="6" t="n">
        <v>7.354</v>
      </c>
      <c r="F7" s="6" t="n">
        <v>7.354</v>
      </c>
      <c r="G7" s="6" t="n">
        <v>7.828</v>
      </c>
      <c r="H7" s="6" t="n">
        <v>6.971</v>
      </c>
      <c r="I7" s="6" t="n">
        <v>7.303</v>
      </c>
      <c r="J7" s="6" t="n">
        <v>30.359</v>
      </c>
      <c r="K7" s="6" t="n">
        <v>29.792</v>
      </c>
      <c r="L7" s="15" t="n">
        <f aca="false">H7+I7</f>
        <v>14.274</v>
      </c>
      <c r="M7" s="15" t="n">
        <f aca="false">SUM(F7:I7)</f>
        <v>29.456</v>
      </c>
      <c r="N7" s="15" t="n">
        <f aca="false">SUM(B7:E7)</f>
        <v>30.112</v>
      </c>
      <c r="O7" s="7" t="s">
        <v>724</v>
      </c>
      <c r="P7" s="4" t="s">
        <v>725</v>
      </c>
    </row>
    <row r="8" customFormat="false" ht="17.15" hidden="false" customHeight="false" outlineLevel="0" collapsed="false">
      <c r="A8" s="0" t="s">
        <v>728</v>
      </c>
      <c r="B8" s="6" t="n">
        <v>10.656</v>
      </c>
      <c r="C8" s="6" t="n">
        <v>11.633</v>
      </c>
      <c r="D8" s="6" t="n">
        <v>10.379</v>
      </c>
      <c r="E8" s="6" t="n">
        <v>11.203</v>
      </c>
      <c r="F8" s="6" t="n">
        <v>12.87</v>
      </c>
      <c r="G8" s="6" t="n">
        <v>13.578</v>
      </c>
      <c r="H8" s="6" t="n">
        <v>12.384</v>
      </c>
      <c r="I8" s="6" t="n">
        <v>12.911</v>
      </c>
      <c r="J8" s="6" t="n">
        <v>40.34</v>
      </c>
      <c r="K8" s="6" t="n">
        <v>48.03</v>
      </c>
      <c r="L8" s="15" t="n">
        <f aca="false">H8+I8</f>
        <v>25.295</v>
      </c>
      <c r="M8" s="15" t="n">
        <f aca="false">SUM(F8:I8)</f>
        <v>51.743</v>
      </c>
      <c r="N8" s="15" t="n">
        <f aca="false">SUM(B8:E8)</f>
        <v>43.871</v>
      </c>
      <c r="O8" s="7" t="s">
        <v>724</v>
      </c>
      <c r="P8" s="4" t="s">
        <v>725</v>
      </c>
    </row>
    <row r="9" customFormat="false" ht="17.15" hidden="false" customHeight="false" outlineLevel="0" collapsed="false">
      <c r="A9" s="0" t="s">
        <v>729</v>
      </c>
      <c r="B9" s="6" t="n">
        <v>76.51</v>
      </c>
      <c r="C9" s="6" t="n">
        <v>84.094</v>
      </c>
      <c r="D9" s="6" t="n">
        <v>77.264</v>
      </c>
      <c r="E9" s="6" t="n">
        <v>82.543</v>
      </c>
      <c r="F9" s="6" t="n">
        <v>87.052</v>
      </c>
      <c r="G9" s="6" t="n">
        <v>95.862</v>
      </c>
      <c r="H9" s="6" t="n">
        <v>89.637</v>
      </c>
      <c r="I9" s="6" t="n">
        <v>94.54</v>
      </c>
      <c r="J9" s="6" t="n">
        <v>304.93</v>
      </c>
      <c r="K9" s="6" t="n">
        <v>342.721</v>
      </c>
      <c r="L9" s="15" t="n">
        <f aca="false">H9+I9</f>
        <v>184.177</v>
      </c>
      <c r="M9" s="15" t="n">
        <f aca="false">SUM(F9:I9)</f>
        <v>367.091</v>
      </c>
      <c r="N9" s="15" t="n">
        <f aca="false">SUM(B9:E9)</f>
        <v>320.411</v>
      </c>
      <c r="O9" s="7" t="s">
        <v>724</v>
      </c>
      <c r="P9" s="4" t="s">
        <v>725</v>
      </c>
    </row>
    <row r="10" customFormat="false" ht="17.15" hidden="false" customHeight="false" outlineLevel="0" collapsed="false">
      <c r="A10" s="4" t="s">
        <v>730</v>
      </c>
      <c r="B10" s="19" t="n">
        <f aca="false">B5+B6+B7+B8-B9</f>
        <v>0</v>
      </c>
      <c r="C10" s="19" t="n">
        <f aca="false">C5+C6+C7+C8-C9</f>
        <v>0</v>
      </c>
      <c r="D10" s="19" t="n">
        <f aca="false">D5+D6+D7+D8-D9</f>
        <v>0</v>
      </c>
      <c r="E10" s="19" t="n">
        <f aca="false">E5+E6+E7+E8-E9</f>
        <v>0</v>
      </c>
      <c r="F10" s="19" t="n">
        <f aca="false">F5+F6+F7+F8-F9</f>
        <v>0</v>
      </c>
      <c r="G10" s="19" t="n">
        <f aca="false">G5+G6+G7+G8-G9</f>
        <v>0</v>
      </c>
      <c r="H10" s="19" t="n">
        <f aca="false">H5+H6+H7+H8-H9</f>
        <v>0</v>
      </c>
      <c r="I10" s="19" t="n">
        <f aca="false">I5+I6+I7+I8-I9</f>
        <v>0</v>
      </c>
      <c r="J10" s="19" t="n">
        <f aca="false">J5+J6+J7+J8-J9</f>
        <v>0</v>
      </c>
      <c r="K10" s="19" t="n">
        <f aca="false">K5+K6+K7+K8-K9</f>
        <v>0</v>
      </c>
      <c r="L10" s="19" t="n">
        <f aca="false">H10+I10</f>
        <v>0</v>
      </c>
      <c r="M10" s="19" t="n">
        <f aca="false">SUM(F10:I10)</f>
        <v>0</v>
      </c>
      <c r="N10" s="19" t="n">
        <f aca="false">SUM(B10:E10)</f>
        <v>0</v>
      </c>
      <c r="O10" s="7" t="s">
        <v>731</v>
      </c>
      <c r="P10" s="7" t="s">
        <v>731</v>
      </c>
    </row>
    <row r="11" customFormat="false" ht="17.15" hidden="false" customHeight="false" outlineLevel="0" collapsed="false">
      <c r="A11" s="0" t="s">
        <v>732</v>
      </c>
      <c r="B11" s="6" t="n">
        <v>11.353</v>
      </c>
      <c r="C11" s="6" t="n">
        <v>11.955</v>
      </c>
      <c r="D11" s="6" t="n">
        <v>12.26</v>
      </c>
      <c r="E11" s="6" t="n">
        <v>13.624</v>
      </c>
      <c r="F11" s="6" t="n">
        <v>15.157</v>
      </c>
      <c r="G11" s="6" t="n">
        <v>17.664</v>
      </c>
      <c r="H11" s="6" t="n">
        <v>20.028</v>
      </c>
      <c r="I11" s="6" t="n">
        <v>24.768</v>
      </c>
      <c r="J11" s="6" t="n">
        <v>43.229</v>
      </c>
      <c r="K11" s="6" t="n">
        <v>58.705</v>
      </c>
      <c r="L11" s="15" t="n">
        <f aca="false">H11+I11</f>
        <v>44.796</v>
      </c>
      <c r="M11" s="15" t="n">
        <f aca="false">SUM(F11:I11)</f>
        <v>77.617</v>
      </c>
      <c r="N11" s="15" t="n">
        <f aca="false">SUM(B11:E11)</f>
        <v>49.192</v>
      </c>
      <c r="O11" s="7" t="s">
        <v>724</v>
      </c>
      <c r="P11" s="4" t="s">
        <v>725</v>
      </c>
    </row>
    <row r="12" customFormat="false" ht="17.15" hidden="false" customHeight="false" outlineLevel="0" collapsed="false">
      <c r="A12" s="0" t="s">
        <v>733</v>
      </c>
      <c r="B12" s="6" t="n">
        <v>0.388</v>
      </c>
      <c r="C12" s="6" t="n">
        <v>0.4</v>
      </c>
      <c r="D12" s="6" t="n">
        <v>0.45</v>
      </c>
      <c r="E12" s="6" t="n">
        <v>0.373</v>
      </c>
      <c r="F12" s="6" t="n">
        <v>0.344</v>
      </c>
      <c r="G12" s="6" t="n">
        <v>0.37</v>
      </c>
      <c r="H12" s="6" t="n">
        <v>0.411</v>
      </c>
      <c r="I12" s="6" t="n">
        <v>0.382</v>
      </c>
      <c r="J12" s="6" t="n">
        <v>1.648</v>
      </c>
      <c r="K12" s="6" t="n">
        <v>1.537</v>
      </c>
      <c r="L12" s="15" t="n">
        <f aca="false">H12+I12</f>
        <v>0.793</v>
      </c>
      <c r="M12" s="15" t="n">
        <f aca="false">SUM(F12:I12)</f>
        <v>1.507</v>
      </c>
      <c r="N12" s="15" t="n">
        <f aca="false">SUM(B12:E12)</f>
        <v>1.611</v>
      </c>
      <c r="O12" s="7" t="s">
        <v>724</v>
      </c>
      <c r="P12" s="4" t="s">
        <v>725</v>
      </c>
    </row>
    <row r="13" customFormat="false" ht="17.15" hidden="false" customHeight="false" outlineLevel="0" collapsed="false">
      <c r="A13" s="0" t="s">
        <v>734</v>
      </c>
      <c r="B13" s="6" t="n">
        <v>0.017</v>
      </c>
      <c r="C13" s="6" t="n">
        <v>0.02</v>
      </c>
      <c r="D13" s="6" t="n">
        <v>0.26</v>
      </c>
      <c r="E13" s="6" t="n">
        <v>-0.112</v>
      </c>
      <c r="F13" s="6" t="n">
        <v>-0.207</v>
      </c>
      <c r="G13" s="6" t="n">
        <v>-0.068</v>
      </c>
      <c r="H13" s="6" t="n">
        <v>-0.18</v>
      </c>
      <c r="I13" s="6" t="n">
        <v>0.106</v>
      </c>
      <c r="J13" s="6" t="n">
        <v>0.211</v>
      </c>
      <c r="K13" s="6" t="n">
        <v>-0.127</v>
      </c>
      <c r="L13" s="15" t="n">
        <f aca="false">H13+I13</f>
        <v>-0.074</v>
      </c>
      <c r="M13" s="15" t="n">
        <f aca="false">SUM(F13:I13)</f>
        <v>-0.349</v>
      </c>
      <c r="N13" s="15" t="n">
        <f aca="false">SUM(B13:E13)</f>
        <v>0.185</v>
      </c>
      <c r="O13" s="7" t="s">
        <v>724</v>
      </c>
      <c r="P13" s="4" t="s">
        <v>725</v>
      </c>
    </row>
    <row r="14" customFormat="false" ht="17.15" hidden="false" customHeight="false" outlineLevel="0" collapsed="false">
      <c r="A14" s="4" t="s">
        <v>735</v>
      </c>
      <c r="B14" s="6" t="n">
        <v>88.268</v>
      </c>
      <c r="C14" s="6" t="n">
        <v>96.469</v>
      </c>
      <c r="D14" s="6" t="n">
        <v>90.234</v>
      </c>
      <c r="E14" s="6" t="n">
        <v>96.428</v>
      </c>
      <c r="F14" s="6" t="n">
        <v>102.346</v>
      </c>
      <c r="G14" s="6" t="n">
        <v>113.828</v>
      </c>
      <c r="H14" s="6" t="n">
        <v>109.896</v>
      </c>
      <c r="I14" s="6" t="n">
        <v>119.796</v>
      </c>
      <c r="J14" s="6" t="n">
        <v>350.018</v>
      </c>
      <c r="K14" s="6" t="n">
        <v>402.836</v>
      </c>
      <c r="L14" s="15" t="n">
        <f aca="false">H14+I14</f>
        <v>229.692</v>
      </c>
      <c r="M14" s="15" t="n">
        <f aca="false">SUM(F14:I14)</f>
        <v>445.866</v>
      </c>
      <c r="N14" s="15" t="n">
        <f aca="false">SUM(B14:E14)</f>
        <v>371.399</v>
      </c>
      <c r="O14" s="7" t="s">
        <v>724</v>
      </c>
      <c r="P14" s="4" t="s">
        <v>725</v>
      </c>
    </row>
    <row r="15" customFormat="false" ht="15" hidden="false" customHeight="false" outlineLevel="0" collapsed="false">
      <c r="A15" s="4" t="s">
        <v>736</v>
      </c>
      <c r="B15" s="19" t="n">
        <f aca="false">B9+B11+B12+B13-B14</f>
        <v>0</v>
      </c>
      <c r="C15" s="19" t="n">
        <f aca="false">C9+C11+C12+C13-C14</f>
        <v>0</v>
      </c>
      <c r="D15" s="19" t="n">
        <f aca="false">D9+D11+D12+D13-D14</f>
        <v>0</v>
      </c>
      <c r="E15" s="19" t="n">
        <f aca="false">E9+E11+E12+E13-E14</f>
        <v>0</v>
      </c>
      <c r="F15" s="19" t="n">
        <f aca="false">F9+F11+F12+F13-F14</f>
        <v>0</v>
      </c>
      <c r="G15" s="19" t="n">
        <f aca="false">G9+G11+G12+G13-G14</f>
        <v>0</v>
      </c>
      <c r="H15" s="19" t="n">
        <f aca="false">H9+H11+H12+H13-H14</f>
        <v>0</v>
      </c>
      <c r="I15" s="19" t="n">
        <f aca="false">I9+I11+I12+I13-I14</f>
        <v>0</v>
      </c>
      <c r="J15" s="19" t="n">
        <f aca="false">J9+J11+J12+J13-J14</f>
        <v>0</v>
      </c>
      <c r="K15" s="19" t="n">
        <f aca="false">K9+K11+K12+K13-K14</f>
        <v>0</v>
      </c>
      <c r="L15" s="19" t="n">
        <f aca="false">H15+I15</f>
        <v>0</v>
      </c>
      <c r="M15" s="19" t="n">
        <f aca="false">SUM(F15:I15)</f>
        <v>0</v>
      </c>
      <c r="N15" s="19" t="n">
        <f aca="false">SUM(B15:E15)</f>
        <v>0</v>
      </c>
      <c r="O15" s="7" t="s">
        <v>731</v>
      </c>
      <c r="P15" s="7" t="s">
        <v>731</v>
      </c>
    </row>
    <row r="17" customFormat="false" ht="15" hidden="false" customHeight="false" outlineLevel="0" collapsed="false">
      <c r="A17" s="2" t="s">
        <v>737</v>
      </c>
    </row>
    <row r="18" customFormat="false" ht="17.15" hidden="false" customHeight="false" outlineLevel="0" collapsed="false">
      <c r="A18" s="0" t="s">
        <v>738</v>
      </c>
      <c r="B18" s="6" t="n">
        <v>30.856</v>
      </c>
      <c r="C18" s="6" t="n">
        <v>32.836</v>
      </c>
      <c r="D18" s="6" t="n">
        <v>32.682</v>
      </c>
      <c r="E18" s="6" t="n">
        <v>33.063</v>
      </c>
      <c r="F18" s="6" t="n">
        <v>33.527</v>
      </c>
      <c r="G18" s="6" t="n">
        <v>40.132</v>
      </c>
      <c r="H18" s="6" t="n">
        <v>40.589</v>
      </c>
      <c r="I18" s="6" t="n">
        <v>39.544</v>
      </c>
      <c r="J18" s="6" t="n">
        <v>121.263</v>
      </c>
      <c r="K18" s="6" t="n">
        <v>139.404</v>
      </c>
      <c r="L18" s="15" t="n">
        <f aca="false">H18+I18</f>
        <v>80.133</v>
      </c>
      <c r="M18" s="15" t="n">
        <f aca="false">SUM(F18:I18)</f>
        <v>153.792</v>
      </c>
      <c r="N18" s="15" t="n">
        <f aca="false">SUM(B18:E18)</f>
        <v>129.437</v>
      </c>
      <c r="O18" s="7" t="s">
        <v>724</v>
      </c>
      <c r="P18" s="4" t="s">
        <v>725</v>
      </c>
    </row>
    <row r="19" customFormat="false" ht="17.15" hidden="false" customHeight="false" outlineLevel="0" collapsed="false">
      <c r="A19" s="0" t="s">
        <v>739</v>
      </c>
      <c r="B19" s="6" t="n">
        <v>1.947</v>
      </c>
      <c r="C19" s="6" t="n">
        <v>2.093</v>
      </c>
      <c r="D19" s="6" t="n">
        <v>2.177</v>
      </c>
      <c r="E19" s="6" t="n">
        <v>2.826</v>
      </c>
      <c r="F19" s="6" t="n">
        <v>3.594</v>
      </c>
      <c r="G19" s="6" t="n">
        <v>5.313</v>
      </c>
      <c r="H19" s="6" t="n">
        <v>6.598</v>
      </c>
      <c r="I19" s="6" t="n">
        <v>8.814</v>
      </c>
      <c r="J19" s="6" t="n">
        <v>6.112</v>
      </c>
      <c r="K19" s="6" t="n">
        <v>13.91</v>
      </c>
      <c r="L19" s="15" t="n">
        <f aca="false">H19+I19</f>
        <v>15.412</v>
      </c>
      <c r="M19" s="15" t="n">
        <f aca="false">SUM(F19:I19)</f>
        <v>24.319</v>
      </c>
      <c r="N19" s="15" t="n">
        <f aca="false">SUM(B19:E19)</f>
        <v>9.043</v>
      </c>
      <c r="O19" s="7" t="s">
        <v>724</v>
      </c>
      <c r="P19" s="4" t="s">
        <v>725</v>
      </c>
    </row>
    <row r="20" customFormat="false" ht="17.15" hidden="false" customHeight="false" outlineLevel="0" collapsed="false">
      <c r="A20" s="0" t="s">
        <v>740</v>
      </c>
      <c r="B20" s="6" t="n">
        <v>-1.116</v>
      </c>
      <c r="C20" s="6" t="n">
        <v>-1.174</v>
      </c>
      <c r="D20" s="6" t="n">
        <v>-1.226</v>
      </c>
      <c r="E20" s="6" t="n">
        <v>-1.246</v>
      </c>
      <c r="F20" s="6" t="n">
        <v>-1.426</v>
      </c>
      <c r="G20" s="6" t="n">
        <v>-3.617</v>
      </c>
      <c r="H20" s="6" t="n">
        <v>-2.1</v>
      </c>
      <c r="I20" s="6" t="n">
        <v>-1.799</v>
      </c>
      <c r="J20" s="6" t="n">
        <v>-4.444</v>
      </c>
      <c r="K20" s="6" t="n">
        <v>-7.515</v>
      </c>
      <c r="L20" s="15" t="n">
        <f aca="false">H20+I20</f>
        <v>-3.899</v>
      </c>
      <c r="M20" s="15" t="n">
        <f aca="false">SUM(F20:I20)</f>
        <v>-8.942</v>
      </c>
      <c r="N20" s="15" t="n">
        <f aca="false">SUM(B20:E20)</f>
        <v>-4.762</v>
      </c>
      <c r="O20" s="7" t="s">
        <v>724</v>
      </c>
      <c r="P20" s="4" t="s">
        <v>725</v>
      </c>
    </row>
    <row r="21" customFormat="false" ht="17.15" hidden="false" customHeight="false" outlineLevel="0" collapsed="false">
      <c r="A21" s="0" t="s">
        <v>741</v>
      </c>
      <c r="B21" s="6" t="n">
        <v>-3.166</v>
      </c>
      <c r="C21" s="6" t="n">
        <v>-2.783</v>
      </c>
      <c r="D21" s="6" t="n">
        <v>-3.027</v>
      </c>
      <c r="E21" s="6" t="n">
        <v>-3.372</v>
      </c>
      <c r="F21" s="6" t="n">
        <v>-4.467</v>
      </c>
      <c r="G21" s="6" t="n">
        <v>-5.894</v>
      </c>
      <c r="H21" s="6" t="n">
        <v>-5.391</v>
      </c>
      <c r="I21" s="6" t="n">
        <v>-5.789</v>
      </c>
      <c r="J21" s="6" t="n">
        <v>-10.541</v>
      </c>
      <c r="K21" s="6" t="n">
        <v>-16.76</v>
      </c>
      <c r="L21" s="15" t="n">
        <f aca="false">H21+I21</f>
        <v>-11.18</v>
      </c>
      <c r="M21" s="15" t="n">
        <f aca="false">SUM(F21:I21)</f>
        <v>-21.541</v>
      </c>
      <c r="N21" s="15" t="n">
        <f aca="false">SUM(B21:E21)</f>
        <v>-12.348</v>
      </c>
      <c r="O21" s="7" t="s">
        <v>724</v>
      </c>
      <c r="P21" s="4" t="s">
        <v>725</v>
      </c>
    </row>
    <row r="22" customFormat="false" ht="17.15" hidden="false" customHeight="false" outlineLevel="0" collapsed="false">
      <c r="A22" s="4" t="s">
        <v>742</v>
      </c>
      <c r="B22" s="6" t="n">
        <v>28.521</v>
      </c>
      <c r="C22" s="6" t="n">
        <v>30.972</v>
      </c>
      <c r="D22" s="6" t="n">
        <v>30.606</v>
      </c>
      <c r="E22" s="6" t="n">
        <v>31.271</v>
      </c>
      <c r="F22" s="6" t="n">
        <v>31.228</v>
      </c>
      <c r="G22" s="6" t="n">
        <v>35.934</v>
      </c>
      <c r="H22" s="6" t="n">
        <v>39.696</v>
      </c>
      <c r="I22" s="6" t="n">
        <v>40.77</v>
      </c>
      <c r="J22" s="6" t="n">
        <v>112.39</v>
      </c>
      <c r="K22" s="6" t="n">
        <v>129.039</v>
      </c>
      <c r="L22" s="15" t="n">
        <f aca="false">H22+I22</f>
        <v>80.466</v>
      </c>
      <c r="M22" s="15" t="n">
        <f aca="false">SUM(F22:I22)</f>
        <v>147.628</v>
      </c>
      <c r="N22" s="15" t="n">
        <f aca="false">SUM(B22:E22)</f>
        <v>121.37</v>
      </c>
      <c r="O22" s="7" t="s">
        <v>724</v>
      </c>
      <c r="P22" s="4" t="s">
        <v>725</v>
      </c>
    </row>
    <row r="23" customFormat="false" ht="15" hidden="false" customHeight="false" outlineLevel="0" collapsed="false">
      <c r="A23" s="4" t="s">
        <v>743</v>
      </c>
      <c r="B23" s="19" t="n">
        <f aca="false">B18+B19+B20+B21-B22</f>
        <v>0</v>
      </c>
      <c r="C23" s="19" t="n">
        <f aca="false">C18+C19+C20+C21-C22</f>
        <v>0</v>
      </c>
      <c r="D23" s="19" t="n">
        <f aca="false">D18+D19+D20+D21-D22</f>
        <v>0</v>
      </c>
      <c r="E23" s="19" t="n">
        <f aca="false">E18+E19+E20+E21-E22</f>
        <v>0</v>
      </c>
      <c r="F23" s="19" t="n">
        <f aca="false">F18+F19+F20+F21-F22</f>
        <v>0</v>
      </c>
      <c r="G23" s="19" t="n">
        <f aca="false">G18+G19+G20+G21-G22</f>
        <v>0</v>
      </c>
      <c r="H23" s="19" t="n">
        <f aca="false">H18+H19+H20+H21-H22</f>
        <v>0</v>
      </c>
      <c r="I23" s="19" t="n">
        <f aca="false">I18+I19+I20+I21-I22</f>
        <v>0</v>
      </c>
      <c r="J23" s="19" t="n">
        <f aca="false">J18+J19+J20+J21-J22</f>
        <v>0</v>
      </c>
      <c r="K23" s="19" t="n">
        <f aca="false">K18+K19+K20+K21-K22</f>
        <v>0</v>
      </c>
      <c r="L23" s="19" t="n">
        <f aca="false">H23+I23</f>
        <v>0</v>
      </c>
      <c r="M23" s="19" t="n">
        <f aca="false">SUM(F23:I23)</f>
        <v>0</v>
      </c>
      <c r="N23" s="19" t="n">
        <f aca="false">SUM(B23:E23)</f>
        <v>0</v>
      </c>
      <c r="O23" s="7" t="s">
        <v>731</v>
      </c>
      <c r="P23" s="7" t="s">
        <v>731</v>
      </c>
    </row>
    <row r="25" customFormat="false" ht="15" hidden="false" customHeight="false" outlineLevel="0" collapsed="false">
      <c r="A25" s="2" t="s">
        <v>744</v>
      </c>
    </row>
    <row r="26" customFormat="false" ht="17.15" hidden="false" customHeight="false" outlineLevel="0" collapsed="false">
      <c r="A26" s="4" t="s">
        <v>745</v>
      </c>
      <c r="B26" s="6" t="n">
        <v>36.474</v>
      </c>
      <c r="C26" s="6" t="n">
        <v>40.613</v>
      </c>
      <c r="D26" s="6" t="n">
        <v>36.361</v>
      </c>
      <c r="E26" s="6" t="n">
        <v>39.039</v>
      </c>
      <c r="F26" s="6" t="n">
        <v>41.369</v>
      </c>
      <c r="G26" s="6" t="n">
        <v>45.766</v>
      </c>
      <c r="H26" s="6" t="n">
        <v>41.271</v>
      </c>
      <c r="I26" s="6" t="n">
        <v>45.943</v>
      </c>
      <c r="J26" s="6" t="n">
        <v>146.306</v>
      </c>
      <c r="K26" s="6" t="n">
        <v>162.535</v>
      </c>
      <c r="L26" s="15" t="n">
        <f aca="false">H26+I26</f>
        <v>87.214</v>
      </c>
      <c r="M26" s="15" t="n">
        <f aca="false">SUM(F26:I26)</f>
        <v>174.349</v>
      </c>
      <c r="N26" s="15" t="n">
        <f aca="false">SUM(B26:E26)</f>
        <v>152.487</v>
      </c>
      <c r="O26" s="7" t="s">
        <v>724</v>
      </c>
      <c r="P26" s="4" t="s">
        <v>725</v>
      </c>
    </row>
    <row r="27" customFormat="false" ht="17.15" hidden="false" customHeight="false" outlineLevel="0" collapsed="false">
      <c r="A27" s="4" t="s">
        <v>746</v>
      </c>
      <c r="B27" s="6" t="n">
        <v>13.719</v>
      </c>
      <c r="C27" s="6" t="n">
        <v>14.848</v>
      </c>
      <c r="D27" s="6" t="n">
        <v>13.748</v>
      </c>
      <c r="E27" s="6" t="n">
        <v>14.705</v>
      </c>
      <c r="F27" s="6" t="n">
        <v>14.876</v>
      </c>
      <c r="G27" s="6" t="n">
        <v>16.597</v>
      </c>
      <c r="H27" s="6" t="n">
        <v>15.228</v>
      </c>
      <c r="I27" s="6" t="n">
        <v>16.179</v>
      </c>
      <c r="L27" s="15" t="n">
        <f aca="false">H27+I27</f>
        <v>31.407</v>
      </c>
      <c r="M27" s="15" t="n">
        <f aca="false">SUM(F27:I27)</f>
        <v>62.88</v>
      </c>
      <c r="N27" s="15" t="n">
        <f aca="false">SUM(B27:E27)</f>
        <v>57.02</v>
      </c>
      <c r="O27" s="7" t="s">
        <v>724</v>
      </c>
      <c r="P27" s="4" t="s">
        <v>725</v>
      </c>
    </row>
    <row r="28" customFormat="false" ht="17.15" hidden="false" customHeight="false" outlineLevel="0" collapsed="false">
      <c r="A28" s="4" t="s">
        <v>747</v>
      </c>
      <c r="B28" s="6" t="n">
        <v>12.447</v>
      </c>
      <c r="C28" s="6" t="n">
        <v>13.116</v>
      </c>
      <c r="D28" s="6" t="n">
        <v>13.556</v>
      </c>
      <c r="E28" s="6" t="n">
        <v>13.808</v>
      </c>
      <c r="F28" s="6" t="n">
        <v>15.151</v>
      </c>
      <c r="G28" s="6" t="n">
        <v>18.572</v>
      </c>
      <c r="H28" s="6" t="n">
        <v>17.032</v>
      </c>
      <c r="I28" s="6" t="n">
        <v>18.219</v>
      </c>
      <c r="J28" s="6" t="n">
        <v>49.326</v>
      </c>
      <c r="K28" s="6" t="n">
        <v>61.087</v>
      </c>
      <c r="L28" s="15" t="n">
        <f aca="false">H28+I28</f>
        <v>35.251</v>
      </c>
      <c r="M28" s="15" t="n">
        <f aca="false">SUM(F28:I28)</f>
        <v>68.974</v>
      </c>
      <c r="N28" s="15" t="n">
        <f aca="false">SUM(B28:E28)</f>
        <v>52.927</v>
      </c>
      <c r="O28" s="7" t="s">
        <v>724</v>
      </c>
      <c r="P28" s="4" t="s">
        <v>725</v>
      </c>
    </row>
    <row r="29" customFormat="false" ht="17.15" hidden="false" customHeight="false" outlineLevel="0" collapsed="false">
      <c r="A29" s="4" t="s">
        <v>748</v>
      </c>
      <c r="B29" s="6" t="n">
        <v>7.227</v>
      </c>
      <c r="C29" s="6" t="n">
        <v>7.363</v>
      </c>
      <c r="D29" s="6" t="n">
        <v>6.172</v>
      </c>
      <c r="E29" s="6" t="n">
        <v>7.101</v>
      </c>
      <c r="F29" s="6" t="n">
        <v>7.205</v>
      </c>
      <c r="G29" s="6" t="n">
        <v>8.215</v>
      </c>
      <c r="H29" s="6" t="n">
        <v>7.606</v>
      </c>
      <c r="I29" s="6" t="n">
        <v>8.403</v>
      </c>
      <c r="J29" s="6" t="n">
        <v>27.808</v>
      </c>
      <c r="K29" s="6" t="n">
        <v>28.693</v>
      </c>
      <c r="L29" s="15" t="n">
        <f aca="false">H29+I29</f>
        <v>16.009</v>
      </c>
      <c r="M29" s="15" t="n">
        <f aca="false">SUM(F29:I29)</f>
        <v>31.429</v>
      </c>
      <c r="N29" s="15" t="n">
        <f aca="false">SUM(B29:E29)</f>
        <v>27.863</v>
      </c>
      <c r="O29" s="7" t="s">
        <v>724</v>
      </c>
      <c r="P29" s="4" t="s">
        <v>725</v>
      </c>
    </row>
    <row r="30" customFormat="false" ht="17.15" hidden="false" customHeight="false" outlineLevel="0" collapsed="false">
      <c r="A30" s="4" t="s">
        <v>749</v>
      </c>
      <c r="B30" s="6" t="n">
        <v>3.599</v>
      </c>
      <c r="C30" s="6" t="n">
        <v>4.405</v>
      </c>
      <c r="D30" s="6" t="n">
        <v>3.539</v>
      </c>
      <c r="E30" s="6" t="n">
        <v>5.209</v>
      </c>
      <c r="F30" s="6" t="n">
        <v>7.393</v>
      </c>
      <c r="G30" s="6" t="n">
        <v>5.341</v>
      </c>
      <c r="H30" s="6" t="n">
        <v>4.291</v>
      </c>
      <c r="I30" s="6" t="n">
        <v>6.461</v>
      </c>
      <c r="J30" s="6" t="n">
        <v>14.188</v>
      </c>
      <c r="K30" s="6" t="n">
        <v>21.482</v>
      </c>
      <c r="L30" s="15" t="n">
        <f aca="false">H30+I30</f>
        <v>10.752</v>
      </c>
      <c r="M30" s="15" t="n">
        <f aca="false">SUM(F30:I30)</f>
        <v>23.486</v>
      </c>
      <c r="N30" s="15" t="n">
        <f aca="false">SUM(B30:E30)</f>
        <v>16.752</v>
      </c>
      <c r="O30" s="7" t="s">
        <v>724</v>
      </c>
      <c r="P30" s="4" t="s">
        <v>725</v>
      </c>
    </row>
    <row r="31" customFormat="false" ht="15" hidden="false" customHeight="false" outlineLevel="0" collapsed="false">
      <c r="A31" s="4" t="s">
        <v>750</v>
      </c>
      <c r="B31" s="19" t="n">
        <f aca="false">B14-B26-B28-B29-B30-B22</f>
        <v>0</v>
      </c>
      <c r="C31" s="19" t="n">
        <f aca="false">C14-C26-C28-C29-C30-C22</f>
        <v>0</v>
      </c>
      <c r="D31" s="19" t="n">
        <f aca="false">D14-D26-D28-D29-D30-D22</f>
        <v>0</v>
      </c>
      <c r="E31" s="19" t="n">
        <f aca="false">E14-E26-E28-E29-E30-E22</f>
        <v>0</v>
      </c>
      <c r="F31" s="19" t="n">
        <f aca="false">F14-F26-F28-F29-F30-F22</f>
        <v>0</v>
      </c>
      <c r="G31" s="19" t="n">
        <f aca="false">G14-G26-G28-G29-G30-G22</f>
        <v>0</v>
      </c>
      <c r="H31" s="19" t="n">
        <f aca="false">H14-H26-H28-H29-H30-H22</f>
        <v>0</v>
      </c>
      <c r="I31" s="19" t="n">
        <f aca="false">I14-I26-I28-I29-I30-I22</f>
        <v>0</v>
      </c>
      <c r="J31" s="19" t="n">
        <f aca="false">J14-J26-J28-J29-J30-J22</f>
        <v>0</v>
      </c>
      <c r="K31" s="19" t="n">
        <f aca="false">K14-K26-K28-K29-K30-K22</f>
        <v>0</v>
      </c>
      <c r="L31" s="19" t="n">
        <f aca="false">H31+I31</f>
        <v>0</v>
      </c>
      <c r="M31" s="19" t="n">
        <f aca="false">SUM(F31:I31)</f>
        <v>0</v>
      </c>
      <c r="N31" s="19" t="n">
        <f aca="false">SUM(B31:E31)</f>
        <v>0</v>
      </c>
      <c r="O31" s="7" t="s">
        <v>731</v>
      </c>
      <c r="P31" s="7" t="s">
        <v>731</v>
      </c>
    </row>
    <row r="32" customFormat="false" ht="17.15" hidden="false" customHeight="false" outlineLevel="0" collapsed="false">
      <c r="A32" s="4" t="s">
        <v>751</v>
      </c>
      <c r="B32" s="6" t="n">
        <v>3.185</v>
      </c>
      <c r="C32" s="6" t="n">
        <v>1.271</v>
      </c>
      <c r="D32" s="6" t="n">
        <v>11.183</v>
      </c>
      <c r="E32" s="6" t="n">
        <v>2.662</v>
      </c>
      <c r="F32" s="6" t="n">
        <v>12.759</v>
      </c>
      <c r="G32" s="6" t="n">
        <v>3.183</v>
      </c>
      <c r="H32" s="6" t="n">
        <v>37.716</v>
      </c>
      <c r="I32" s="6" t="n">
        <v>97.983</v>
      </c>
      <c r="J32" s="6" t="n">
        <v>7.425</v>
      </c>
      <c r="K32" s="6" t="n">
        <v>29.787</v>
      </c>
      <c r="L32" s="15" t="n">
        <f aca="false">H32+I32</f>
        <v>135.699</v>
      </c>
      <c r="M32" s="15" t="n">
        <f aca="false">SUM(F32:I32)</f>
        <v>151.641</v>
      </c>
      <c r="N32" s="15" t="n">
        <f aca="false">SUM(B32:E32)</f>
        <v>18.301</v>
      </c>
      <c r="O32" s="7" t="s">
        <v>724</v>
      </c>
      <c r="P32" s="4" t="s">
        <v>725</v>
      </c>
    </row>
    <row r="33" customFormat="false" ht="17.15" hidden="false" customHeight="false" outlineLevel="0" collapsed="false">
      <c r="A33" s="4" t="s">
        <v>752</v>
      </c>
      <c r="B33" s="6" t="n">
        <v>1.821</v>
      </c>
      <c r="C33" s="6" t="n">
        <v>0.364</v>
      </c>
      <c r="D33" s="6" t="n">
        <v>9.758</v>
      </c>
      <c r="E33" s="6" t="n">
        <v>1.286</v>
      </c>
      <c r="F33" s="6" t="n">
        <v>10.734</v>
      </c>
      <c r="G33" s="6" t="n">
        <v>2.302</v>
      </c>
      <c r="H33" s="6" t="n">
        <v>36.915</v>
      </c>
      <c r="I33" s="6" t="n">
        <v>99.031</v>
      </c>
      <c r="L33" s="15" t="n">
        <f aca="false">H33+I33</f>
        <v>135.946</v>
      </c>
      <c r="M33" s="15" t="n">
        <f aca="false">SUM(F33:I33)</f>
        <v>148.982</v>
      </c>
      <c r="N33" s="15" t="n">
        <f aca="false">SUM(B33:E33)</f>
        <v>13.229</v>
      </c>
      <c r="O33" s="7" t="s">
        <v>724</v>
      </c>
      <c r="P33" s="4" t="s">
        <v>725</v>
      </c>
    </row>
    <row r="34" customFormat="false" ht="17.15" hidden="false" customHeight="false" outlineLevel="0" collapsed="false">
      <c r="A34" s="4" t="s">
        <v>753</v>
      </c>
      <c r="B34" s="6" t="n">
        <v>31.706</v>
      </c>
      <c r="C34" s="6" t="n">
        <v>32.243</v>
      </c>
      <c r="D34" s="6" t="n">
        <v>41.789</v>
      </c>
      <c r="E34" s="6" t="n">
        <v>33.933</v>
      </c>
      <c r="F34" s="6" t="n">
        <v>43.987</v>
      </c>
      <c r="G34" s="6" t="n">
        <v>39.117</v>
      </c>
      <c r="H34" s="6" t="n">
        <v>77.412</v>
      </c>
      <c r="I34" s="6" t="n">
        <v>138.753</v>
      </c>
      <c r="J34" s="6" t="n">
        <v>119.815</v>
      </c>
      <c r="K34" s="6" t="n">
        <v>158.826</v>
      </c>
      <c r="L34" s="15" t="n">
        <f aca="false">H34+I34</f>
        <v>216.165</v>
      </c>
      <c r="M34" s="15" t="n">
        <f aca="false">SUM(F34:I34)</f>
        <v>299.269</v>
      </c>
      <c r="N34" s="15" t="n">
        <f aca="false">SUM(B34:E34)</f>
        <v>139.671</v>
      </c>
      <c r="O34" s="7" t="s">
        <v>724</v>
      </c>
      <c r="P34" s="4" t="s">
        <v>725</v>
      </c>
    </row>
    <row r="35" customFormat="false" ht="15" hidden="false" customHeight="false" outlineLevel="0" collapsed="false">
      <c r="A35" s="4" t="s">
        <v>754</v>
      </c>
      <c r="B35" s="19" t="n">
        <f aca="false">B22+B32-B34</f>
        <v>0</v>
      </c>
      <c r="C35" s="19" t="n">
        <f aca="false">C22+C32-C34</f>
        <v>0</v>
      </c>
      <c r="D35" s="19" t="n">
        <f aca="false">D22+D32-D34</f>
        <v>0</v>
      </c>
      <c r="E35" s="19" t="n">
        <f aca="false">E22+E32-E34</f>
        <v>0</v>
      </c>
      <c r="F35" s="19" t="n">
        <f aca="false">F22+F32-F34</f>
        <v>0</v>
      </c>
      <c r="G35" s="19" t="n">
        <f aca="false">G22+G32-G34</f>
        <v>0</v>
      </c>
      <c r="H35" s="19" t="n">
        <f aca="false">H22+H32-H34</f>
        <v>0</v>
      </c>
      <c r="I35" s="19" t="n">
        <f aca="false">I22+I32-I34</f>
        <v>0</v>
      </c>
      <c r="J35" s="19" t="n">
        <f aca="false">J22+J32-J34</f>
        <v>0</v>
      </c>
      <c r="K35" s="19" t="n">
        <f aca="false">K22+K32-K34</f>
        <v>0</v>
      </c>
      <c r="L35" s="19" t="n">
        <f aca="false">H35+I35</f>
        <v>0</v>
      </c>
      <c r="M35" s="19" t="n">
        <f aca="false">SUM(F35:I35)</f>
        <v>0</v>
      </c>
      <c r="N35" s="19" t="n">
        <f aca="false">SUM(B35:E35)</f>
        <v>0</v>
      </c>
      <c r="O35" s="7" t="s">
        <v>731</v>
      </c>
      <c r="P35" s="7" t="s">
        <v>731</v>
      </c>
    </row>
    <row r="36" customFormat="false" ht="17.15" hidden="false" customHeight="false" outlineLevel="0" collapsed="false">
      <c r="A36" s="4" t="s">
        <v>755</v>
      </c>
      <c r="B36" s="6" t="n">
        <v>5.405</v>
      </c>
      <c r="C36" s="6" t="n">
        <v>5.707</v>
      </c>
      <c r="D36" s="6" t="n">
        <v>7.249</v>
      </c>
      <c r="E36" s="6" t="n">
        <v>5.737</v>
      </c>
      <c r="F36" s="6" t="n">
        <v>9.008</v>
      </c>
      <c r="G36" s="6" t="n">
        <v>4.662</v>
      </c>
      <c r="H36" s="6" t="n">
        <v>14.834</v>
      </c>
      <c r="I36" s="6" t="n">
        <v>26.56</v>
      </c>
      <c r="J36" s="6" t="n">
        <v>19.697</v>
      </c>
      <c r="K36" s="6" t="n">
        <v>26.656</v>
      </c>
      <c r="L36" s="15" t="n">
        <f aca="false">H36+I36</f>
        <v>41.394</v>
      </c>
      <c r="M36" s="15" t="n">
        <f aca="false">SUM(F36:I36)</f>
        <v>55.064</v>
      </c>
      <c r="N36" s="15" t="n">
        <f aca="false">SUM(B36:E36)</f>
        <v>24.098</v>
      </c>
      <c r="O36" s="7" t="s">
        <v>724</v>
      </c>
      <c r="P36" s="4" t="s">
        <v>725</v>
      </c>
    </row>
    <row r="37" customFormat="false" ht="17.15" hidden="false" customHeight="false" outlineLevel="0" collapsed="false">
      <c r="A37" s="4" t="s">
        <v>756</v>
      </c>
      <c r="B37" s="6" t="n">
        <v>26.301</v>
      </c>
      <c r="C37" s="6" t="n">
        <v>26.536</v>
      </c>
      <c r="D37" s="6" t="n">
        <v>34.54</v>
      </c>
      <c r="E37" s="6" t="n">
        <v>28.196</v>
      </c>
      <c r="F37" s="6" t="n">
        <v>34.979</v>
      </c>
      <c r="G37" s="6" t="n">
        <v>34.455</v>
      </c>
      <c r="H37" s="6" t="n">
        <v>62.578</v>
      </c>
      <c r="I37" s="6" t="n">
        <v>112.193</v>
      </c>
      <c r="J37" s="6" t="n">
        <v>100.118</v>
      </c>
      <c r="K37" s="6" t="n">
        <v>132.17</v>
      </c>
      <c r="L37" s="15" t="n">
        <f aca="false">H37+I37</f>
        <v>174.771</v>
      </c>
      <c r="M37" s="15" t="n">
        <f aca="false">SUM(F37:I37)</f>
        <v>244.205</v>
      </c>
      <c r="N37" s="15" t="n">
        <f aca="false">SUM(B37:E37)</f>
        <v>115.573</v>
      </c>
      <c r="O37" s="7" t="s">
        <v>724</v>
      </c>
      <c r="P37" s="4" t="s">
        <v>725</v>
      </c>
    </row>
    <row r="38" customFormat="false" ht="15" hidden="false" customHeight="false" outlineLevel="0" collapsed="false">
      <c r="A38" s="4" t="s">
        <v>757</v>
      </c>
      <c r="B38" s="19" t="n">
        <f aca="false">B34-B36-B37</f>
        <v>0</v>
      </c>
      <c r="C38" s="19" t="n">
        <f aca="false">C34-C36-C37</f>
        <v>0</v>
      </c>
      <c r="D38" s="19" t="n">
        <f aca="false">D34-D36-D37</f>
        <v>0</v>
      </c>
      <c r="E38" s="19" t="n">
        <f aca="false">E34-E36-E37</f>
        <v>0</v>
      </c>
      <c r="F38" s="19" t="n">
        <f aca="false">F34-F36-F37</f>
        <v>0</v>
      </c>
      <c r="G38" s="19" t="n">
        <f aca="false">G34-G36-G37</f>
        <v>0</v>
      </c>
      <c r="H38" s="19" t="n">
        <f aca="false">H34-H36-H37</f>
        <v>0</v>
      </c>
      <c r="I38" s="19" t="n">
        <f aca="false">I34-I36-I37</f>
        <v>0</v>
      </c>
      <c r="J38" s="19" t="n">
        <f aca="false">J34-J36-J37</f>
        <v>0</v>
      </c>
      <c r="K38" s="19" t="n">
        <f aca="false">K34-K36-K37</f>
        <v>0</v>
      </c>
      <c r="L38" s="19" t="n">
        <f aca="false">H38+I38</f>
        <v>0</v>
      </c>
      <c r="M38" s="19" t="n">
        <f aca="false">SUM(F38:I38)</f>
        <v>0</v>
      </c>
      <c r="N38" s="19" t="n">
        <f aca="false">SUM(B38:E38)</f>
        <v>0</v>
      </c>
      <c r="O38" s="7" t="s">
        <v>731</v>
      </c>
      <c r="P38" s="7" t="s">
        <v>731</v>
      </c>
    </row>
    <row r="39" customFormat="false" ht="17.15" hidden="false" customHeight="false" outlineLevel="0" collapsed="false">
      <c r="A39" s="4" t="s">
        <v>758</v>
      </c>
      <c r="B39" s="6" t="n">
        <v>12.419</v>
      </c>
      <c r="C39" s="6" t="n">
        <v>12.348</v>
      </c>
      <c r="D39" s="6" t="n">
        <v>12.291</v>
      </c>
      <c r="E39" s="6" t="n">
        <v>12.198</v>
      </c>
      <c r="F39" s="6" t="n">
        <v>12.203</v>
      </c>
      <c r="G39" s="6" t="n">
        <v>12.228</v>
      </c>
      <c r="H39" s="6" t="n">
        <v>12.238</v>
      </c>
      <c r="I39" s="6" t="n">
        <v>12.309</v>
      </c>
      <c r="J39" s="6" t="n">
        <v>12.447</v>
      </c>
      <c r="K39" s="6" t="n">
        <v>12.23</v>
      </c>
      <c r="L39" s="15" t="n">
        <f aca="false">AVERAGE(H39:I39)</f>
        <v>12.2735</v>
      </c>
      <c r="M39" s="15"/>
      <c r="N39" s="15"/>
      <c r="O39" s="7" t="s">
        <v>724</v>
      </c>
      <c r="P39" s="4" t="s">
        <v>725</v>
      </c>
    </row>
    <row r="40" customFormat="false" ht="17.15" hidden="false" customHeight="false" outlineLevel="0" collapsed="false">
      <c r="A40" s="0" t="s">
        <v>759</v>
      </c>
      <c r="B40" s="20" t="n">
        <v>2.12</v>
      </c>
      <c r="C40" s="20" t="n">
        <v>2.15</v>
      </c>
      <c r="D40" s="20" t="n">
        <v>2.81</v>
      </c>
      <c r="E40" s="20" t="n">
        <v>2.31</v>
      </c>
      <c r="F40" s="20" t="n">
        <v>2.87</v>
      </c>
      <c r="G40" s="20" t="n">
        <v>2.82</v>
      </c>
      <c r="H40" s="20" t="n">
        <v>5.11</v>
      </c>
      <c r="I40" s="20" t="n">
        <v>9.11</v>
      </c>
      <c r="J40" s="20" t="n">
        <v>8.04</v>
      </c>
      <c r="K40" s="20" t="n">
        <v>10.81</v>
      </c>
      <c r="L40" s="21" t="n">
        <f aca="false">H40+I40</f>
        <v>14.22</v>
      </c>
      <c r="M40" s="21" t="n">
        <f aca="false">SUM(F40:I40)</f>
        <v>19.91</v>
      </c>
      <c r="N40" s="21" t="n">
        <f aca="false">SUM(B40:E40)</f>
        <v>9.39</v>
      </c>
      <c r="O40" s="7" t="s">
        <v>724</v>
      </c>
      <c r="P40" s="4" t="s">
        <v>725</v>
      </c>
    </row>
    <row r="42" customFormat="false" ht="15" hidden="false" customHeight="false" outlineLevel="0" collapsed="false">
      <c r="A42" s="2" t="s">
        <v>760</v>
      </c>
    </row>
    <row r="43" customFormat="false" ht="17.15" hidden="false" customHeight="false" outlineLevel="0" collapsed="false">
      <c r="A43" s="4" t="s">
        <v>761</v>
      </c>
      <c r="B43" s="6" t="n">
        <v>3.985</v>
      </c>
      <c r="C43" s="6" t="n">
        <v>4.205</v>
      </c>
      <c r="D43" s="6" t="n">
        <v>4.487</v>
      </c>
      <c r="E43" s="6" t="n">
        <v>4.998</v>
      </c>
      <c r="F43" s="6" t="n">
        <v>5.611</v>
      </c>
      <c r="G43" s="6" t="n">
        <v>6.04</v>
      </c>
      <c r="H43" s="6" t="n">
        <v>6.482</v>
      </c>
      <c r="I43" s="6" t="n">
        <v>7.104</v>
      </c>
      <c r="J43" s="6" t="n">
        <v>15.311</v>
      </c>
      <c r="K43" s="6" t="n">
        <v>21.136</v>
      </c>
      <c r="L43" s="15" t="n">
        <f aca="false">H43+I43</f>
        <v>13.586</v>
      </c>
      <c r="M43" s="15" t="n">
        <f aca="false">SUM(F43:I43)</f>
        <v>25.237</v>
      </c>
      <c r="N43" s="15" t="n">
        <f aca="false">SUM(B43:E43)</f>
        <v>17.675</v>
      </c>
      <c r="O43" s="7" t="s">
        <v>724</v>
      </c>
      <c r="P43" s="4" t="s">
        <v>725</v>
      </c>
    </row>
    <row r="44" customFormat="false" ht="17.15" hidden="false" customHeight="false" outlineLevel="0" collapsed="false">
      <c r="A44" s="4" t="s">
        <v>762</v>
      </c>
      <c r="B44" s="6" t="n">
        <v>5.846</v>
      </c>
      <c r="C44" s="6" t="n">
        <v>5.81</v>
      </c>
      <c r="D44" s="6" t="n">
        <v>5.516</v>
      </c>
      <c r="E44" s="6" t="n">
        <v>5.998</v>
      </c>
      <c r="F44" s="6" t="n">
        <v>6.368</v>
      </c>
      <c r="G44" s="6" t="n">
        <v>7.071</v>
      </c>
      <c r="H44" s="6" t="n">
        <v>6.751</v>
      </c>
      <c r="I44" s="6" t="n">
        <v>7.957</v>
      </c>
      <c r="J44" s="6" t="n">
        <v>22.785</v>
      </c>
      <c r="K44" s="6" t="n">
        <v>24.953</v>
      </c>
      <c r="L44" s="15" t="n">
        <f aca="false">H44+I44</f>
        <v>14.708</v>
      </c>
      <c r="M44" s="15" t="n">
        <f aca="false">SUM(F44:I44)</f>
        <v>28.147</v>
      </c>
      <c r="N44" s="15" t="n">
        <f aca="false">SUM(B44:E44)</f>
        <v>23.17</v>
      </c>
      <c r="O44" s="7" t="s">
        <v>724</v>
      </c>
      <c r="P44" s="4" t="s">
        <v>725</v>
      </c>
    </row>
    <row r="45" customFormat="false" ht="17.15" hidden="false" customHeight="false" outlineLevel="0" collapsed="false">
      <c r="A45" s="4" t="s">
        <v>763</v>
      </c>
      <c r="B45" s="6" t="n">
        <v>30.698</v>
      </c>
      <c r="C45" s="6" t="n">
        <v>39.113</v>
      </c>
      <c r="D45" s="6" t="n">
        <v>36.15</v>
      </c>
      <c r="E45" s="6" t="n">
        <v>27.747</v>
      </c>
      <c r="F45" s="6" t="n">
        <v>48.414</v>
      </c>
      <c r="G45" s="6" t="n">
        <v>52.402</v>
      </c>
      <c r="H45" s="6" t="n">
        <v>45.79</v>
      </c>
      <c r="I45" s="6" t="n">
        <v>39.069</v>
      </c>
      <c r="J45" s="6" t="n">
        <v>125.299</v>
      </c>
      <c r="K45" s="6" t="n">
        <v>164.713</v>
      </c>
      <c r="L45" s="15" t="n">
        <f aca="false">H45+I45</f>
        <v>84.859</v>
      </c>
      <c r="M45" s="15" t="n">
        <f aca="false">SUM(F45:I45)</f>
        <v>185.675</v>
      </c>
      <c r="N45" s="15" t="n">
        <f aca="false">SUM(B45:E45)</f>
        <v>133.708</v>
      </c>
      <c r="O45" s="7" t="s">
        <v>724</v>
      </c>
      <c r="P45" s="4" t="s">
        <v>725</v>
      </c>
    </row>
    <row r="46" customFormat="false" ht="17.15" hidden="false" customHeight="false" outlineLevel="0" collapsed="false">
      <c r="A46" s="4" t="s">
        <v>764</v>
      </c>
      <c r="B46" s="6" t="n">
        <v>13.061</v>
      </c>
      <c r="C46" s="6" t="n">
        <v>14.276</v>
      </c>
      <c r="D46" s="6" t="n">
        <v>17.197</v>
      </c>
      <c r="E46" s="6" t="n">
        <v>22.446</v>
      </c>
      <c r="F46" s="6" t="n">
        <v>23.953</v>
      </c>
      <c r="G46" s="6" t="n">
        <v>27.851</v>
      </c>
      <c r="H46" s="6" t="n">
        <v>35.674</v>
      </c>
      <c r="I46" s="6" t="n">
        <v>44.924</v>
      </c>
      <c r="J46" s="6" t="n">
        <v>52.535</v>
      </c>
      <c r="K46" s="6" t="n">
        <v>91.447</v>
      </c>
      <c r="L46" s="15" t="n">
        <f aca="false">H46+I46</f>
        <v>80.598</v>
      </c>
      <c r="M46" s="15" t="n">
        <f aca="false">SUM(F46:I46)</f>
        <v>132.402</v>
      </c>
      <c r="N46" s="15" t="n">
        <f aca="false">SUM(B46:E46)</f>
        <v>66.98</v>
      </c>
      <c r="O46" s="7" t="s">
        <v>724</v>
      </c>
      <c r="P46" s="4" t="s">
        <v>725</v>
      </c>
    </row>
    <row r="47" customFormat="false" ht="17.15" hidden="false" customHeight="false" outlineLevel="0" collapsed="false">
      <c r="A47" s="4" t="s">
        <v>765</v>
      </c>
      <c r="B47" s="6" t="n">
        <v>17.637</v>
      </c>
      <c r="C47" s="6" t="n">
        <v>24.837</v>
      </c>
      <c r="D47" s="6" t="n">
        <v>18.953</v>
      </c>
      <c r="E47" s="6" t="n">
        <v>5.301</v>
      </c>
      <c r="F47" s="6" t="n">
        <v>24.461</v>
      </c>
      <c r="G47" s="6" t="n">
        <v>24.551</v>
      </c>
      <c r="H47" s="6" t="n">
        <v>10.116</v>
      </c>
      <c r="I47" s="6" t="n">
        <v>-5.855</v>
      </c>
      <c r="J47" s="6" t="n">
        <v>72.764</v>
      </c>
      <c r="K47" s="6" t="n">
        <v>73.266</v>
      </c>
      <c r="L47" s="15" t="n">
        <f aca="false">H47+I47</f>
        <v>4.261</v>
      </c>
      <c r="M47" s="15" t="n">
        <f aca="false">SUM(F47:I47)</f>
        <v>53.273</v>
      </c>
      <c r="N47" s="15" t="n">
        <f aca="false">SUM(B47:E47)</f>
        <v>66.728</v>
      </c>
      <c r="O47" s="7" t="s">
        <v>724</v>
      </c>
      <c r="P47" s="4" t="s">
        <v>725</v>
      </c>
    </row>
    <row r="48" customFormat="false" ht="15" hidden="false" customHeight="false" outlineLevel="0" collapsed="false">
      <c r="A48" s="4" t="s">
        <v>766</v>
      </c>
      <c r="B48" s="19" t="n">
        <f aca="false">B45-B46-B47</f>
        <v>0</v>
      </c>
      <c r="C48" s="19" t="n">
        <f aca="false">C45-C46-C47</f>
        <v>0</v>
      </c>
      <c r="D48" s="19" t="n">
        <f aca="false">D45-D46-D47</f>
        <v>0</v>
      </c>
      <c r="E48" s="19" t="n">
        <f aca="false">E45-E46-E47</f>
        <v>0</v>
      </c>
      <c r="F48" s="19" t="n">
        <f aca="false">F45-F46-F47</f>
        <v>0</v>
      </c>
      <c r="G48" s="19" t="n">
        <f aca="false">G45-G46-G47</f>
        <v>0</v>
      </c>
      <c r="H48" s="19" t="n">
        <f aca="false">H45-H46-H47</f>
        <v>0</v>
      </c>
      <c r="I48" s="19" t="n">
        <f aca="false">I45-I46-I47</f>
        <v>0</v>
      </c>
      <c r="J48" s="19" t="n">
        <f aca="false">J45-J46-J47</f>
        <v>0</v>
      </c>
      <c r="K48" s="19" t="n">
        <f aca="false">K45-K46-K47</f>
        <v>0</v>
      </c>
      <c r="L48" s="19" t="n">
        <f aca="false">H48+I48</f>
        <v>0</v>
      </c>
      <c r="M48" s="19" t="n">
        <f aca="false">SUM(F48:I48)</f>
        <v>0</v>
      </c>
      <c r="N48" s="19" t="n">
        <f aca="false">SUM(B48:E48)</f>
        <v>0</v>
      </c>
      <c r="O48" s="7" t="s">
        <v>731</v>
      </c>
      <c r="P48" s="7" t="s">
        <v>731</v>
      </c>
    </row>
    <row r="49" customFormat="false" ht="17.15" hidden="false" customHeight="false" outlineLevel="0" collapsed="false">
      <c r="A49" s="4" t="s">
        <v>767</v>
      </c>
      <c r="B49" s="6" t="n">
        <v>15.291</v>
      </c>
      <c r="C49" s="6" t="n">
        <v>15.551</v>
      </c>
      <c r="D49" s="6" t="n">
        <v>15.068</v>
      </c>
      <c r="E49" s="6" t="n">
        <v>13.238</v>
      </c>
      <c r="F49" s="6" t="n">
        <v>11.504</v>
      </c>
      <c r="G49" s="6" t="n">
        <v>5.499</v>
      </c>
      <c r="H49" s="6" t="n">
        <v>0</v>
      </c>
      <c r="I49" s="6" t="n">
        <v>0</v>
      </c>
      <c r="J49" s="6" t="n">
        <v>62.222</v>
      </c>
      <c r="K49" s="6" t="n">
        <v>45.709</v>
      </c>
      <c r="L49" s="15" t="n">
        <f aca="false">H49+I49</f>
        <v>0</v>
      </c>
      <c r="M49" s="15" t="n">
        <f aca="false">SUM(F49:I49)</f>
        <v>17.003</v>
      </c>
      <c r="N49" s="15" t="n">
        <f aca="false">SUM(B49:E49)</f>
        <v>59.148</v>
      </c>
      <c r="O49" s="7" t="s">
        <v>724</v>
      </c>
      <c r="P49" s="4" t="s">
        <v>725</v>
      </c>
    </row>
    <row r="50" customFormat="false" ht="17.15" hidden="false" customHeight="false" outlineLevel="0" collapsed="false">
      <c r="A50" s="4" t="s">
        <v>768</v>
      </c>
      <c r="B50" s="6" t="n">
        <v>2.455</v>
      </c>
      <c r="C50" s="6" t="n">
        <v>2.442</v>
      </c>
      <c r="D50" s="6" t="n">
        <v>2.434</v>
      </c>
      <c r="E50" s="6" t="n">
        <v>2.543</v>
      </c>
      <c r="F50" s="6" t="n">
        <v>2.537</v>
      </c>
      <c r="G50" s="6" t="n">
        <v>2.536</v>
      </c>
      <c r="H50" s="6" t="n">
        <v>2.542</v>
      </c>
      <c r="I50" s="6" t="n">
        <v>2.689</v>
      </c>
      <c r="J50" s="6" t="n">
        <v>7.363</v>
      </c>
      <c r="K50" s="6" t="n">
        <v>10.049</v>
      </c>
      <c r="L50" s="15" t="n">
        <f aca="false">H50+I50</f>
        <v>5.231</v>
      </c>
      <c r="M50" s="15" t="n">
        <f aca="false">SUM(F50:I50)</f>
        <v>10.304</v>
      </c>
      <c r="N50" s="15" t="n">
        <f aca="false">SUM(B50:E50)</f>
        <v>9.874</v>
      </c>
      <c r="O50" s="7" t="s">
        <v>724</v>
      </c>
      <c r="P50" s="4" t="s">
        <v>725</v>
      </c>
    </row>
    <row r="52" customFormat="false" ht="17.15" hidden="false" customHeight="false" outlineLevel="0" collapsed="false">
      <c r="A52" s="2" t="s">
        <v>769</v>
      </c>
    </row>
    <row r="53" customFormat="false" ht="17.15" hidden="false" customHeight="false" outlineLevel="0" collapsed="false">
      <c r="A53" s="4" t="s">
        <v>770</v>
      </c>
      <c r="B53" s="19" t="n">
        <f aca="false">SUMPRODUCT(ABS(B10:K10))+SUMPRODUCT(ABS(B15:K15))+SUMPRODUCT(ABS(B23:K23))+SUMPRODUCT(ABS(B31:K31))+SUMPRODUCT(ABS(B35:K35))+SUMPRODUCT(ABS(B38:K38))+SUMPRODUCT(ABS(B48:K48))</f>
        <v>0</v>
      </c>
    </row>
    <row r="54" customFormat="false" ht="17.15" hidden="false" customHeight="false" outlineLevel="0" collapsed="false">
      <c r="A54" s="4" t="s">
        <v>771</v>
      </c>
      <c r="B54" s="19" t="n">
        <f aca="false">ABS(SUM(D9:G9)-K9)+ABS(SUM(D11:G11)-K11)+ABS(SUM(D12:G12)-K12)+ABS(SUM(D13:G13)-K13)+ABS(SUM(D14:G14)-K14)+ABS(SUM(D18:G18)-K18)+ABS(SUM(D19:G19)-K19)+ABS(SUM(D20:G20)-K20)+ABS(SUM(D21:G21)-K21)+ABS(SUM(D22:G22)-K22)+ABS(SUM(D5:G5)-K5)+ABS(SUM(D6:G6)-K6)+ABS(SUM(D7:G7)-K7)+ABS(SUM(D8:G8)-K8)+ABS(SUM(D46:G46)-K46)+ABS(SUM(D45:G45)-K45)+ABS(SUM(D43:G43)-K43)</f>
        <v>0</v>
      </c>
    </row>
    <row r="56" customFormat="false" ht="17.15" hidden="false" customHeight="false" outlineLevel="0" collapsed="false">
      <c r="A56" s="2" t="s">
        <v>772</v>
      </c>
    </row>
    <row r="57" customFormat="false" ht="15" hidden="false" customHeight="false" outlineLevel="0" collapsed="false">
      <c r="A57" s="3" t="s">
        <v>44</v>
      </c>
      <c r="B57" s="3" t="s">
        <v>773</v>
      </c>
      <c r="C57" s="3" t="s">
        <v>51</v>
      </c>
    </row>
    <row r="58" customFormat="false" ht="17.15" hidden="false" customHeight="false" outlineLevel="0" collapsed="false">
      <c r="A58" s="4" t="s">
        <v>774</v>
      </c>
      <c r="B58" s="14" t="n">
        <f aca="false">M5/N5-1</f>
        <v>0.168013211016221</v>
      </c>
      <c r="C58" s="7" t="s">
        <v>775</v>
      </c>
    </row>
    <row r="59" customFormat="false" ht="17.15" hidden="false" customHeight="false" outlineLevel="0" collapsed="false">
      <c r="A59" s="4" t="s">
        <v>776</v>
      </c>
      <c r="B59" s="14" t="n">
        <f aca="false">M6/N6-1</f>
        <v>0.117139334155364</v>
      </c>
      <c r="C59" s="7" t="s">
        <v>775</v>
      </c>
    </row>
    <row r="60" customFormat="false" ht="17.15" hidden="false" customHeight="false" outlineLevel="0" collapsed="false">
      <c r="A60" s="4" t="s">
        <v>777</v>
      </c>
      <c r="B60" s="14" t="n">
        <f aca="false">M7/N7-1</f>
        <v>-0.0217853347502657</v>
      </c>
      <c r="C60" s="7" t="s">
        <v>775</v>
      </c>
    </row>
    <row r="61" customFormat="false" ht="17.15" hidden="false" customHeight="false" outlineLevel="0" collapsed="false">
      <c r="A61" s="4" t="s">
        <v>778</v>
      </c>
      <c r="B61" s="14" t="n">
        <f aca="false">M8/N8-1</f>
        <v>0.179435162180028</v>
      </c>
      <c r="C61" s="7" t="s">
        <v>775</v>
      </c>
    </row>
    <row r="62" customFormat="false" ht="17.15" hidden="false" customHeight="false" outlineLevel="0" collapsed="false">
      <c r="A62" s="4" t="s">
        <v>779</v>
      </c>
      <c r="B62" s="14" t="n">
        <f aca="false">M11/N11-1</f>
        <v>0.577837859814604</v>
      </c>
      <c r="C62" s="7" t="s">
        <v>775</v>
      </c>
    </row>
    <row r="63" customFormat="false" ht="17.15" hidden="false" customHeight="false" outlineLevel="0" collapsed="false">
      <c r="A63" s="4" t="s">
        <v>780</v>
      </c>
      <c r="B63" s="15" t="n">
        <f aca="false">M9</f>
        <v>367.091</v>
      </c>
    </row>
    <row r="64" customFormat="false" ht="15" hidden="false" customHeight="false" outlineLevel="0" collapsed="false">
      <c r="A64" s="4" t="s">
        <v>781</v>
      </c>
      <c r="B64" s="15" t="n">
        <f aca="false">M9+M11+M12</f>
        <v>446.215</v>
      </c>
    </row>
    <row r="65" customFormat="false" ht="17.15" hidden="false" customHeight="false" outlineLevel="0" collapsed="false">
      <c r="A65" s="4" t="s">
        <v>782</v>
      </c>
      <c r="B65" s="14" t="n">
        <f aca="false">M9/rev3_ttm</f>
        <v>0.822677408872405</v>
      </c>
      <c r="C65" s="4" t="s">
        <v>783</v>
      </c>
    </row>
    <row r="66" customFormat="false" ht="17.15" hidden="false" customHeight="false" outlineLevel="0" collapsed="false">
      <c r="A66" s="4" t="s">
        <v>784</v>
      </c>
      <c r="B66" s="14" t="n">
        <f aca="false">M11/rev3_ttm</f>
        <v>0.173945295429333</v>
      </c>
    </row>
    <row r="67" customFormat="false" ht="17.15" hidden="false" customHeight="false" outlineLevel="0" collapsed="false">
      <c r="A67" s="4" t="s">
        <v>785</v>
      </c>
      <c r="B67" s="14" t="n">
        <f aca="false">M12/rev3_ttm</f>
        <v>0.00337729569826205</v>
      </c>
    </row>
    <row r="68" customFormat="false" ht="15" hidden="false" customHeight="false" outlineLevel="0" collapsed="false">
      <c r="A68" s="4" t="s">
        <v>786</v>
      </c>
      <c r="B68" s="15" t="n">
        <f aca="false">M43</f>
        <v>25.237</v>
      </c>
    </row>
    <row r="69" customFormat="false" ht="17.15" hidden="false" customHeight="false" outlineLevel="0" collapsed="false">
      <c r="A69" s="0" t="s">
        <v>787</v>
      </c>
      <c r="B69" s="14" t="n">
        <f aca="false">(M18+da_ttm*sh_svc)/M9</f>
        <v>0.475505827622341</v>
      </c>
      <c r="C69" s="7" t="s">
        <v>788</v>
      </c>
    </row>
    <row r="70" customFormat="false" ht="17.15" hidden="false" customHeight="false" outlineLevel="0" collapsed="false">
      <c r="A70" s="0" t="s">
        <v>789</v>
      </c>
      <c r="B70" s="14" t="n">
        <f aca="false">L9/(L9+L11+L12)</f>
        <v>0.801585090918587</v>
      </c>
    </row>
    <row r="71" customFormat="false" ht="17.15" hidden="false" customHeight="false" outlineLevel="0" collapsed="false">
      <c r="A71" s="0" t="s">
        <v>790</v>
      </c>
      <c r="B71" s="14" t="n">
        <f aca="false">L11/(L9+L11+L12)</f>
        <v>0.194963571633749</v>
      </c>
    </row>
    <row r="72" customFormat="false" ht="17.15" hidden="false" customHeight="false" outlineLevel="0" collapsed="false">
      <c r="A72" s="0" t="s">
        <v>791</v>
      </c>
      <c r="B72" s="14" t="n">
        <f aca="false">(L18+L43*sh1_svc)/L9</f>
        <v>0.494216623385221</v>
      </c>
      <c r="C72" s="4" t="s">
        <v>792</v>
      </c>
    </row>
    <row r="73" customFormat="false" ht="17.15" hidden="false" customHeight="false" outlineLevel="0" collapsed="false">
      <c r="A73" s="0" t="s">
        <v>793</v>
      </c>
      <c r="B73" s="14" t="n">
        <f aca="false">IF(mb_ttm=1,m_svc_ttm,m_svc_1h)</f>
        <v>0.494216623385221</v>
      </c>
      <c r="C73" s="4" t="s">
        <v>794</v>
      </c>
    </row>
    <row r="74" customFormat="false" ht="17.15" hidden="false" customHeight="false" outlineLevel="0" collapsed="false">
      <c r="A74" s="4" t="s">
        <v>795</v>
      </c>
      <c r="B74" s="15" t="n">
        <f aca="false">M19+da_ttm*sh_cloud</f>
        <v>28.7088574207501</v>
      </c>
    </row>
    <row r="75" customFormat="false" ht="17.15" hidden="false" customHeight="false" outlineLevel="0" collapsed="false">
      <c r="A75" s="4" t="s">
        <v>796</v>
      </c>
      <c r="B75" s="15" t="n">
        <f aca="false">M11</f>
        <v>77.617</v>
      </c>
    </row>
    <row r="76" customFormat="false" ht="17.15" hidden="false" customHeight="false" outlineLevel="0" collapsed="false">
      <c r="A76" s="4" t="s">
        <v>797</v>
      </c>
      <c r="B76" s="15" t="n">
        <f aca="false">N11</f>
        <v>49.192</v>
      </c>
    </row>
    <row r="77" customFormat="false" ht="17.15" hidden="false" customHeight="false" outlineLevel="0" collapsed="false">
      <c r="A77" s="4" t="s">
        <v>798</v>
      </c>
      <c r="B77" s="15" t="n">
        <f aca="false">M20</f>
        <v>-8.942</v>
      </c>
    </row>
    <row r="78" customFormat="false" ht="17.15" hidden="false" customHeight="false" outlineLevel="0" collapsed="false">
      <c r="A78" s="4" t="s">
        <v>799</v>
      </c>
      <c r="B78" s="15" t="n">
        <f aca="false">M21</f>
        <v>-21.541</v>
      </c>
    </row>
    <row r="79" customFormat="false" ht="17.15" hidden="false" customHeight="false" outlineLevel="0" collapsed="false">
      <c r="A79" s="0" t="s">
        <v>800</v>
      </c>
      <c r="B79" s="14" t="n">
        <f aca="false">M27/(M5+M7)</f>
        <v>0.230527265128352</v>
      </c>
      <c r="C79" s="4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802</v>
      </c>
    </row>
    <row r="2" customFormat="false" ht="17.15" hidden="false" customHeight="false" outlineLevel="0" collapsed="false">
      <c r="A2" s="4" t="s">
        <v>803</v>
      </c>
    </row>
    <row r="4" customFormat="false" ht="17.15" hidden="false" customHeight="false" outlineLevel="0" collapsed="false">
      <c r="A4" s="5" t="s">
        <v>804</v>
      </c>
    </row>
    <row r="5" customFormat="false" ht="15" hidden="false" customHeight="false" outlineLevel="0" collapsed="false">
      <c r="A5" s="3" t="s">
        <v>44</v>
      </c>
      <c r="B5" s="3" t="s">
        <v>45</v>
      </c>
      <c r="C5" s="3" t="s">
        <v>773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51</v>
      </c>
    </row>
    <row r="6" customFormat="false" ht="17.15" hidden="false" customHeight="false" outlineLevel="0" collapsed="false">
      <c r="A6" s="0" t="s">
        <v>805</v>
      </c>
      <c r="B6" s="0" t="s">
        <v>120</v>
      </c>
      <c r="C6" s="19" t="n">
        <f aca="false">kl_px/he_vr</f>
        <v>0.782914621155376</v>
      </c>
      <c r="N6" s="7" t="s">
        <v>806</v>
      </c>
    </row>
    <row r="7" customFormat="false" ht="17.15" hidden="false" customHeight="false" outlineLevel="0" collapsed="false">
      <c r="A7" s="0" t="s">
        <v>807</v>
      </c>
      <c r="B7" s="0" t="s">
        <v>120</v>
      </c>
      <c r="C7" s="19" t="n">
        <f aca="false">ks_px/gpuhr_h</f>
        <v>1.82808654921445</v>
      </c>
      <c r="N7" s="7" t="s">
        <v>808</v>
      </c>
    </row>
    <row r="8" customFormat="false" ht="17.15" hidden="false" customHeight="false" outlineLevel="0" collapsed="false">
      <c r="A8" s="4" t="s">
        <v>809</v>
      </c>
      <c r="B8" s="0" t="s">
        <v>120</v>
      </c>
      <c r="C8" s="19" t="n">
        <f aca="false">long_sh*k_long+(1-long_sh)*k_spot</f>
        <v>1.20098339237901</v>
      </c>
      <c r="N8" s="7" t="s">
        <v>810</v>
      </c>
    </row>
    <row r="9" customFormat="false" ht="17.15" hidden="false" customHeight="false" outlineLevel="0" collapsed="false">
      <c r="A9" s="0" t="s">
        <v>811</v>
      </c>
      <c r="B9" s="0" t="s">
        <v>120</v>
      </c>
      <c r="C9" s="19" t="n">
        <f aca="false">1-tpu_sh*(1-tpu_f)</f>
        <v>1</v>
      </c>
      <c r="N9" s="4" t="s">
        <v>812</v>
      </c>
    </row>
    <row r="10" customFormat="false" ht="17.15" hidden="false" customHeight="false" outlineLevel="0" collapsed="false">
      <c r="A10" s="0" t="s">
        <v>813</v>
      </c>
      <c r="B10" s="0" t="s">
        <v>120</v>
      </c>
      <c r="C10" s="19" t="n">
        <f aca="false">1-tpu_sh*(1-tpu_cf)</f>
        <v>1</v>
      </c>
    </row>
    <row r="11" customFormat="false" ht="17.15" hidden="false" customHeight="false" outlineLevel="0" collapsed="false">
      <c r="A11" s="4" t="s">
        <v>814</v>
      </c>
      <c r="B11" s="0" t="s">
        <v>327</v>
      </c>
      <c r="C11" s="21" t="n">
        <f aca="false">k_blend*tpu_adj*(mix0_h*he_h+mix0_b2*he_b2+mix0_b3*he_b3)</f>
        <v>11.6067474196555</v>
      </c>
    </row>
    <row r="12" customFormat="false" ht="17.15" hidden="false" customHeight="false" outlineLevel="0" collapsed="false">
      <c r="A12" s="4" t="s">
        <v>815</v>
      </c>
      <c r="B12" s="0" t="s">
        <v>327</v>
      </c>
      <c r="C12" s="21" t="n">
        <f aca="false">mix0_h*opx_h+mix0_b2*opx_b2+mix0_b3*opx_b3</f>
        <v>1.88146204641356</v>
      </c>
    </row>
    <row r="13" customFormat="false" ht="17.15" hidden="false" customHeight="false" outlineLevel="0" collapsed="false">
      <c r="A13" s="4" t="s">
        <v>816</v>
      </c>
      <c r="B13" s="0" t="s">
        <v>77</v>
      </c>
      <c r="C13" s="15" t="n">
        <f aca="false">ai_mw_ttm*permw0/1000</f>
        <v>16.8054095889192</v>
      </c>
      <c r="N13" s="4" t="s">
        <v>817</v>
      </c>
    </row>
    <row r="14" customFormat="false" ht="17.15" hidden="false" customHeight="false" outlineLevel="0" collapsed="false">
      <c r="A14" s="4" t="s">
        <v>818</v>
      </c>
      <c r="B14" s="0" t="s">
        <v>77</v>
      </c>
      <c r="C14" s="15" t="n">
        <f aca="false">ai_mw_pttm*permw0/1000</f>
        <v>7.62911507893956</v>
      </c>
    </row>
    <row r="15" customFormat="false" ht="17.15" hidden="false" customHeight="false" outlineLevel="0" collapsed="false">
      <c r="A15" s="4" t="s">
        <v>819</v>
      </c>
      <c r="B15" s="0" t="s">
        <v>77</v>
      </c>
      <c r="C15" s="15" t="n">
        <f aca="false">ai_mw_ttm*(permw0-opex0)/1000</f>
        <v>14.081240691917</v>
      </c>
    </row>
    <row r="16" customFormat="false" ht="17.15" hidden="false" customHeight="false" outlineLevel="0" collapsed="false">
      <c r="A16" s="0" t="s">
        <v>820</v>
      </c>
      <c r="B16" s="0" t="s">
        <v>100</v>
      </c>
      <c r="C16" s="14" t="n">
        <f aca="false">(cloud_ttm-ai_ttm)/(cloud_pttm-ai_pttm)-1</f>
        <v>0.463122459535209</v>
      </c>
      <c r="N16" s="7" t="s">
        <v>821</v>
      </c>
    </row>
    <row r="17" customFormat="false" ht="17.15" hidden="false" customHeight="false" outlineLevel="0" collapsed="false">
      <c r="A17" s="0" t="s">
        <v>822</v>
      </c>
      <c r="B17" s="0" t="s">
        <v>100</v>
      </c>
      <c r="C17" s="14" t="n">
        <f aca="false">(cloud_ebitda_ttm-ai_ttm_e)/(cloud_ttm-ai_ttm)</f>
        <v>0.240539946907353</v>
      </c>
      <c r="N17" s="7" t="s">
        <v>823</v>
      </c>
    </row>
    <row r="18" customFormat="false" ht="17.15" hidden="false" customHeight="false" outlineLevel="0" collapsed="false">
      <c r="A18" s="0" t="s">
        <v>824</v>
      </c>
      <c r="B18" s="0" t="s">
        <v>100</v>
      </c>
      <c r="C18" s="14" t="n">
        <f aca="false">(Q!L19+Q!L43*sh1_cloud-E41)/(Q!L11-E38)</f>
        <v>0.282103618960814</v>
      </c>
      <c r="N18" s="7" t="s">
        <v>825</v>
      </c>
    </row>
    <row r="19" customFormat="false" ht="17.15" hidden="false" customHeight="false" outlineLevel="0" collapsed="false">
      <c r="A19" s="0" t="s">
        <v>826</v>
      </c>
      <c r="B19" s="0" t="s">
        <v>100</v>
      </c>
      <c r="C19" s="14" t="n">
        <f aca="false">IF(mb_ttm=1,m_co_ttm,m_co_1h)</f>
        <v>0.282103618960814</v>
      </c>
      <c r="N19" s="4" t="s">
        <v>827</v>
      </c>
    </row>
    <row r="21" customFormat="false" ht="17.15" hidden="false" customHeight="false" outlineLevel="0" collapsed="false">
      <c r="A21" s="5" t="s">
        <v>828</v>
      </c>
    </row>
    <row r="22" customFormat="false" ht="15" hidden="false" customHeight="false" outlineLevel="0" collapsed="false">
      <c r="A22" s="3" t="s">
        <v>44</v>
      </c>
      <c r="B22" s="3" t="s">
        <v>45</v>
      </c>
      <c r="C22" s="18" t="s">
        <v>829</v>
      </c>
      <c r="D22" s="18" t="s">
        <v>830</v>
      </c>
      <c r="E22" s="18" t="s">
        <v>831</v>
      </c>
      <c r="F22" s="18" t="s">
        <v>832</v>
      </c>
      <c r="G22" s="18" t="s">
        <v>833</v>
      </c>
      <c r="H22" s="18" t="s">
        <v>834</v>
      </c>
      <c r="I22" s="18" t="s">
        <v>835</v>
      </c>
      <c r="J22" s="18" t="s">
        <v>836</v>
      </c>
      <c r="K22" s="18" t="s">
        <v>837</v>
      </c>
      <c r="L22" s="18" t="s">
        <v>838</v>
      </c>
      <c r="M22" s="18" t="s">
        <v>839</v>
      </c>
      <c r="N22" s="3" t="s">
        <v>51</v>
      </c>
    </row>
    <row r="23" customFormat="false" ht="17.15" hidden="false" customHeight="false" outlineLevel="0" collapsed="false">
      <c r="A23" s="0" t="s">
        <v>840</v>
      </c>
      <c r="B23" s="0" t="s">
        <v>270</v>
      </c>
      <c r="F23" s="22" t="n">
        <f aca="false">pace*0.5</f>
        <v>2079.835</v>
      </c>
      <c r="G23" s="22" t="n">
        <f aca="false">F23</f>
        <v>2079.835</v>
      </c>
      <c r="H23" s="22" t="n">
        <f aca="false">pace</f>
        <v>4159.67</v>
      </c>
      <c r="I23" s="22" t="n">
        <f aca="false">pace</f>
        <v>4159.67</v>
      </c>
      <c r="J23" s="22" t="n">
        <f aca="false">pace+(g_tv*I28-pace)*MIN(1,(2029-2028)/conv_mw)</f>
        <v>3245.2738125</v>
      </c>
      <c r="K23" s="22" t="n">
        <f aca="false">pace+(g_tv*J28-pace)*MIN(1,(2030-2028)/conv_mw)</f>
        <v>2379.5567321875</v>
      </c>
      <c r="L23" s="22" t="n">
        <f aca="false">pace+(g_tv*K28-pace)*MIN(1,(2031-2028)/conv_mw)</f>
        <v>1543.04012475547</v>
      </c>
      <c r="M23" s="22" t="n">
        <f aca="false">pace+(g_tv*L28-pace)*MIN(1,(2032-2028)/conv_mw)</f>
        <v>717.121370083289</v>
      </c>
      <c r="N23" s="4" t="s">
        <v>841</v>
      </c>
    </row>
    <row r="24" customFormat="false" ht="17.15" hidden="false" customHeight="false" outlineLevel="0" collapsed="false">
      <c r="A24" s="4" t="s">
        <v>842</v>
      </c>
      <c r="B24" s="0" t="s">
        <v>270</v>
      </c>
      <c r="E24" s="22" t="n">
        <f aca="false">mw_tot0*mix0_h</f>
        <v>1584.25</v>
      </c>
      <c r="F24" s="22" t="n">
        <f aca="false">E24+F23*0</f>
        <v>1584.25</v>
      </c>
      <c r="G24" s="22" t="n">
        <f aca="false">F24</f>
        <v>1584.25</v>
      </c>
      <c r="H24" s="22" t="n">
        <f aca="false">F24+H23*0</f>
        <v>1584.25</v>
      </c>
      <c r="I24" s="22" t="n">
        <f aca="false">H24+I23*0</f>
        <v>1584.25</v>
      </c>
      <c r="J24" s="22" t="n">
        <f aca="false">I24+J23*0</f>
        <v>1584.25</v>
      </c>
      <c r="K24" s="22" t="n">
        <f aca="false">J24+K23*0</f>
        <v>1584.25</v>
      </c>
      <c r="L24" s="22" t="n">
        <f aca="false">K24+L23*0</f>
        <v>1584.25</v>
      </c>
      <c r="M24" s="22" t="n">
        <f aca="false">L24+M23*0</f>
        <v>1584.25</v>
      </c>
      <c r="N24" s="4" t="s">
        <v>843</v>
      </c>
    </row>
    <row r="25" customFormat="false" ht="17.15" hidden="false" customHeight="false" outlineLevel="0" collapsed="false">
      <c r="A25" s="4" t="s">
        <v>844</v>
      </c>
      <c r="B25" s="0" t="s">
        <v>270</v>
      </c>
      <c r="E25" s="22" t="n">
        <f aca="false">mw_tot0*mix0_b2</f>
        <v>2851.65</v>
      </c>
      <c r="F25" s="22" t="n">
        <f aca="false">E25+F23*0</f>
        <v>2851.65</v>
      </c>
      <c r="G25" s="22" t="n">
        <f aca="false">F25</f>
        <v>2851.65</v>
      </c>
      <c r="H25" s="22" t="n">
        <f aca="false">F25+H23*0</f>
        <v>2851.65</v>
      </c>
      <c r="I25" s="22" t="n">
        <f aca="false">H25+I23*0</f>
        <v>2851.65</v>
      </c>
      <c r="J25" s="22" t="n">
        <f aca="false">I25+J23*0</f>
        <v>2851.65</v>
      </c>
      <c r="K25" s="22" t="n">
        <f aca="false">J25+K23*0</f>
        <v>2851.65</v>
      </c>
      <c r="L25" s="22" t="n">
        <f aca="false">K25+L23*0</f>
        <v>2851.65</v>
      </c>
      <c r="M25" s="22" t="n">
        <f aca="false">L25+M23*0</f>
        <v>2851.65</v>
      </c>
    </row>
    <row r="26" customFormat="false" ht="17.15" hidden="false" customHeight="false" outlineLevel="0" collapsed="false">
      <c r="A26" s="4" t="s">
        <v>845</v>
      </c>
      <c r="B26" s="0" t="s">
        <v>270</v>
      </c>
      <c r="E26" s="22" t="n">
        <f aca="false">mw_tot0*mix0_b3</f>
        <v>1901.1</v>
      </c>
      <c r="F26" s="22" t="n">
        <f aca="false">E26+F23*am_26</f>
        <v>3980.935</v>
      </c>
      <c r="G26" s="22" t="n">
        <f aca="false">F26</f>
        <v>3980.935</v>
      </c>
      <c r="H26" s="22" t="n">
        <f aca="false">F26+H23*am_27</f>
        <v>6060.77</v>
      </c>
      <c r="I26" s="22" t="n">
        <f aca="false">H26+I23*(1-am_28)</f>
        <v>6060.77</v>
      </c>
      <c r="J26" s="22" t="n">
        <f aca="false">I26+J23*(1-am_28)</f>
        <v>6060.77</v>
      </c>
      <c r="K26" s="22" t="n">
        <f aca="false">J26+K23*(1-am_28)</f>
        <v>6060.77</v>
      </c>
      <c r="L26" s="22" t="n">
        <f aca="false">K26+L23*(1-am_28)</f>
        <v>6060.77</v>
      </c>
      <c r="M26" s="22" t="n">
        <f aca="false">L26+M23*(1-am_28)</f>
        <v>6060.77</v>
      </c>
    </row>
    <row r="27" customFormat="false" ht="17.15" hidden="false" customHeight="false" outlineLevel="0" collapsed="false">
      <c r="A27" s="4" t="s">
        <v>846</v>
      </c>
      <c r="B27" s="0" t="s">
        <v>270</v>
      </c>
      <c r="E27" s="22" t="n">
        <f aca="false">mw_tot0*0</f>
        <v>0</v>
      </c>
      <c r="F27" s="22" t="n">
        <f aca="false">E27+F23*(1-am_26)</f>
        <v>0</v>
      </c>
      <c r="G27" s="22" t="n">
        <f aca="false">F27</f>
        <v>0</v>
      </c>
      <c r="H27" s="22" t="n">
        <f aca="false">F27+H23*(1-am_27)</f>
        <v>2079.835</v>
      </c>
      <c r="I27" s="22" t="n">
        <f aca="false">H27+I23*am_28</f>
        <v>6239.505</v>
      </c>
      <c r="J27" s="22" t="n">
        <f aca="false">I27+J23*am_28</f>
        <v>9484.7788125</v>
      </c>
      <c r="K27" s="22" t="n">
        <f aca="false">J27+K23*am_28</f>
        <v>11864.3355446875</v>
      </c>
      <c r="L27" s="22" t="n">
        <f aca="false">K27+L23*am_28</f>
        <v>13407.375669443</v>
      </c>
      <c r="M27" s="22" t="n">
        <f aca="false">L27+M23*am_28</f>
        <v>14124.4970395263</v>
      </c>
    </row>
    <row r="28" customFormat="false" ht="17.15" hidden="false" customHeight="false" outlineLevel="0" collapsed="false">
      <c r="A28" s="4" t="s">
        <v>847</v>
      </c>
      <c r="B28" s="0" t="s">
        <v>270</v>
      </c>
      <c r="E28" s="22" t="n">
        <f aca="false">E24+E25+E26+E27</f>
        <v>6337</v>
      </c>
      <c r="F28" s="22" t="n">
        <f aca="false">F24+F25+F26+F27</f>
        <v>8416.835</v>
      </c>
      <c r="G28" s="22" t="n">
        <f aca="false">G24+G25+G26+G27</f>
        <v>8416.835</v>
      </c>
      <c r="H28" s="22" t="n">
        <f aca="false">H24+H25+H26+H27</f>
        <v>12576.505</v>
      </c>
      <c r="I28" s="22" t="n">
        <f aca="false">I24+I25+I26+I27</f>
        <v>16736.175</v>
      </c>
      <c r="J28" s="22" t="n">
        <f aca="false">J24+J25+J26+J27</f>
        <v>19981.4488125</v>
      </c>
      <c r="K28" s="22" t="n">
        <f aca="false">K24+K25+K26+K27</f>
        <v>22361.0055446875</v>
      </c>
      <c r="L28" s="22" t="n">
        <f aca="false">L24+L25+L26+L27</f>
        <v>23904.045669443</v>
      </c>
      <c r="M28" s="22" t="n">
        <f aca="false">M24+M25+M26+M27</f>
        <v>24621.1670395263</v>
      </c>
    </row>
    <row r="29" customFormat="false" ht="17.15" hidden="false" customHeight="false" outlineLevel="0" collapsed="false">
      <c r="A29" s="4" t="s">
        <v>848</v>
      </c>
      <c r="B29" s="0" t="s">
        <v>270</v>
      </c>
      <c r="E29" s="22" t="n">
        <f aca="false">E28*ext_sh</f>
        <v>1901.1</v>
      </c>
      <c r="F29" s="22" t="n">
        <f aca="false">F28*ext_sh</f>
        <v>2525.0505</v>
      </c>
      <c r="G29" s="22" t="n">
        <f aca="false">G28*ext_sh</f>
        <v>2525.0505</v>
      </c>
      <c r="H29" s="22" t="n">
        <f aca="false">H28*ext_sh</f>
        <v>3772.9515</v>
      </c>
      <c r="I29" s="22" t="n">
        <f aca="false">I28*ext_sh</f>
        <v>5020.8525</v>
      </c>
      <c r="J29" s="22" t="n">
        <f aca="false">J28*ext_sh</f>
        <v>5994.43464375</v>
      </c>
      <c r="K29" s="22" t="n">
        <f aca="false">K28*ext_sh</f>
        <v>6708.30166340625</v>
      </c>
      <c r="L29" s="22" t="n">
        <f aca="false">L28*ext_sh</f>
        <v>7171.21370083289</v>
      </c>
      <c r="M29" s="22" t="n">
        <f aca="false">M28*ext_sh</f>
        <v>7386.35011185788</v>
      </c>
      <c r="N29" s="4" t="s">
        <v>849</v>
      </c>
    </row>
    <row r="30" customFormat="false" ht="17.15" hidden="false" customHeight="false" outlineLevel="0" collapsed="false">
      <c r="A30" s="4" t="s">
        <v>850</v>
      </c>
      <c r="B30" s="0" t="s">
        <v>270</v>
      </c>
      <c r="E30" s="22" t="n">
        <f aca="false">(mw_ye25+mw_tot0)/2*mix0_h</f>
        <v>1401.25</v>
      </c>
      <c r="F30" s="22" t="n">
        <f aca="false">(E24+F24)/2</f>
        <v>1584.25</v>
      </c>
      <c r="G30" s="22" t="n">
        <f aca="false">(E30+F30)/2</f>
        <v>1492.75</v>
      </c>
      <c r="H30" s="22" t="n">
        <f aca="false">(F24+H24)/2</f>
        <v>1584.25</v>
      </c>
      <c r="I30" s="22" t="n">
        <f aca="false">(H24+I24)/2</f>
        <v>1584.25</v>
      </c>
      <c r="J30" s="22" t="n">
        <f aca="false">(I24+J24)/2</f>
        <v>1584.25</v>
      </c>
      <c r="K30" s="22" t="n">
        <f aca="false">(J24+K24)/2</f>
        <v>1584.25</v>
      </c>
      <c r="L30" s="22" t="n">
        <f aca="false">(K24+L24)/2</f>
        <v>1584.25</v>
      </c>
      <c r="M30" s="22" t="n">
        <f aca="false">(L24+M24)/2</f>
        <v>1584.25</v>
      </c>
    </row>
    <row r="31" customFormat="false" ht="17.15" hidden="false" customHeight="false" outlineLevel="0" collapsed="false">
      <c r="A31" s="4" t="s">
        <v>851</v>
      </c>
      <c r="B31" s="0" t="s">
        <v>270</v>
      </c>
      <c r="E31" s="22" t="n">
        <f aca="false">(mw_ye25+mw_tot0)/2*mix0_b2</f>
        <v>2522.25</v>
      </c>
      <c r="F31" s="22" t="n">
        <f aca="false">(E25+F25)/2</f>
        <v>2851.65</v>
      </c>
      <c r="G31" s="22" t="n">
        <f aca="false">(E31+F31)/2</f>
        <v>2686.95</v>
      </c>
      <c r="H31" s="22" t="n">
        <f aca="false">(F25+H25)/2</f>
        <v>2851.65</v>
      </c>
      <c r="I31" s="22" t="n">
        <f aca="false">(H25+I25)/2</f>
        <v>2851.65</v>
      </c>
      <c r="J31" s="22" t="n">
        <f aca="false">(I25+J25)/2</f>
        <v>2851.65</v>
      </c>
      <c r="K31" s="22" t="n">
        <f aca="false">(J25+K25)/2</f>
        <v>2851.65</v>
      </c>
      <c r="L31" s="22" t="n">
        <f aca="false">(K25+L25)/2</f>
        <v>2851.65</v>
      </c>
      <c r="M31" s="22" t="n">
        <f aca="false">(L25+M25)/2</f>
        <v>2851.65</v>
      </c>
    </row>
    <row r="32" customFormat="false" ht="17.15" hidden="false" customHeight="false" outlineLevel="0" collapsed="false">
      <c r="A32" s="4" t="s">
        <v>852</v>
      </c>
      <c r="B32" s="0" t="s">
        <v>270</v>
      </c>
      <c r="E32" s="22" t="n">
        <f aca="false">(mw_ye25+mw_tot0)/2*mix0_b3</f>
        <v>1681.5</v>
      </c>
      <c r="F32" s="22" t="n">
        <f aca="false">(E26+F26)/2</f>
        <v>2941.0175</v>
      </c>
      <c r="G32" s="22" t="n">
        <f aca="false">(E32+F32)/2</f>
        <v>2311.25875</v>
      </c>
      <c r="H32" s="22" t="n">
        <f aca="false">(F26+H26)/2</f>
        <v>5020.8525</v>
      </c>
      <c r="I32" s="22" t="n">
        <f aca="false">(H26+I26)/2</f>
        <v>6060.77</v>
      </c>
      <c r="J32" s="22" t="n">
        <f aca="false">(I26+J26)/2</f>
        <v>6060.77</v>
      </c>
      <c r="K32" s="22" t="n">
        <f aca="false">(J26+K26)/2</f>
        <v>6060.77</v>
      </c>
      <c r="L32" s="22" t="n">
        <f aca="false">(K26+L26)/2</f>
        <v>6060.77</v>
      </c>
      <c r="M32" s="22" t="n">
        <f aca="false">(L26+M26)/2</f>
        <v>6060.77</v>
      </c>
    </row>
    <row r="33" customFormat="false" ht="17.15" hidden="false" customHeight="false" outlineLevel="0" collapsed="false">
      <c r="A33" s="4" t="s">
        <v>853</v>
      </c>
      <c r="B33" s="0" t="s">
        <v>270</v>
      </c>
      <c r="E33" s="22" t="n">
        <f aca="false">(mw_ye25+mw_tot0)/2*0</f>
        <v>0</v>
      </c>
      <c r="F33" s="22" t="n">
        <f aca="false">(E27+F27)/2</f>
        <v>0</v>
      </c>
      <c r="G33" s="22" t="n">
        <f aca="false">(E33+F33)/2</f>
        <v>0</v>
      </c>
      <c r="H33" s="22" t="n">
        <f aca="false">(F27+H27)/2</f>
        <v>1039.9175</v>
      </c>
      <c r="I33" s="22" t="n">
        <f aca="false">(H27+I27)/2</f>
        <v>4159.67</v>
      </c>
      <c r="J33" s="22" t="n">
        <f aca="false">(I27+J27)/2</f>
        <v>7862.14190625</v>
      </c>
      <c r="K33" s="22" t="n">
        <f aca="false">(J27+K27)/2</f>
        <v>10674.5571785938</v>
      </c>
      <c r="L33" s="22" t="n">
        <f aca="false">(K27+L27)/2</f>
        <v>12635.8556070652</v>
      </c>
      <c r="M33" s="22" t="n">
        <f aca="false">(L27+M27)/2</f>
        <v>13765.9363544846</v>
      </c>
    </row>
    <row r="34" customFormat="false" ht="17.15" hidden="false" customHeight="false" outlineLevel="0" collapsed="false">
      <c r="A34" s="4" t="s">
        <v>854</v>
      </c>
      <c r="B34" s="0" t="s">
        <v>270</v>
      </c>
      <c r="E34" s="22" t="n">
        <f aca="false">E30+E31+E32+E33</f>
        <v>5605</v>
      </c>
      <c r="F34" s="22" t="n">
        <f aca="false">F30+F31+F32+F33</f>
        <v>7376.9175</v>
      </c>
      <c r="G34" s="22" t="n">
        <f aca="false">G30+G31+G32+G33</f>
        <v>6490.95875</v>
      </c>
      <c r="H34" s="22" t="n">
        <f aca="false">H30+H31+H32+H33</f>
        <v>10496.67</v>
      </c>
      <c r="I34" s="22" t="n">
        <f aca="false">I30+I31+I32+I33</f>
        <v>14656.34</v>
      </c>
      <c r="J34" s="22" t="n">
        <f aca="false">J30+J31+J32+J33</f>
        <v>18358.81190625</v>
      </c>
      <c r="K34" s="22" t="n">
        <f aca="false">K30+K31+K32+K33</f>
        <v>21171.2271785938</v>
      </c>
      <c r="L34" s="22" t="n">
        <f aca="false">L30+L31+L32+L33</f>
        <v>23132.5256070652</v>
      </c>
      <c r="M34" s="22" t="n">
        <f aca="false">M30+M31+M32+M33</f>
        <v>24262.6063544846</v>
      </c>
    </row>
    <row r="35" customFormat="false" ht="17.15" hidden="false" customHeight="false" outlineLevel="0" collapsed="false">
      <c r="A35" s="4" t="s">
        <v>855</v>
      </c>
      <c r="B35" s="0" t="s">
        <v>270</v>
      </c>
      <c r="E35" s="22" t="n">
        <f aca="false">E34*ext_sh</f>
        <v>1681.5</v>
      </c>
      <c r="F35" s="22" t="n">
        <f aca="false">F34*ext_sh</f>
        <v>2213.07525</v>
      </c>
      <c r="G35" s="22" t="n">
        <f aca="false">G34*ext_sh</f>
        <v>1947.287625</v>
      </c>
      <c r="H35" s="22" t="n">
        <f aca="false">H34*ext_sh</f>
        <v>3149.001</v>
      </c>
      <c r="I35" s="22" t="n">
        <f aca="false">I34*ext_sh</f>
        <v>4396.902</v>
      </c>
      <c r="J35" s="22" t="n">
        <f aca="false">J34*ext_sh</f>
        <v>5507.643571875</v>
      </c>
      <c r="K35" s="22" t="n">
        <f aca="false">K34*ext_sh</f>
        <v>6351.36815357812</v>
      </c>
      <c r="L35" s="22" t="n">
        <f aca="false">L34*ext_sh</f>
        <v>6939.75768211957</v>
      </c>
      <c r="M35" s="22" t="n">
        <f aca="false">M34*ext_sh</f>
        <v>7278.78190634538</v>
      </c>
    </row>
    <row r="37" customFormat="false" ht="17.15" hidden="false" customHeight="false" outlineLevel="0" collapsed="false">
      <c r="A37" s="5" t="s">
        <v>856</v>
      </c>
    </row>
    <row r="38" customFormat="false" ht="17.15" hidden="false" customHeight="false" outlineLevel="0" collapsed="false">
      <c r="A38" s="0" t="s">
        <v>857</v>
      </c>
      <c r="B38" s="0" t="s">
        <v>77</v>
      </c>
      <c r="E38" s="23" t="n">
        <f aca="false">ext_sh*k_blend*tpu_adj*(E30*he_h+E31*he_b2+E32*he_b3+E33*he_vr)/1000*0.5</f>
        <v>9.75837289307536</v>
      </c>
      <c r="F38" s="23" t="n">
        <f aca="false">ext_sh*k_blend*tpu_adj*(F30*he_h+F31*he_b2+F32*he_b3+F33*he_vr)/1000*0.5</f>
        <v>13.072238179387</v>
      </c>
      <c r="G38" s="23" t="n">
        <f aca="false">E38+F38</f>
        <v>22.8306110724624</v>
      </c>
      <c r="H38" s="23" t="n">
        <f aca="false">ext_sh*k_blend*tpu_adj*(H30*he_h+H31*he_b2+H32*he_b3+H33*he_vr)/1000*1</f>
        <v>38.882857987105</v>
      </c>
      <c r="I38" s="23" t="n">
        <f aca="false">ext_sh*k_blend*tpu_adj*(I30*he_h+I31*he_b2+I32*he_b3+I33*he_vr)/1000*1</f>
        <v>56.7035586757632</v>
      </c>
      <c r="J38" s="23" t="n">
        <f aca="false">ext_sh*k_blend*tpu_adj*(J30*he_h+J31*he_b2+J32*he_b3+J33*he_vr)/1000*1</f>
        <v>73.012119150783</v>
      </c>
      <c r="K38" s="23" t="n">
        <f aca="false">ext_sh*k_blend*tpu_adj*(K30*he_h+K31*he_b2+K32*he_b3+K33*he_vr)/1000*1</f>
        <v>85.4001792660974</v>
      </c>
      <c r="L38" s="23" t="n">
        <f aca="false">ext_sh*k_blend*tpu_adj*(L30*he_h+L31*he_b2+L32*he_b3+L33*he_vr)/1000*1</f>
        <v>94.0392600856694</v>
      </c>
      <c r="M38" s="23" t="n">
        <f aca="false">ext_sh*k_blend*tpu_adj*(M30*he_h+M31*he_b2+M32*he_b3+M33*he_vr)/1000*1</f>
        <v>99.0170129701231</v>
      </c>
      <c r="N38" s="4" t="s">
        <v>858</v>
      </c>
    </row>
    <row r="39" customFormat="false" ht="17.15" hidden="false" customHeight="false" outlineLevel="0" collapsed="false">
      <c r="A39" s="4" t="s">
        <v>859</v>
      </c>
      <c r="B39" s="0" t="s">
        <v>327</v>
      </c>
      <c r="E39" s="21" t="n">
        <f aca="false">E38/(E35*0.5)*1000</f>
        <v>11.6067474196555</v>
      </c>
      <c r="F39" s="21" t="n">
        <f aca="false">F38/(F35*0.5)*1000</f>
        <v>11.8136409318996</v>
      </c>
      <c r="H39" s="21" t="n">
        <f aca="false">H38/(H35*1)*1000</f>
        <v>12.347680418998</v>
      </c>
      <c r="I39" s="21" t="n">
        <f aca="false">I38/(I35*1)*1000</f>
        <v>12.896252560499</v>
      </c>
      <c r="J39" s="21" t="n">
        <f aca="false">J38/(J35*1)*1000</f>
        <v>13.2565076512253</v>
      </c>
      <c r="K39" s="21" t="n">
        <f aca="false">K38/(K35*1)*1000</f>
        <v>13.4459501010008</v>
      </c>
      <c r="L39" s="21" t="n">
        <f aca="false">L38/(L35*1)*1000</f>
        <v>13.5507988020912</v>
      </c>
      <c r="M39" s="21" t="n">
        <f aca="false">M38/(M35*1)*1000</f>
        <v>13.6035141929178</v>
      </c>
    </row>
    <row r="40" customFormat="false" ht="17.15" hidden="false" customHeight="false" outlineLevel="0" collapsed="false">
      <c r="A40" s="0" t="s">
        <v>860</v>
      </c>
      <c r="B40" s="0" t="s">
        <v>77</v>
      </c>
      <c r="E40" s="23" t="n">
        <f aca="false">ext_sh*(E30*opx_h+E31*opx_b2+E32*opx_b3+E33*opx_vr)/1000*0.5</f>
        <v>1.5818392155222</v>
      </c>
      <c r="F40" s="23" t="n">
        <f aca="false">ext_sh*(F30*opx_h+F31*opx_b2+F32*opx_b3+F33*opx_vr)/1000*0.5</f>
        <v>2.09769024396315</v>
      </c>
      <c r="G40" s="23" t="n">
        <f aca="false">E40+F40</f>
        <v>3.67952945948534</v>
      </c>
      <c r="H40" s="23" t="n">
        <f aca="false">ext_sh*(H30*opx_h+H31*opx_b2+H32*opx_b3+H33*opx_vr)/1000*1</f>
        <v>6.08556526796441</v>
      </c>
      <c r="I40" s="23" t="n">
        <f aca="false">ext_sh*(I30*opx_h+I31*opx_b2+I32*opx_b3+I33*opx_vr)/1000*1</f>
        <v>8.66345465063136</v>
      </c>
      <c r="J40" s="23" t="n">
        <f aca="false">ext_sh*(J30*opx_h+J31*opx_b2+J32*opx_b3+J33*opx_vr)/1000*1</f>
        <v>10.988787186679</v>
      </c>
      <c r="K40" s="23" t="n">
        <f aca="false">ext_sh*(K30*opx_h+K31*opx_b2+K32*opx_b3+K33*opx_vr)/1000*1</f>
        <v>12.7551208424776</v>
      </c>
      <c r="L40" s="23" t="n">
        <f aca="false">ext_sh*(L30*opx_h+L31*opx_b2+L32*opx_b3+L33*opx_vr)/1000*1</f>
        <v>13.9869117011537</v>
      </c>
      <c r="M40" s="23" t="n">
        <f aca="false">ext_sh*(M30*opx_h+M31*opx_b2+M32*opx_b3+M33*opx_vr)/1000*1</f>
        <v>14.6966574053411</v>
      </c>
    </row>
    <row r="41" customFormat="false" ht="15" hidden="false" customHeight="false" outlineLevel="0" collapsed="false">
      <c r="A41" s="0" t="s">
        <v>861</v>
      </c>
      <c r="B41" s="0" t="s">
        <v>77</v>
      </c>
      <c r="E41" s="23" t="n">
        <f aca="false">E38-E40</f>
        <v>8.17653367755316</v>
      </c>
      <c r="F41" s="23" t="n">
        <f aca="false">F38-F40</f>
        <v>10.9745479354239</v>
      </c>
      <c r="G41" s="23" t="n">
        <f aca="false">G38-G40</f>
        <v>19.151081612977</v>
      </c>
      <c r="H41" s="23" t="n">
        <f aca="false">H38-H40</f>
        <v>32.7972927191406</v>
      </c>
      <c r="I41" s="23" t="n">
        <f aca="false">I38-I40</f>
        <v>48.0401040251318</v>
      </c>
      <c r="J41" s="23" t="n">
        <f aca="false">J38-J40</f>
        <v>62.023331964104</v>
      </c>
      <c r="K41" s="23" t="n">
        <f aca="false">K38-K40</f>
        <v>72.6450584236197</v>
      </c>
      <c r="L41" s="23" t="n">
        <f aca="false">L38-L40</f>
        <v>80.0523483845157</v>
      </c>
      <c r="M41" s="23" t="n">
        <f aca="false">M38-M40</f>
        <v>84.320355564782</v>
      </c>
    </row>
    <row r="42" customFormat="false" ht="17.15" hidden="false" customHeight="false" outlineLevel="0" collapsed="false">
      <c r="A42" s="0" t="s">
        <v>862</v>
      </c>
      <c r="B42" s="0" t="s">
        <v>100</v>
      </c>
      <c r="E42" s="14" t="n">
        <f aca="false">E41/E38</f>
        <v>0.837899285787215</v>
      </c>
      <c r="F42" s="14" t="n">
        <f aca="false">F41/F38</f>
        <v>0.839530903952554</v>
      </c>
      <c r="G42" s="14" t="n">
        <f aca="false">G41/G38</f>
        <v>0.838833509632886</v>
      </c>
      <c r="H42" s="14" t="n">
        <f aca="false">H41/H38</f>
        <v>0.843489764307382</v>
      </c>
      <c r="I42" s="14" t="n">
        <f aca="false">I41/I38</f>
        <v>0.847214974633781</v>
      </c>
      <c r="J42" s="14" t="n">
        <f aca="false">J41/J38</f>
        <v>0.849493655101488</v>
      </c>
      <c r="K42" s="14" t="n">
        <f aca="false">K41/K38</f>
        <v>0.850642926606347</v>
      </c>
      <c r="L42" s="14" t="n">
        <f aca="false">L41/L38</f>
        <v>0.851265187662986</v>
      </c>
      <c r="M42" s="14" t="n">
        <f aca="false">M41/M38</f>
        <v>0.851574421763505</v>
      </c>
    </row>
    <row r="43" customFormat="false" ht="17.15" hidden="false" customHeight="false" outlineLevel="0" collapsed="false">
      <c r="A43" s="4" t="s">
        <v>863</v>
      </c>
      <c r="B43" s="0" t="s">
        <v>100</v>
      </c>
      <c r="E43" s="14" t="n">
        <f aca="false">E39/((E30*cap_h+E31*cap_b2+E32*cap_b3+E33*cap_vr)/E34)</f>
        <v>0.405415752476763</v>
      </c>
      <c r="F43" s="14" t="n">
        <f aca="false">F39/((F30*cap_h+F31*cap_b2+F32*cap_b3+F33*cap_vr)/F34)</f>
        <v>0.390271467435243</v>
      </c>
      <c r="H43" s="14" t="n">
        <f aca="false">H39/((H30*cap_h+H31*cap_b2+H32*cap_b3+H33*cap_vr)/H34)</f>
        <v>0.344658808653896</v>
      </c>
      <c r="I43" s="14" t="n">
        <f aca="false">I39/((I30*cap_h+I31*cap_b2+I32*cap_b3+I33*cap_vr)/I34)</f>
        <v>0.30246186421215</v>
      </c>
      <c r="J43" s="14" t="n">
        <f aca="false">J39/((J30*cap_h+J31*cap_b2+J32*cap_b3+J33*cap_vr)/J34)</f>
        <v>0.279561962149961</v>
      </c>
      <c r="K43" s="14" t="n">
        <f aca="false">K39/((K30*cap_h+K31*cap_b2+K32*cap_b3+K33*cap_vr)/K34)</f>
        <v>0.269279308836652</v>
      </c>
      <c r="L43" s="14" t="n">
        <f aca="false">L39/((L30*cap_h+L31*cap_b2+L32*cap_b3+L33*cap_vr)/L34)</f>
        <v>0.264021362317727</v>
      </c>
      <c r="M43" s="14" t="n">
        <f aca="false">M39/((M30*cap_h+M31*cap_b2+M32*cap_b3+M33*cap_vr)/M34)</f>
        <v>0.261484054554977</v>
      </c>
      <c r="N43" s="7" t="s">
        <v>864</v>
      </c>
    </row>
    <row r="45" customFormat="false" ht="17.15" hidden="false" customHeight="false" outlineLevel="0" collapsed="false">
      <c r="A45" s="5" t="s">
        <v>865</v>
      </c>
    </row>
    <row r="46" customFormat="false" ht="17.15" hidden="false" customHeight="false" outlineLevel="0" collapsed="false">
      <c r="A46" s="0" t="s">
        <v>866</v>
      </c>
      <c r="B46" s="0" t="s">
        <v>77</v>
      </c>
      <c r="F46" s="23" t="n">
        <f aca="false">F23*(0*cit_h+0*cit_b2+am_26*cit_b3+(1-am_26)*cit_vr)*tpu_adjc/1000</f>
        <v>67.04810677804</v>
      </c>
      <c r="G46" s="23" t="n">
        <f aca="false">F46</f>
        <v>67.04810677804</v>
      </c>
      <c r="H46" s="23" t="n">
        <f aca="false">H23*(0*cit_h+0*cit_b2+am_27*cit_b3+(1-am_27)*cit_vr)*tpu_adjc/1000</f>
        <v>145.22151718996</v>
      </c>
      <c r="I46" s="23" t="n">
        <f aca="false">I23*(0*cit_h+0*cit_b2+(1-am_28)*cit_b3+am_28*cit_vr)*tpu_adjc/1000</f>
        <v>156.34682082384</v>
      </c>
      <c r="J46" s="23" t="n">
        <f aca="false">J23*(0*cit_h+0*cit_b2+(1-am_28)*cit_b3+am_28*cit_vr)*tpu_adjc/1000</f>
        <v>121.978003853007</v>
      </c>
      <c r="K46" s="23" t="n">
        <f aca="false">K23*(0*cit_h+0*cit_b2+(1-am_28)*cit_b3+am_28*cit_vr)*tpu_adjc/1000</f>
        <v>89.4388569399691</v>
      </c>
      <c r="L46" s="23" t="n">
        <f aca="false">L23*(0*cit_h+0*cit_b2+(1-am_28)*cit_b3+am_28*cit_vr)*tpu_adjc/1000</f>
        <v>57.997249279183</v>
      </c>
      <c r="M46" s="23" t="n">
        <f aca="false">M23*(0*cit_h+0*cit_b2+(1-am_28)*cit_b3+am_28*cit_vr)*tpu_adjc/1000</f>
        <v>26.9539762426728</v>
      </c>
    </row>
    <row r="47" customFormat="false" ht="17.15" hidden="false" customHeight="false" outlineLevel="0" collapsed="false">
      <c r="A47" s="0" t="s">
        <v>867</v>
      </c>
      <c r="B47" s="0" t="s">
        <v>77</v>
      </c>
      <c r="F47" s="23" t="n">
        <f aca="false">F23*selfb*cfac/1000</f>
        <v>22.3987830325</v>
      </c>
      <c r="G47" s="23" t="n">
        <f aca="false">F47</f>
        <v>22.3987830325</v>
      </c>
      <c r="H47" s="23" t="n">
        <f aca="false">H23*selfb*cfac/1000</f>
        <v>44.797566065</v>
      </c>
      <c r="I47" s="23" t="n">
        <f aca="false">I23*selfb*cfac/1000</f>
        <v>44.797566065</v>
      </c>
      <c r="J47" s="23" t="n">
        <f aca="false">J23*selfb*cfac/1000</f>
        <v>34.9499763237188</v>
      </c>
      <c r="K47" s="23" t="n">
        <f aca="false">K23*selfb*cfac/1000</f>
        <v>25.6266362272933</v>
      </c>
      <c r="L47" s="23" t="n">
        <f aca="false">L23*selfb*cfac/1000</f>
        <v>16.617770623554</v>
      </c>
      <c r="M47" s="23" t="n">
        <f aca="false">M23*selfb*cfac/1000</f>
        <v>7.72303859511198</v>
      </c>
    </row>
    <row r="48" customFormat="false" ht="17.15" hidden="false" customHeight="false" outlineLevel="0" collapsed="false">
      <c r="A48" s="4" t="s">
        <v>868</v>
      </c>
      <c r="B48" s="0" t="s">
        <v>270</v>
      </c>
      <c r="F48" s="24" t="n">
        <v>0</v>
      </c>
      <c r="G48" s="22" t="n">
        <f aca="false">F48</f>
        <v>0</v>
      </c>
      <c r="H48" s="24" t="n">
        <v>0</v>
      </c>
      <c r="I48" s="24" t="n">
        <v>0</v>
      </c>
      <c r="J48" s="22" t="n">
        <f aca="false">mw_ye23</f>
        <v>636.7</v>
      </c>
      <c r="K48" s="22" t="n">
        <f aca="false">mw_ye24-mw_ye23</f>
        <v>1506.6</v>
      </c>
      <c r="L48" s="22" t="n">
        <f aca="false">mw_ye25-mw_ye24</f>
        <v>2729.7</v>
      </c>
      <c r="M48" s="22" t="n">
        <f aca="false">mw_tot0-mw_ye25+F23</f>
        <v>3543.835</v>
      </c>
      <c r="N48" s="7" t="s">
        <v>869</v>
      </c>
    </row>
    <row r="49" customFormat="false" ht="17.15" hidden="false" customHeight="false" outlineLevel="0" collapsed="false">
      <c r="A49" s="0" t="s">
        <v>870</v>
      </c>
      <c r="B49" s="0" t="s">
        <v>77</v>
      </c>
      <c r="F49" s="23" t="n">
        <f aca="false">F48*cit_vr*tpu_adjc/1000</f>
        <v>0</v>
      </c>
      <c r="G49" s="23" t="n">
        <f aca="false">F49</f>
        <v>0</v>
      </c>
      <c r="H49" s="23" t="n">
        <f aca="false">H48*cit_vr*tpu_adjc/1000</f>
        <v>0</v>
      </c>
      <c r="I49" s="23" t="n">
        <f aca="false">I48*cit_vr*tpu_adjc/1000</f>
        <v>0</v>
      </c>
      <c r="J49" s="23" t="n">
        <f aca="false">J48*cit_vr*tpu_adjc/1000</f>
        <v>23.9312303184</v>
      </c>
      <c r="K49" s="23" t="n">
        <f aca="false">K48*cit_vr*tpu_adjc/1000</f>
        <v>56.6275979232</v>
      </c>
      <c r="L49" s="23" t="n">
        <f aca="false">L48*cit_vr*tpu_adjc/1000</f>
        <v>102.5994650544</v>
      </c>
      <c r="M49" s="23" t="n">
        <f aca="false">M48*cit_vr*tpu_adjc/1000</f>
        <v>133.19982973992</v>
      </c>
    </row>
    <row r="50" customFormat="false" ht="17.15" hidden="false" customHeight="false" outlineLevel="0" collapsed="false">
      <c r="A50" s="0" t="s">
        <v>871</v>
      </c>
      <c r="B50" s="0" t="s">
        <v>77</v>
      </c>
      <c r="F50" s="23" t="n">
        <f aca="false">F46+F47+F49</f>
        <v>89.44688981054</v>
      </c>
      <c r="G50" s="23" t="n">
        <f aca="false">G46+G47+G49</f>
        <v>89.44688981054</v>
      </c>
      <c r="H50" s="23" t="n">
        <f aca="false">H46+H47+H49</f>
        <v>190.01908325496</v>
      </c>
      <c r="I50" s="23" t="n">
        <f aca="false">I46+I47+I49</f>
        <v>201.14438688884</v>
      </c>
      <c r="J50" s="23" t="n">
        <f aca="false">J46+J47+J49</f>
        <v>180.859210495126</v>
      </c>
      <c r="K50" s="23" t="n">
        <f aca="false">K46+K47+K49</f>
        <v>171.693091090462</v>
      </c>
      <c r="L50" s="23" t="n">
        <f aca="false">L46+L47+L49</f>
        <v>177.214484957137</v>
      </c>
      <c r="M50" s="23" t="n">
        <f aca="false">M46+M47+M49</f>
        <v>167.876844577705</v>
      </c>
    </row>
    <row r="51" customFormat="false" ht="17.15" hidden="false" customHeight="false" outlineLevel="0" collapsed="false">
      <c r="A51" s="0" t="s">
        <v>872</v>
      </c>
      <c r="B51" s="0" t="s">
        <v>77</v>
      </c>
      <c r="F51" s="23" t="n">
        <f aca="false">MAX(0,capex_g-capex_1h-(F50+Seg!F70))</f>
        <v>8.83591030655329</v>
      </c>
      <c r="G51" s="23" t="n">
        <f aca="false">F51</f>
        <v>8.83591030655329</v>
      </c>
      <c r="N51" s="7" t="s">
        <v>873</v>
      </c>
    </row>
    <row r="52" customFormat="false" ht="17.15" hidden="false" customHeight="false" outlineLevel="0" collapsed="false">
      <c r="A52" s="5" t="s">
        <v>874</v>
      </c>
      <c r="B52" s="7" t="s">
        <v>77</v>
      </c>
      <c r="F52" s="23" t="n">
        <f aca="false">F50+F51</f>
        <v>98.2828001170933</v>
      </c>
      <c r="G52" s="23" t="n">
        <f aca="false">F52</f>
        <v>98.2828001170933</v>
      </c>
      <c r="H52" s="23" t="n">
        <f aca="false">H50</f>
        <v>190.01908325496</v>
      </c>
      <c r="I52" s="23" t="n">
        <f aca="false">I50</f>
        <v>201.14438688884</v>
      </c>
      <c r="J52" s="23" t="n">
        <f aca="false">J50</f>
        <v>180.859210495126</v>
      </c>
      <c r="K52" s="23" t="n">
        <f aca="false">K50</f>
        <v>171.693091090462</v>
      </c>
      <c r="L52" s="23" t="n">
        <f aca="false">L50</f>
        <v>177.214484957137</v>
      </c>
      <c r="M52" s="23" t="n">
        <f aca="false">M50</f>
        <v>167.876844577705</v>
      </c>
    </row>
    <row r="53" customFormat="false" ht="17.15" hidden="false" customHeight="false" outlineLevel="0" collapsed="false">
      <c r="A53" s="0" t="s">
        <v>875</v>
      </c>
      <c r="B53" s="0" t="s">
        <v>120</v>
      </c>
      <c r="F53" s="21" t="n">
        <f aca="false">F38/F52</f>
        <v>0.133006366971768</v>
      </c>
      <c r="H53" s="21" t="n">
        <f aca="false">H38/H52</f>
        <v>0.204626068714022</v>
      </c>
      <c r="I53" s="21" t="n">
        <f aca="false">I38/I52</f>
        <v>0.281904752863423</v>
      </c>
      <c r="J53" s="21" t="n">
        <f aca="false">J38/J52</f>
        <v>0.403695885605731</v>
      </c>
      <c r="K53" s="21" t="n">
        <f aca="false">K38/K52</f>
        <v>0.497400208265232</v>
      </c>
      <c r="L53" s="21" t="n">
        <f aca="false">L38/L52</f>
        <v>0.530652221280979</v>
      </c>
      <c r="M53" s="21" t="n">
        <f aca="false">M38/M52</f>
        <v>0.589819359657378</v>
      </c>
    </row>
    <row r="55" customFormat="false" ht="17.15" hidden="false" customHeight="false" outlineLevel="0" collapsed="false">
      <c r="A55" s="5" t="s">
        <v>876</v>
      </c>
    </row>
    <row r="56" customFormat="false" ht="17.15" hidden="false" customHeight="false" outlineLevel="0" collapsed="false">
      <c r="A56" s="4" t="s">
        <v>877</v>
      </c>
    </row>
    <row r="57" customFormat="false" ht="17.15" hidden="false" customHeight="false" outlineLevel="0" collapsed="false">
      <c r="A57" s="4" t="s">
        <v>878</v>
      </c>
      <c r="B57" s="0" t="s">
        <v>77</v>
      </c>
      <c r="F57" s="23" t="n">
        <f aca="false">cip_0*cip_it</f>
        <v>73.6884</v>
      </c>
    </row>
    <row r="58" customFormat="false" ht="17.15" hidden="false" customHeight="false" outlineLevel="0" collapsed="false">
      <c r="A58" s="4" t="s">
        <v>879</v>
      </c>
      <c r="B58" s="0" t="s">
        <v>77</v>
      </c>
      <c r="F58" s="23" t="n">
        <f aca="false">cip_0*(1-cip_it)</f>
        <v>49.1256</v>
      </c>
    </row>
    <row r="59" customFormat="false" ht="17.15" hidden="false" customHeight="false" outlineLevel="0" collapsed="false">
      <c r="A59" s="0" t="s">
        <v>880</v>
      </c>
      <c r="B59" s="0" t="s">
        <v>77</v>
      </c>
      <c r="F59" s="23" t="n">
        <f aca="false">F46+F49+F51</f>
        <v>75.8840170845933</v>
      </c>
      <c r="H59" s="23" t="n">
        <f aca="false">H46+H49</f>
        <v>145.22151718996</v>
      </c>
      <c r="I59" s="23" t="n">
        <f aca="false">I46+I49</f>
        <v>156.34682082384</v>
      </c>
      <c r="J59" s="23" t="n">
        <f aca="false">J46+J49</f>
        <v>145.909234171407</v>
      </c>
      <c r="K59" s="23" t="n">
        <f aca="false">K46+K49</f>
        <v>146.066454863169</v>
      </c>
      <c r="L59" s="23" t="n">
        <f aca="false">L46+L49</f>
        <v>160.596714333583</v>
      </c>
      <c r="M59" s="23" t="n">
        <f aca="false">M46+M49</f>
        <v>160.153805982593</v>
      </c>
    </row>
    <row r="60" customFormat="false" ht="15" hidden="false" customHeight="false" outlineLevel="0" collapsed="false">
      <c r="A60" s="4" t="s">
        <v>881</v>
      </c>
      <c r="B60" s="0" t="s">
        <v>77</v>
      </c>
      <c r="F60" s="23" t="n">
        <f aca="false">F47</f>
        <v>22.3987830325</v>
      </c>
      <c r="H60" s="23" t="n">
        <f aca="false">H47</f>
        <v>44.797566065</v>
      </c>
      <c r="I60" s="23" t="n">
        <f aca="false">I47</f>
        <v>44.797566065</v>
      </c>
      <c r="J60" s="23" t="n">
        <f aca="false">J47</f>
        <v>34.9499763237188</v>
      </c>
      <c r="K60" s="23" t="n">
        <f aca="false">K47</f>
        <v>25.6266362272933</v>
      </c>
      <c r="L60" s="23" t="n">
        <f aca="false">L47</f>
        <v>16.617770623554</v>
      </c>
      <c r="M60" s="23" t="n">
        <f aca="false">M47</f>
        <v>7.72303859511198</v>
      </c>
    </row>
    <row r="61" customFormat="false" ht="17.15" hidden="false" customHeight="false" outlineLevel="0" collapsed="false">
      <c r="A61" s="4" t="s">
        <v>882</v>
      </c>
      <c r="B61" s="0" t="s">
        <v>77</v>
      </c>
      <c r="F61" s="23" t="n">
        <f aca="false">$F$57/life_it*IF(0=0,phi_0,IF(0&lt;life_it,1,IF(0=life_it,1-phi_0,0)))+$F$59/life_it*IF(0=0,phi_0,IF(0&lt;life_it,1,IF(0=life_it,1-phi_0,0)))</f>
        <v>6.23218404519139</v>
      </c>
      <c r="G61" s="23" t="n">
        <f aca="false">F61</f>
        <v>6.23218404519139</v>
      </c>
      <c r="H61" s="23" t="n">
        <f aca="false">$F$57/life_it*IF(1=0,phi_0,IF(1&lt;life_it,1,IF(1=life_it,1-phi_0,0)))+$F$59/life_it*IF(1=0,phi_0,IF(1&lt;life_it,1,IF(1=life_it,1-phi_0,0)))+$H$59/life_it*IF(0=0,phi_0,IF(0&lt;life_it,1,IF(0=life_it,1-phi_0,0)))</f>
        <v>30.9796327303472</v>
      </c>
      <c r="I61" s="23" t="n">
        <f aca="false">$F$57/life_it*IF(2=0,phi_0,IF(2&lt;life_it,1,IF(2=life_it,1-phi_0,0)))+$F$59/life_it*IF(2=0,phi_0,IF(2&lt;life_it,1,IF(2=life_it,1-phi_0,0)))+$H$59/life_it*IF(1=0,phi_0,IF(1&lt;life_it,1,IF(1=life_it,1-phi_0,0)))+$I$59/life_it*IF(0=0,phi_0,IF(0&lt;life_it,1,IF(0=life_it,1-phi_0,0)))</f>
        <v>55.6467732467522</v>
      </c>
      <c r="J61" s="23" t="n">
        <f aca="false">$F$57/life_it*IF(3=0,phi_0,IF(3&lt;life_it,1,IF(3=life_it,1-phi_0,0)))+$F$59/life_it*IF(3=0,phi_0,IF(3&lt;life_it,1,IF(3=life_it,1-phi_0,0)))+$H$59/life_it*IF(2=0,phi_0,IF(2&lt;life_it,1,IF(2=life_it,1-phi_0,0)))+$I$59/life_it*IF(1=0,phi_0,IF(1&lt;life_it,1,IF(1=life_it,1-phi_0,0)))+$J$59/life_it*IF(0=0,phi_0,IF(0&lt;life_it,1,IF(0=life_it,1-phi_0,0)))</f>
        <v>81.2696772735408</v>
      </c>
      <c r="K61" s="23" t="n">
        <f aca="false">$F$57/life_it*IF(4=0,phi_0,IF(4&lt;life_it,1,IF(4=life_it,1-phi_0,0)))+$F$59/life_it*IF(4=0,phi_0,IF(4&lt;life_it,1,IF(4=life_it,1-phi_0,0)))+$H$59/life_it*IF(3=0,phi_0,IF(3&lt;life_it,1,IF(3=life_it,1-phi_0,0)))+$I$59/life_it*IF(2=0,phi_0,IF(2&lt;life_it,1,IF(2=life_it,1-phi_0,0)))+$J$59/life_it*IF(1=0,phi_0,IF(1&lt;life_it,1,IF(1=life_it,1-phi_0,0)))+$K$59/life_it*IF(0=0,phi_0,IF(0&lt;life_it,1,IF(0=life_it,1-phi_0,0)))</f>
        <v>105.594433830932</v>
      </c>
      <c r="L61" s="23" t="n">
        <f aca="false">$F$57/life_it*IF(5=0,phi_0,IF(5&lt;life_it,1,IF(5=life_it,1-phi_0,0)))+$F$59/life_it*IF(5=0,phi_0,IF(5&lt;life_it,1,IF(5=life_it,1-phi_0,0)))+$H$59/life_it*IF(4=0,phi_0,IF(4&lt;life_it,1,IF(4=life_it,1-phi_0,0)))+$I$59/life_it*IF(3=0,phi_0,IF(3&lt;life_it,1,IF(3=life_it,1-phi_0,0)))+$J$59/life_it*IF(2=0,phi_0,IF(2&lt;life_it,1,IF(2=life_it,1-phi_0,0)))+$K$59/life_it*IF(1=0,phi_0,IF(1&lt;life_it,1,IF(1=life_it,1-phi_0,0)))+$L$59/life_it*IF(0=0,phi_0,IF(0&lt;life_it,1,IF(0=life_it,1-phi_0,0)))</f>
        <v>130.544270452728</v>
      </c>
      <c r="M61" s="23" t="n">
        <f aca="false">$F$57/life_it*IF(6=0,phi_0,IF(6&lt;life_it,1,IF(6=life_it,1-phi_0,0)))+$F$59/life_it*IF(6=0,phi_0,IF(6&lt;life_it,1,IF(6=life_it,1-phi_0,0)))+$H$59/life_it*IF(5=0,phi_0,IF(5&lt;life_it,1,IF(5=life_it,1-phi_0,0)))+$I$59/life_it*IF(4=0,phi_0,IF(4&lt;life_it,1,IF(4=life_it,1-phi_0,0)))+$J$59/life_it*IF(3=0,phi_0,IF(3&lt;life_it,1,IF(3=life_it,1-phi_0,0)))+$K$59/life_it*IF(2=0,phi_0,IF(2&lt;life_it,1,IF(2=life_it,1-phi_0,0)))+$L$59/life_it*IF(1=0,phi_0,IF(1&lt;life_it,1,IF(1=life_it,1-phi_0,0)))+$M$59/life_it*IF(0=0,phi_0,IF(0&lt;life_it,1,IF(0=life_it,1-phi_0,0)))</f>
        <v>151.059750948509</v>
      </c>
    </row>
    <row r="62" customFormat="false" ht="17.15" hidden="false" customHeight="false" outlineLevel="0" collapsed="false">
      <c r="A62" s="4" t="s">
        <v>883</v>
      </c>
      <c r="B62" s="0" t="s">
        <v>77</v>
      </c>
      <c r="F62" s="23" t="n">
        <f aca="false">$F$58/life_fac*IF(0=0,phi_0,IF(0&lt;life_fac,1,IF(0=life_fac,1-phi_0,0)))+$F$60/life_fac*IF(0=0,phi_0,IF(0&lt;life_fac,1,IF(0=life_fac,1-phi_0,0)))</f>
        <v>0.89405478790625</v>
      </c>
      <c r="G62" s="23" t="n">
        <f aca="false">F62</f>
        <v>0.89405478790625</v>
      </c>
      <c r="H62" s="23" t="n">
        <f aca="false">$F$58/life_fac*IF(1=0,phi_0,IF(1&lt;life_fac,1,IF(1=life_fac,1-phi_0,0)))+$F$60/life_fac*IF(1=0,phi_0,IF(1&lt;life_fac,1,IF(1=life_fac,1-phi_0,0)))+$H$60/life_fac*IF(0=0,phi_0,IF(0&lt;life_fac,1,IF(0=life_fac,1-phi_0,0)))</f>
        <v>4.1361887274375</v>
      </c>
      <c r="I62" s="23" t="n">
        <f aca="false">$F$58/life_fac*IF(2=0,phi_0,IF(2&lt;life_fac,1,IF(2=life_fac,1-phi_0,0)))+$F$60/life_fac*IF(2=0,phi_0,IF(2&lt;life_fac,1,IF(2=life_fac,1-phi_0,0)))+$H$60/life_fac*IF(1=0,phi_0,IF(1&lt;life_fac,1,IF(1=life_fac,1-phi_0,0)))+$I$60/life_fac*IF(0=0,phi_0,IF(0&lt;life_fac,1,IF(0=life_fac,1-phi_0,0)))</f>
        <v>6.3760670306875</v>
      </c>
      <c r="J62" s="23" t="n">
        <f aca="false">$F$58/life_fac*IF(3=0,phi_0,IF(3&lt;life_fac,1,IF(3=life_fac,1-phi_0,0)))+$F$60/life_fac*IF(3=0,phi_0,IF(3&lt;life_fac,1,IF(3=life_fac,1-phi_0,0)))+$H$60/life_fac*IF(2=0,phi_0,IF(2&lt;life_fac,1,IF(2=life_fac,1-phi_0,0)))+$I$60/life_fac*IF(1=0,phi_0,IF(1&lt;life_fac,1,IF(1=life_fac,1-phi_0,0)))+$J$60/life_fac*IF(0=0,phi_0,IF(0&lt;life_fac,1,IF(0=life_fac,1-phi_0,0)))</f>
        <v>8.49285046217148</v>
      </c>
      <c r="K62" s="23" t="n">
        <f aca="false">$F$58/life_fac*IF(4=0,phi_0,IF(4&lt;life_fac,1,IF(4=life_fac,1-phi_0,0)))+$F$60/life_fac*IF(4=0,phi_0,IF(4&lt;life_fac,1,IF(4=life_fac,1-phi_0,0)))+$H$60/life_fac*IF(3=0,phi_0,IF(3&lt;life_fac,1,IF(3=life_fac,1-phi_0,0)))+$I$60/life_fac*IF(2=0,phi_0,IF(2&lt;life_fac,1,IF(2=life_fac,1-phi_0,0)))+$J$60/life_fac*IF(1=0,phi_0,IF(1&lt;life_fac,1,IF(1=life_fac,1-phi_0,0)))+$K$60/life_fac*IF(0=0,phi_0,IF(0&lt;life_fac,1,IF(0=life_fac,1-phi_0,0)))</f>
        <v>10.1238075271521</v>
      </c>
      <c r="L62" s="23" t="n">
        <f aca="false">$F$58/life_fac*IF(5=0,phi_0,IF(5&lt;life_fac,1,IF(5=life_fac,1-phi_0,0)))+$F$60/life_fac*IF(5=0,phi_0,IF(5&lt;life_fac,1,IF(5=life_fac,1-phi_0,0)))+$H$60/life_fac*IF(4=0,phi_0,IF(4&lt;life_fac,1,IF(4=life_fac,1-phi_0,0)))+$I$60/life_fac*IF(3=0,phi_0,IF(3&lt;life_fac,1,IF(3=life_fac,1-phi_0,0)))+$J$60/life_fac*IF(2=0,phi_0,IF(2&lt;life_fac,1,IF(2=life_fac,1-phi_0,0)))+$K$60/life_fac*IF(1=0,phi_0,IF(1&lt;life_fac,1,IF(1=life_fac,1-phi_0,0)))+$L$60/life_fac*IF(0=0,phi_0,IF(0&lt;life_fac,1,IF(0=life_fac,1-phi_0,0)))</f>
        <v>11.29252851847</v>
      </c>
      <c r="M62" s="23" t="n">
        <f aca="false">$F$58/life_fac*IF(6=0,phi_0,IF(6&lt;life_fac,1,IF(6=life_fac,1-phi_0,0)))+$F$60/life_fac*IF(6=0,phi_0,IF(6&lt;life_fac,1,IF(6=life_fac,1-phi_0,0)))+$H$60/life_fac*IF(5=0,phi_0,IF(5&lt;life_fac,1,IF(5=life_fac,1-phi_0,0)))+$I$60/life_fac*IF(4=0,phi_0,IF(4&lt;life_fac,1,IF(4=life_fac,1-phi_0,0)))+$J$60/life_fac*IF(3=0,phi_0,IF(3&lt;life_fac,1,IF(3=life_fac,1-phi_0,0)))+$K$60/life_fac*IF(2=0,phi_0,IF(2&lt;life_fac,1,IF(2=life_fac,1-phi_0,0)))+$L$60/life_fac*IF(1=0,phi_0,IF(1&lt;life_fac,1,IF(1=life_fac,1-phi_0,0)))+$M$60/life_fac*IF(0=0,phi_0,IF(0&lt;life_fac,1,IF(0=life_fac,1-phi_0,0)))</f>
        <v>12.0122328992922</v>
      </c>
    </row>
    <row r="63" customFormat="false" ht="17.15" hidden="false" customHeight="false" outlineLevel="0" collapsed="false">
      <c r="A63" s="2" t="s">
        <v>884</v>
      </c>
      <c r="B63" s="7" t="s">
        <v>77</v>
      </c>
      <c r="F63" s="23" t="n">
        <f aca="false">F61+F62</f>
        <v>7.12623883309764</v>
      </c>
      <c r="G63" s="23" t="n">
        <f aca="false">G61+G62</f>
        <v>7.12623883309764</v>
      </c>
      <c r="H63" s="23" t="n">
        <f aca="false">H61+H62</f>
        <v>35.1158214577847</v>
      </c>
      <c r="I63" s="23" t="n">
        <f aca="false">I61+I62</f>
        <v>62.0228402774397</v>
      </c>
      <c r="J63" s="23" t="n">
        <f aca="false">J61+J62</f>
        <v>89.7625277357123</v>
      </c>
      <c r="K63" s="23" t="n">
        <f aca="false">K61+K62</f>
        <v>115.718241358084</v>
      </c>
      <c r="L63" s="23" t="n">
        <f aca="false">L61+L62</f>
        <v>141.836798971198</v>
      </c>
      <c r="M63" s="23" t="n">
        <f aca="false">M61+M62</f>
        <v>163.071983847801</v>
      </c>
    </row>
    <row r="64" customFormat="false" ht="17.15" hidden="false" customHeight="false" outlineLevel="0" collapsed="false">
      <c r="A64" s="4" t="s">
        <v>885</v>
      </c>
      <c r="B64" s="0" t="s">
        <v>77</v>
      </c>
      <c r="F64" s="23" t="n">
        <f aca="false">F63*ext_sh</f>
        <v>2.13787164992929</v>
      </c>
      <c r="G64" s="23" t="n">
        <f aca="false">G63*ext_sh</f>
        <v>2.13787164992929</v>
      </c>
      <c r="H64" s="23" t="n">
        <f aca="false">H63*ext_sh</f>
        <v>10.5347464373354</v>
      </c>
      <c r="I64" s="23" t="n">
        <f aca="false">I63*ext_sh</f>
        <v>18.6068520832319</v>
      </c>
      <c r="J64" s="23" t="n">
        <f aca="false">J63*ext_sh</f>
        <v>26.9287583207137</v>
      </c>
      <c r="K64" s="23" t="n">
        <f aca="false">K63*ext_sh</f>
        <v>34.7154724074253</v>
      </c>
      <c r="L64" s="23" t="n">
        <f aca="false">L63*ext_sh</f>
        <v>42.5510396913593</v>
      </c>
      <c r="M64" s="23" t="n">
        <f aca="false">M63*ext_sh</f>
        <v>48.9215951543403</v>
      </c>
      <c r="N64" s="4" t="s">
        <v>886</v>
      </c>
    </row>
    <row r="65" customFormat="false" ht="17.15" hidden="false" customHeight="false" outlineLevel="0" collapsed="false">
      <c r="A65" s="4" t="s">
        <v>887</v>
      </c>
      <c r="B65" s="0" t="s">
        <v>77</v>
      </c>
      <c r="F65" s="23" t="n">
        <f aca="false">F63*(1-ext_sh)</f>
        <v>4.98836718316835</v>
      </c>
      <c r="G65" s="23" t="n">
        <f aca="false">G63*(1-ext_sh)</f>
        <v>4.98836718316835</v>
      </c>
      <c r="H65" s="23" t="n">
        <f aca="false">H63*(1-ext_sh)</f>
        <v>24.5810750204493</v>
      </c>
      <c r="I65" s="23" t="n">
        <f aca="false">I63*(1-ext_sh)</f>
        <v>43.4159881942078</v>
      </c>
      <c r="J65" s="23" t="n">
        <f aca="false">J63*(1-ext_sh)</f>
        <v>62.8337694149986</v>
      </c>
      <c r="K65" s="23" t="n">
        <f aca="false">K63*(1-ext_sh)</f>
        <v>81.0027689506589</v>
      </c>
      <c r="L65" s="23" t="n">
        <f aca="false">L63*(1-ext_sh)</f>
        <v>99.2857592798383</v>
      </c>
      <c r="M65" s="23" t="n">
        <f aca="false">M63*(1-ext_sh)</f>
        <v>114.150388693461</v>
      </c>
    </row>
    <row r="67" customFormat="false" ht="17.15" hidden="false" customHeight="false" outlineLevel="0" collapsed="false">
      <c r="A67" s="5" t="s">
        <v>888</v>
      </c>
    </row>
    <row r="68" customFormat="false" ht="17.15" hidden="false" customHeight="false" outlineLevel="0" collapsed="false">
      <c r="A68" s="4" t="s">
        <v>889</v>
      </c>
      <c r="B68" s="0" t="s">
        <v>77</v>
      </c>
      <c r="F68" s="23" t="n">
        <f aca="false">(1-ext_sh)*((F30*opx_h+F31*opx_b2+F32*opx_b3+F33*opx_vr)-mw_tot0*opex0)/1000*0.5</f>
        <v>0.721621823404393</v>
      </c>
      <c r="G68" s="23" t="n">
        <f aca="false">F68</f>
        <v>0.721621823404393</v>
      </c>
      <c r="H68" s="23" t="n">
        <f aca="false">(1-ext_sh)*((H30*opx_h+H31*opx_b2+H32*opx_b3+H33*opx_vr)-mw_tot0*opex0)/1000*1</f>
        <v>5.85367480023106</v>
      </c>
      <c r="I68" s="23" t="n">
        <f aca="false">(1-ext_sh)*((I30*opx_h+I31*opx_b2+I32*opx_b3+I33*opx_vr)-mw_tot0*opex0)/1000*1</f>
        <v>11.8687500264539</v>
      </c>
      <c r="J68" s="23" t="n">
        <f aca="false">(1-ext_sh)*((J30*opx_h+J31*opx_b2+J32*opx_b3+J33*opx_vr)-mw_tot0*opex0)/1000*1</f>
        <v>17.2945259438984</v>
      </c>
      <c r="K68" s="23" t="n">
        <f aca="false">(1-ext_sh)*((K30*opx_h+K31*opx_b2+K32*opx_b3+K33*opx_vr)-mw_tot0*opex0)/1000*1</f>
        <v>21.4159711407619</v>
      </c>
      <c r="L68" s="23" t="n">
        <f aca="false">(1-ext_sh)*((L30*opx_h+L31*opx_b2+L32*opx_b3+L33*opx_vr)-mw_tot0*opex0)/1000*1</f>
        <v>24.2901498110061</v>
      </c>
      <c r="M68" s="23" t="n">
        <f aca="false">(1-ext_sh)*((M30*opx_h+M31*opx_b2+M32*opx_b3+M33*opx_vr)-mw_tot0*opex0)/1000*1</f>
        <v>25.9462231207766</v>
      </c>
    </row>
    <row r="69" customFormat="false" ht="17.15" hidden="false" customHeight="false" outlineLevel="0" collapsed="false">
      <c r="A69" s="0" t="s">
        <v>890</v>
      </c>
      <c r="B69" s="0" t="s">
        <v>77</v>
      </c>
      <c r="F69" s="23" t="n">
        <f aca="false">rent_2H</f>
        <v>2.76</v>
      </c>
      <c r="G69" s="23" t="n">
        <f aca="false">F69</f>
        <v>2.76</v>
      </c>
      <c r="H69" s="23" t="n">
        <f aca="false">rent_27</f>
        <v>11.04</v>
      </c>
      <c r="I69" s="23" t="n">
        <f aca="false">rent_28</f>
        <v>11.04</v>
      </c>
      <c r="J69" s="23" t="n">
        <f aca="false">rent_29</f>
        <v>5.52</v>
      </c>
      <c r="K69" s="25" t="n">
        <v>0</v>
      </c>
      <c r="L69" s="25" t="n">
        <v>0</v>
      </c>
      <c r="M69" s="25" t="n">
        <v>0</v>
      </c>
    </row>
    <row r="70" customFormat="false" ht="17.15" hidden="false" customHeight="false" outlineLevel="0" collapsed="false">
      <c r="A70" s="2" t="s">
        <v>891</v>
      </c>
      <c r="B70" s="7" t="s">
        <v>77</v>
      </c>
      <c r="F70" s="23" t="n">
        <f aca="false">F68+F69+F65</f>
        <v>8.46998900657274</v>
      </c>
      <c r="G70" s="23" t="n">
        <f aca="false">G68+G69+G65</f>
        <v>8.46998900657274</v>
      </c>
      <c r="H70" s="23" t="n">
        <f aca="false">H68+H69+H65</f>
        <v>41.4747498206804</v>
      </c>
      <c r="I70" s="23" t="n">
        <f aca="false">I68+I69+I65</f>
        <v>66.3247382206617</v>
      </c>
      <c r="J70" s="23" t="n">
        <f aca="false">J68+J69+J65</f>
        <v>85.6482953588971</v>
      </c>
      <c r="K70" s="23" t="n">
        <f aca="false">K68+K69+K65</f>
        <v>102.418740091421</v>
      </c>
      <c r="L70" s="23" t="n">
        <f aca="false">L68+L69+L65</f>
        <v>123.575909090844</v>
      </c>
      <c r="M70" s="23" t="n">
        <f aca="false">M68+M69+M65</f>
        <v>140.096611814237</v>
      </c>
    </row>
    <row r="71" customFormat="false" ht="17.15" hidden="false" customHeight="false" outlineLevel="0" collapsed="false">
      <c r="A71" s="4" t="s">
        <v>892</v>
      </c>
      <c r="B71" s="0" t="s">
        <v>77</v>
      </c>
      <c r="F71" s="23" t="n">
        <f aca="false">F70*svc_sh</f>
        <v>5.08199340394364</v>
      </c>
      <c r="G71" s="23" t="n">
        <f aca="false">G70*svc_sh</f>
        <v>5.08199340394364</v>
      </c>
      <c r="H71" s="23" t="n">
        <f aca="false">H70*svc_sh</f>
        <v>24.8848498924082</v>
      </c>
      <c r="I71" s="23" t="n">
        <f aca="false">I70*svc_sh</f>
        <v>39.794842932397</v>
      </c>
      <c r="J71" s="23" t="n">
        <f aca="false">J70*svc_sh</f>
        <v>51.3889772153382</v>
      </c>
      <c r="K71" s="23" t="n">
        <f aca="false">K70*svc_sh</f>
        <v>61.4512440548525</v>
      </c>
      <c r="L71" s="23" t="n">
        <f aca="false">L70*svc_sh</f>
        <v>74.1455454545066</v>
      </c>
      <c r="M71" s="23" t="n">
        <f aca="false">M70*svc_sh</f>
        <v>84.0579670885423</v>
      </c>
    </row>
    <row r="72" customFormat="false" ht="17.15" hidden="false" customHeight="false" outlineLevel="0" collapsed="false">
      <c r="A72" s="4" t="s">
        <v>893</v>
      </c>
      <c r="B72" s="0" t="s">
        <v>77</v>
      </c>
      <c r="F72" s="23" t="n">
        <f aca="false">F70*(1-svc_sh)</f>
        <v>3.3879956026291</v>
      </c>
      <c r="G72" s="23" t="n">
        <f aca="false">G70*(1-svc_sh)</f>
        <v>3.3879956026291</v>
      </c>
      <c r="H72" s="23" t="n">
        <f aca="false">H70*(1-svc_sh)</f>
        <v>16.5898999282721</v>
      </c>
      <c r="I72" s="23" t="n">
        <f aca="false">I70*(1-svc_sh)</f>
        <v>26.5298952882647</v>
      </c>
      <c r="J72" s="23" t="n">
        <f aca="false">J70*(1-svc_sh)</f>
        <v>34.2593181435588</v>
      </c>
      <c r="K72" s="23" t="n">
        <f aca="false">K70*(1-svc_sh)</f>
        <v>40.9674960365683</v>
      </c>
      <c r="L72" s="23" t="n">
        <f aca="false">L70*(1-svc_sh)</f>
        <v>49.4303636363378</v>
      </c>
      <c r="M72" s="23" t="n">
        <f aca="false">M70*(1-svc_sh)</f>
        <v>56.0386447256949</v>
      </c>
    </row>
    <row r="74" customFormat="false" ht="17.15" hidden="false" customHeight="false" outlineLevel="0" collapsed="false">
      <c r="A74" s="5" t="s">
        <v>894</v>
      </c>
    </row>
    <row r="75" customFormat="false" ht="17.15" hidden="false" customHeight="false" outlineLevel="0" collapsed="false">
      <c r="A75" s="4" t="s">
        <v>895</v>
      </c>
      <c r="B75" s="0" t="s">
        <v>270</v>
      </c>
      <c r="F75" s="22" t="n">
        <f aca="false">mid*F48</f>
        <v>0</v>
      </c>
      <c r="G75" s="22" t="n">
        <f aca="false">F75</f>
        <v>0</v>
      </c>
      <c r="H75" s="22" t="n">
        <f aca="false">F48+mid*H48</f>
        <v>0</v>
      </c>
      <c r="I75" s="22" t="n">
        <f aca="false">F48+H48+mid*I48</f>
        <v>0</v>
      </c>
      <c r="J75" s="22" t="n">
        <f aca="false">F48+H48+I48+mid*J48</f>
        <v>318.35</v>
      </c>
      <c r="K75" s="22" t="n">
        <f aca="false">F48+H48+I48+J48+mid*K48</f>
        <v>1390</v>
      </c>
      <c r="L75" s="22" t="n">
        <f aca="false">F48+H48+I48+J48+K48+mid*L48</f>
        <v>3508.15</v>
      </c>
      <c r="M75" s="22" t="n">
        <f aca="false">F48+H48+I48+J48+K48+L48+mid*M48</f>
        <v>6644.9175</v>
      </c>
    </row>
    <row r="76" customFormat="false" ht="17.15" hidden="false" customHeight="false" outlineLevel="0" collapsed="false">
      <c r="A76" s="4" t="s">
        <v>896</v>
      </c>
      <c r="B76" s="0" t="s">
        <v>327</v>
      </c>
      <c r="E76" s="19" t="n">
        <f aca="false">mix0_h*dpi_h+mix0_b2*dpi_b2+mix0_b3*dpi_b3</f>
        <v>4.55925816666667</v>
      </c>
    </row>
    <row r="77" customFormat="false" ht="17.15" hidden="false" customHeight="false" outlineLevel="0" collapsed="false">
      <c r="A77" s="4" t="s">
        <v>897</v>
      </c>
      <c r="B77" s="0" t="s">
        <v>77</v>
      </c>
      <c r="F77" s="23" t="n">
        <f aca="false">(da_base-MIN(da_base*cip_it,F75*$E$76/1000))*0.5</f>
        <v>14.208</v>
      </c>
      <c r="G77" s="23" t="n">
        <f aca="false">F77</f>
        <v>14.208</v>
      </c>
      <c r="H77" s="23" t="n">
        <f aca="false">(da_base-MIN(da_base*cip_it,H75*$E$76/1000))*1</f>
        <v>28.416</v>
      </c>
      <c r="I77" s="23" t="n">
        <f aca="false">(da_base-MIN(da_base*cip_it,I75*$E$76/1000))*1</f>
        <v>28.416</v>
      </c>
      <c r="J77" s="23" t="n">
        <f aca="false">(da_base-MIN(da_base*cip_it,J75*$E$76/1000))*1</f>
        <v>26.9645601626417</v>
      </c>
      <c r="K77" s="23" t="n">
        <f aca="false">(da_base-MIN(da_base*cip_it,K75*$E$76/1000))*1</f>
        <v>22.0786311483333</v>
      </c>
      <c r="L77" s="23" t="n">
        <f aca="false">(da_base-MIN(da_base*cip_it,L75*$E$76/1000))*1</f>
        <v>12.4214384626083</v>
      </c>
      <c r="M77" s="23" t="n">
        <f aca="false">(da_base-MIN(da_base*cip_it,M75*$E$76/1000))*1</f>
        <v>11.3664</v>
      </c>
      <c r="N77" s="4" t="s">
        <v>898</v>
      </c>
    </row>
    <row r="79" customFormat="false" ht="17.15" hidden="false" customHeight="false" outlineLevel="0" collapsed="false">
      <c r="A79" s="5" t="s">
        <v>899</v>
      </c>
    </row>
    <row r="80" customFormat="false" ht="17.15" hidden="false" customHeight="false" outlineLevel="0" collapsed="false">
      <c r="A80" s="4" t="s">
        <v>900</v>
      </c>
      <c r="B80" s="0" t="s">
        <v>77</v>
      </c>
      <c r="F80" s="23" t="n">
        <f aca="false">(1-ext_sh)*tpu_adj*((F30*he_h+F31*he_b2+F32*he_b3+F33*he_vr)-(mix0_h*he_h+mix0_b2*he_b2+mix0_b3*he_b3)*mw_tot0)/1000*0.5</f>
        <v>3.96233925965039</v>
      </c>
      <c r="G80" s="23" t="n">
        <f aca="false">F80</f>
        <v>3.96233925965039</v>
      </c>
      <c r="H80" s="23" t="n">
        <f aca="false">(1-ext_sh)*tpu_adj*((H30*he_h+H31*he_b2+H32*he_b3+H33*he_vr)-(mix0_h*he_h+mix0_b2*he_b2+mix0_b3*he_b3)*mw_tot0)/1000*1</f>
        <v>32.673472428289</v>
      </c>
      <c r="I80" s="23" t="n">
        <f aca="false">(1-ext_sh)*tpu_adj*((I30*he_h+I31*he_b2+I32*he_b3+I33*he_vr)-(mix0_h*he_h+mix0_b2*he_b2+mix0_b3*he_b3)*mw_tot0)/1000*1</f>
        <v>67.29646155875</v>
      </c>
      <c r="J80" s="23" t="n">
        <f aca="false">(1-ext_sh)*tpu_adj*((J30*he_h+J31*he_b2+J32*he_b3+J33*he_vr)-(mix0_h*he_h+mix0_b2*he_b2+mix0_b3*he_b3)*mw_tot0)/1000*1</f>
        <v>98.9815856133526</v>
      </c>
      <c r="K80" s="23" t="n">
        <f aca="false">(1-ext_sh)*tpu_adj*((K30*he_h+K31*he_b2+K32*he_b3+K33*he_vr)-(mix0_h*he_h+mix0_b2*he_b2+mix0_b3*he_b3)*mw_tot0)/1000*1</f>
        <v>123.049756568774</v>
      </c>
      <c r="L80" s="23" t="n">
        <f aca="false">(1-ext_sh)*tpu_adj*((L30*he_h+L31*he_b2+L32*he_b3+L33*he_vr)-(mix0_h*he_h+mix0_b2*he_b2+mix0_b3*he_b3)*mw_tot0)/1000*1</f>
        <v>139.834214516804</v>
      </c>
      <c r="M80" s="23" t="n">
        <f aca="false">(1-ext_sh)*tpu_adj*((M30*he_h+M31*he_b2+M32*he_b3+M33*he_vr)-(mix0_h*he_h+mix0_b2*he_b2+mix0_b3*he_b3)*mw_tot0)/1000*1</f>
        <v>149.505253104094</v>
      </c>
      <c r="N80" s="4" t="s">
        <v>901</v>
      </c>
    </row>
    <row r="81" customFormat="false" ht="17.15" hidden="false" customHeight="false" outlineLevel="0" collapsed="false">
      <c r="A81" s="4" t="s">
        <v>892</v>
      </c>
      <c r="B81" s="0" t="s">
        <v>77</v>
      </c>
      <c r="F81" s="23" t="n">
        <f aca="false">F80*svc_sh</f>
        <v>2.37740355579023</v>
      </c>
      <c r="G81" s="23" t="n">
        <f aca="false">G80*svc_sh</f>
        <v>2.37740355579023</v>
      </c>
      <c r="H81" s="23" t="n">
        <f aca="false">H80*svc_sh</f>
        <v>19.6040834569734</v>
      </c>
      <c r="I81" s="23" t="n">
        <f aca="false">I80*svc_sh</f>
        <v>40.37787693525</v>
      </c>
      <c r="J81" s="23" t="n">
        <f aca="false">J80*svc_sh</f>
        <v>59.3889513680115</v>
      </c>
      <c r="K81" s="23" t="n">
        <f aca="false">K80*svc_sh</f>
        <v>73.8298539412645</v>
      </c>
      <c r="L81" s="23" t="n">
        <f aca="false">L80*svc_sh</f>
        <v>83.9005287100826</v>
      </c>
      <c r="M81" s="23" t="n">
        <f aca="false">M80*svc_sh</f>
        <v>89.7031518624566</v>
      </c>
    </row>
    <row r="82" customFormat="false" ht="17.15" hidden="false" customHeight="false" outlineLevel="0" collapsed="false">
      <c r="A82" s="4" t="s">
        <v>902</v>
      </c>
      <c r="B82" s="0" t="s">
        <v>77</v>
      </c>
      <c r="F82" s="23" t="n">
        <f aca="false">F80*(1-svc_sh)</f>
        <v>1.58493570386015</v>
      </c>
      <c r="G82" s="23" t="n">
        <f aca="false">G80*(1-svc_sh)</f>
        <v>1.58493570386015</v>
      </c>
      <c r="H82" s="23" t="n">
        <f aca="false">H80*(1-svc_sh)</f>
        <v>13.0693889713156</v>
      </c>
      <c r="I82" s="23" t="n">
        <f aca="false">I80*(1-svc_sh)</f>
        <v>26.9185846235</v>
      </c>
      <c r="J82" s="23" t="n">
        <f aca="false">J80*(1-svc_sh)</f>
        <v>39.592634245341</v>
      </c>
      <c r="K82" s="23" t="n">
        <f aca="false">K80*(1-svc_sh)</f>
        <v>49.2199026275097</v>
      </c>
      <c r="L82" s="23" t="n">
        <f aca="false">L80*(1-svc_sh)</f>
        <v>55.9336858067217</v>
      </c>
      <c r="M82" s="23" t="n">
        <f aca="false">M80*(1-svc_sh)</f>
        <v>59.8021012416378</v>
      </c>
    </row>
    <row r="83" customFormat="false" ht="17.15" hidden="false" customHeight="false" outlineLevel="0" collapsed="false">
      <c r="A83" s="4" t="s">
        <v>903</v>
      </c>
      <c r="B83" s="0" t="s">
        <v>120</v>
      </c>
      <c r="F83" s="21" t="n">
        <f aca="false">F80/F70</f>
        <v>0.467809256490841</v>
      </c>
      <c r="H83" s="21" t="n">
        <f aca="false">H80/H70</f>
        <v>0.787791911212379</v>
      </c>
      <c r="I83" s="21" t="n">
        <f aca="false">I80/I70</f>
        <v>1.0146509939452</v>
      </c>
      <c r="J83" s="21" t="n">
        <f aca="false">J80/J70</f>
        <v>1.15567490512898</v>
      </c>
      <c r="K83" s="21" t="n">
        <f aca="false">K80/K70</f>
        <v>1.20143790539639</v>
      </c>
      <c r="L83" s="21" t="n">
        <f aca="false">L80/L70</f>
        <v>1.13156533134632</v>
      </c>
      <c r="M83" s="21" t="n">
        <f aca="false">M80/M70</f>
        <v>1.06715823579183</v>
      </c>
      <c r="N83" s="4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905</v>
      </c>
    </row>
    <row r="2" customFormat="false" ht="17.15" hidden="false" customHeight="false" outlineLevel="0" collapsed="false">
      <c r="A2" s="4" t="s">
        <v>906</v>
      </c>
    </row>
    <row r="4" customFormat="false" ht="17.15" hidden="false" customHeight="false" outlineLevel="0" collapsed="false">
      <c r="A4" s="26" t="s">
        <v>907</v>
      </c>
    </row>
    <row r="5" customFormat="false" ht="15" hidden="false" customHeight="false" outlineLevel="0" collapsed="false">
      <c r="A5" s="3" t="s">
        <v>44</v>
      </c>
      <c r="B5" s="3" t="s">
        <v>45</v>
      </c>
      <c r="C5" s="18" t="s">
        <v>829</v>
      </c>
      <c r="D5" s="18" t="s">
        <v>830</v>
      </c>
      <c r="E5" s="18" t="s">
        <v>831</v>
      </c>
      <c r="F5" s="18" t="s">
        <v>832</v>
      </c>
      <c r="G5" s="18" t="s">
        <v>833</v>
      </c>
      <c r="H5" s="18" t="s">
        <v>834</v>
      </c>
      <c r="I5" s="18" t="s">
        <v>835</v>
      </c>
      <c r="J5" s="18" t="s">
        <v>836</v>
      </c>
      <c r="K5" s="18" t="s">
        <v>837</v>
      </c>
      <c r="L5" s="18" t="s">
        <v>838</v>
      </c>
      <c r="M5" s="18" t="s">
        <v>839</v>
      </c>
      <c r="N5" s="3" t="s">
        <v>51</v>
      </c>
    </row>
    <row r="6" customFormat="false" ht="17.15" hidden="false" customHeight="false" outlineLevel="0" collapsed="false">
      <c r="A6" s="0" t="s">
        <v>908</v>
      </c>
      <c r="B6" s="0" t="s">
        <v>100</v>
      </c>
      <c r="F6" s="14" t="n">
        <f aca="false">g0_search</f>
        <v>0.168013211016221</v>
      </c>
      <c r="H6" s="14" t="n">
        <f aca="false">g0_search+(gl_search-g0_search)*MIN(1,(2027-2026)/conv_n)</f>
        <v>0.146009908262166</v>
      </c>
      <c r="I6" s="14" t="n">
        <f aca="false">g0_search+(gl_search-g0_search)*MIN(1,(2028-2026)/conv_n)</f>
        <v>0.124006605508111</v>
      </c>
      <c r="J6" s="14" t="n">
        <f aca="false">g0_search+(gl_search-g0_search)*MIN(1,(2029-2026)/conv_n)</f>
        <v>0.102003302754055</v>
      </c>
      <c r="K6" s="14" t="n">
        <f aca="false">g0_search+(gl_search-g0_search)*MIN(1,(2030-2026)/conv_n)</f>
        <v>0.08</v>
      </c>
      <c r="L6" s="14" t="n">
        <f aca="false">g0_search+(gl_search-g0_search)*MIN(1,(2031-2026)/conv_n)</f>
        <v>0.08</v>
      </c>
      <c r="M6" s="14" t="n">
        <f aca="false">g0_search+(gl_search-g0_search)*MIN(1,(2032-2026)/conv_n)</f>
        <v>0.08</v>
      </c>
      <c r="N6" s="7" t="s">
        <v>909</v>
      </c>
    </row>
    <row r="7" customFormat="false" ht="17.15" hidden="false" customHeight="false" outlineLevel="0" collapsed="false">
      <c r="A7" s="0" t="s">
        <v>910</v>
      </c>
      <c r="B7" s="0" t="s">
        <v>77</v>
      </c>
      <c r="C7" s="23" t="n">
        <f aca="false">Q!J5</f>
        <v>198.084</v>
      </c>
      <c r="D7" s="23" t="n">
        <f aca="false">Q!K5</f>
        <v>224.532</v>
      </c>
      <c r="E7" s="23" t="n">
        <f aca="false">Q!L5</f>
        <v>123.67</v>
      </c>
      <c r="F7" s="23" t="n">
        <f aca="false">(Q!F5+Q!G5)*(1+F6)</f>
        <v>139.741100565981</v>
      </c>
      <c r="G7" s="23" t="n">
        <f aca="false">E7+F7</f>
        <v>263.411100565981</v>
      </c>
      <c r="H7" s="23" t="n">
        <f aca="false">G7*(1+H6)</f>
        <v>301.871731194856</v>
      </c>
      <c r="I7" s="23" t="n">
        <f aca="false">H7*(1+I6)</f>
        <v>339.305819879187</v>
      </c>
      <c r="J7" s="23" t="n">
        <f aca="false">I7*(1+J6)</f>
        <v>373.916134150536</v>
      </c>
      <c r="K7" s="23" t="n">
        <f aca="false">J7*(1+K6)</f>
        <v>403.829424882579</v>
      </c>
      <c r="L7" s="23" t="n">
        <f aca="false">K7*(1+L6)</f>
        <v>436.135778873185</v>
      </c>
      <c r="M7" s="23" t="n">
        <f aca="false">L7*(1+M6)</f>
        <v>471.02664118304</v>
      </c>
    </row>
    <row r="8" customFormat="false" ht="17.15" hidden="false" customHeight="false" outlineLevel="0" collapsed="false">
      <c r="A8" s="4" t="s">
        <v>911</v>
      </c>
      <c r="B8" s="0" t="s">
        <v>120</v>
      </c>
      <c r="F8" s="20" t="n">
        <v>0</v>
      </c>
      <c r="H8" s="21" t="n">
        <f aca="false">MIN(1,(2027-2026)/conv_n)</f>
        <v>0.25</v>
      </c>
      <c r="I8" s="21" t="n">
        <f aca="false">MIN(1,(2028-2026)/conv_n)</f>
        <v>0.5</v>
      </c>
      <c r="J8" s="21" t="n">
        <f aca="false">MIN(1,(2029-2026)/conv_n)</f>
        <v>0.75</v>
      </c>
      <c r="K8" s="21" t="n">
        <f aca="false">MIN(1,(2030-2026)/conv_n)</f>
        <v>1</v>
      </c>
      <c r="L8" s="21" t="n">
        <f aca="false">MIN(1,(2031-2026)/conv_n)</f>
        <v>1</v>
      </c>
      <c r="M8" s="21" t="n">
        <f aca="false">MIN(1,(2032-2026)/conv_n)</f>
        <v>1</v>
      </c>
    </row>
    <row r="9" customFormat="false" ht="17.15" hidden="false" customHeight="false" outlineLevel="0" collapsed="false">
      <c r="A9" s="4" t="s">
        <v>912</v>
      </c>
      <c r="B9" s="0" t="s">
        <v>100</v>
      </c>
      <c r="F9" s="14" t="n">
        <f aca="false">dA*F8</f>
        <v>-0</v>
      </c>
      <c r="H9" s="14" t="n">
        <f aca="false">dA*H8</f>
        <v>-0.0125</v>
      </c>
      <c r="I9" s="14" t="n">
        <f aca="false">dA*I8</f>
        <v>-0.025</v>
      </c>
      <c r="J9" s="14" t="n">
        <f aca="false">dA*J8</f>
        <v>-0.0375</v>
      </c>
      <c r="K9" s="14" t="n">
        <f aca="false">dA*K8</f>
        <v>-0.05</v>
      </c>
      <c r="L9" s="14" t="n">
        <f aca="false">dA*L8</f>
        <v>-0.05</v>
      </c>
      <c r="M9" s="14" t="n">
        <f aca="false">dA*M8</f>
        <v>-0.05</v>
      </c>
      <c r="N9" s="7" t="s">
        <v>913</v>
      </c>
    </row>
    <row r="10" customFormat="false" ht="17.15" hidden="false" customHeight="false" outlineLevel="0" collapsed="false">
      <c r="A10" s="4" t="s">
        <v>914</v>
      </c>
      <c r="B10" s="0" t="s">
        <v>100</v>
      </c>
      <c r="F10" s="14" t="n">
        <f aca="false">mA*F8</f>
        <v>0</v>
      </c>
      <c r="H10" s="14" t="n">
        <f aca="false">mA*H8</f>
        <v>0.025</v>
      </c>
      <c r="I10" s="14" t="n">
        <f aca="false">mA*I8</f>
        <v>0.05</v>
      </c>
      <c r="J10" s="14" t="n">
        <f aca="false">mA*J8</f>
        <v>0.075</v>
      </c>
      <c r="K10" s="14" t="n">
        <f aca="false">mA*K8</f>
        <v>0.1</v>
      </c>
      <c r="L10" s="14" t="n">
        <f aca="false">mA*L8</f>
        <v>0.1</v>
      </c>
      <c r="M10" s="14" t="n">
        <f aca="false">mA*M8</f>
        <v>0.1</v>
      </c>
    </row>
    <row r="11" customFormat="false" ht="15" hidden="false" customHeight="false" outlineLevel="0" collapsed="false">
      <c r="A11" s="5" t="s">
        <v>723</v>
      </c>
      <c r="B11" s="7" t="s">
        <v>77</v>
      </c>
      <c r="C11" s="23" t="n">
        <f aca="false">C7</f>
        <v>198.084</v>
      </c>
      <c r="D11" s="23" t="n">
        <f aca="false">D7</f>
        <v>224.532</v>
      </c>
      <c r="E11" s="23" t="n">
        <f aca="false">E7</f>
        <v>123.67</v>
      </c>
      <c r="F11" s="23" t="n">
        <f aca="false">F7*(1-F9)*(1+F10)</f>
        <v>139.741100565981</v>
      </c>
      <c r="G11" s="23" t="n">
        <f aca="false">E11+F11</f>
        <v>263.411100565981</v>
      </c>
      <c r="H11" s="23" t="n">
        <f aca="false">H7*(1-H9)*(1+H10)</f>
        <v>313.286256030661</v>
      </c>
      <c r="I11" s="23" t="n">
        <f aca="false">I7*(1-I9)*(1+I10)</f>
        <v>365.177888644975</v>
      </c>
      <c r="J11" s="23" t="n">
        <f aca="false">J7*(1-J9)*(1+J10)</f>
        <v>417.03333836977</v>
      </c>
      <c r="K11" s="23" t="n">
        <f aca="false">K7*(1-K9)*(1+K10)</f>
        <v>466.422985739379</v>
      </c>
      <c r="L11" s="23" t="n">
        <f aca="false">L7*(1-L9)*(1+L10)</f>
        <v>503.736824598529</v>
      </c>
      <c r="M11" s="23" t="n">
        <f aca="false">M7*(1-M9)*(1+M10)</f>
        <v>544.035770566412</v>
      </c>
    </row>
    <row r="12" customFormat="false" ht="17.15" hidden="false" customHeight="false" outlineLevel="0" collapsed="false">
      <c r="A12" s="0" t="s">
        <v>915</v>
      </c>
      <c r="B12" s="0" t="s">
        <v>100</v>
      </c>
      <c r="F12" s="14" t="n">
        <f aca="false">g0_yt</f>
        <v>0.117139334155364</v>
      </c>
      <c r="H12" s="14" t="n">
        <f aca="false">g0_yt+(gl_yt-g0_yt)*MIN(1,(2027-2026)/conv_n)</f>
        <v>0.107854500616523</v>
      </c>
      <c r="I12" s="14" t="n">
        <f aca="false">g0_yt+(gl_yt-g0_yt)*MIN(1,(2028-2026)/conv_n)</f>
        <v>0.0985696670776819</v>
      </c>
      <c r="J12" s="14" t="n">
        <f aca="false">g0_yt+(gl_yt-g0_yt)*MIN(1,(2029-2026)/conv_n)</f>
        <v>0.0892848335388409</v>
      </c>
      <c r="K12" s="14" t="n">
        <f aca="false">g0_yt+(gl_yt-g0_yt)*MIN(1,(2030-2026)/conv_n)</f>
        <v>0.08</v>
      </c>
      <c r="L12" s="14" t="n">
        <f aca="false">g0_yt+(gl_yt-g0_yt)*MIN(1,(2031-2026)/conv_n)</f>
        <v>0.08</v>
      </c>
      <c r="M12" s="14" t="n">
        <f aca="false">g0_yt+(gl_yt-g0_yt)*MIN(1,(2032-2026)/conv_n)</f>
        <v>0.08</v>
      </c>
      <c r="N12" s="4" t="s">
        <v>916</v>
      </c>
    </row>
    <row r="13" customFormat="false" ht="15" hidden="false" customHeight="false" outlineLevel="0" collapsed="false">
      <c r="A13" s="5" t="s">
        <v>726</v>
      </c>
      <c r="B13" s="7" t="s">
        <v>77</v>
      </c>
      <c r="C13" s="23" t="n">
        <f aca="false">Q!J6</f>
        <v>36.147</v>
      </c>
      <c r="D13" s="23" t="n">
        <f aca="false">Q!K6</f>
        <v>40.367</v>
      </c>
      <c r="E13" s="23" t="n">
        <f aca="false">Q!L6</f>
        <v>20.938</v>
      </c>
      <c r="F13" s="23" t="n">
        <f aca="false">(Q!F6+Q!G6)*(1+F12)</f>
        <v>24.1793637484587</v>
      </c>
      <c r="G13" s="23" t="n">
        <f aca="false">E13+F13</f>
        <v>45.1173637484587</v>
      </c>
      <c r="H13" s="23" t="n">
        <f aca="false">G13*(1+H12)</f>
        <v>49.9834744846827</v>
      </c>
      <c r="I13" s="23" t="n">
        <f aca="false">H13*(1+I12)</f>
        <v>54.9103289240237</v>
      </c>
      <c r="J13" s="23" t="n">
        <f aca="false">I13*(1+J12)</f>
        <v>59.8129885015682</v>
      </c>
      <c r="K13" s="23" t="n">
        <f aca="false">J13*(1+K12)</f>
        <v>64.5980275816936</v>
      </c>
      <c r="L13" s="23" t="n">
        <f aca="false">K13*(1+L12)</f>
        <v>69.7658697882291</v>
      </c>
      <c r="M13" s="23" t="n">
        <f aca="false">L13*(1+M12)</f>
        <v>75.3471393712874</v>
      </c>
    </row>
    <row r="14" customFormat="false" ht="17.15" hidden="false" customHeight="false" outlineLevel="0" collapsed="false">
      <c r="A14" s="0" t="s">
        <v>917</v>
      </c>
      <c r="B14" s="0" t="s">
        <v>100</v>
      </c>
      <c r="F14" s="14" t="n">
        <f aca="false">g0_net</f>
        <v>-0.0217853347502657</v>
      </c>
      <c r="H14" s="14" t="n">
        <f aca="false">g0_net+(gl_net-g0_net)*MIN(1,(2027-2026)/conv_n)</f>
        <v>-0.0163390010626993</v>
      </c>
      <c r="I14" s="14" t="n">
        <f aca="false">g0_net+(gl_net-g0_net)*MIN(1,(2028-2026)/conv_n)</f>
        <v>-0.0108926673751328</v>
      </c>
      <c r="J14" s="14" t="n">
        <f aca="false">g0_net+(gl_net-g0_net)*MIN(1,(2029-2026)/conv_n)</f>
        <v>-0.00544633368756642</v>
      </c>
      <c r="K14" s="14" t="n">
        <f aca="false">g0_net+(gl_net-g0_net)*MIN(1,(2030-2026)/conv_n)</f>
        <v>0</v>
      </c>
      <c r="L14" s="14" t="n">
        <f aca="false">g0_net+(gl_net-g0_net)*MIN(1,(2031-2026)/conv_n)</f>
        <v>0</v>
      </c>
      <c r="M14" s="14" t="n">
        <f aca="false">g0_net+(gl_net-g0_net)*MIN(1,(2032-2026)/conv_n)</f>
        <v>0</v>
      </c>
      <c r="N14" s="4" t="s">
        <v>916</v>
      </c>
    </row>
    <row r="15" customFormat="false" ht="15" hidden="false" customHeight="false" outlineLevel="0" collapsed="false">
      <c r="A15" s="5" t="s">
        <v>727</v>
      </c>
      <c r="B15" s="7" t="s">
        <v>77</v>
      </c>
      <c r="C15" s="23" t="n">
        <f aca="false">Q!J7</f>
        <v>30.359</v>
      </c>
      <c r="D15" s="23" t="n">
        <f aca="false">Q!K7</f>
        <v>29.792</v>
      </c>
      <c r="E15" s="23" t="n">
        <f aca="false">Q!L7</f>
        <v>14.274</v>
      </c>
      <c r="F15" s="23" t="n">
        <f aca="false">(Q!F7+Q!G7)*(1+F14)</f>
        <v>14.8512550478215</v>
      </c>
      <c r="G15" s="23" t="n">
        <f aca="false">E15+F15</f>
        <v>29.1252550478215</v>
      </c>
      <c r="H15" s="23" t="n">
        <f aca="false">G15*(1+H14)</f>
        <v>28.6493774746437</v>
      </c>
      <c r="I15" s="23" t="n">
        <f aca="false">H15*(1+I14)</f>
        <v>28.3373093353078</v>
      </c>
      <c r="J15" s="23" t="n">
        <f aca="false">I15*(1+J14)</f>
        <v>28.1829748928599</v>
      </c>
      <c r="K15" s="23" t="n">
        <f aca="false">J15*(1+K14)</f>
        <v>28.1829748928599</v>
      </c>
      <c r="L15" s="23" t="n">
        <f aca="false">K15*(1+L14)</f>
        <v>28.1829748928599</v>
      </c>
      <c r="M15" s="23" t="n">
        <f aca="false">L15*(1+M14)</f>
        <v>28.1829748928599</v>
      </c>
    </row>
    <row r="16" customFormat="false" ht="17.15" hidden="false" customHeight="false" outlineLevel="0" collapsed="false">
      <c r="A16" s="0" t="s">
        <v>918</v>
      </c>
      <c r="B16" s="0" t="s">
        <v>100</v>
      </c>
      <c r="F16" s="14" t="n">
        <f aca="false">g0_subs</f>
        <v>0.179435162180028</v>
      </c>
      <c r="H16" s="14" t="n">
        <f aca="false">g0_subs+(gl_subs-g0_subs)*MIN(1,(2027-2026)/conv_n)</f>
        <v>0.159576371635021</v>
      </c>
      <c r="I16" s="14" t="n">
        <f aca="false">g0_subs+(gl_subs-g0_subs)*MIN(1,(2028-2026)/conv_n)</f>
        <v>0.139717581090014</v>
      </c>
      <c r="J16" s="14" t="n">
        <f aca="false">g0_subs+(gl_subs-g0_subs)*MIN(1,(2029-2026)/conv_n)</f>
        <v>0.119858790545007</v>
      </c>
      <c r="K16" s="14" t="n">
        <f aca="false">g0_subs+(gl_subs-g0_subs)*MIN(1,(2030-2026)/conv_n)</f>
        <v>0.1</v>
      </c>
      <c r="L16" s="14" t="n">
        <f aca="false">g0_subs+(gl_subs-g0_subs)*MIN(1,(2031-2026)/conv_n)</f>
        <v>0.1</v>
      </c>
      <c r="M16" s="14" t="n">
        <f aca="false">g0_subs+(gl_subs-g0_subs)*MIN(1,(2032-2026)/conv_n)</f>
        <v>0.1</v>
      </c>
      <c r="N16" s="4" t="s">
        <v>916</v>
      </c>
    </row>
    <row r="17" customFormat="false" ht="15" hidden="false" customHeight="false" outlineLevel="0" collapsed="false">
      <c r="A17" s="5" t="s">
        <v>728</v>
      </c>
      <c r="B17" s="7" t="s">
        <v>77</v>
      </c>
      <c r="C17" s="23" t="n">
        <f aca="false">Q!J8</f>
        <v>40.34</v>
      </c>
      <c r="D17" s="23" t="n">
        <f aca="false">Q!K8</f>
        <v>48.03</v>
      </c>
      <c r="E17" s="23" t="n">
        <f aca="false">Q!L8</f>
        <v>25.295</v>
      </c>
      <c r="F17" s="23" t="n">
        <f aca="false">(Q!F8+Q!G8)*(1+F16)</f>
        <v>31.1937011693374</v>
      </c>
      <c r="G17" s="23" t="n">
        <f aca="false">E17+F17</f>
        <v>56.4887011693374</v>
      </c>
      <c r="H17" s="23" t="n">
        <f aca="false">G17*(1+H16)</f>
        <v>65.5029631403152</v>
      </c>
      <c r="I17" s="23" t="n">
        <f aca="false">H17*(1+I16)</f>
        <v>74.6548787045084</v>
      </c>
      <c r="J17" s="23" t="n">
        <f aca="false">I17*(1+J16)</f>
        <v>83.602922174315</v>
      </c>
      <c r="K17" s="23" t="n">
        <f aca="false">J17*(1+K16)</f>
        <v>91.9632143917465</v>
      </c>
      <c r="L17" s="23" t="n">
        <f aca="false">K17*(1+L16)</f>
        <v>101.159535830921</v>
      </c>
      <c r="M17" s="23" t="n">
        <f aca="false">L17*(1+M16)</f>
        <v>111.275489414013</v>
      </c>
    </row>
    <row r="18" customFormat="false" ht="15" hidden="false" customHeight="false" outlineLevel="0" collapsed="false">
      <c r="A18" s="27" t="s">
        <v>919</v>
      </c>
      <c r="B18" s="28" t="s">
        <v>77</v>
      </c>
      <c r="C18" s="29" t="n">
        <f aca="false">Q!J9</f>
        <v>304.93</v>
      </c>
      <c r="D18" s="29" t="n">
        <f aca="false">Q!K9</f>
        <v>342.721</v>
      </c>
      <c r="E18" s="29" t="n">
        <f aca="false">Q!L9</f>
        <v>184.177</v>
      </c>
      <c r="F18" s="29" t="n">
        <f aca="false">F11+F13+F15+F17</f>
        <v>209.965420531598</v>
      </c>
      <c r="G18" s="29" t="n">
        <f aca="false">E18+F18</f>
        <v>394.142420531598</v>
      </c>
      <c r="H18" s="29" t="n">
        <f aca="false">H11+H13+H15+H17</f>
        <v>457.422071130303</v>
      </c>
      <c r="I18" s="29" t="n">
        <f aca="false">I11+I13+I15+I17</f>
        <v>523.080405608814</v>
      </c>
      <c r="J18" s="29" t="n">
        <f aca="false">J11+J13+J15+J17</f>
        <v>588.632223938513</v>
      </c>
      <c r="K18" s="29" t="n">
        <f aca="false">K11+K13+K15+K17</f>
        <v>651.167202605679</v>
      </c>
      <c r="L18" s="29" t="n">
        <f aca="false">L11+L13+L15+L17</f>
        <v>702.84520511054</v>
      </c>
      <c r="M18" s="29" t="n">
        <f aca="false">M11+M13+M15+M17</f>
        <v>758.841374244572</v>
      </c>
      <c r="N18" s="28"/>
    </row>
    <row r="19" customFormat="false" ht="17.15" hidden="false" customHeight="false" outlineLevel="0" collapsed="false">
      <c r="A19" s="0" t="s">
        <v>920</v>
      </c>
      <c r="B19" s="0" t="s">
        <v>77</v>
      </c>
      <c r="E19" s="23" t="n">
        <f aca="false">Thesis!E38</f>
        <v>9.75837289307536</v>
      </c>
      <c r="F19" s="23" t="n">
        <f aca="false">Thesis!F38</f>
        <v>13.072238179387</v>
      </c>
      <c r="G19" s="23" t="n">
        <f aca="false">Thesis!G38</f>
        <v>22.8306110724624</v>
      </c>
      <c r="H19" s="23" t="n">
        <f aca="false">Thesis!H38</f>
        <v>38.882857987105</v>
      </c>
      <c r="I19" s="23" t="n">
        <f aca="false">Thesis!I38</f>
        <v>56.7035586757632</v>
      </c>
      <c r="J19" s="23" t="n">
        <f aca="false">Thesis!J38</f>
        <v>73.012119150783</v>
      </c>
      <c r="K19" s="23" t="n">
        <f aca="false">Thesis!K38</f>
        <v>85.4001792660974</v>
      </c>
      <c r="L19" s="23" t="n">
        <f aca="false">Thesis!L38</f>
        <v>94.0392600856694</v>
      </c>
      <c r="M19" s="23" t="n">
        <f aca="false">Thesis!M38</f>
        <v>99.0170129701231</v>
      </c>
      <c r="N19" s="7" t="s">
        <v>921</v>
      </c>
    </row>
    <row r="20" customFormat="false" ht="17.15" hidden="false" customHeight="false" outlineLevel="0" collapsed="false">
      <c r="A20" s="0" t="s">
        <v>922</v>
      </c>
      <c r="B20" s="0" t="s">
        <v>77</v>
      </c>
      <c r="E20" s="25" t="n">
        <v>0</v>
      </c>
      <c r="F20" s="23" t="n">
        <f aca="false">tpu_2h</f>
        <v>1</v>
      </c>
      <c r="G20" s="23" t="n">
        <f aca="false">E20+F20</f>
        <v>1</v>
      </c>
      <c r="H20" s="23" t="n">
        <f aca="false">tpu_yr</f>
        <v>13</v>
      </c>
      <c r="I20" s="23" t="n">
        <f aca="false">tpu_yr</f>
        <v>13</v>
      </c>
      <c r="J20" s="23" t="n">
        <f aca="false">tpu_yr</f>
        <v>13</v>
      </c>
      <c r="K20" s="23" t="n">
        <f aca="false">tpu_yr</f>
        <v>13</v>
      </c>
      <c r="L20" s="23" t="n">
        <f aca="false">tpu_yr</f>
        <v>13</v>
      </c>
      <c r="M20" s="23" t="n">
        <f aca="false">tpu_yr</f>
        <v>13</v>
      </c>
      <c r="N20" s="7" t="s">
        <v>923</v>
      </c>
    </row>
    <row r="21" customFormat="false" ht="17.15" hidden="false" customHeight="false" outlineLevel="0" collapsed="false">
      <c r="A21" s="0" t="s">
        <v>924</v>
      </c>
      <c r="B21" s="0" t="s">
        <v>100</v>
      </c>
      <c r="F21" s="14" t="n">
        <f aca="false">g0_co</f>
        <v>0.463122459535209</v>
      </c>
      <c r="H21" s="14" t="n">
        <f aca="false">g0_co+(gl_co-g0_co)*MIN(1,(2027-2026)/conv_n)</f>
        <v>0.367341844651407</v>
      </c>
      <c r="I21" s="14" t="n">
        <f aca="false">g0_co+(gl_co-g0_co)*MIN(1,(2028-2026)/conv_n)</f>
        <v>0.271561229767605</v>
      </c>
      <c r="J21" s="14" t="n">
        <f aca="false">g0_co+(gl_co-g0_co)*MIN(1,(2029-2026)/conv_n)</f>
        <v>0.175780614883802</v>
      </c>
      <c r="K21" s="14" t="n">
        <f aca="false">g0_co+(gl_co-g0_co)*MIN(1,(2030-2026)/conv_n)</f>
        <v>0.08</v>
      </c>
      <c r="L21" s="14" t="n">
        <f aca="false">g0_co+(gl_co-g0_co)*MIN(1,(2031-2026)/conv_n)</f>
        <v>0.08</v>
      </c>
      <c r="M21" s="14" t="n">
        <f aca="false">g0_co+(gl_co-g0_co)*MIN(1,(2032-2026)/conv_n)</f>
        <v>0.08</v>
      </c>
      <c r="N21" s="4" t="s">
        <v>925</v>
      </c>
    </row>
    <row r="22" customFormat="false" ht="17.15" hidden="false" customHeight="false" outlineLevel="0" collapsed="false">
      <c r="A22" s="0" t="s">
        <v>926</v>
      </c>
      <c r="B22" s="0" t="s">
        <v>77</v>
      </c>
      <c r="E22" s="23" t="n">
        <f aca="false">Q!L11-E19-E20</f>
        <v>35.0376271069246</v>
      </c>
      <c r="F22" s="23" t="n">
        <f aca="false">E22*(1+F21)^0.5</f>
        <v>42.3813732550541</v>
      </c>
      <c r="G22" s="23" t="n">
        <f aca="false">E22+F22</f>
        <v>77.4190003619788</v>
      </c>
      <c r="H22" s="23" t="n">
        <f aca="false">G22*(1+H21)</f>
        <v>105.858238766016</v>
      </c>
      <c r="I22" s="23" t="n">
        <f aca="false">H22*(1+I21)</f>
        <v>134.605232266348</v>
      </c>
      <c r="J22" s="23" t="n">
        <f aca="false">I22*(1+J21)</f>
        <v>158.266222760704</v>
      </c>
      <c r="K22" s="23" t="n">
        <f aca="false">J22*(1+K21)</f>
        <v>170.92752058156</v>
      </c>
      <c r="L22" s="23" t="n">
        <f aca="false">K22*(1+L21)</f>
        <v>184.601722228085</v>
      </c>
      <c r="M22" s="23" t="n">
        <f aca="false">L22*(1+M21)</f>
        <v>199.369860006332</v>
      </c>
      <c r="N22" s="7" t="s">
        <v>927</v>
      </c>
    </row>
    <row r="23" customFormat="false" ht="15" hidden="false" customHeight="false" outlineLevel="0" collapsed="false">
      <c r="A23" s="27" t="s">
        <v>928</v>
      </c>
      <c r="B23" s="28" t="s">
        <v>77</v>
      </c>
      <c r="C23" s="29" t="n">
        <f aca="false">Q!J11</f>
        <v>43.229</v>
      </c>
      <c r="D23" s="29" t="n">
        <f aca="false">Q!K11</f>
        <v>58.705</v>
      </c>
      <c r="E23" s="29" t="n">
        <f aca="false">Q!L11</f>
        <v>44.796</v>
      </c>
      <c r="F23" s="29" t="n">
        <f aca="false">F19+F20+F22</f>
        <v>56.4536114344411</v>
      </c>
      <c r="G23" s="29" t="n">
        <f aca="false">E23+F23</f>
        <v>101.249611434441</v>
      </c>
      <c r="H23" s="29" t="n">
        <f aca="false">H19+H20+H22</f>
        <v>157.741096753121</v>
      </c>
      <c r="I23" s="29" t="n">
        <f aca="false">I19+I20+I22</f>
        <v>204.308790942111</v>
      </c>
      <c r="J23" s="29" t="n">
        <f aca="false">J19+J20+J22</f>
        <v>244.278341911487</v>
      </c>
      <c r="K23" s="29" t="n">
        <f aca="false">K19+K20+K22</f>
        <v>269.327699847657</v>
      </c>
      <c r="L23" s="29" t="n">
        <f aca="false">L19+L20+L22</f>
        <v>291.640982313754</v>
      </c>
      <c r="M23" s="29" t="n">
        <f aca="false">M19+M20+M22</f>
        <v>311.386872976455</v>
      </c>
      <c r="N23" s="28"/>
    </row>
    <row r="24" customFormat="false" ht="15" hidden="false" customHeight="false" outlineLevel="0" collapsed="false">
      <c r="A24" s="27" t="s">
        <v>929</v>
      </c>
      <c r="B24" s="28" t="s">
        <v>77</v>
      </c>
      <c r="C24" s="29" t="n">
        <f aca="false">Q!J12</f>
        <v>1.648</v>
      </c>
      <c r="D24" s="29" t="n">
        <f aca="false">Q!K12</f>
        <v>1.537</v>
      </c>
      <c r="E24" s="29" t="n">
        <f aca="false">Q!L12</f>
        <v>0.793</v>
      </c>
      <c r="F24" s="29" t="n">
        <f aca="false">ob_rev_2H</f>
        <v>0.75</v>
      </c>
      <c r="G24" s="29" t="n">
        <f aca="false">E24+F24</f>
        <v>1.543</v>
      </c>
      <c r="H24" s="29" t="n">
        <f aca="false">ob_rev_27</f>
        <v>1.6</v>
      </c>
      <c r="I24" s="29" t="n">
        <f aca="false">ob_rev_28</f>
        <v>1.8</v>
      </c>
      <c r="J24" s="29" t="n">
        <f aca="false">ob_rev_29</f>
        <v>2</v>
      </c>
      <c r="K24" s="29" t="n">
        <f aca="false">ob_rev_30</f>
        <v>2.2</v>
      </c>
      <c r="L24" s="29" t="n">
        <f aca="false">ob_rev_31</f>
        <v>2.4</v>
      </c>
      <c r="M24" s="29" t="n">
        <f aca="false">ob_rev_32</f>
        <v>2.6</v>
      </c>
      <c r="N24" s="28"/>
    </row>
    <row r="25" customFormat="false" ht="17.15" hidden="false" customHeight="false" outlineLevel="0" collapsed="false">
      <c r="A25" s="0" t="s">
        <v>930</v>
      </c>
      <c r="B25" s="0" t="s">
        <v>77</v>
      </c>
      <c r="C25" s="23" t="n">
        <f aca="false">Q!J13</f>
        <v>0.211</v>
      </c>
      <c r="D25" s="23" t="n">
        <f aca="false">Q!K13</f>
        <v>-0.127</v>
      </c>
      <c r="E25" s="23" t="n">
        <f aca="false">Q!L13</f>
        <v>-0.074</v>
      </c>
      <c r="F25" s="25" t="n">
        <v>0</v>
      </c>
      <c r="G25" s="23" t="n">
        <f aca="false">E25+F25</f>
        <v>-0.074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7" t="s">
        <v>931</v>
      </c>
    </row>
    <row r="26" customFormat="false" ht="15" hidden="false" customHeight="false" outlineLevel="0" collapsed="false">
      <c r="A26" s="2" t="s">
        <v>735</v>
      </c>
      <c r="B26" s="7" t="s">
        <v>77</v>
      </c>
      <c r="C26" s="23" t="n">
        <f aca="false">Q!J14</f>
        <v>350.018</v>
      </c>
      <c r="D26" s="23" t="n">
        <f aca="false">Q!K14</f>
        <v>402.836</v>
      </c>
      <c r="E26" s="23" t="n">
        <f aca="false">Q!L14</f>
        <v>229.692</v>
      </c>
      <c r="F26" s="23" t="n">
        <f aca="false">F18+F23+F24+F25</f>
        <v>267.169031966039</v>
      </c>
      <c r="G26" s="23" t="n">
        <f aca="false">E26+F26</f>
        <v>496.861031966039</v>
      </c>
      <c r="H26" s="23" t="n">
        <f aca="false">H18+H23+H24+H25</f>
        <v>616.763167883424</v>
      </c>
      <c r="I26" s="23" t="n">
        <f aca="false">I18+I23+I24+I25</f>
        <v>729.189196550926</v>
      </c>
      <c r="J26" s="23" t="n">
        <f aca="false">J18+J23+J24+J25</f>
        <v>834.91056585</v>
      </c>
      <c r="K26" s="23" t="n">
        <f aca="false">K18+K23+K24+K25</f>
        <v>922.694902453337</v>
      </c>
      <c r="L26" s="23" t="n">
        <f aca="false">L18+L23+L24+L25</f>
        <v>996.886187424294</v>
      </c>
      <c r="M26" s="23" t="n">
        <f aca="false">M18+M23+M24+M25</f>
        <v>1072.82824722103</v>
      </c>
    </row>
    <row r="27" customFormat="false" ht="17.15" hidden="false" customHeight="false" outlineLevel="0" collapsed="false">
      <c r="A27" s="4" t="s">
        <v>730</v>
      </c>
      <c r="B27" s="0" t="s">
        <v>77</v>
      </c>
      <c r="C27" s="19" t="n">
        <f aca="false">C11+C13+C15+C17-C18</f>
        <v>0</v>
      </c>
      <c r="D27" s="19" t="n">
        <f aca="false">D11+D13+D15+D17-D18</f>
        <v>0</v>
      </c>
      <c r="E27" s="19" t="n">
        <f aca="false">E11+E13+E15+E17-E18</f>
        <v>0</v>
      </c>
      <c r="F27" s="19" t="n">
        <f aca="false">F11+F13+F15+F17-F18</f>
        <v>0</v>
      </c>
      <c r="G27" s="19" t="n">
        <f aca="false">G11+G13+G15+G17-G18</f>
        <v>0</v>
      </c>
      <c r="H27" s="19" t="n">
        <f aca="false">H11+H13+H15+H17-H18</f>
        <v>0</v>
      </c>
      <c r="I27" s="19" t="n">
        <f aca="false">I11+I13+I15+I17-I18</f>
        <v>0</v>
      </c>
      <c r="J27" s="19" t="n">
        <f aca="false">J11+J13+J15+J17-J18</f>
        <v>0</v>
      </c>
      <c r="K27" s="19" t="n">
        <f aca="false">K11+K13+K15+K17-K18</f>
        <v>0</v>
      </c>
      <c r="L27" s="19" t="n">
        <f aca="false">L11+L13+L15+L17-L18</f>
        <v>0</v>
      </c>
      <c r="M27" s="19" t="n">
        <f aca="false">M11+M13+M15+M17-M18</f>
        <v>0</v>
      </c>
    </row>
    <row r="28" customFormat="false" ht="17.15" hidden="false" customHeight="false" outlineLevel="0" collapsed="false">
      <c r="A28" s="4" t="s">
        <v>932</v>
      </c>
      <c r="B28" s="0" t="s">
        <v>77</v>
      </c>
      <c r="E28" s="19" t="n">
        <f aca="false">E19+E20+E22-E23</f>
        <v>0</v>
      </c>
      <c r="F28" s="19" t="n">
        <f aca="false">F19+F20+F22-F23</f>
        <v>0</v>
      </c>
      <c r="G28" s="19" t="n">
        <f aca="false">G19+G20+G22-G23</f>
        <v>0</v>
      </c>
      <c r="H28" s="19" t="n">
        <f aca="false">H19+H20+H22-H23</f>
        <v>0</v>
      </c>
      <c r="I28" s="19" t="n">
        <f aca="false">I19+I20+I22-I23</f>
        <v>0</v>
      </c>
      <c r="J28" s="19" t="n">
        <f aca="false">J19+J20+J22-J23</f>
        <v>0</v>
      </c>
      <c r="K28" s="19" t="n">
        <f aca="false">K19+K20+K22-K23</f>
        <v>0</v>
      </c>
      <c r="L28" s="19" t="n">
        <f aca="false">L19+L20+L22-L23</f>
        <v>0</v>
      </c>
      <c r="M28" s="19" t="n">
        <f aca="false">M19+M20+M22-M23</f>
        <v>0</v>
      </c>
    </row>
    <row r="29" customFormat="false" ht="15" hidden="false" customHeight="false" outlineLevel="0" collapsed="false">
      <c r="A29" s="4" t="s">
        <v>736</v>
      </c>
      <c r="B29" s="0" t="s">
        <v>77</v>
      </c>
      <c r="C29" s="19" t="n">
        <f aca="false">C18+C23+C24+C25-C26</f>
        <v>0</v>
      </c>
      <c r="D29" s="19" t="n">
        <f aca="false">D18+D23+D24+D25-D26</f>
        <v>0</v>
      </c>
      <c r="E29" s="19" t="n">
        <f aca="false">E18+E23+E24+E25-E26</f>
        <v>0</v>
      </c>
      <c r="F29" s="19" t="n">
        <f aca="false">F18+F23+F24+F25-F26</f>
        <v>0</v>
      </c>
      <c r="G29" s="19" t="n">
        <f aca="false">G18+G23+G24+G25-G26</f>
        <v>0</v>
      </c>
      <c r="H29" s="19" t="n">
        <f aca="false">H18+H23+H24+H25-H26</f>
        <v>0</v>
      </c>
      <c r="I29" s="19" t="n">
        <f aca="false">I18+I23+I24+I25-I26</f>
        <v>0</v>
      </c>
      <c r="J29" s="19" t="n">
        <f aca="false">J18+J23+J24+J25-J26</f>
        <v>0</v>
      </c>
      <c r="K29" s="19" t="n">
        <f aca="false">K18+K23+K24+K25-K26</f>
        <v>0</v>
      </c>
      <c r="L29" s="19" t="n">
        <f aca="false">L18+L23+L24+L25-L26</f>
        <v>0</v>
      </c>
      <c r="M29" s="19" t="n">
        <f aca="false">M18+M23+M24+M25-M26</f>
        <v>0</v>
      </c>
    </row>
    <row r="30" customFormat="false" ht="17.15" hidden="false" customHeight="false" outlineLevel="0" collapsed="false">
      <c r="A30" s="4" t="s">
        <v>933</v>
      </c>
      <c r="B30" s="0" t="s">
        <v>77</v>
      </c>
      <c r="C30" s="19" t="n">
        <f aca="false">C26-Q!J14</f>
        <v>0</v>
      </c>
      <c r="D30" s="19" t="n">
        <f aca="false">D26-Q!K14</f>
        <v>0</v>
      </c>
      <c r="E30" s="19" t="n">
        <f aca="false">E26-Q!L14</f>
        <v>0</v>
      </c>
    </row>
    <row r="31" customFormat="false" ht="17.15" hidden="false" customHeight="false" outlineLevel="0" collapsed="false">
      <c r="A31" s="4" t="s">
        <v>934</v>
      </c>
      <c r="B31" s="0" t="s">
        <v>77</v>
      </c>
      <c r="F31" s="23" t="n">
        <f aca="false">F18*cx_svc</f>
        <v>12.5979252318959</v>
      </c>
      <c r="G31" s="23" t="n">
        <f aca="false">F31</f>
        <v>12.5979252318959</v>
      </c>
      <c r="H31" s="23" t="n">
        <f aca="false">H18*cx_svc</f>
        <v>27.4453242678182</v>
      </c>
      <c r="I31" s="23" t="n">
        <f aca="false">I18*cx_svc</f>
        <v>31.3848243365289</v>
      </c>
      <c r="J31" s="23" t="n">
        <f aca="false">J18*cx_svc</f>
        <v>35.3179334363108</v>
      </c>
      <c r="K31" s="23" t="n">
        <f aca="false">K18*cx_svc</f>
        <v>39.0700321563407</v>
      </c>
      <c r="L31" s="23" t="n">
        <f aca="false">L18*cx_svc</f>
        <v>42.1707123066324</v>
      </c>
      <c r="M31" s="23" t="n">
        <f aca="false">M18*cx_svc</f>
        <v>45.5304824546743</v>
      </c>
    </row>
    <row r="32" customFormat="false" ht="17.15" hidden="false" customHeight="false" outlineLevel="0" collapsed="false">
      <c r="A32" s="4" t="s">
        <v>935</v>
      </c>
      <c r="B32" s="0" t="s">
        <v>77</v>
      </c>
      <c r="F32" s="23" t="n">
        <f aca="false">F22*cx_co</f>
        <v>8.47627465101083</v>
      </c>
      <c r="G32" s="23" t="n">
        <f aca="false">F32</f>
        <v>8.47627465101083</v>
      </c>
      <c r="H32" s="23" t="n">
        <f aca="false">H22*cx_co</f>
        <v>21.1716477532032</v>
      </c>
      <c r="I32" s="23" t="n">
        <f aca="false">I22*cx_co</f>
        <v>26.9210464532696</v>
      </c>
      <c r="J32" s="23" t="n">
        <f aca="false">J22*cx_co</f>
        <v>31.6532445521407</v>
      </c>
      <c r="K32" s="23" t="n">
        <f aca="false">K22*cx_co</f>
        <v>34.185504116312</v>
      </c>
      <c r="L32" s="23" t="n">
        <f aca="false">L22*cx_co</f>
        <v>36.920344445617</v>
      </c>
      <c r="M32" s="23" t="n">
        <f aca="false">M22*cx_co</f>
        <v>39.8739720012663</v>
      </c>
    </row>
    <row r="33" customFormat="false" ht="17.15" hidden="false" customHeight="false" outlineLevel="0" collapsed="false">
      <c r="A33" s="4" t="s">
        <v>936</v>
      </c>
      <c r="B33" s="0" t="s">
        <v>77</v>
      </c>
      <c r="F33" s="23" t="n">
        <f aca="false">F24*cx_ob</f>
        <v>0.045</v>
      </c>
      <c r="G33" s="23" t="n">
        <f aca="false">F33</f>
        <v>0.045</v>
      </c>
      <c r="H33" s="23" t="n">
        <f aca="false">H24*cx_ob</f>
        <v>0.096</v>
      </c>
      <c r="I33" s="23" t="n">
        <f aca="false">I24*cx_ob</f>
        <v>0.108</v>
      </c>
      <c r="J33" s="23" t="n">
        <f aca="false">J24*cx_ob</f>
        <v>0.12</v>
      </c>
      <c r="K33" s="23" t="n">
        <f aca="false">K24*cx_ob</f>
        <v>0.132</v>
      </c>
      <c r="L33" s="23" t="n">
        <f aca="false">L24*cx_ob</f>
        <v>0.144</v>
      </c>
      <c r="M33" s="23" t="n">
        <f aca="false">M24*cx_ob</f>
        <v>0.156</v>
      </c>
    </row>
    <row r="34" customFormat="false" ht="17.15" hidden="false" customHeight="false" outlineLevel="0" collapsed="false">
      <c r="A34" s="2" t="s">
        <v>937</v>
      </c>
      <c r="B34" s="7" t="s">
        <v>77</v>
      </c>
      <c r="F34" s="23" t="n">
        <f aca="false">F31+F32+F33</f>
        <v>21.1191998829067</v>
      </c>
      <c r="G34" s="23" t="n">
        <f aca="false">G31+G32+G33</f>
        <v>21.1191998829067</v>
      </c>
      <c r="H34" s="23" t="n">
        <f aca="false">H31+H32+H33</f>
        <v>48.7129720210214</v>
      </c>
      <c r="I34" s="23" t="n">
        <f aca="false">I31+I32+I33</f>
        <v>58.4138707897985</v>
      </c>
      <c r="J34" s="23" t="n">
        <f aca="false">J31+J32+J33</f>
        <v>67.0911779884515</v>
      </c>
      <c r="K34" s="23" t="n">
        <f aca="false">K31+K32+K33</f>
        <v>73.3875362726527</v>
      </c>
      <c r="L34" s="23" t="n">
        <f aca="false">L31+L32+L33</f>
        <v>79.2350567522493</v>
      </c>
      <c r="M34" s="23" t="n">
        <f aca="false">M31+M32+M33</f>
        <v>85.5604544559407</v>
      </c>
    </row>
    <row r="35" customFormat="false" ht="17.15" hidden="false" customHeight="false" outlineLevel="0" collapsed="false">
      <c r="A35" s="4" t="s">
        <v>938</v>
      </c>
      <c r="B35" s="0" t="s">
        <v>77</v>
      </c>
      <c r="F35" s="23" t="n">
        <f aca="false">$F$31/life_na*IF(0=0,phi_0,IF(0&lt;life_na,1,IF(0=life_na,1-phi_0,0)))</f>
        <v>0.314948130797397</v>
      </c>
      <c r="G35" s="23" t="n">
        <f aca="false">F35</f>
        <v>0.314948130797397</v>
      </c>
      <c r="H35" s="23" t="n">
        <f aca="false">$F$31/life_na*IF(1=0,phi_0,IF(1&lt;life_na,1,IF(1=life_na,1-phi_0,0)))+$H$31/life_na*IF(0=0,phi_0,IF(0&lt;life_na,1,IF(0=life_na,1-phi_0,0)))</f>
        <v>1.94592562988504</v>
      </c>
      <c r="I35" s="23" t="n">
        <f aca="false">$F$31/life_na*IF(2=0,phi_0,IF(2&lt;life_na,1,IF(2=life_na,1-phi_0,0)))+$H$31/life_na*IF(1=0,phi_0,IF(1&lt;life_na,1,IF(1=life_na,1-phi_0,0)))+$I$31/life_na*IF(0=0,phi_0,IF(0&lt;life_na,1,IF(0=life_na,1-phi_0,0)))</f>
        <v>4.78894555838463</v>
      </c>
      <c r="J35" s="23" t="n">
        <f aca="false">$F$31/life_na*IF(3=0,phi_0,IF(3&lt;life_na,1,IF(3=life_na,1-phi_0,0)))+$H$31/life_na*IF(2=0,phi_0,IF(2&lt;life_na,1,IF(2=life_na,1-phi_0,0)))+$I$31/life_na*IF(1=0,phi_0,IF(1&lt;life_na,1,IF(1=life_na,1-phi_0,0)))+$J$31/life_na*IF(0=0,phi_0,IF(0&lt;life_na,1,IF(0=life_na,1-phi_0,0)))</f>
        <v>8.02575571953206</v>
      </c>
      <c r="K35" s="23" t="n">
        <f aca="false">$F$31/life_na*IF(4=0,phi_0,IF(4&lt;life_na,1,IF(4=life_na,1-phi_0,0)))+$H$31/life_na*IF(3=0,phi_0,IF(3&lt;life_na,1,IF(3=life_na,1-phi_0,0)))+$I$31/life_na*IF(2=0,phi_0,IF(2&lt;life_na,1,IF(2=life_na,1-phi_0,0)))+$J$31/life_na*IF(1=0,phi_0,IF(1&lt;life_na,1,IF(1=life_na,1-phi_0,0)))+$K$31/life_na*IF(0=0,phi_0,IF(0&lt;life_na,1,IF(0=life_na,1-phi_0,0)))</f>
        <v>11.6513515311639</v>
      </c>
      <c r="L35" s="23" t="n">
        <f aca="false">$F$31/life_na*IF(5=0,phi_0,IF(5&lt;life_na,1,IF(5=life_na,1-phi_0,0)))+$H$31/life_na*IF(4=0,phi_0,IF(4&lt;life_na,1,IF(4=life_na,1-phi_0,0)))+$I$31/life_na*IF(3=0,phi_0,IF(3&lt;life_na,1,IF(3=life_na,1-phi_0,0)))+$J$31/life_na*IF(2=0,phi_0,IF(2&lt;life_na,1,IF(2=life_na,1-phi_0,0)))+$K$31/life_na*IF(1=0,phi_0,IF(1&lt;life_na,1,IF(1=life_na,1-phi_0,0)))+$L$31/life_na*IF(0=0,phi_0,IF(0&lt;life_na,1,IF(0=life_na,1-phi_0,0)))</f>
        <v>15.6358717505553</v>
      </c>
      <c r="M35" s="23" t="n">
        <f aca="false">$F$31/life_na*IF(6=0,phi_0,IF(6&lt;life_na,1,IF(6=life_na,1-phi_0,0)))+$H$31/life_na*IF(5=0,phi_0,IF(5&lt;life_na,1,IF(5=life_na,1-phi_0,0)))+$I$31/life_na*IF(4=0,phi_0,IF(4&lt;life_na,1,IF(4=life_na,1-phi_0,0)))+$J$31/life_na*IF(3=0,phi_0,IF(3&lt;life_na,1,IF(3=life_na,1-phi_0,0)))+$K$31/life_na*IF(2=0,phi_0,IF(2&lt;life_na,1,IF(2=life_na,1-phi_0,0)))+$L$31/life_na*IF(1=0,phi_0,IF(1&lt;life_na,1,IF(1=life_na,1-phi_0,0)))+$M$31/life_na*IF(0=0,phi_0,IF(0&lt;life_na,1,IF(0=life_na,1-phi_0,0)))</f>
        <v>19.9369372349195</v>
      </c>
    </row>
    <row r="36" customFormat="false" ht="17.15" hidden="false" customHeight="false" outlineLevel="0" collapsed="false">
      <c r="A36" s="4" t="s">
        <v>939</v>
      </c>
      <c r="B36" s="0" t="s">
        <v>77</v>
      </c>
      <c r="F36" s="23" t="n">
        <f aca="false">$F$32/life_na*IF(0=0,phi_0,IF(0&lt;life_na,1,IF(0=life_na,1-phi_0,0)))</f>
        <v>0.211906866275271</v>
      </c>
      <c r="G36" s="23" t="n">
        <f aca="false">F36</f>
        <v>0.211906866275271</v>
      </c>
      <c r="H36" s="23" t="n">
        <f aca="false">$F$32/life_na*IF(1=0,phi_0,IF(1&lt;life_na,1,IF(1=life_na,1-phi_0,0)))+$H$32/life_na*IF(0=0,phi_0,IF(0&lt;life_na,1,IF(0=life_na,1-phi_0,0)))</f>
        <v>1.37691865893116</v>
      </c>
      <c r="I36" s="23" t="n">
        <f aca="false">$F$32/life_na*IF(2=0,phi_0,IF(2&lt;life_na,1,IF(2=life_na,1-phi_0,0)))+$H$32/life_na*IF(1=0,phi_0,IF(1&lt;life_na,1,IF(1=life_na,1-phi_0,0)))+$I$32/life_na*IF(0=0,phi_0,IF(0&lt;life_na,1,IF(0=life_na,1-phi_0,0)))</f>
        <v>3.63781840175314</v>
      </c>
      <c r="J36" s="23" t="n">
        <f aca="false">$F$32/life_na*IF(3=0,phi_0,IF(3&lt;life_na,1,IF(3=life_na,1-phi_0,0)))+$H$32/life_na*IF(2=0,phi_0,IF(2&lt;life_na,1,IF(2=life_na,1-phi_0,0)))+$I$32/life_na*IF(1=0,phi_0,IF(1&lt;life_na,1,IF(1=life_na,1-phi_0,0)))+$J$32/life_na*IF(0=0,phi_0,IF(0&lt;life_na,1,IF(0=life_na,1-phi_0,0)))</f>
        <v>6.44822799955188</v>
      </c>
      <c r="K36" s="23" t="n">
        <f aca="false">$F$32/life_na*IF(4=0,phi_0,IF(4&lt;life_na,1,IF(4=life_na,1-phi_0,0)))+$H$32/life_na*IF(3=0,phi_0,IF(3&lt;life_na,1,IF(3=life_na,1-phi_0,0)))+$I$32/life_na*IF(2=0,phi_0,IF(2&lt;life_na,1,IF(2=life_na,1-phi_0,0)))+$J$32/life_na*IF(1=0,phi_0,IF(1&lt;life_na,1,IF(1=life_na,1-phi_0,0)))+$K$32/life_na*IF(0=0,phi_0,IF(0&lt;life_na,1,IF(0=life_na,1-phi_0,0)))</f>
        <v>9.67685894387024</v>
      </c>
      <c r="L36" s="23" t="n">
        <f aca="false">$F$32/life_na*IF(5=0,phi_0,IF(5&lt;life_na,1,IF(5=life_na,1-phi_0,0)))+$H$32/life_na*IF(4=0,phi_0,IF(4&lt;life_na,1,IF(4=life_na,1-phi_0,0)))+$I$32/life_na*IF(3=0,phi_0,IF(3&lt;life_na,1,IF(3=life_na,1-phi_0,0)))+$J$32/life_na*IF(2=0,phi_0,IF(2&lt;life_na,1,IF(2=life_na,1-phi_0,0)))+$K$32/life_na*IF(1=0,phi_0,IF(1&lt;life_na,1,IF(1=life_na,1-phi_0,0)))+$L$32/life_na*IF(0=0,phi_0,IF(0&lt;life_na,1,IF(0=life_na,1-phi_0,0)))</f>
        <v>13.1637803637341</v>
      </c>
      <c r="M36" s="23" t="n">
        <f aca="false">$F$32/life_na*IF(6=0,phi_0,IF(6&lt;life_na,1,IF(6=life_na,1-phi_0,0)))+$H$32/life_na*IF(5=0,phi_0,IF(5&lt;life_na,1,IF(5=life_na,1-phi_0,0)))+$I$32/life_na*IF(4=0,phi_0,IF(4&lt;life_na,1,IF(4=life_na,1-phi_0,0)))+$J$32/life_na*IF(3=0,phi_0,IF(3&lt;life_na,1,IF(3=life_na,1-phi_0,0)))+$K$32/life_na*IF(2=0,phi_0,IF(2&lt;life_na,1,IF(2=life_na,1-phi_0,0)))+$L$32/life_na*IF(1=0,phi_0,IF(1&lt;life_na,1,IF(1=life_na,1-phi_0,0)))+$M$32/life_na*IF(0=0,phi_0,IF(0&lt;life_na,1,IF(0=life_na,1-phi_0,0)))</f>
        <v>16.929655497187</v>
      </c>
    </row>
    <row r="37" customFormat="false" ht="17.15" hidden="false" customHeight="false" outlineLevel="0" collapsed="false">
      <c r="A37" s="4" t="s">
        <v>940</v>
      </c>
      <c r="B37" s="0" t="s">
        <v>77</v>
      </c>
      <c r="F37" s="23" t="n">
        <f aca="false">$F$33/life_na*IF(0=0,phi_0,IF(0&lt;life_na,1,IF(0=life_na,1-phi_0,0)))</f>
        <v>0.001125</v>
      </c>
      <c r="G37" s="23" t="n">
        <f aca="false">F37</f>
        <v>0.001125</v>
      </c>
      <c r="H37" s="23" t="n">
        <f aca="false">$F$33/life_na*IF(1=0,phi_0,IF(1&lt;life_na,1,IF(1=life_na,1-phi_0,0)))+$H$33/life_na*IF(0=0,phi_0,IF(0&lt;life_na,1,IF(0=life_na,1-phi_0,0)))</f>
        <v>0.0069</v>
      </c>
      <c r="I37" s="23" t="n">
        <f aca="false">$F$33/life_na*IF(2=0,phi_0,IF(2&lt;life_na,1,IF(2=life_na,1-phi_0,0)))+$H$33/life_na*IF(1=0,phi_0,IF(1&lt;life_na,1,IF(1=life_na,1-phi_0,0)))+$I$33/life_na*IF(0=0,phi_0,IF(0&lt;life_na,1,IF(0=life_na,1-phi_0,0)))</f>
        <v>0.0168</v>
      </c>
      <c r="J37" s="23" t="n">
        <f aca="false">$F$33/life_na*IF(3=0,phi_0,IF(3&lt;life_na,1,IF(3=life_na,1-phi_0,0)))+$H$33/life_na*IF(2=0,phi_0,IF(2&lt;life_na,1,IF(2=life_na,1-phi_0,0)))+$I$33/life_na*IF(1=0,phi_0,IF(1&lt;life_na,1,IF(1=life_na,1-phi_0,0)))+$J$33/life_na*IF(0=0,phi_0,IF(0&lt;life_na,1,IF(0=life_na,1-phi_0,0)))</f>
        <v>0.0279</v>
      </c>
      <c r="K37" s="23" t="n">
        <f aca="false">$F$33/life_na*IF(4=0,phi_0,IF(4&lt;life_na,1,IF(4=life_na,1-phi_0,0)))+$H$33/life_na*IF(3=0,phi_0,IF(3&lt;life_na,1,IF(3=life_na,1-phi_0,0)))+$I$33/life_na*IF(2=0,phi_0,IF(2&lt;life_na,1,IF(2=life_na,1-phi_0,0)))+$J$33/life_na*IF(1=0,phi_0,IF(1&lt;life_na,1,IF(1=life_na,1-phi_0,0)))+$K$33/life_na*IF(0=0,phi_0,IF(0&lt;life_na,1,IF(0=life_na,1-phi_0,0)))</f>
        <v>0.0402</v>
      </c>
      <c r="L37" s="23" t="n">
        <f aca="false">$F$33/life_na*IF(5=0,phi_0,IF(5&lt;life_na,1,IF(5=life_na,1-phi_0,0)))+$H$33/life_na*IF(4=0,phi_0,IF(4&lt;life_na,1,IF(4=life_na,1-phi_0,0)))+$I$33/life_na*IF(3=0,phi_0,IF(3&lt;life_na,1,IF(3=life_na,1-phi_0,0)))+$J$33/life_na*IF(2=0,phi_0,IF(2&lt;life_na,1,IF(2=life_na,1-phi_0,0)))+$K$33/life_na*IF(1=0,phi_0,IF(1&lt;life_na,1,IF(1=life_na,1-phi_0,0)))+$L$33/life_na*IF(0=0,phi_0,IF(0&lt;life_na,1,IF(0=life_na,1-phi_0,0)))</f>
        <v>0.0537</v>
      </c>
      <c r="M37" s="23" t="n">
        <f aca="false">$F$33/life_na*IF(6=0,phi_0,IF(6&lt;life_na,1,IF(6=life_na,1-phi_0,0)))+$H$33/life_na*IF(5=0,phi_0,IF(5&lt;life_na,1,IF(5=life_na,1-phi_0,0)))+$I$33/life_na*IF(4=0,phi_0,IF(4&lt;life_na,1,IF(4=life_na,1-phi_0,0)))+$J$33/life_na*IF(3=0,phi_0,IF(3&lt;life_na,1,IF(3=life_na,1-phi_0,0)))+$K$33/life_na*IF(2=0,phi_0,IF(2&lt;life_na,1,IF(2=life_na,1-phi_0,0)))+$L$33/life_na*IF(1=0,phi_0,IF(1&lt;life_na,1,IF(1=life_na,1-phi_0,0)))+$M$33/life_na*IF(0=0,phi_0,IF(0&lt;life_na,1,IF(0=life_na,1-phi_0,0)))</f>
        <v>0.0684</v>
      </c>
    </row>
    <row r="38" customFormat="false" ht="17.15" hidden="false" customHeight="false" outlineLevel="0" collapsed="false">
      <c r="A38" s="2" t="s">
        <v>941</v>
      </c>
      <c r="B38" s="7" t="s">
        <v>77</v>
      </c>
      <c r="F38" s="23" t="n">
        <f aca="false">F35+F36+F37</f>
        <v>0.527979997072668</v>
      </c>
      <c r="G38" s="23" t="n">
        <f aca="false">G35+G36+G37</f>
        <v>0.527979997072668</v>
      </c>
      <c r="H38" s="23" t="n">
        <f aca="false">H35+H36+H37</f>
        <v>3.32974428881621</v>
      </c>
      <c r="I38" s="23" t="n">
        <f aca="false">I35+I36+I37</f>
        <v>8.44356396013777</v>
      </c>
      <c r="J38" s="23" t="n">
        <f aca="false">J35+J36+J37</f>
        <v>14.5018837190839</v>
      </c>
      <c r="K38" s="23" t="n">
        <f aca="false">K35+K36+K37</f>
        <v>21.3684104750341</v>
      </c>
      <c r="L38" s="23" t="n">
        <f aca="false">L35+L36+L37</f>
        <v>28.8533521142893</v>
      </c>
      <c r="M38" s="23" t="n">
        <f aca="false">M35+M36+M37</f>
        <v>36.9349927321065</v>
      </c>
    </row>
    <row r="40" customFormat="false" ht="17.15" hidden="false" customHeight="false" outlineLevel="0" collapsed="false">
      <c r="A40" s="26" t="s">
        <v>942</v>
      </c>
    </row>
    <row r="41" customFormat="false" ht="15" hidden="false" customHeight="false" outlineLevel="0" collapsed="false">
      <c r="A41" s="3" t="s">
        <v>44</v>
      </c>
      <c r="B41" s="3" t="s">
        <v>45</v>
      </c>
      <c r="C41" s="18" t="s">
        <v>829</v>
      </c>
      <c r="D41" s="18" t="s">
        <v>830</v>
      </c>
      <c r="E41" s="18" t="s">
        <v>831</v>
      </c>
      <c r="F41" s="18" t="s">
        <v>832</v>
      </c>
      <c r="G41" s="18" t="s">
        <v>833</v>
      </c>
      <c r="H41" s="18" t="s">
        <v>834</v>
      </c>
      <c r="I41" s="18" t="s">
        <v>835</v>
      </c>
      <c r="J41" s="18" t="s">
        <v>836</v>
      </c>
      <c r="K41" s="18" t="s">
        <v>837</v>
      </c>
      <c r="L41" s="18" t="s">
        <v>838</v>
      </c>
      <c r="M41" s="18" t="s">
        <v>839</v>
      </c>
      <c r="N41" s="3" t="s">
        <v>51</v>
      </c>
    </row>
    <row r="42" customFormat="false" ht="17.15" hidden="false" customHeight="false" outlineLevel="0" collapsed="false">
      <c r="A42" s="0" t="s">
        <v>908</v>
      </c>
      <c r="B42" s="0" t="s">
        <v>100</v>
      </c>
      <c r="F42" s="14" t="n">
        <f aca="false">g0_search</f>
        <v>0.168013211016221</v>
      </c>
      <c r="H42" s="14" t="n">
        <f aca="false">g0_search+(gl_search-g0_search)*MIN(1,(2027-2026)/conv_n)</f>
        <v>0.146009908262166</v>
      </c>
      <c r="I42" s="14" t="n">
        <f aca="false">g0_search+(gl_search-g0_search)*MIN(1,(2028-2026)/conv_n)</f>
        <v>0.124006605508111</v>
      </c>
      <c r="J42" s="14" t="n">
        <f aca="false">g0_search+(gl_search-g0_search)*MIN(1,(2029-2026)/conv_n)</f>
        <v>0.102003302754055</v>
      </c>
      <c r="K42" s="14" t="n">
        <f aca="false">g0_search+(gl_search-g0_search)*MIN(1,(2030-2026)/conv_n)</f>
        <v>0.08</v>
      </c>
      <c r="L42" s="14" t="n">
        <f aca="false">g0_search+(gl_search-g0_search)*MIN(1,(2031-2026)/conv_n)</f>
        <v>0.08</v>
      </c>
      <c r="M42" s="14" t="n">
        <f aca="false">g0_search+(gl_search-g0_search)*MIN(1,(2032-2026)/conv_n)</f>
        <v>0.08</v>
      </c>
      <c r="N42" s="7" t="s">
        <v>909</v>
      </c>
    </row>
    <row r="43" customFormat="false" ht="17.15" hidden="false" customHeight="false" outlineLevel="0" collapsed="false">
      <c r="A43" s="0" t="s">
        <v>910</v>
      </c>
      <c r="B43" s="0" t="s">
        <v>77</v>
      </c>
      <c r="C43" s="23" t="n">
        <f aca="false">Q!J5</f>
        <v>198.084</v>
      </c>
      <c r="D43" s="23" t="n">
        <f aca="false">Q!K5</f>
        <v>224.532</v>
      </c>
      <c r="E43" s="23" t="n">
        <f aca="false">Q!L5</f>
        <v>123.67</v>
      </c>
      <c r="F43" s="23" t="n">
        <f aca="false">(Q!F5+Q!G5)*(1+F42)</f>
        <v>139.741100565981</v>
      </c>
      <c r="G43" s="23" t="n">
        <f aca="false">E43+F43</f>
        <v>263.411100565981</v>
      </c>
      <c r="H43" s="23" t="n">
        <f aca="false">G43*(1+H42)</f>
        <v>301.871731194856</v>
      </c>
      <c r="I43" s="23" t="n">
        <f aca="false">H43*(1+I42)</f>
        <v>339.305819879187</v>
      </c>
      <c r="J43" s="23" t="n">
        <f aca="false">I43*(1+J42)</f>
        <v>373.916134150536</v>
      </c>
      <c r="K43" s="23" t="n">
        <f aca="false">J43*(1+K42)</f>
        <v>403.829424882579</v>
      </c>
      <c r="L43" s="23" t="n">
        <f aca="false">K43*(1+L42)</f>
        <v>436.135778873185</v>
      </c>
      <c r="M43" s="23" t="n">
        <f aca="false">L43*(1+M42)</f>
        <v>471.02664118304</v>
      </c>
    </row>
    <row r="44" customFormat="false" ht="17.15" hidden="false" customHeight="false" outlineLevel="0" collapsed="false">
      <c r="A44" s="4" t="s">
        <v>911</v>
      </c>
      <c r="B44" s="0" t="s">
        <v>120</v>
      </c>
      <c r="F44" s="20" t="n">
        <v>0</v>
      </c>
      <c r="H44" s="21" t="n">
        <f aca="false">MIN(1,(2027-2026)/conv_n)</f>
        <v>0.25</v>
      </c>
      <c r="I44" s="21" t="n">
        <f aca="false">MIN(1,(2028-2026)/conv_n)</f>
        <v>0.5</v>
      </c>
      <c r="J44" s="21" t="n">
        <f aca="false">MIN(1,(2029-2026)/conv_n)</f>
        <v>0.75</v>
      </c>
      <c r="K44" s="21" t="n">
        <f aca="false">MIN(1,(2030-2026)/conv_n)</f>
        <v>1</v>
      </c>
      <c r="L44" s="21" t="n">
        <f aca="false">MIN(1,(2031-2026)/conv_n)</f>
        <v>1</v>
      </c>
      <c r="M44" s="21" t="n">
        <f aca="false">MIN(1,(2032-2026)/conv_n)</f>
        <v>1</v>
      </c>
    </row>
    <row r="45" customFormat="false" ht="17.15" hidden="false" customHeight="false" outlineLevel="0" collapsed="false">
      <c r="A45" s="4" t="s">
        <v>912</v>
      </c>
      <c r="B45" s="0" t="s">
        <v>100</v>
      </c>
      <c r="F45" s="14" t="n">
        <f aca="false">0*F44</f>
        <v>0</v>
      </c>
      <c r="H45" s="14" t="n">
        <f aca="false">0*H44</f>
        <v>0</v>
      </c>
      <c r="I45" s="14" t="n">
        <f aca="false">0*I44</f>
        <v>0</v>
      </c>
      <c r="J45" s="14" t="n">
        <f aca="false">0*J44</f>
        <v>0</v>
      </c>
      <c r="K45" s="14" t="n">
        <f aca="false">0*K44</f>
        <v>0</v>
      </c>
      <c r="L45" s="14" t="n">
        <f aca="false">0*L44</f>
        <v>0</v>
      </c>
      <c r="M45" s="14" t="n">
        <f aca="false">0*M44</f>
        <v>0</v>
      </c>
      <c r="N45" s="4" t="s">
        <v>943</v>
      </c>
    </row>
    <row r="46" customFormat="false" ht="17.15" hidden="false" customHeight="false" outlineLevel="0" collapsed="false">
      <c r="A46" s="4" t="s">
        <v>914</v>
      </c>
      <c r="B46" s="0" t="s">
        <v>100</v>
      </c>
      <c r="F46" s="14" t="n">
        <f aca="false">0*F44</f>
        <v>0</v>
      </c>
      <c r="H46" s="14" t="n">
        <f aca="false">0*H44</f>
        <v>0</v>
      </c>
      <c r="I46" s="14" t="n">
        <f aca="false">0*I44</f>
        <v>0</v>
      </c>
      <c r="J46" s="14" t="n">
        <f aca="false">0*J44</f>
        <v>0</v>
      </c>
      <c r="K46" s="14" t="n">
        <f aca="false">0*K44</f>
        <v>0</v>
      </c>
      <c r="L46" s="14" t="n">
        <f aca="false">0*L44</f>
        <v>0</v>
      </c>
      <c r="M46" s="14" t="n">
        <f aca="false">0*M44</f>
        <v>0</v>
      </c>
    </row>
    <row r="47" customFormat="false" ht="15" hidden="false" customHeight="false" outlineLevel="0" collapsed="false">
      <c r="A47" s="5" t="s">
        <v>723</v>
      </c>
      <c r="B47" s="7" t="s">
        <v>77</v>
      </c>
      <c r="C47" s="23" t="n">
        <f aca="false">C43</f>
        <v>198.084</v>
      </c>
      <c r="D47" s="23" t="n">
        <f aca="false">D43</f>
        <v>224.532</v>
      </c>
      <c r="E47" s="23" t="n">
        <f aca="false">E43</f>
        <v>123.67</v>
      </c>
      <c r="F47" s="23" t="n">
        <f aca="false">F43*(1-F45)*(1+F46)</f>
        <v>139.741100565981</v>
      </c>
      <c r="G47" s="23" t="n">
        <f aca="false">E47+F47</f>
        <v>263.411100565981</v>
      </c>
      <c r="H47" s="23" t="n">
        <f aca="false">H43*(1-H45)*(1+H46)</f>
        <v>301.871731194856</v>
      </c>
      <c r="I47" s="23" t="n">
        <f aca="false">I43*(1-I45)*(1+I46)</f>
        <v>339.305819879187</v>
      </c>
      <c r="J47" s="23" t="n">
        <f aca="false">J43*(1-J45)*(1+J46)</f>
        <v>373.916134150536</v>
      </c>
      <c r="K47" s="23" t="n">
        <f aca="false">K43*(1-K45)*(1+K46)</f>
        <v>403.829424882579</v>
      </c>
      <c r="L47" s="23" t="n">
        <f aca="false">L43*(1-L45)*(1+L46)</f>
        <v>436.135778873185</v>
      </c>
      <c r="M47" s="23" t="n">
        <f aca="false">M43*(1-M45)*(1+M46)</f>
        <v>471.02664118304</v>
      </c>
    </row>
    <row r="48" customFormat="false" ht="17.15" hidden="false" customHeight="false" outlineLevel="0" collapsed="false">
      <c r="A48" s="0" t="s">
        <v>915</v>
      </c>
      <c r="B48" s="0" t="s">
        <v>100</v>
      </c>
      <c r="F48" s="14" t="n">
        <f aca="false">g0_yt</f>
        <v>0.117139334155364</v>
      </c>
      <c r="H48" s="14" t="n">
        <f aca="false">g0_yt+(gl_yt-g0_yt)*MIN(1,(2027-2026)/conv_n)</f>
        <v>0.107854500616523</v>
      </c>
      <c r="I48" s="14" t="n">
        <f aca="false">g0_yt+(gl_yt-g0_yt)*MIN(1,(2028-2026)/conv_n)</f>
        <v>0.0985696670776819</v>
      </c>
      <c r="J48" s="14" t="n">
        <f aca="false">g0_yt+(gl_yt-g0_yt)*MIN(1,(2029-2026)/conv_n)</f>
        <v>0.0892848335388409</v>
      </c>
      <c r="K48" s="14" t="n">
        <f aca="false">g0_yt+(gl_yt-g0_yt)*MIN(1,(2030-2026)/conv_n)</f>
        <v>0.08</v>
      </c>
      <c r="L48" s="14" t="n">
        <f aca="false">g0_yt+(gl_yt-g0_yt)*MIN(1,(2031-2026)/conv_n)</f>
        <v>0.08</v>
      </c>
      <c r="M48" s="14" t="n">
        <f aca="false">g0_yt+(gl_yt-g0_yt)*MIN(1,(2032-2026)/conv_n)</f>
        <v>0.08</v>
      </c>
      <c r="N48" s="4" t="s">
        <v>916</v>
      </c>
    </row>
    <row r="49" customFormat="false" ht="15" hidden="false" customHeight="false" outlineLevel="0" collapsed="false">
      <c r="A49" s="5" t="s">
        <v>726</v>
      </c>
      <c r="B49" s="7" t="s">
        <v>77</v>
      </c>
      <c r="C49" s="23" t="n">
        <f aca="false">Q!J6</f>
        <v>36.147</v>
      </c>
      <c r="D49" s="23" t="n">
        <f aca="false">Q!K6</f>
        <v>40.367</v>
      </c>
      <c r="E49" s="23" t="n">
        <f aca="false">Q!L6</f>
        <v>20.938</v>
      </c>
      <c r="F49" s="23" t="n">
        <f aca="false">(Q!F6+Q!G6)*(1+F48)</f>
        <v>24.1793637484587</v>
      </c>
      <c r="G49" s="23" t="n">
        <f aca="false">E49+F49</f>
        <v>45.1173637484587</v>
      </c>
      <c r="H49" s="23" t="n">
        <f aca="false">G49*(1+H48)</f>
        <v>49.9834744846827</v>
      </c>
      <c r="I49" s="23" t="n">
        <f aca="false">H49*(1+I48)</f>
        <v>54.9103289240237</v>
      </c>
      <c r="J49" s="23" t="n">
        <f aca="false">I49*(1+J48)</f>
        <v>59.8129885015682</v>
      </c>
      <c r="K49" s="23" t="n">
        <f aca="false">J49*(1+K48)</f>
        <v>64.5980275816936</v>
      </c>
      <c r="L49" s="23" t="n">
        <f aca="false">K49*(1+L48)</f>
        <v>69.7658697882291</v>
      </c>
      <c r="M49" s="23" t="n">
        <f aca="false">L49*(1+M48)</f>
        <v>75.3471393712874</v>
      </c>
    </row>
    <row r="50" customFormat="false" ht="17.15" hidden="false" customHeight="false" outlineLevel="0" collapsed="false">
      <c r="A50" s="0" t="s">
        <v>917</v>
      </c>
      <c r="B50" s="0" t="s">
        <v>100</v>
      </c>
      <c r="F50" s="14" t="n">
        <f aca="false">g0_net</f>
        <v>-0.0217853347502657</v>
      </c>
      <c r="H50" s="14" t="n">
        <f aca="false">g0_net+(gl_net-g0_net)*MIN(1,(2027-2026)/conv_n)</f>
        <v>-0.0163390010626993</v>
      </c>
      <c r="I50" s="14" t="n">
        <f aca="false">g0_net+(gl_net-g0_net)*MIN(1,(2028-2026)/conv_n)</f>
        <v>-0.0108926673751328</v>
      </c>
      <c r="J50" s="14" t="n">
        <f aca="false">g0_net+(gl_net-g0_net)*MIN(1,(2029-2026)/conv_n)</f>
        <v>-0.00544633368756642</v>
      </c>
      <c r="K50" s="14" t="n">
        <f aca="false">g0_net+(gl_net-g0_net)*MIN(1,(2030-2026)/conv_n)</f>
        <v>0</v>
      </c>
      <c r="L50" s="14" t="n">
        <f aca="false">g0_net+(gl_net-g0_net)*MIN(1,(2031-2026)/conv_n)</f>
        <v>0</v>
      </c>
      <c r="M50" s="14" t="n">
        <f aca="false">g0_net+(gl_net-g0_net)*MIN(1,(2032-2026)/conv_n)</f>
        <v>0</v>
      </c>
      <c r="N50" s="4" t="s">
        <v>916</v>
      </c>
    </row>
    <row r="51" customFormat="false" ht="15" hidden="false" customHeight="false" outlineLevel="0" collapsed="false">
      <c r="A51" s="5" t="s">
        <v>727</v>
      </c>
      <c r="B51" s="7" t="s">
        <v>77</v>
      </c>
      <c r="C51" s="23" t="n">
        <f aca="false">Q!J7</f>
        <v>30.359</v>
      </c>
      <c r="D51" s="23" t="n">
        <f aca="false">Q!K7</f>
        <v>29.792</v>
      </c>
      <c r="E51" s="23" t="n">
        <f aca="false">Q!L7</f>
        <v>14.274</v>
      </c>
      <c r="F51" s="23" t="n">
        <f aca="false">(Q!F7+Q!G7)*(1+F50)</f>
        <v>14.8512550478215</v>
      </c>
      <c r="G51" s="23" t="n">
        <f aca="false">E51+F51</f>
        <v>29.1252550478215</v>
      </c>
      <c r="H51" s="23" t="n">
        <f aca="false">G51*(1+H50)</f>
        <v>28.6493774746437</v>
      </c>
      <c r="I51" s="23" t="n">
        <f aca="false">H51*(1+I50)</f>
        <v>28.3373093353078</v>
      </c>
      <c r="J51" s="23" t="n">
        <f aca="false">I51*(1+J50)</f>
        <v>28.1829748928599</v>
      </c>
      <c r="K51" s="23" t="n">
        <f aca="false">J51*(1+K50)</f>
        <v>28.1829748928599</v>
      </c>
      <c r="L51" s="23" t="n">
        <f aca="false">K51*(1+L50)</f>
        <v>28.1829748928599</v>
      </c>
      <c r="M51" s="23" t="n">
        <f aca="false">L51*(1+M50)</f>
        <v>28.1829748928599</v>
      </c>
    </row>
    <row r="52" customFormat="false" ht="17.15" hidden="false" customHeight="false" outlineLevel="0" collapsed="false">
      <c r="A52" s="0" t="s">
        <v>918</v>
      </c>
      <c r="B52" s="0" t="s">
        <v>100</v>
      </c>
      <c r="F52" s="14" t="n">
        <f aca="false">g0_subs</f>
        <v>0.179435162180028</v>
      </c>
      <c r="H52" s="14" t="n">
        <f aca="false">g0_subs+(gl_subs-g0_subs)*MIN(1,(2027-2026)/conv_n)</f>
        <v>0.159576371635021</v>
      </c>
      <c r="I52" s="14" t="n">
        <f aca="false">g0_subs+(gl_subs-g0_subs)*MIN(1,(2028-2026)/conv_n)</f>
        <v>0.139717581090014</v>
      </c>
      <c r="J52" s="14" t="n">
        <f aca="false">g0_subs+(gl_subs-g0_subs)*MIN(1,(2029-2026)/conv_n)</f>
        <v>0.119858790545007</v>
      </c>
      <c r="K52" s="14" t="n">
        <f aca="false">g0_subs+(gl_subs-g0_subs)*MIN(1,(2030-2026)/conv_n)</f>
        <v>0.1</v>
      </c>
      <c r="L52" s="14" t="n">
        <f aca="false">g0_subs+(gl_subs-g0_subs)*MIN(1,(2031-2026)/conv_n)</f>
        <v>0.1</v>
      </c>
      <c r="M52" s="14" t="n">
        <f aca="false">g0_subs+(gl_subs-g0_subs)*MIN(1,(2032-2026)/conv_n)</f>
        <v>0.1</v>
      </c>
      <c r="N52" s="4" t="s">
        <v>916</v>
      </c>
    </row>
    <row r="53" customFormat="false" ht="15" hidden="false" customHeight="false" outlineLevel="0" collapsed="false">
      <c r="A53" s="5" t="s">
        <v>728</v>
      </c>
      <c r="B53" s="7" t="s">
        <v>77</v>
      </c>
      <c r="C53" s="23" t="n">
        <f aca="false">Q!J8</f>
        <v>40.34</v>
      </c>
      <c r="D53" s="23" t="n">
        <f aca="false">Q!K8</f>
        <v>48.03</v>
      </c>
      <c r="E53" s="23" t="n">
        <f aca="false">Q!L8</f>
        <v>25.295</v>
      </c>
      <c r="F53" s="23" t="n">
        <f aca="false">(Q!F8+Q!G8)*(1+F52)</f>
        <v>31.1937011693374</v>
      </c>
      <c r="G53" s="23" t="n">
        <f aca="false">E53+F53</f>
        <v>56.4887011693374</v>
      </c>
      <c r="H53" s="23" t="n">
        <f aca="false">G53*(1+H52)</f>
        <v>65.5029631403152</v>
      </c>
      <c r="I53" s="23" t="n">
        <f aca="false">H53*(1+I52)</f>
        <v>74.6548787045084</v>
      </c>
      <c r="J53" s="23" t="n">
        <f aca="false">I53*(1+J52)</f>
        <v>83.602922174315</v>
      </c>
      <c r="K53" s="23" t="n">
        <f aca="false">J53*(1+K52)</f>
        <v>91.9632143917465</v>
      </c>
      <c r="L53" s="23" t="n">
        <f aca="false">K53*(1+L52)</f>
        <v>101.159535830921</v>
      </c>
      <c r="M53" s="23" t="n">
        <f aca="false">L53*(1+M52)</f>
        <v>111.275489414013</v>
      </c>
    </row>
    <row r="54" customFormat="false" ht="15" hidden="false" customHeight="false" outlineLevel="0" collapsed="false">
      <c r="A54" s="27" t="s">
        <v>919</v>
      </c>
      <c r="B54" s="28" t="s">
        <v>77</v>
      </c>
      <c r="C54" s="29" t="n">
        <f aca="false">Q!J9</f>
        <v>304.93</v>
      </c>
      <c r="D54" s="29" t="n">
        <f aca="false">Q!K9</f>
        <v>342.721</v>
      </c>
      <c r="E54" s="29" t="n">
        <f aca="false">Q!L9</f>
        <v>184.177</v>
      </c>
      <c r="F54" s="29" t="n">
        <f aca="false">F47+F49+F51+F53</f>
        <v>209.965420531598</v>
      </c>
      <c r="G54" s="29" t="n">
        <f aca="false">E54+F54</f>
        <v>394.142420531598</v>
      </c>
      <c r="H54" s="29" t="n">
        <f aca="false">H47+H49+H51+H53</f>
        <v>446.007546294497</v>
      </c>
      <c r="I54" s="29" t="n">
        <f aca="false">I47+I49+I51+I53</f>
        <v>497.208336843026</v>
      </c>
      <c r="J54" s="29" t="n">
        <f aca="false">J47+J49+J51+J53</f>
        <v>545.515019719279</v>
      </c>
      <c r="K54" s="29" t="n">
        <f aca="false">K47+K49+K51+K53</f>
        <v>588.573641748879</v>
      </c>
      <c r="L54" s="29" t="n">
        <f aca="false">L47+L49+L51+L53</f>
        <v>635.244159385196</v>
      </c>
      <c r="M54" s="29" t="n">
        <f aca="false">M47+M49+M51+M53</f>
        <v>685.832244861201</v>
      </c>
      <c r="N54" s="28"/>
    </row>
    <row r="55" customFormat="false" ht="17.15" hidden="false" customHeight="false" outlineLevel="0" collapsed="false">
      <c r="A55" s="0" t="s">
        <v>920</v>
      </c>
      <c r="B55" s="0" t="s">
        <v>77</v>
      </c>
      <c r="E55" s="23" t="n">
        <f aca="false">Thesis!E38</f>
        <v>9.75837289307536</v>
      </c>
      <c r="F55" s="23" t="n">
        <f aca="false">Thesis!F38</f>
        <v>13.072238179387</v>
      </c>
      <c r="G55" s="23" t="n">
        <f aca="false">Thesis!G38</f>
        <v>22.8306110724624</v>
      </c>
      <c r="H55" s="23" t="n">
        <f aca="false">Thesis!H38</f>
        <v>38.882857987105</v>
      </c>
      <c r="I55" s="23" t="n">
        <f aca="false">Thesis!I38</f>
        <v>56.7035586757632</v>
      </c>
      <c r="J55" s="23" t="n">
        <f aca="false">Thesis!J38</f>
        <v>73.012119150783</v>
      </c>
      <c r="K55" s="23" t="n">
        <f aca="false">Thesis!K38</f>
        <v>85.4001792660974</v>
      </c>
      <c r="L55" s="23" t="n">
        <f aca="false">Thesis!L38</f>
        <v>94.0392600856694</v>
      </c>
      <c r="M55" s="23" t="n">
        <f aca="false">Thesis!M38</f>
        <v>99.0170129701231</v>
      </c>
      <c r="N55" s="7" t="s">
        <v>921</v>
      </c>
    </row>
    <row r="56" customFormat="false" ht="17.15" hidden="false" customHeight="false" outlineLevel="0" collapsed="false">
      <c r="A56" s="0" t="s">
        <v>922</v>
      </c>
      <c r="B56" s="0" t="s">
        <v>77</v>
      </c>
      <c r="E56" s="25" t="n">
        <v>0</v>
      </c>
      <c r="F56" s="23" t="n">
        <f aca="false">tpu_2h</f>
        <v>1</v>
      </c>
      <c r="G56" s="23" t="n">
        <f aca="false">E56+F56</f>
        <v>1</v>
      </c>
      <c r="H56" s="23" t="n">
        <f aca="false">tpu_yr</f>
        <v>13</v>
      </c>
      <c r="I56" s="23" t="n">
        <f aca="false">tpu_yr</f>
        <v>13</v>
      </c>
      <c r="J56" s="23" t="n">
        <f aca="false">tpu_yr</f>
        <v>13</v>
      </c>
      <c r="K56" s="23" t="n">
        <f aca="false">tpu_yr</f>
        <v>13</v>
      </c>
      <c r="L56" s="23" t="n">
        <f aca="false">tpu_yr</f>
        <v>13</v>
      </c>
      <c r="M56" s="23" t="n">
        <f aca="false">tpu_yr</f>
        <v>13</v>
      </c>
      <c r="N56" s="7" t="s">
        <v>923</v>
      </c>
    </row>
    <row r="57" customFormat="false" ht="17.15" hidden="false" customHeight="false" outlineLevel="0" collapsed="false">
      <c r="A57" s="0" t="s">
        <v>924</v>
      </c>
      <c r="B57" s="0" t="s">
        <v>100</v>
      </c>
      <c r="F57" s="14" t="n">
        <f aca="false">g0_co</f>
        <v>0.463122459535209</v>
      </c>
      <c r="H57" s="14" t="n">
        <f aca="false">g0_co+(gl_co-g0_co)*MIN(1,(2027-2026)/conv_n)</f>
        <v>0.367341844651407</v>
      </c>
      <c r="I57" s="14" t="n">
        <f aca="false">g0_co+(gl_co-g0_co)*MIN(1,(2028-2026)/conv_n)</f>
        <v>0.271561229767605</v>
      </c>
      <c r="J57" s="14" t="n">
        <f aca="false">g0_co+(gl_co-g0_co)*MIN(1,(2029-2026)/conv_n)</f>
        <v>0.175780614883802</v>
      </c>
      <c r="K57" s="14" t="n">
        <f aca="false">g0_co+(gl_co-g0_co)*MIN(1,(2030-2026)/conv_n)</f>
        <v>0.08</v>
      </c>
      <c r="L57" s="14" t="n">
        <f aca="false">g0_co+(gl_co-g0_co)*MIN(1,(2031-2026)/conv_n)</f>
        <v>0.08</v>
      </c>
      <c r="M57" s="14" t="n">
        <f aca="false">g0_co+(gl_co-g0_co)*MIN(1,(2032-2026)/conv_n)</f>
        <v>0.08</v>
      </c>
      <c r="N57" s="4" t="s">
        <v>925</v>
      </c>
    </row>
    <row r="58" customFormat="false" ht="17.15" hidden="false" customHeight="false" outlineLevel="0" collapsed="false">
      <c r="A58" s="0" t="s">
        <v>926</v>
      </c>
      <c r="B58" s="0" t="s">
        <v>77</v>
      </c>
      <c r="E58" s="23" t="n">
        <f aca="false">Q!L11-E55-E56</f>
        <v>35.0376271069246</v>
      </c>
      <c r="F58" s="23" t="n">
        <f aca="false">E58*(1+F57)^0.5</f>
        <v>42.3813732550541</v>
      </c>
      <c r="G58" s="23" t="n">
        <f aca="false">E58+F58</f>
        <v>77.4190003619788</v>
      </c>
      <c r="H58" s="23" t="n">
        <f aca="false">G58*(1+H57)</f>
        <v>105.858238766016</v>
      </c>
      <c r="I58" s="23" t="n">
        <f aca="false">H58*(1+I57)</f>
        <v>134.605232266348</v>
      </c>
      <c r="J58" s="23" t="n">
        <f aca="false">I58*(1+J57)</f>
        <v>158.266222760704</v>
      </c>
      <c r="K58" s="23" t="n">
        <f aca="false">J58*(1+K57)</f>
        <v>170.92752058156</v>
      </c>
      <c r="L58" s="23" t="n">
        <f aca="false">K58*(1+L57)</f>
        <v>184.601722228085</v>
      </c>
      <c r="M58" s="23" t="n">
        <f aca="false">L58*(1+M57)</f>
        <v>199.369860006332</v>
      </c>
      <c r="N58" s="7" t="s">
        <v>927</v>
      </c>
    </row>
    <row r="59" customFormat="false" ht="15" hidden="false" customHeight="false" outlineLevel="0" collapsed="false">
      <c r="A59" s="27" t="s">
        <v>928</v>
      </c>
      <c r="B59" s="28" t="s">
        <v>77</v>
      </c>
      <c r="C59" s="29" t="n">
        <f aca="false">Q!J11</f>
        <v>43.229</v>
      </c>
      <c r="D59" s="29" t="n">
        <f aca="false">Q!K11</f>
        <v>58.705</v>
      </c>
      <c r="E59" s="29" t="n">
        <f aca="false">Q!L11</f>
        <v>44.796</v>
      </c>
      <c r="F59" s="29" t="n">
        <f aca="false">F55+F56+F58</f>
        <v>56.4536114344411</v>
      </c>
      <c r="G59" s="29" t="n">
        <f aca="false">E59+F59</f>
        <v>101.249611434441</v>
      </c>
      <c r="H59" s="29" t="n">
        <f aca="false">H55+H56+H58</f>
        <v>157.741096753121</v>
      </c>
      <c r="I59" s="29" t="n">
        <f aca="false">I55+I56+I58</f>
        <v>204.308790942111</v>
      </c>
      <c r="J59" s="29" t="n">
        <f aca="false">J55+J56+J58</f>
        <v>244.278341911487</v>
      </c>
      <c r="K59" s="29" t="n">
        <f aca="false">K55+K56+K58</f>
        <v>269.327699847657</v>
      </c>
      <c r="L59" s="29" t="n">
        <f aca="false">L55+L56+L58</f>
        <v>291.640982313754</v>
      </c>
      <c r="M59" s="29" t="n">
        <f aca="false">M55+M56+M58</f>
        <v>311.386872976455</v>
      </c>
      <c r="N59" s="28"/>
    </row>
    <row r="60" customFormat="false" ht="15" hidden="false" customHeight="false" outlineLevel="0" collapsed="false">
      <c r="A60" s="27" t="s">
        <v>929</v>
      </c>
      <c r="B60" s="28" t="s">
        <v>77</v>
      </c>
      <c r="C60" s="29" t="n">
        <f aca="false">Q!J12</f>
        <v>1.648</v>
      </c>
      <c r="D60" s="29" t="n">
        <f aca="false">Q!K12</f>
        <v>1.537</v>
      </c>
      <c r="E60" s="29" t="n">
        <f aca="false">Q!L12</f>
        <v>0.793</v>
      </c>
      <c r="F60" s="29" t="n">
        <f aca="false">ob_rev_2H</f>
        <v>0.75</v>
      </c>
      <c r="G60" s="29" t="n">
        <f aca="false">E60+F60</f>
        <v>1.543</v>
      </c>
      <c r="H60" s="29" t="n">
        <f aca="false">ob_rev_27</f>
        <v>1.6</v>
      </c>
      <c r="I60" s="29" t="n">
        <f aca="false">ob_rev_28</f>
        <v>1.8</v>
      </c>
      <c r="J60" s="29" t="n">
        <f aca="false">ob_rev_29</f>
        <v>2</v>
      </c>
      <c r="K60" s="29" t="n">
        <f aca="false">ob_rev_30</f>
        <v>2.2</v>
      </c>
      <c r="L60" s="29" t="n">
        <f aca="false">ob_rev_31</f>
        <v>2.4</v>
      </c>
      <c r="M60" s="29" t="n">
        <f aca="false">ob_rev_32</f>
        <v>2.6</v>
      </c>
      <c r="N60" s="28"/>
    </row>
    <row r="61" customFormat="false" ht="17.15" hidden="false" customHeight="false" outlineLevel="0" collapsed="false">
      <c r="A61" s="0" t="s">
        <v>930</v>
      </c>
      <c r="B61" s="0" t="s">
        <v>77</v>
      </c>
      <c r="C61" s="23" t="n">
        <f aca="false">Q!J13</f>
        <v>0.211</v>
      </c>
      <c r="D61" s="23" t="n">
        <f aca="false">Q!K13</f>
        <v>-0.127</v>
      </c>
      <c r="E61" s="23" t="n">
        <f aca="false">Q!L13</f>
        <v>-0.074</v>
      </c>
      <c r="F61" s="25" t="n">
        <v>0</v>
      </c>
      <c r="G61" s="23" t="n">
        <f aca="false">E61+F61</f>
        <v>-0.074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7" t="s">
        <v>931</v>
      </c>
    </row>
    <row r="62" customFormat="false" ht="15" hidden="false" customHeight="false" outlineLevel="0" collapsed="false">
      <c r="A62" s="2" t="s">
        <v>735</v>
      </c>
      <c r="B62" s="7" t="s">
        <v>77</v>
      </c>
      <c r="C62" s="23" t="n">
        <f aca="false">Q!J14</f>
        <v>350.018</v>
      </c>
      <c r="D62" s="23" t="n">
        <f aca="false">Q!K14</f>
        <v>402.836</v>
      </c>
      <c r="E62" s="23" t="n">
        <f aca="false">Q!L14</f>
        <v>229.692</v>
      </c>
      <c r="F62" s="23" t="n">
        <f aca="false">F54+F59+F60+F61</f>
        <v>267.169031966039</v>
      </c>
      <c r="G62" s="23" t="n">
        <f aca="false">E62+F62</f>
        <v>496.861031966039</v>
      </c>
      <c r="H62" s="23" t="n">
        <f aca="false">H54+H59+H60+H61</f>
        <v>605.348643047618</v>
      </c>
      <c r="I62" s="23" t="n">
        <f aca="false">I54+I59+I60+I61</f>
        <v>703.317127785138</v>
      </c>
      <c r="J62" s="23" t="n">
        <f aca="false">J54+J59+J60+J61</f>
        <v>791.793361630766</v>
      </c>
      <c r="K62" s="23" t="n">
        <f aca="false">K54+K59+K60+K61</f>
        <v>860.101341596537</v>
      </c>
      <c r="L62" s="23" t="n">
        <f aca="false">L54+L59+L60+L61</f>
        <v>929.28514169895</v>
      </c>
      <c r="M62" s="23" t="n">
        <f aca="false">M54+M59+M60+M61</f>
        <v>999.819117837656</v>
      </c>
    </row>
    <row r="63" customFormat="false" ht="17.15" hidden="false" customHeight="false" outlineLevel="0" collapsed="false">
      <c r="A63" s="4" t="s">
        <v>730</v>
      </c>
      <c r="B63" s="0" t="s">
        <v>77</v>
      </c>
      <c r="C63" s="19" t="n">
        <f aca="false">C47+C49+C51+C53-C54</f>
        <v>0</v>
      </c>
      <c r="D63" s="19" t="n">
        <f aca="false">D47+D49+D51+D53-D54</f>
        <v>0</v>
      </c>
      <c r="E63" s="19" t="n">
        <f aca="false">E47+E49+E51+E53-E54</f>
        <v>0</v>
      </c>
      <c r="F63" s="19" t="n">
        <f aca="false">F47+F49+F51+F53-F54</f>
        <v>0</v>
      </c>
      <c r="G63" s="19" t="n">
        <f aca="false">G47+G49+G51+G53-G54</f>
        <v>0</v>
      </c>
      <c r="H63" s="19" t="n">
        <f aca="false">H47+H49+H51+H53-H54</f>
        <v>0</v>
      </c>
      <c r="I63" s="19" t="n">
        <f aca="false">I47+I49+I51+I53-I54</f>
        <v>0</v>
      </c>
      <c r="J63" s="19" t="n">
        <f aca="false">J47+J49+J51+J53-J54</f>
        <v>0</v>
      </c>
      <c r="K63" s="19" t="n">
        <f aca="false">K47+K49+K51+K53-K54</f>
        <v>0</v>
      </c>
      <c r="L63" s="19" t="n">
        <f aca="false">L47+L49+L51+L53-L54</f>
        <v>0</v>
      </c>
      <c r="M63" s="19" t="n">
        <f aca="false">M47+M49+M51+M53-M54</f>
        <v>0</v>
      </c>
    </row>
    <row r="64" customFormat="false" ht="17.15" hidden="false" customHeight="false" outlineLevel="0" collapsed="false">
      <c r="A64" s="4" t="s">
        <v>932</v>
      </c>
      <c r="B64" s="0" t="s">
        <v>77</v>
      </c>
      <c r="E64" s="19" t="n">
        <f aca="false">E55+E56+E58-E59</f>
        <v>0</v>
      </c>
      <c r="F64" s="19" t="n">
        <f aca="false">F55+F56+F58-F59</f>
        <v>0</v>
      </c>
      <c r="G64" s="19" t="n">
        <f aca="false">G55+G56+G58-G59</f>
        <v>0</v>
      </c>
      <c r="H64" s="19" t="n">
        <f aca="false">H55+H56+H58-H59</f>
        <v>0</v>
      </c>
      <c r="I64" s="19" t="n">
        <f aca="false">I55+I56+I58-I59</f>
        <v>0</v>
      </c>
      <c r="J64" s="19" t="n">
        <f aca="false">J55+J56+J58-J59</f>
        <v>0</v>
      </c>
      <c r="K64" s="19" t="n">
        <f aca="false">K55+K56+K58-K59</f>
        <v>0</v>
      </c>
      <c r="L64" s="19" t="n">
        <f aca="false">L55+L56+L58-L59</f>
        <v>0</v>
      </c>
      <c r="M64" s="19" t="n">
        <f aca="false">M55+M56+M58-M59</f>
        <v>0</v>
      </c>
    </row>
    <row r="65" customFormat="false" ht="15" hidden="false" customHeight="false" outlineLevel="0" collapsed="false">
      <c r="A65" s="4" t="s">
        <v>736</v>
      </c>
      <c r="B65" s="0" t="s">
        <v>77</v>
      </c>
      <c r="C65" s="19" t="n">
        <f aca="false">C54+C59+C60+C61-C62</f>
        <v>0</v>
      </c>
      <c r="D65" s="19" t="n">
        <f aca="false">D54+D59+D60+D61-D62</f>
        <v>0</v>
      </c>
      <c r="E65" s="19" t="n">
        <f aca="false">E54+E59+E60+E61-E62</f>
        <v>0</v>
      </c>
      <c r="F65" s="19" t="n">
        <f aca="false">F54+F59+F60+F61-F62</f>
        <v>0</v>
      </c>
      <c r="G65" s="19" t="n">
        <f aca="false">G54+G59+G60+G61-G62</f>
        <v>0</v>
      </c>
      <c r="H65" s="19" t="n">
        <f aca="false">H54+H59+H60+H61-H62</f>
        <v>0</v>
      </c>
      <c r="I65" s="19" t="n">
        <f aca="false">I54+I59+I60+I61-I62</f>
        <v>0</v>
      </c>
      <c r="J65" s="19" t="n">
        <f aca="false">J54+J59+J60+J61-J62</f>
        <v>0</v>
      </c>
      <c r="K65" s="19" t="n">
        <f aca="false">K54+K59+K60+K61-K62</f>
        <v>0</v>
      </c>
      <c r="L65" s="19" t="n">
        <f aca="false">L54+L59+L60+L61-L62</f>
        <v>0</v>
      </c>
      <c r="M65" s="19" t="n">
        <f aca="false">M54+M59+M60+M61-M62</f>
        <v>0</v>
      </c>
    </row>
    <row r="66" customFormat="false" ht="17.15" hidden="false" customHeight="false" outlineLevel="0" collapsed="false">
      <c r="A66" s="4" t="s">
        <v>933</v>
      </c>
      <c r="B66" s="0" t="s">
        <v>77</v>
      </c>
      <c r="C66" s="19" t="n">
        <f aca="false">C62-Q!J14</f>
        <v>0</v>
      </c>
      <c r="D66" s="19" t="n">
        <f aca="false">D62-Q!K14</f>
        <v>0</v>
      </c>
      <c r="E66" s="19" t="n">
        <f aca="false">E62-Q!L14</f>
        <v>0</v>
      </c>
    </row>
    <row r="67" customFormat="false" ht="17.15" hidden="false" customHeight="false" outlineLevel="0" collapsed="false">
      <c r="A67" s="4" t="s">
        <v>934</v>
      </c>
      <c r="B67" s="0" t="s">
        <v>77</v>
      </c>
      <c r="F67" s="23" t="n">
        <f aca="false">F54*cx_svc</f>
        <v>12.5979252318959</v>
      </c>
      <c r="G67" s="23" t="n">
        <f aca="false">F67</f>
        <v>12.5979252318959</v>
      </c>
      <c r="H67" s="23" t="n">
        <f aca="false">H54*cx_svc</f>
        <v>26.7604527776698</v>
      </c>
      <c r="I67" s="23" t="n">
        <f aca="false">I54*cx_svc</f>
        <v>29.8325002105816</v>
      </c>
      <c r="J67" s="23" t="n">
        <f aca="false">J54*cx_svc</f>
        <v>32.7309011831567</v>
      </c>
      <c r="K67" s="23" t="n">
        <f aca="false">K54*cx_svc</f>
        <v>35.3144185049327</v>
      </c>
      <c r="L67" s="23" t="n">
        <f aca="false">L54*cx_svc</f>
        <v>38.1146495631117</v>
      </c>
      <c r="M67" s="23" t="n">
        <f aca="false">M54*cx_svc</f>
        <v>41.1499346916721</v>
      </c>
    </row>
    <row r="68" customFormat="false" ht="17.15" hidden="false" customHeight="false" outlineLevel="0" collapsed="false">
      <c r="A68" s="4" t="s">
        <v>935</v>
      </c>
      <c r="B68" s="0" t="s">
        <v>77</v>
      </c>
      <c r="F68" s="23" t="n">
        <f aca="false">F58*cx_co</f>
        <v>8.47627465101083</v>
      </c>
      <c r="G68" s="23" t="n">
        <f aca="false">F68</f>
        <v>8.47627465101083</v>
      </c>
      <c r="H68" s="23" t="n">
        <f aca="false">H58*cx_co</f>
        <v>21.1716477532032</v>
      </c>
      <c r="I68" s="23" t="n">
        <f aca="false">I58*cx_co</f>
        <v>26.9210464532696</v>
      </c>
      <c r="J68" s="23" t="n">
        <f aca="false">J58*cx_co</f>
        <v>31.6532445521407</v>
      </c>
      <c r="K68" s="23" t="n">
        <f aca="false">K58*cx_co</f>
        <v>34.185504116312</v>
      </c>
      <c r="L68" s="23" t="n">
        <f aca="false">L58*cx_co</f>
        <v>36.920344445617</v>
      </c>
      <c r="M68" s="23" t="n">
        <f aca="false">M58*cx_co</f>
        <v>39.8739720012663</v>
      </c>
    </row>
    <row r="69" customFormat="false" ht="17.15" hidden="false" customHeight="false" outlineLevel="0" collapsed="false">
      <c r="A69" s="4" t="s">
        <v>936</v>
      </c>
      <c r="B69" s="0" t="s">
        <v>77</v>
      </c>
      <c r="F69" s="23" t="n">
        <f aca="false">F60*cx_ob</f>
        <v>0.045</v>
      </c>
      <c r="G69" s="23" t="n">
        <f aca="false">F69</f>
        <v>0.045</v>
      </c>
      <c r="H69" s="23" t="n">
        <f aca="false">H60*cx_ob</f>
        <v>0.096</v>
      </c>
      <c r="I69" s="23" t="n">
        <f aca="false">I60*cx_ob</f>
        <v>0.108</v>
      </c>
      <c r="J69" s="23" t="n">
        <f aca="false">J60*cx_ob</f>
        <v>0.12</v>
      </c>
      <c r="K69" s="23" t="n">
        <f aca="false">K60*cx_ob</f>
        <v>0.132</v>
      </c>
      <c r="L69" s="23" t="n">
        <f aca="false">L60*cx_ob</f>
        <v>0.144</v>
      </c>
      <c r="M69" s="23" t="n">
        <f aca="false">M60*cx_ob</f>
        <v>0.156</v>
      </c>
    </row>
    <row r="70" customFormat="false" ht="17.15" hidden="false" customHeight="false" outlineLevel="0" collapsed="false">
      <c r="A70" s="2" t="s">
        <v>937</v>
      </c>
      <c r="B70" s="7" t="s">
        <v>77</v>
      </c>
      <c r="F70" s="23" t="n">
        <f aca="false">F67+F68+F69</f>
        <v>21.1191998829067</v>
      </c>
      <c r="G70" s="23" t="n">
        <f aca="false">G67+G68+G69</f>
        <v>21.1191998829067</v>
      </c>
      <c r="H70" s="23" t="n">
        <f aca="false">H67+H68+H69</f>
        <v>48.028100530873</v>
      </c>
      <c r="I70" s="23" t="n">
        <f aca="false">I67+I68+I69</f>
        <v>56.8615466638512</v>
      </c>
      <c r="J70" s="23" t="n">
        <f aca="false">J67+J68+J69</f>
        <v>64.5041457352975</v>
      </c>
      <c r="K70" s="23" t="n">
        <f aca="false">K67+K68+K69</f>
        <v>69.6319226212447</v>
      </c>
      <c r="L70" s="23" t="n">
        <f aca="false">L67+L68+L69</f>
        <v>75.1789940087287</v>
      </c>
      <c r="M70" s="23" t="n">
        <f aca="false">M67+M68+M69</f>
        <v>81.1799066929384</v>
      </c>
    </row>
    <row r="71" customFormat="false" ht="17.15" hidden="false" customHeight="false" outlineLevel="0" collapsed="false">
      <c r="A71" s="4" t="s">
        <v>938</v>
      </c>
      <c r="B71" s="0" t="s">
        <v>77</v>
      </c>
      <c r="F71" s="23" t="n">
        <f aca="false">$F$67/life_na*IF(0=0,phi_0,IF(0&lt;life_na,1,IF(0=life_na,1-phi_0,0)))</f>
        <v>0.314948130797397</v>
      </c>
      <c r="G71" s="23" t="n">
        <f aca="false">F71</f>
        <v>0.314948130797397</v>
      </c>
      <c r="H71" s="23" t="n">
        <f aca="false">$F$67/life_na*IF(1=0,phi_0,IF(1&lt;life_na,1,IF(1=life_na,1-phi_0,0)))+$H$67/life_na*IF(0=0,phi_0,IF(0&lt;life_na,1,IF(0=life_na,1-phi_0,0)))</f>
        <v>1.92880384263134</v>
      </c>
      <c r="I71" s="23" t="n">
        <f aca="false">$F$67/life_na*IF(2=0,phi_0,IF(2&lt;life_na,1,IF(2=life_na,1-phi_0,0)))+$H$67/life_na*IF(1=0,phi_0,IF(1&lt;life_na,1,IF(1=life_na,1-phi_0,0)))+$I$67/life_na*IF(0=0,phi_0,IF(0&lt;life_na,1,IF(0=life_na,1-phi_0,0)))</f>
        <v>4.68165030622111</v>
      </c>
      <c r="J71" s="23" t="n">
        <f aca="false">$F$67/life_na*IF(3=0,phi_0,IF(3&lt;life_na,1,IF(3=life_na,1-phi_0,0)))+$H$67/life_na*IF(2=0,phi_0,IF(2&lt;life_na,1,IF(2=life_na,1-phi_0,0)))+$I$67/life_na*IF(1=0,phi_0,IF(1&lt;life_na,1,IF(1=life_na,1-phi_0,0)))+$J$67/life_na*IF(0=0,phi_0,IF(0&lt;life_na,1,IF(0=life_na,1-phi_0,0)))</f>
        <v>7.73736035159365</v>
      </c>
      <c r="K71" s="23" t="n">
        <f aca="false">$F$67/life_na*IF(4=0,phi_0,IF(4&lt;life_na,1,IF(4=life_na,1-phi_0,0)))+$H$67/life_na*IF(3=0,phi_0,IF(3&lt;life_na,1,IF(3=life_na,1-phi_0,0)))+$I$67/life_na*IF(2=0,phi_0,IF(2&lt;life_na,1,IF(2=life_na,1-phi_0,0)))+$J$67/life_na*IF(1=0,phi_0,IF(1&lt;life_na,1,IF(1=life_na,1-phi_0,0)))+$K$67/life_na*IF(0=0,phi_0,IF(0&lt;life_na,1,IF(0=life_na,1-phi_0,0)))</f>
        <v>11.0750384029537</v>
      </c>
      <c r="L71" s="23" t="n">
        <f aca="false">$F$67/life_na*IF(5=0,phi_0,IF(5&lt;life_na,1,IF(5=life_na,1-phi_0,0)))+$H$67/life_na*IF(4=0,phi_0,IF(4&lt;life_na,1,IF(4=life_na,1-phi_0,0)))+$I$67/life_na*IF(3=0,phi_0,IF(3&lt;life_na,1,IF(3=life_na,1-phi_0,0)))+$J$67/life_na*IF(2=0,phi_0,IF(2&lt;life_na,1,IF(2=life_na,1-phi_0,0)))+$K$67/life_na*IF(1=0,phi_0,IF(1&lt;life_na,1,IF(1=life_na,1-phi_0,0)))+$L$67/life_na*IF(0=0,phi_0,IF(0&lt;life_na,1,IF(0=life_na,1-phi_0,0)))</f>
        <v>14.6764860299015</v>
      </c>
      <c r="M71" s="23" t="n">
        <f aca="false">$F$67/life_na*IF(6=0,phi_0,IF(6&lt;life_na,1,IF(6=life_na,1-phi_0,0)))+$H$67/life_na*IF(5=0,phi_0,IF(5&lt;life_na,1,IF(5=life_na,1-phi_0,0)))+$I$67/life_na*IF(4=0,phi_0,IF(4&lt;life_na,1,IF(4=life_na,1-phi_0,0)))+$J$67/life_na*IF(3=0,phi_0,IF(3&lt;life_na,1,IF(3=life_na,1-phi_0,0)))+$K$67/life_na*IF(2=0,phi_0,IF(2&lt;life_na,1,IF(2=life_na,1-phi_0,0)))+$L$67/life_na*IF(1=0,phi_0,IF(1&lt;life_na,1,IF(1=life_na,1-phi_0,0)))+$M$67/life_na*IF(0=0,phi_0,IF(0&lt;life_na,1,IF(0=life_na,1-phi_0,0)))</f>
        <v>18.5638331144267</v>
      </c>
    </row>
    <row r="72" customFormat="false" ht="17.15" hidden="false" customHeight="false" outlineLevel="0" collapsed="false">
      <c r="A72" s="4" t="s">
        <v>939</v>
      </c>
      <c r="B72" s="0" t="s">
        <v>77</v>
      </c>
      <c r="F72" s="23" t="n">
        <f aca="false">$F$68/life_na*IF(0=0,phi_0,IF(0&lt;life_na,1,IF(0=life_na,1-phi_0,0)))</f>
        <v>0.211906866275271</v>
      </c>
      <c r="G72" s="23" t="n">
        <f aca="false">F72</f>
        <v>0.211906866275271</v>
      </c>
      <c r="H72" s="23" t="n">
        <f aca="false">$F$68/life_na*IF(1=0,phi_0,IF(1&lt;life_na,1,IF(1=life_na,1-phi_0,0)))+$H$68/life_na*IF(0=0,phi_0,IF(0&lt;life_na,1,IF(0=life_na,1-phi_0,0)))</f>
        <v>1.37691865893116</v>
      </c>
      <c r="I72" s="23" t="n">
        <f aca="false">$F$68/life_na*IF(2=0,phi_0,IF(2&lt;life_na,1,IF(2=life_na,1-phi_0,0)))+$H$68/life_na*IF(1=0,phi_0,IF(1&lt;life_na,1,IF(1=life_na,1-phi_0,0)))+$I$68/life_na*IF(0=0,phi_0,IF(0&lt;life_na,1,IF(0=life_na,1-phi_0,0)))</f>
        <v>3.63781840175314</v>
      </c>
      <c r="J72" s="23" t="n">
        <f aca="false">$F$68/life_na*IF(3=0,phi_0,IF(3&lt;life_na,1,IF(3=life_na,1-phi_0,0)))+$H$68/life_na*IF(2=0,phi_0,IF(2&lt;life_na,1,IF(2=life_na,1-phi_0,0)))+$I$68/life_na*IF(1=0,phi_0,IF(1&lt;life_na,1,IF(1=life_na,1-phi_0,0)))+$J$68/life_na*IF(0=0,phi_0,IF(0&lt;life_na,1,IF(0=life_na,1-phi_0,0)))</f>
        <v>6.44822799955188</v>
      </c>
      <c r="K72" s="23" t="n">
        <f aca="false">$F$68/life_na*IF(4=0,phi_0,IF(4&lt;life_na,1,IF(4=life_na,1-phi_0,0)))+$H$68/life_na*IF(3=0,phi_0,IF(3&lt;life_na,1,IF(3=life_na,1-phi_0,0)))+$I$68/life_na*IF(2=0,phi_0,IF(2&lt;life_na,1,IF(2=life_na,1-phi_0,0)))+$J$68/life_na*IF(1=0,phi_0,IF(1&lt;life_na,1,IF(1=life_na,1-phi_0,0)))+$K$68/life_na*IF(0=0,phi_0,IF(0&lt;life_na,1,IF(0=life_na,1-phi_0,0)))</f>
        <v>9.67685894387024</v>
      </c>
      <c r="L72" s="23" t="n">
        <f aca="false">$F$68/life_na*IF(5=0,phi_0,IF(5&lt;life_na,1,IF(5=life_na,1-phi_0,0)))+$H$68/life_na*IF(4=0,phi_0,IF(4&lt;life_na,1,IF(4=life_na,1-phi_0,0)))+$I$68/life_na*IF(3=0,phi_0,IF(3&lt;life_na,1,IF(3=life_na,1-phi_0,0)))+$J$68/life_na*IF(2=0,phi_0,IF(2&lt;life_na,1,IF(2=life_na,1-phi_0,0)))+$K$68/life_na*IF(1=0,phi_0,IF(1&lt;life_na,1,IF(1=life_na,1-phi_0,0)))+$L$68/life_na*IF(0=0,phi_0,IF(0&lt;life_na,1,IF(0=life_na,1-phi_0,0)))</f>
        <v>13.1637803637341</v>
      </c>
      <c r="M72" s="23" t="n">
        <f aca="false">$F$68/life_na*IF(6=0,phi_0,IF(6&lt;life_na,1,IF(6=life_na,1-phi_0,0)))+$H$68/life_na*IF(5=0,phi_0,IF(5&lt;life_na,1,IF(5=life_na,1-phi_0,0)))+$I$68/life_na*IF(4=0,phi_0,IF(4&lt;life_na,1,IF(4=life_na,1-phi_0,0)))+$J$68/life_na*IF(3=0,phi_0,IF(3&lt;life_na,1,IF(3=life_na,1-phi_0,0)))+$K$68/life_na*IF(2=0,phi_0,IF(2&lt;life_na,1,IF(2=life_na,1-phi_0,0)))+$L$68/life_na*IF(1=0,phi_0,IF(1&lt;life_na,1,IF(1=life_na,1-phi_0,0)))+$M$68/life_na*IF(0=0,phi_0,IF(0&lt;life_na,1,IF(0=life_na,1-phi_0,0)))</f>
        <v>16.929655497187</v>
      </c>
    </row>
    <row r="73" customFormat="false" ht="17.15" hidden="false" customHeight="false" outlineLevel="0" collapsed="false">
      <c r="A73" s="4" t="s">
        <v>940</v>
      </c>
      <c r="B73" s="0" t="s">
        <v>77</v>
      </c>
      <c r="F73" s="23" t="n">
        <f aca="false">$F$69/life_na*IF(0=0,phi_0,IF(0&lt;life_na,1,IF(0=life_na,1-phi_0,0)))</f>
        <v>0.001125</v>
      </c>
      <c r="G73" s="23" t="n">
        <f aca="false">F73</f>
        <v>0.001125</v>
      </c>
      <c r="H73" s="23" t="n">
        <f aca="false">$F$69/life_na*IF(1=0,phi_0,IF(1&lt;life_na,1,IF(1=life_na,1-phi_0,0)))+$H$69/life_na*IF(0=0,phi_0,IF(0&lt;life_na,1,IF(0=life_na,1-phi_0,0)))</f>
        <v>0.0069</v>
      </c>
      <c r="I73" s="23" t="n">
        <f aca="false">$F$69/life_na*IF(2=0,phi_0,IF(2&lt;life_na,1,IF(2=life_na,1-phi_0,0)))+$H$69/life_na*IF(1=0,phi_0,IF(1&lt;life_na,1,IF(1=life_na,1-phi_0,0)))+$I$69/life_na*IF(0=0,phi_0,IF(0&lt;life_na,1,IF(0=life_na,1-phi_0,0)))</f>
        <v>0.0168</v>
      </c>
      <c r="J73" s="23" t="n">
        <f aca="false">$F$69/life_na*IF(3=0,phi_0,IF(3&lt;life_na,1,IF(3=life_na,1-phi_0,0)))+$H$69/life_na*IF(2=0,phi_0,IF(2&lt;life_na,1,IF(2=life_na,1-phi_0,0)))+$I$69/life_na*IF(1=0,phi_0,IF(1&lt;life_na,1,IF(1=life_na,1-phi_0,0)))+$J$69/life_na*IF(0=0,phi_0,IF(0&lt;life_na,1,IF(0=life_na,1-phi_0,0)))</f>
        <v>0.0279</v>
      </c>
      <c r="K73" s="23" t="n">
        <f aca="false">$F$69/life_na*IF(4=0,phi_0,IF(4&lt;life_na,1,IF(4=life_na,1-phi_0,0)))+$H$69/life_na*IF(3=0,phi_0,IF(3&lt;life_na,1,IF(3=life_na,1-phi_0,0)))+$I$69/life_na*IF(2=0,phi_0,IF(2&lt;life_na,1,IF(2=life_na,1-phi_0,0)))+$J$69/life_na*IF(1=0,phi_0,IF(1&lt;life_na,1,IF(1=life_na,1-phi_0,0)))+$K$69/life_na*IF(0=0,phi_0,IF(0&lt;life_na,1,IF(0=life_na,1-phi_0,0)))</f>
        <v>0.0402</v>
      </c>
      <c r="L73" s="23" t="n">
        <f aca="false">$F$69/life_na*IF(5=0,phi_0,IF(5&lt;life_na,1,IF(5=life_na,1-phi_0,0)))+$H$69/life_na*IF(4=0,phi_0,IF(4&lt;life_na,1,IF(4=life_na,1-phi_0,0)))+$I$69/life_na*IF(3=0,phi_0,IF(3&lt;life_na,1,IF(3=life_na,1-phi_0,0)))+$J$69/life_na*IF(2=0,phi_0,IF(2&lt;life_na,1,IF(2=life_na,1-phi_0,0)))+$K$69/life_na*IF(1=0,phi_0,IF(1&lt;life_na,1,IF(1=life_na,1-phi_0,0)))+$L$69/life_na*IF(0=0,phi_0,IF(0&lt;life_na,1,IF(0=life_na,1-phi_0,0)))</f>
        <v>0.0537</v>
      </c>
      <c r="M73" s="23" t="n">
        <f aca="false">$F$69/life_na*IF(6=0,phi_0,IF(6&lt;life_na,1,IF(6=life_na,1-phi_0,0)))+$H$69/life_na*IF(5=0,phi_0,IF(5&lt;life_na,1,IF(5=life_na,1-phi_0,0)))+$I$69/life_na*IF(4=0,phi_0,IF(4&lt;life_na,1,IF(4=life_na,1-phi_0,0)))+$J$69/life_na*IF(3=0,phi_0,IF(3&lt;life_na,1,IF(3=life_na,1-phi_0,0)))+$K$69/life_na*IF(2=0,phi_0,IF(2&lt;life_na,1,IF(2=life_na,1-phi_0,0)))+$L$69/life_na*IF(1=0,phi_0,IF(1&lt;life_na,1,IF(1=life_na,1-phi_0,0)))+$M$69/life_na*IF(0=0,phi_0,IF(0&lt;life_na,1,IF(0=life_na,1-phi_0,0)))</f>
        <v>0.0684</v>
      </c>
    </row>
    <row r="74" customFormat="false" ht="17.15" hidden="false" customHeight="false" outlineLevel="0" collapsed="false">
      <c r="A74" s="2" t="s">
        <v>941</v>
      </c>
      <c r="B74" s="7" t="s">
        <v>77</v>
      </c>
      <c r="F74" s="23" t="n">
        <f aca="false">F71+F72+F73</f>
        <v>0.527979997072668</v>
      </c>
      <c r="G74" s="23" t="n">
        <f aca="false">G71+G72+G73</f>
        <v>0.527979997072668</v>
      </c>
      <c r="H74" s="23" t="n">
        <f aca="false">H71+H72+H73</f>
        <v>3.3126225015625</v>
      </c>
      <c r="I74" s="23" t="n">
        <f aca="false">I71+I72+I73</f>
        <v>8.33626870797426</v>
      </c>
      <c r="J74" s="23" t="n">
        <f aca="false">J71+J72+J73</f>
        <v>14.2134883511455</v>
      </c>
      <c r="K74" s="23" t="n">
        <f aca="false">K71+K72+K73</f>
        <v>20.792097346824</v>
      </c>
      <c r="L74" s="23" t="n">
        <f aca="false">L71+L72+L73</f>
        <v>27.8939663936355</v>
      </c>
      <c r="M74" s="23" t="n">
        <f aca="false">M71+M72+M73</f>
        <v>35.5618886116136</v>
      </c>
    </row>
    <row r="76" customFormat="false" ht="17.15" hidden="false" customHeight="false" outlineLevel="0" collapsed="false">
      <c r="A76" s="26" t="s">
        <v>944</v>
      </c>
    </row>
    <row r="77" customFormat="false" ht="15" hidden="false" customHeight="false" outlineLevel="0" collapsed="false">
      <c r="A77" s="3" t="s">
        <v>44</v>
      </c>
      <c r="B77" s="3" t="s">
        <v>45</v>
      </c>
      <c r="C77" s="18" t="s">
        <v>829</v>
      </c>
      <c r="D77" s="18" t="s">
        <v>830</v>
      </c>
      <c r="E77" s="18" t="s">
        <v>831</v>
      </c>
      <c r="F77" s="18" t="s">
        <v>832</v>
      </c>
      <c r="G77" s="18" t="s">
        <v>833</v>
      </c>
      <c r="H77" s="18" t="s">
        <v>834</v>
      </c>
      <c r="I77" s="18" t="s">
        <v>835</v>
      </c>
      <c r="J77" s="18" t="s">
        <v>836</v>
      </c>
      <c r="K77" s="18" t="s">
        <v>837</v>
      </c>
      <c r="L77" s="18" t="s">
        <v>838</v>
      </c>
      <c r="M77" s="18" t="s">
        <v>839</v>
      </c>
      <c r="N77" s="3" t="s">
        <v>51</v>
      </c>
    </row>
    <row r="78" customFormat="false" ht="17.15" hidden="false" customHeight="false" outlineLevel="0" collapsed="false">
      <c r="A78" s="0" t="s">
        <v>908</v>
      </c>
      <c r="B78" s="0" t="s">
        <v>100</v>
      </c>
      <c r="F78" s="14" t="n">
        <f aca="false">g0_search</f>
        <v>0.168013211016221</v>
      </c>
      <c r="H78" s="14" t="n">
        <f aca="false">g0_search+(gl_search-g0_search)*MIN(1,(2027-2026)/conv_n)</f>
        <v>0.146009908262166</v>
      </c>
      <c r="I78" s="14" t="n">
        <f aca="false">g0_search+(gl_search-g0_search)*MIN(1,(2028-2026)/conv_n)</f>
        <v>0.124006605508111</v>
      </c>
      <c r="J78" s="14" t="n">
        <f aca="false">g0_search+(gl_search-g0_search)*MIN(1,(2029-2026)/conv_n)</f>
        <v>0.102003302754055</v>
      </c>
      <c r="K78" s="14" t="n">
        <f aca="false">g0_search+(gl_search-g0_search)*MIN(1,(2030-2026)/conv_n)</f>
        <v>0.08</v>
      </c>
      <c r="L78" s="14" t="n">
        <f aca="false">g0_search+(gl_search-g0_search)*MIN(1,(2031-2026)/conv_n)</f>
        <v>0.08</v>
      </c>
      <c r="M78" s="14" t="n">
        <f aca="false">g0_search+(gl_search-g0_search)*MIN(1,(2032-2026)/conv_n)</f>
        <v>0.08</v>
      </c>
      <c r="N78" s="7" t="s">
        <v>909</v>
      </c>
    </row>
    <row r="79" customFormat="false" ht="17.15" hidden="false" customHeight="false" outlineLevel="0" collapsed="false">
      <c r="A79" s="0" t="s">
        <v>910</v>
      </c>
      <c r="B79" s="0" t="s">
        <v>77</v>
      </c>
      <c r="C79" s="23" t="n">
        <f aca="false">Q!J5</f>
        <v>198.084</v>
      </c>
      <c r="D79" s="23" t="n">
        <f aca="false">Q!K5</f>
        <v>224.532</v>
      </c>
      <c r="E79" s="23" t="n">
        <f aca="false">Q!L5</f>
        <v>123.67</v>
      </c>
      <c r="F79" s="23" t="n">
        <f aca="false">(Q!F5+Q!G5)*(1+F78)</f>
        <v>139.741100565981</v>
      </c>
      <c r="G79" s="23" t="n">
        <f aca="false">E79+F79</f>
        <v>263.411100565981</v>
      </c>
      <c r="H79" s="23" t="n">
        <f aca="false">G79*(1+H78)</f>
        <v>301.871731194856</v>
      </c>
      <c r="I79" s="23" t="n">
        <f aca="false">H79*(1+I78)</f>
        <v>339.305819879187</v>
      </c>
      <c r="J79" s="23" t="n">
        <f aca="false">I79*(1+J78)</f>
        <v>373.916134150536</v>
      </c>
      <c r="K79" s="23" t="n">
        <f aca="false">J79*(1+K78)</f>
        <v>403.829424882579</v>
      </c>
      <c r="L79" s="23" t="n">
        <f aca="false">K79*(1+L78)</f>
        <v>436.135778873185</v>
      </c>
      <c r="M79" s="23" t="n">
        <f aca="false">L79*(1+M78)</f>
        <v>471.02664118304</v>
      </c>
    </row>
    <row r="80" customFormat="false" ht="17.15" hidden="false" customHeight="false" outlineLevel="0" collapsed="false">
      <c r="A80" s="4" t="s">
        <v>911</v>
      </c>
      <c r="B80" s="0" t="s">
        <v>120</v>
      </c>
      <c r="F80" s="20" t="n">
        <v>0</v>
      </c>
      <c r="H80" s="21" t="n">
        <f aca="false">MIN(1,(2027-2026)/conv_n)</f>
        <v>0.25</v>
      </c>
      <c r="I80" s="21" t="n">
        <f aca="false">MIN(1,(2028-2026)/conv_n)</f>
        <v>0.5</v>
      </c>
      <c r="J80" s="21" t="n">
        <f aca="false">MIN(1,(2029-2026)/conv_n)</f>
        <v>0.75</v>
      </c>
      <c r="K80" s="21" t="n">
        <f aca="false">MIN(1,(2030-2026)/conv_n)</f>
        <v>1</v>
      </c>
      <c r="L80" s="21" t="n">
        <f aca="false">MIN(1,(2031-2026)/conv_n)</f>
        <v>1</v>
      </c>
      <c r="M80" s="21" t="n">
        <f aca="false">MIN(1,(2032-2026)/conv_n)</f>
        <v>1</v>
      </c>
    </row>
    <row r="81" customFormat="false" ht="17.15" hidden="false" customHeight="false" outlineLevel="0" collapsed="false">
      <c r="A81" s="4" t="s">
        <v>912</v>
      </c>
      <c r="B81" s="0" t="s">
        <v>100</v>
      </c>
      <c r="F81" s="14" t="n">
        <f aca="false">dC*F80</f>
        <v>0</v>
      </c>
      <c r="H81" s="14" t="n">
        <f aca="false">dC*H80</f>
        <v>0.05</v>
      </c>
      <c r="I81" s="14" t="n">
        <f aca="false">dC*I80</f>
        <v>0.1</v>
      </c>
      <c r="J81" s="14" t="n">
        <f aca="false">dC*J80</f>
        <v>0.15</v>
      </c>
      <c r="K81" s="14" t="n">
        <f aca="false">dC*K80</f>
        <v>0.2</v>
      </c>
      <c r="L81" s="14" t="n">
        <f aca="false">dC*L80</f>
        <v>0.2</v>
      </c>
      <c r="M81" s="14" t="n">
        <f aca="false">dC*M80</f>
        <v>0.2</v>
      </c>
      <c r="N81" s="7" t="s">
        <v>945</v>
      </c>
    </row>
    <row r="82" customFormat="false" ht="17.15" hidden="false" customHeight="false" outlineLevel="0" collapsed="false">
      <c r="A82" s="4" t="s">
        <v>914</v>
      </c>
      <c r="B82" s="0" t="s">
        <v>100</v>
      </c>
      <c r="F82" s="14" t="n">
        <f aca="false">mC*F80</f>
        <v>-0</v>
      </c>
      <c r="H82" s="14" t="n">
        <f aca="false">mC*H80</f>
        <v>-0.025</v>
      </c>
      <c r="I82" s="14" t="n">
        <f aca="false">mC*I80</f>
        <v>-0.05</v>
      </c>
      <c r="J82" s="14" t="n">
        <f aca="false">mC*J80</f>
        <v>-0.075</v>
      </c>
      <c r="K82" s="14" t="n">
        <f aca="false">mC*K80</f>
        <v>-0.1</v>
      </c>
      <c r="L82" s="14" t="n">
        <f aca="false">mC*L80</f>
        <v>-0.1</v>
      </c>
      <c r="M82" s="14" t="n">
        <f aca="false">mC*M80</f>
        <v>-0.1</v>
      </c>
    </row>
    <row r="83" customFormat="false" ht="15" hidden="false" customHeight="false" outlineLevel="0" collapsed="false">
      <c r="A83" s="5" t="s">
        <v>723</v>
      </c>
      <c r="B83" s="7" t="s">
        <v>77</v>
      </c>
      <c r="C83" s="23" t="n">
        <f aca="false">C79</f>
        <v>198.084</v>
      </c>
      <c r="D83" s="23" t="n">
        <f aca="false">D79</f>
        <v>224.532</v>
      </c>
      <c r="E83" s="23" t="n">
        <f aca="false">E79</f>
        <v>123.67</v>
      </c>
      <c r="F83" s="23" t="n">
        <f aca="false">F79*(1-F81)*(1+F82)</f>
        <v>139.741100565981</v>
      </c>
      <c r="G83" s="23" t="n">
        <f aca="false">E83+F83</f>
        <v>263.411100565981</v>
      </c>
      <c r="H83" s="23" t="n">
        <f aca="false">H79*(1-H81)*(1+H82)</f>
        <v>279.608691019235</v>
      </c>
      <c r="I83" s="23" t="n">
        <f aca="false">I79*(1-I81)*(1+I82)</f>
        <v>290.106475996705</v>
      </c>
      <c r="J83" s="23" t="n">
        <f aca="false">J79*(1-J81)*(1+J82)</f>
        <v>293.991560475859</v>
      </c>
      <c r="K83" s="23" t="n">
        <f aca="false">K79*(1-K81)*(1+K82)</f>
        <v>290.757185915457</v>
      </c>
      <c r="L83" s="23" t="n">
        <f aca="false">L79*(1-L81)*(1+L82)</f>
        <v>314.017760788694</v>
      </c>
      <c r="M83" s="23" t="n">
        <f aca="false">M79*(1-M81)*(1+M82)</f>
        <v>339.139181651789</v>
      </c>
    </row>
    <row r="84" customFormat="false" ht="17.15" hidden="false" customHeight="false" outlineLevel="0" collapsed="false">
      <c r="A84" s="0" t="s">
        <v>915</v>
      </c>
      <c r="B84" s="0" t="s">
        <v>100</v>
      </c>
      <c r="F84" s="14" t="n">
        <f aca="false">g0_yt</f>
        <v>0.117139334155364</v>
      </c>
      <c r="H84" s="14" t="n">
        <f aca="false">g0_yt+(gl_yt-g0_yt)*MIN(1,(2027-2026)/conv_n)</f>
        <v>0.107854500616523</v>
      </c>
      <c r="I84" s="14" t="n">
        <f aca="false">g0_yt+(gl_yt-g0_yt)*MIN(1,(2028-2026)/conv_n)</f>
        <v>0.0985696670776819</v>
      </c>
      <c r="J84" s="14" t="n">
        <f aca="false">g0_yt+(gl_yt-g0_yt)*MIN(1,(2029-2026)/conv_n)</f>
        <v>0.0892848335388409</v>
      </c>
      <c r="K84" s="14" t="n">
        <f aca="false">g0_yt+(gl_yt-g0_yt)*MIN(1,(2030-2026)/conv_n)</f>
        <v>0.08</v>
      </c>
      <c r="L84" s="14" t="n">
        <f aca="false">g0_yt+(gl_yt-g0_yt)*MIN(1,(2031-2026)/conv_n)</f>
        <v>0.08</v>
      </c>
      <c r="M84" s="14" t="n">
        <f aca="false">g0_yt+(gl_yt-g0_yt)*MIN(1,(2032-2026)/conv_n)</f>
        <v>0.08</v>
      </c>
      <c r="N84" s="4" t="s">
        <v>916</v>
      </c>
    </row>
    <row r="85" customFormat="false" ht="15" hidden="false" customHeight="false" outlineLevel="0" collapsed="false">
      <c r="A85" s="5" t="s">
        <v>726</v>
      </c>
      <c r="B85" s="7" t="s">
        <v>77</v>
      </c>
      <c r="C85" s="23" t="n">
        <f aca="false">Q!J6</f>
        <v>36.147</v>
      </c>
      <c r="D85" s="23" t="n">
        <f aca="false">Q!K6</f>
        <v>40.367</v>
      </c>
      <c r="E85" s="23" t="n">
        <f aca="false">Q!L6</f>
        <v>20.938</v>
      </c>
      <c r="F85" s="23" t="n">
        <f aca="false">(Q!F6+Q!G6)*(1+F84)</f>
        <v>24.1793637484587</v>
      </c>
      <c r="G85" s="23" t="n">
        <f aca="false">E85+F85</f>
        <v>45.1173637484587</v>
      </c>
      <c r="H85" s="23" t="n">
        <f aca="false">G85*(1+H84)</f>
        <v>49.9834744846827</v>
      </c>
      <c r="I85" s="23" t="n">
        <f aca="false">H85*(1+I84)</f>
        <v>54.9103289240237</v>
      </c>
      <c r="J85" s="23" t="n">
        <f aca="false">I85*(1+J84)</f>
        <v>59.8129885015682</v>
      </c>
      <c r="K85" s="23" t="n">
        <f aca="false">J85*(1+K84)</f>
        <v>64.5980275816936</v>
      </c>
      <c r="L85" s="23" t="n">
        <f aca="false">K85*(1+L84)</f>
        <v>69.7658697882291</v>
      </c>
      <c r="M85" s="23" t="n">
        <f aca="false">L85*(1+M84)</f>
        <v>75.3471393712874</v>
      </c>
    </row>
    <row r="86" customFormat="false" ht="17.15" hidden="false" customHeight="false" outlineLevel="0" collapsed="false">
      <c r="A86" s="0" t="s">
        <v>917</v>
      </c>
      <c r="B86" s="0" t="s">
        <v>100</v>
      </c>
      <c r="F86" s="14" t="n">
        <f aca="false">g0_net</f>
        <v>-0.0217853347502657</v>
      </c>
      <c r="H86" s="14" t="n">
        <f aca="false">g0_net+(gl_net-g0_net)*MIN(1,(2027-2026)/conv_n)</f>
        <v>-0.0163390010626993</v>
      </c>
      <c r="I86" s="14" t="n">
        <f aca="false">g0_net+(gl_net-g0_net)*MIN(1,(2028-2026)/conv_n)</f>
        <v>-0.0108926673751328</v>
      </c>
      <c r="J86" s="14" t="n">
        <f aca="false">g0_net+(gl_net-g0_net)*MIN(1,(2029-2026)/conv_n)</f>
        <v>-0.00544633368756642</v>
      </c>
      <c r="K86" s="14" t="n">
        <f aca="false">g0_net+(gl_net-g0_net)*MIN(1,(2030-2026)/conv_n)</f>
        <v>0</v>
      </c>
      <c r="L86" s="14" t="n">
        <f aca="false">g0_net+(gl_net-g0_net)*MIN(1,(2031-2026)/conv_n)</f>
        <v>0</v>
      </c>
      <c r="M86" s="14" t="n">
        <f aca="false">g0_net+(gl_net-g0_net)*MIN(1,(2032-2026)/conv_n)</f>
        <v>0</v>
      </c>
      <c r="N86" s="4" t="s">
        <v>916</v>
      </c>
    </row>
    <row r="87" customFormat="false" ht="15" hidden="false" customHeight="false" outlineLevel="0" collapsed="false">
      <c r="A87" s="5" t="s">
        <v>727</v>
      </c>
      <c r="B87" s="7" t="s">
        <v>77</v>
      </c>
      <c r="C87" s="23" t="n">
        <f aca="false">Q!J7</f>
        <v>30.359</v>
      </c>
      <c r="D87" s="23" t="n">
        <f aca="false">Q!K7</f>
        <v>29.792</v>
      </c>
      <c r="E87" s="23" t="n">
        <f aca="false">Q!L7</f>
        <v>14.274</v>
      </c>
      <c r="F87" s="23" t="n">
        <f aca="false">(Q!F7+Q!G7)*(1+F86)</f>
        <v>14.8512550478215</v>
      </c>
      <c r="G87" s="23" t="n">
        <f aca="false">E87+F87</f>
        <v>29.1252550478215</v>
      </c>
      <c r="H87" s="23" t="n">
        <f aca="false">G87*(1+H86)</f>
        <v>28.6493774746437</v>
      </c>
      <c r="I87" s="23" t="n">
        <f aca="false">H87*(1+I86)</f>
        <v>28.3373093353078</v>
      </c>
      <c r="J87" s="23" t="n">
        <f aca="false">I87*(1+J86)</f>
        <v>28.1829748928599</v>
      </c>
      <c r="K87" s="23" t="n">
        <f aca="false">J87*(1+K86)</f>
        <v>28.1829748928599</v>
      </c>
      <c r="L87" s="23" t="n">
        <f aca="false">K87*(1+L86)</f>
        <v>28.1829748928599</v>
      </c>
      <c r="M87" s="23" t="n">
        <f aca="false">L87*(1+M86)</f>
        <v>28.1829748928599</v>
      </c>
    </row>
    <row r="88" customFormat="false" ht="17.15" hidden="false" customHeight="false" outlineLevel="0" collapsed="false">
      <c r="A88" s="0" t="s">
        <v>918</v>
      </c>
      <c r="B88" s="0" t="s">
        <v>100</v>
      </c>
      <c r="F88" s="14" t="n">
        <f aca="false">g0_subs</f>
        <v>0.179435162180028</v>
      </c>
      <c r="H88" s="14" t="n">
        <f aca="false">g0_subs+(gl_subs-g0_subs)*MIN(1,(2027-2026)/conv_n)</f>
        <v>0.159576371635021</v>
      </c>
      <c r="I88" s="14" t="n">
        <f aca="false">g0_subs+(gl_subs-g0_subs)*MIN(1,(2028-2026)/conv_n)</f>
        <v>0.139717581090014</v>
      </c>
      <c r="J88" s="14" t="n">
        <f aca="false">g0_subs+(gl_subs-g0_subs)*MIN(1,(2029-2026)/conv_n)</f>
        <v>0.119858790545007</v>
      </c>
      <c r="K88" s="14" t="n">
        <f aca="false">g0_subs+(gl_subs-g0_subs)*MIN(1,(2030-2026)/conv_n)</f>
        <v>0.1</v>
      </c>
      <c r="L88" s="14" t="n">
        <f aca="false">g0_subs+(gl_subs-g0_subs)*MIN(1,(2031-2026)/conv_n)</f>
        <v>0.1</v>
      </c>
      <c r="M88" s="14" t="n">
        <f aca="false">g0_subs+(gl_subs-g0_subs)*MIN(1,(2032-2026)/conv_n)</f>
        <v>0.1</v>
      </c>
      <c r="N88" s="4" t="s">
        <v>916</v>
      </c>
    </row>
    <row r="89" customFormat="false" ht="15" hidden="false" customHeight="false" outlineLevel="0" collapsed="false">
      <c r="A89" s="5" t="s">
        <v>728</v>
      </c>
      <c r="B89" s="7" t="s">
        <v>77</v>
      </c>
      <c r="C89" s="23" t="n">
        <f aca="false">Q!J8</f>
        <v>40.34</v>
      </c>
      <c r="D89" s="23" t="n">
        <f aca="false">Q!K8</f>
        <v>48.03</v>
      </c>
      <c r="E89" s="23" t="n">
        <f aca="false">Q!L8</f>
        <v>25.295</v>
      </c>
      <c r="F89" s="23" t="n">
        <f aca="false">(Q!F8+Q!G8)*(1+F88)</f>
        <v>31.1937011693374</v>
      </c>
      <c r="G89" s="23" t="n">
        <f aca="false">E89+F89</f>
        <v>56.4887011693374</v>
      </c>
      <c r="H89" s="23" t="n">
        <f aca="false">G89*(1+H88)</f>
        <v>65.5029631403152</v>
      </c>
      <c r="I89" s="23" t="n">
        <f aca="false">H89*(1+I88)</f>
        <v>74.6548787045084</v>
      </c>
      <c r="J89" s="23" t="n">
        <f aca="false">I89*(1+J88)</f>
        <v>83.602922174315</v>
      </c>
      <c r="K89" s="23" t="n">
        <f aca="false">J89*(1+K88)</f>
        <v>91.9632143917465</v>
      </c>
      <c r="L89" s="23" t="n">
        <f aca="false">K89*(1+L88)</f>
        <v>101.159535830921</v>
      </c>
      <c r="M89" s="23" t="n">
        <f aca="false">L89*(1+M88)</f>
        <v>111.275489414013</v>
      </c>
    </row>
    <row r="90" customFormat="false" ht="15" hidden="false" customHeight="false" outlineLevel="0" collapsed="false">
      <c r="A90" s="27" t="s">
        <v>919</v>
      </c>
      <c r="B90" s="28" t="s">
        <v>77</v>
      </c>
      <c r="C90" s="29" t="n">
        <f aca="false">Q!J9</f>
        <v>304.93</v>
      </c>
      <c r="D90" s="29" t="n">
        <f aca="false">Q!K9</f>
        <v>342.721</v>
      </c>
      <c r="E90" s="29" t="n">
        <f aca="false">Q!L9</f>
        <v>184.177</v>
      </c>
      <c r="F90" s="29" t="n">
        <f aca="false">F83+F85+F87+F89</f>
        <v>209.965420531598</v>
      </c>
      <c r="G90" s="29" t="n">
        <f aca="false">E90+F90</f>
        <v>394.142420531598</v>
      </c>
      <c r="H90" s="29" t="n">
        <f aca="false">H83+H85+H87+H89</f>
        <v>423.744506118877</v>
      </c>
      <c r="I90" s="29" t="n">
        <f aca="false">I83+I85+I87+I89</f>
        <v>448.008992960544</v>
      </c>
      <c r="J90" s="29" t="n">
        <f aca="false">J83+J85+J87+J89</f>
        <v>465.590446044602</v>
      </c>
      <c r="K90" s="29" t="n">
        <f aca="false">K83+K85+K87+K89</f>
        <v>475.501402781757</v>
      </c>
      <c r="L90" s="29" t="n">
        <f aca="false">L83+L85+L87+L89</f>
        <v>513.126141300704</v>
      </c>
      <c r="M90" s="29" t="n">
        <f aca="false">M83+M85+M87+M89</f>
        <v>553.94478532995</v>
      </c>
      <c r="N90" s="28"/>
    </row>
    <row r="91" customFormat="false" ht="17.15" hidden="false" customHeight="false" outlineLevel="0" collapsed="false">
      <c r="A91" s="0" t="s">
        <v>920</v>
      </c>
      <c r="B91" s="0" t="s">
        <v>77</v>
      </c>
      <c r="E91" s="23" t="n">
        <f aca="false">Thesis!E38</f>
        <v>9.75837289307536</v>
      </c>
      <c r="F91" s="23" t="n">
        <f aca="false">Thesis!F38</f>
        <v>13.072238179387</v>
      </c>
      <c r="G91" s="23" t="n">
        <f aca="false">Thesis!G38</f>
        <v>22.8306110724624</v>
      </c>
      <c r="H91" s="23" t="n">
        <f aca="false">Thesis!H38</f>
        <v>38.882857987105</v>
      </c>
      <c r="I91" s="23" t="n">
        <f aca="false">Thesis!I38</f>
        <v>56.7035586757632</v>
      </c>
      <c r="J91" s="23" t="n">
        <f aca="false">Thesis!J38</f>
        <v>73.012119150783</v>
      </c>
      <c r="K91" s="23" t="n">
        <f aca="false">Thesis!K38</f>
        <v>85.4001792660974</v>
      </c>
      <c r="L91" s="23" t="n">
        <f aca="false">Thesis!L38</f>
        <v>94.0392600856694</v>
      </c>
      <c r="M91" s="23" t="n">
        <f aca="false">Thesis!M38</f>
        <v>99.0170129701231</v>
      </c>
      <c r="N91" s="7" t="s">
        <v>921</v>
      </c>
    </row>
    <row r="92" customFormat="false" ht="17.15" hidden="false" customHeight="false" outlineLevel="0" collapsed="false">
      <c r="A92" s="0" t="s">
        <v>922</v>
      </c>
      <c r="B92" s="0" t="s">
        <v>77</v>
      </c>
      <c r="E92" s="25" t="n">
        <v>0</v>
      </c>
      <c r="F92" s="23" t="n">
        <f aca="false">tpu_2h</f>
        <v>1</v>
      </c>
      <c r="G92" s="23" t="n">
        <f aca="false">E92+F92</f>
        <v>1</v>
      </c>
      <c r="H92" s="23" t="n">
        <f aca="false">tpu_yr</f>
        <v>13</v>
      </c>
      <c r="I92" s="23" t="n">
        <f aca="false">tpu_yr</f>
        <v>13</v>
      </c>
      <c r="J92" s="23" t="n">
        <f aca="false">tpu_yr</f>
        <v>13</v>
      </c>
      <c r="K92" s="23" t="n">
        <f aca="false">tpu_yr</f>
        <v>13</v>
      </c>
      <c r="L92" s="23" t="n">
        <f aca="false">tpu_yr</f>
        <v>13</v>
      </c>
      <c r="M92" s="23" t="n">
        <f aca="false">tpu_yr</f>
        <v>13</v>
      </c>
      <c r="N92" s="7" t="s">
        <v>923</v>
      </c>
    </row>
    <row r="93" customFormat="false" ht="17.15" hidden="false" customHeight="false" outlineLevel="0" collapsed="false">
      <c r="A93" s="0" t="s">
        <v>924</v>
      </c>
      <c r="B93" s="0" t="s">
        <v>100</v>
      </c>
      <c r="F93" s="14" t="n">
        <f aca="false">g0_co</f>
        <v>0.463122459535209</v>
      </c>
      <c r="H93" s="14" t="n">
        <f aca="false">g0_co+(gl_co-g0_co)*MIN(1,(2027-2026)/conv_n)</f>
        <v>0.367341844651407</v>
      </c>
      <c r="I93" s="14" t="n">
        <f aca="false">g0_co+(gl_co-g0_co)*MIN(1,(2028-2026)/conv_n)</f>
        <v>0.271561229767605</v>
      </c>
      <c r="J93" s="14" t="n">
        <f aca="false">g0_co+(gl_co-g0_co)*MIN(1,(2029-2026)/conv_n)</f>
        <v>0.175780614883802</v>
      </c>
      <c r="K93" s="14" t="n">
        <f aca="false">g0_co+(gl_co-g0_co)*MIN(1,(2030-2026)/conv_n)</f>
        <v>0.08</v>
      </c>
      <c r="L93" s="14" t="n">
        <f aca="false">g0_co+(gl_co-g0_co)*MIN(1,(2031-2026)/conv_n)</f>
        <v>0.08</v>
      </c>
      <c r="M93" s="14" t="n">
        <f aca="false">g0_co+(gl_co-g0_co)*MIN(1,(2032-2026)/conv_n)</f>
        <v>0.08</v>
      </c>
      <c r="N93" s="4" t="s">
        <v>925</v>
      </c>
    </row>
    <row r="94" customFormat="false" ht="17.15" hidden="false" customHeight="false" outlineLevel="0" collapsed="false">
      <c r="A94" s="0" t="s">
        <v>926</v>
      </c>
      <c r="B94" s="0" t="s">
        <v>77</v>
      </c>
      <c r="E94" s="23" t="n">
        <f aca="false">Q!L11-E91-E92</f>
        <v>35.0376271069246</v>
      </c>
      <c r="F94" s="23" t="n">
        <f aca="false">E94*(1+F93)^0.5</f>
        <v>42.3813732550541</v>
      </c>
      <c r="G94" s="23" t="n">
        <f aca="false">E94+F94</f>
        <v>77.4190003619788</v>
      </c>
      <c r="H94" s="23" t="n">
        <f aca="false">G94*(1+H93)</f>
        <v>105.858238766016</v>
      </c>
      <c r="I94" s="23" t="n">
        <f aca="false">H94*(1+I93)</f>
        <v>134.605232266348</v>
      </c>
      <c r="J94" s="23" t="n">
        <f aca="false">I94*(1+J93)</f>
        <v>158.266222760704</v>
      </c>
      <c r="K94" s="23" t="n">
        <f aca="false">J94*(1+K93)</f>
        <v>170.92752058156</v>
      </c>
      <c r="L94" s="23" t="n">
        <f aca="false">K94*(1+L93)</f>
        <v>184.601722228085</v>
      </c>
      <c r="M94" s="23" t="n">
        <f aca="false">L94*(1+M93)</f>
        <v>199.369860006332</v>
      </c>
      <c r="N94" s="7" t="s">
        <v>927</v>
      </c>
    </row>
    <row r="95" customFormat="false" ht="15" hidden="false" customHeight="false" outlineLevel="0" collapsed="false">
      <c r="A95" s="27" t="s">
        <v>928</v>
      </c>
      <c r="B95" s="28" t="s">
        <v>77</v>
      </c>
      <c r="C95" s="29" t="n">
        <f aca="false">Q!J11</f>
        <v>43.229</v>
      </c>
      <c r="D95" s="29" t="n">
        <f aca="false">Q!K11</f>
        <v>58.705</v>
      </c>
      <c r="E95" s="29" t="n">
        <f aca="false">Q!L11</f>
        <v>44.796</v>
      </c>
      <c r="F95" s="29" t="n">
        <f aca="false">F91+F92+F94</f>
        <v>56.4536114344411</v>
      </c>
      <c r="G95" s="29" t="n">
        <f aca="false">E95+F95</f>
        <v>101.249611434441</v>
      </c>
      <c r="H95" s="29" t="n">
        <f aca="false">H91+H92+H94</f>
        <v>157.741096753121</v>
      </c>
      <c r="I95" s="29" t="n">
        <f aca="false">I91+I92+I94</f>
        <v>204.308790942111</v>
      </c>
      <c r="J95" s="29" t="n">
        <f aca="false">J91+J92+J94</f>
        <v>244.278341911487</v>
      </c>
      <c r="K95" s="29" t="n">
        <f aca="false">K91+K92+K94</f>
        <v>269.327699847657</v>
      </c>
      <c r="L95" s="29" t="n">
        <f aca="false">L91+L92+L94</f>
        <v>291.640982313754</v>
      </c>
      <c r="M95" s="29" t="n">
        <f aca="false">M91+M92+M94</f>
        <v>311.386872976455</v>
      </c>
      <c r="N95" s="28"/>
    </row>
    <row r="96" customFormat="false" ht="15" hidden="false" customHeight="false" outlineLevel="0" collapsed="false">
      <c r="A96" s="27" t="s">
        <v>929</v>
      </c>
      <c r="B96" s="28" t="s">
        <v>77</v>
      </c>
      <c r="C96" s="29" t="n">
        <f aca="false">Q!J12</f>
        <v>1.648</v>
      </c>
      <c r="D96" s="29" t="n">
        <f aca="false">Q!K12</f>
        <v>1.537</v>
      </c>
      <c r="E96" s="29" t="n">
        <f aca="false">Q!L12</f>
        <v>0.793</v>
      </c>
      <c r="F96" s="29" t="n">
        <f aca="false">ob_rev_2H</f>
        <v>0.75</v>
      </c>
      <c r="G96" s="29" t="n">
        <f aca="false">E96+F96</f>
        <v>1.543</v>
      </c>
      <c r="H96" s="29" t="n">
        <f aca="false">ob_rev_27</f>
        <v>1.6</v>
      </c>
      <c r="I96" s="29" t="n">
        <f aca="false">ob_rev_28</f>
        <v>1.8</v>
      </c>
      <c r="J96" s="29" t="n">
        <f aca="false">ob_rev_29</f>
        <v>2</v>
      </c>
      <c r="K96" s="29" t="n">
        <f aca="false">ob_rev_30</f>
        <v>2.2</v>
      </c>
      <c r="L96" s="29" t="n">
        <f aca="false">ob_rev_31</f>
        <v>2.4</v>
      </c>
      <c r="M96" s="29" t="n">
        <f aca="false">ob_rev_32</f>
        <v>2.6</v>
      </c>
      <c r="N96" s="28"/>
    </row>
    <row r="97" customFormat="false" ht="17.15" hidden="false" customHeight="false" outlineLevel="0" collapsed="false">
      <c r="A97" s="0" t="s">
        <v>930</v>
      </c>
      <c r="B97" s="0" t="s">
        <v>77</v>
      </c>
      <c r="C97" s="23" t="n">
        <f aca="false">Q!J13</f>
        <v>0.211</v>
      </c>
      <c r="D97" s="23" t="n">
        <f aca="false">Q!K13</f>
        <v>-0.127</v>
      </c>
      <c r="E97" s="23" t="n">
        <f aca="false">Q!L13</f>
        <v>-0.074</v>
      </c>
      <c r="F97" s="25" t="n">
        <v>0</v>
      </c>
      <c r="G97" s="23" t="n">
        <f aca="false">E97+F97</f>
        <v>-0.074</v>
      </c>
      <c r="H97" s="25" t="n">
        <v>0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  <c r="N97" s="7" t="s">
        <v>931</v>
      </c>
    </row>
    <row r="98" customFormat="false" ht="15" hidden="false" customHeight="false" outlineLevel="0" collapsed="false">
      <c r="A98" s="2" t="s">
        <v>735</v>
      </c>
      <c r="B98" s="7" t="s">
        <v>77</v>
      </c>
      <c r="C98" s="23" t="n">
        <f aca="false">Q!J14</f>
        <v>350.018</v>
      </c>
      <c r="D98" s="23" t="n">
        <f aca="false">Q!K14</f>
        <v>402.836</v>
      </c>
      <c r="E98" s="23" t="n">
        <f aca="false">Q!L14</f>
        <v>229.692</v>
      </c>
      <c r="F98" s="23" t="n">
        <f aca="false">F90+F95+F96+F97</f>
        <v>267.169031966039</v>
      </c>
      <c r="G98" s="23" t="n">
        <f aca="false">E98+F98</f>
        <v>496.861031966039</v>
      </c>
      <c r="H98" s="23" t="n">
        <f aca="false">H90+H95+H96+H97</f>
        <v>583.085602871998</v>
      </c>
      <c r="I98" s="23" t="n">
        <f aca="false">I90+I95+I96+I97</f>
        <v>654.117783902656</v>
      </c>
      <c r="J98" s="23" t="n">
        <f aca="false">J90+J95+J96+J97</f>
        <v>711.868787956089</v>
      </c>
      <c r="K98" s="23" t="n">
        <f aca="false">K90+K95+K96+K97</f>
        <v>747.029102629414</v>
      </c>
      <c r="L98" s="23" t="n">
        <f aca="false">L90+L95+L96+L97</f>
        <v>807.167123614458</v>
      </c>
      <c r="M98" s="23" t="n">
        <f aca="false">M90+M95+M96+M97</f>
        <v>867.931658306404</v>
      </c>
    </row>
    <row r="99" customFormat="false" ht="17.15" hidden="false" customHeight="false" outlineLevel="0" collapsed="false">
      <c r="A99" s="4" t="s">
        <v>730</v>
      </c>
      <c r="B99" s="0" t="s">
        <v>77</v>
      </c>
      <c r="C99" s="19" t="n">
        <f aca="false">C83+C85+C87+C89-C90</f>
        <v>0</v>
      </c>
      <c r="D99" s="19" t="n">
        <f aca="false">D83+D85+D87+D89-D90</f>
        <v>0</v>
      </c>
      <c r="E99" s="19" t="n">
        <f aca="false">E83+E85+E87+E89-E90</f>
        <v>0</v>
      </c>
      <c r="F99" s="19" t="n">
        <f aca="false">F83+F85+F87+F89-F90</f>
        <v>0</v>
      </c>
      <c r="G99" s="19" t="n">
        <f aca="false">G83+G85+G87+G89-G90</f>
        <v>0</v>
      </c>
      <c r="H99" s="19" t="n">
        <f aca="false">H83+H85+H87+H89-H90</f>
        <v>0</v>
      </c>
      <c r="I99" s="19" t="n">
        <f aca="false">I83+I85+I87+I89-I90</f>
        <v>0</v>
      </c>
      <c r="J99" s="19" t="n">
        <f aca="false">J83+J85+J87+J89-J90</f>
        <v>0</v>
      </c>
      <c r="K99" s="19" t="n">
        <f aca="false">K83+K85+K87+K89-K90</f>
        <v>0</v>
      </c>
      <c r="L99" s="19" t="n">
        <f aca="false">L83+L85+L87+L89-L90</f>
        <v>0</v>
      </c>
      <c r="M99" s="19" t="n">
        <f aca="false">M83+M85+M87+M89-M90</f>
        <v>0</v>
      </c>
    </row>
    <row r="100" customFormat="false" ht="17.15" hidden="false" customHeight="false" outlineLevel="0" collapsed="false">
      <c r="A100" s="4" t="s">
        <v>932</v>
      </c>
      <c r="B100" s="0" t="s">
        <v>77</v>
      </c>
      <c r="E100" s="19" t="n">
        <f aca="false">E91+E92+E94-E95</f>
        <v>0</v>
      </c>
      <c r="F100" s="19" t="n">
        <f aca="false">F91+F92+F94-F95</f>
        <v>0</v>
      </c>
      <c r="G100" s="19" t="n">
        <f aca="false">G91+G92+G94-G95</f>
        <v>0</v>
      </c>
      <c r="H100" s="19" t="n">
        <f aca="false">H91+H92+H94-H95</f>
        <v>0</v>
      </c>
      <c r="I100" s="19" t="n">
        <f aca="false">I91+I92+I94-I95</f>
        <v>0</v>
      </c>
      <c r="J100" s="19" t="n">
        <f aca="false">J91+J92+J94-J95</f>
        <v>0</v>
      </c>
      <c r="K100" s="19" t="n">
        <f aca="false">K91+K92+K94-K95</f>
        <v>0</v>
      </c>
      <c r="L100" s="19" t="n">
        <f aca="false">L91+L92+L94-L95</f>
        <v>0</v>
      </c>
      <c r="M100" s="19" t="n">
        <f aca="false">M91+M92+M94-M95</f>
        <v>0</v>
      </c>
    </row>
    <row r="101" customFormat="false" ht="15" hidden="false" customHeight="false" outlineLevel="0" collapsed="false">
      <c r="A101" s="4" t="s">
        <v>736</v>
      </c>
      <c r="B101" s="0" t="s">
        <v>77</v>
      </c>
      <c r="C101" s="19" t="n">
        <f aca="false">C90+C95+C96+C97-C98</f>
        <v>0</v>
      </c>
      <c r="D101" s="19" t="n">
        <f aca="false">D90+D95+D96+D97-D98</f>
        <v>0</v>
      </c>
      <c r="E101" s="19" t="n">
        <f aca="false">E90+E95+E96+E97-E98</f>
        <v>0</v>
      </c>
      <c r="F101" s="19" t="n">
        <f aca="false">F90+F95+F96+F97-F98</f>
        <v>0</v>
      </c>
      <c r="G101" s="19" t="n">
        <f aca="false">G90+G95+G96+G97-G98</f>
        <v>0</v>
      </c>
      <c r="H101" s="19" t="n">
        <f aca="false">H90+H95+H96+H97-H98</f>
        <v>0</v>
      </c>
      <c r="I101" s="19" t="n">
        <f aca="false">I90+I95+I96+I97-I98</f>
        <v>0</v>
      </c>
      <c r="J101" s="19" t="n">
        <f aca="false">J90+J95+J96+J97-J98</f>
        <v>0</v>
      </c>
      <c r="K101" s="19" t="n">
        <f aca="false">K90+K95+K96+K97-K98</f>
        <v>0</v>
      </c>
      <c r="L101" s="19" t="n">
        <f aca="false">L90+L95+L96+L97-L98</f>
        <v>0</v>
      </c>
      <c r="M101" s="19" t="n">
        <f aca="false">M90+M95+M96+M97-M98</f>
        <v>0</v>
      </c>
    </row>
    <row r="102" customFormat="false" ht="17.15" hidden="false" customHeight="false" outlineLevel="0" collapsed="false">
      <c r="A102" s="4" t="s">
        <v>933</v>
      </c>
      <c r="B102" s="0" t="s">
        <v>77</v>
      </c>
      <c r="C102" s="19" t="n">
        <f aca="false">C98-Q!J14</f>
        <v>0</v>
      </c>
      <c r="D102" s="19" t="n">
        <f aca="false">D98-Q!K14</f>
        <v>0</v>
      </c>
      <c r="E102" s="19" t="n">
        <f aca="false">E98-Q!L14</f>
        <v>0</v>
      </c>
    </row>
    <row r="103" customFormat="false" ht="17.15" hidden="false" customHeight="false" outlineLevel="0" collapsed="false">
      <c r="A103" s="4" t="s">
        <v>934</v>
      </c>
      <c r="B103" s="0" t="s">
        <v>77</v>
      </c>
      <c r="F103" s="23" t="n">
        <f aca="false">F90*cx_svc</f>
        <v>12.5979252318959</v>
      </c>
      <c r="G103" s="23" t="n">
        <f aca="false">F103</f>
        <v>12.5979252318959</v>
      </c>
      <c r="H103" s="23" t="n">
        <f aca="false">H90*cx_svc</f>
        <v>25.4246703671326</v>
      </c>
      <c r="I103" s="23" t="n">
        <f aca="false">I90*cx_svc</f>
        <v>26.8805395776327</v>
      </c>
      <c r="J103" s="23" t="n">
        <f aca="false">J90*cx_svc</f>
        <v>27.9354267626761</v>
      </c>
      <c r="K103" s="23" t="n">
        <f aca="false">K90*cx_svc</f>
        <v>28.5300841669054</v>
      </c>
      <c r="L103" s="23" t="n">
        <f aca="false">L90*cx_svc</f>
        <v>30.7875684780422</v>
      </c>
      <c r="M103" s="23" t="n">
        <f aca="false">M90*cx_svc</f>
        <v>33.236687119797</v>
      </c>
    </row>
    <row r="104" customFormat="false" ht="17.15" hidden="false" customHeight="false" outlineLevel="0" collapsed="false">
      <c r="A104" s="4" t="s">
        <v>935</v>
      </c>
      <c r="B104" s="0" t="s">
        <v>77</v>
      </c>
      <c r="F104" s="23" t="n">
        <f aca="false">F94*cx_co</f>
        <v>8.47627465101083</v>
      </c>
      <c r="G104" s="23" t="n">
        <f aca="false">F104</f>
        <v>8.47627465101083</v>
      </c>
      <c r="H104" s="23" t="n">
        <f aca="false">H94*cx_co</f>
        <v>21.1716477532032</v>
      </c>
      <c r="I104" s="23" t="n">
        <f aca="false">I94*cx_co</f>
        <v>26.9210464532696</v>
      </c>
      <c r="J104" s="23" t="n">
        <f aca="false">J94*cx_co</f>
        <v>31.6532445521407</v>
      </c>
      <c r="K104" s="23" t="n">
        <f aca="false">K94*cx_co</f>
        <v>34.185504116312</v>
      </c>
      <c r="L104" s="23" t="n">
        <f aca="false">L94*cx_co</f>
        <v>36.920344445617</v>
      </c>
      <c r="M104" s="23" t="n">
        <f aca="false">M94*cx_co</f>
        <v>39.8739720012663</v>
      </c>
    </row>
    <row r="105" customFormat="false" ht="17.15" hidden="false" customHeight="false" outlineLevel="0" collapsed="false">
      <c r="A105" s="4" t="s">
        <v>936</v>
      </c>
      <c r="B105" s="0" t="s">
        <v>77</v>
      </c>
      <c r="F105" s="23" t="n">
        <f aca="false">F96*cx_ob</f>
        <v>0.045</v>
      </c>
      <c r="G105" s="23" t="n">
        <f aca="false">F105</f>
        <v>0.045</v>
      </c>
      <c r="H105" s="23" t="n">
        <f aca="false">H96*cx_ob</f>
        <v>0.096</v>
      </c>
      <c r="I105" s="23" t="n">
        <f aca="false">I96*cx_ob</f>
        <v>0.108</v>
      </c>
      <c r="J105" s="23" t="n">
        <f aca="false">J96*cx_ob</f>
        <v>0.12</v>
      </c>
      <c r="K105" s="23" t="n">
        <f aca="false">K96*cx_ob</f>
        <v>0.132</v>
      </c>
      <c r="L105" s="23" t="n">
        <f aca="false">L96*cx_ob</f>
        <v>0.144</v>
      </c>
      <c r="M105" s="23" t="n">
        <f aca="false">M96*cx_ob</f>
        <v>0.156</v>
      </c>
    </row>
    <row r="106" customFormat="false" ht="17.15" hidden="false" customHeight="false" outlineLevel="0" collapsed="false">
      <c r="A106" s="2" t="s">
        <v>937</v>
      </c>
      <c r="B106" s="7" t="s">
        <v>77</v>
      </c>
      <c r="F106" s="23" t="n">
        <f aca="false">F103+F104+F105</f>
        <v>21.1191998829067</v>
      </c>
      <c r="G106" s="23" t="n">
        <f aca="false">G103+G104+G105</f>
        <v>21.1191998829067</v>
      </c>
      <c r="H106" s="23" t="n">
        <f aca="false">H103+H104+H105</f>
        <v>46.6923181203358</v>
      </c>
      <c r="I106" s="23" t="n">
        <f aca="false">I103+I104+I105</f>
        <v>53.9095860309023</v>
      </c>
      <c r="J106" s="23" t="n">
        <f aca="false">J103+J104+J105</f>
        <v>59.7086713148169</v>
      </c>
      <c r="K106" s="23" t="n">
        <f aca="false">K103+K104+K105</f>
        <v>62.8475882832174</v>
      </c>
      <c r="L106" s="23" t="n">
        <f aca="false">L103+L104+L105</f>
        <v>67.8519129236592</v>
      </c>
      <c r="M106" s="23" t="n">
        <f aca="false">M103+M104+M105</f>
        <v>73.2666591210633</v>
      </c>
    </row>
    <row r="107" customFormat="false" ht="17.15" hidden="false" customHeight="false" outlineLevel="0" collapsed="false">
      <c r="A107" s="4" t="s">
        <v>938</v>
      </c>
      <c r="B107" s="0" t="s">
        <v>77</v>
      </c>
      <c r="F107" s="23" t="n">
        <f aca="false">$F$103/life_na*IF(0=0,phi_0,IF(0&lt;life_na,1,IF(0=life_na,1-phi_0,0)))</f>
        <v>0.314948130797397</v>
      </c>
      <c r="G107" s="23" t="n">
        <f aca="false">F107</f>
        <v>0.314948130797397</v>
      </c>
      <c r="H107" s="23" t="n">
        <f aca="false">$F$103/life_na*IF(1=0,phi_0,IF(1&lt;life_na,1,IF(1=life_na,1-phi_0,0)))+$H$103/life_na*IF(0=0,phi_0,IF(0&lt;life_na,1,IF(0=life_na,1-phi_0,0)))</f>
        <v>1.8954092823679</v>
      </c>
      <c r="I107" s="23" t="n">
        <f aca="false">$F$103/life_na*IF(2=0,phi_0,IF(2&lt;life_na,1,IF(2=life_na,1-phi_0,0)))+$H$103/life_na*IF(1=0,phi_0,IF(1&lt;life_na,1,IF(1=life_na,1-phi_0,0)))+$I$103/life_na*IF(0=0,phi_0,IF(0&lt;life_na,1,IF(0=life_na,1-phi_0,0)))</f>
        <v>4.47427304934367</v>
      </c>
      <c r="J107" s="23" t="n">
        <f aca="false">$F$103/life_na*IF(3=0,phi_0,IF(3&lt;life_na,1,IF(3=life_na,1-phi_0,0)))+$H$103/life_na*IF(2=0,phi_0,IF(2&lt;life_na,1,IF(2=life_na,1-phi_0,0)))+$I$103/life_na*IF(1=0,phi_0,IF(1&lt;life_na,1,IF(1=life_na,1-phi_0,0)))+$J$103/life_na*IF(0=0,phi_0,IF(0&lt;life_na,1,IF(0=life_na,1-phi_0,0)))</f>
        <v>7.18869918673302</v>
      </c>
      <c r="K107" s="23" t="n">
        <f aca="false">$F$103/life_na*IF(4=0,phi_0,IF(4&lt;life_na,1,IF(4=life_na,1-phi_0,0)))+$H$103/life_na*IF(3=0,phi_0,IF(3&lt;life_na,1,IF(3=life_na,1-phi_0,0)))+$I$103/life_na*IF(2=0,phi_0,IF(2&lt;life_na,1,IF(2=life_na,1-phi_0,0)))+$J$103/life_na*IF(1=0,phi_0,IF(1&lt;life_na,1,IF(1=life_na,1-phi_0,0)))+$K$103/life_na*IF(0=0,phi_0,IF(0&lt;life_na,1,IF(0=life_na,1-phi_0,0)))</f>
        <v>9.99710829810637</v>
      </c>
      <c r="L107" s="23" t="n">
        <f aca="false">$F$103/life_na*IF(5=0,phi_0,IF(5&lt;life_na,1,IF(5=life_na,1-phi_0,0)))+$H$103/life_na*IF(4=0,phi_0,IF(4&lt;life_na,1,IF(4=life_na,1-phi_0,0)))+$I$103/life_na*IF(3=0,phi_0,IF(3&lt;life_na,1,IF(3=life_na,1-phi_0,0)))+$J$103/life_na*IF(2=0,phi_0,IF(2&lt;life_na,1,IF(2=life_na,1-phi_0,0)))+$K$103/life_na*IF(1=0,phi_0,IF(1&lt;life_na,1,IF(1=life_na,1-phi_0,0)))+$L$103/life_na*IF(0=0,phi_0,IF(0&lt;life_na,1,IF(0=life_na,1-phi_0,0)))</f>
        <v>12.9065538225753</v>
      </c>
      <c r="M107" s="23" t="n">
        <f aca="false">$F$103/life_na*IF(6=0,phi_0,IF(6&lt;life_na,1,IF(6=life_na,1-phi_0,0)))+$H$103/life_na*IF(5=0,phi_0,IF(5&lt;life_na,1,IF(5=life_na,1-phi_0,0)))+$I$103/life_na*IF(4=0,phi_0,IF(4&lt;life_na,1,IF(4=life_na,1-phi_0,0)))+$J$103/life_na*IF(3=0,phi_0,IF(3&lt;life_na,1,IF(3=life_na,1-phi_0,0)))+$K$103/life_na*IF(2=0,phi_0,IF(2&lt;life_na,1,IF(2=life_na,1-phi_0,0)))+$L$103/life_na*IF(1=0,phi_0,IF(1&lt;life_na,1,IF(1=life_na,1-phi_0,0)))+$M$103/life_na*IF(0=0,phi_0,IF(0&lt;life_na,1,IF(0=life_na,1-phi_0,0)))</f>
        <v>16.0465386364234</v>
      </c>
    </row>
    <row r="108" customFormat="false" ht="17.15" hidden="false" customHeight="false" outlineLevel="0" collapsed="false">
      <c r="A108" s="4" t="s">
        <v>939</v>
      </c>
      <c r="B108" s="0" t="s">
        <v>77</v>
      </c>
      <c r="F108" s="23" t="n">
        <f aca="false">$F$104/life_na*IF(0=0,phi_0,IF(0&lt;life_na,1,IF(0=life_na,1-phi_0,0)))</f>
        <v>0.211906866275271</v>
      </c>
      <c r="G108" s="23" t="n">
        <f aca="false">F108</f>
        <v>0.211906866275271</v>
      </c>
      <c r="H108" s="23" t="n">
        <f aca="false">$F$104/life_na*IF(1=0,phi_0,IF(1&lt;life_na,1,IF(1=life_na,1-phi_0,0)))+$H$104/life_na*IF(0=0,phi_0,IF(0&lt;life_na,1,IF(0=life_na,1-phi_0,0)))</f>
        <v>1.37691865893116</v>
      </c>
      <c r="I108" s="23" t="n">
        <f aca="false">$F$104/life_na*IF(2=0,phi_0,IF(2&lt;life_na,1,IF(2=life_na,1-phi_0,0)))+$H$104/life_na*IF(1=0,phi_0,IF(1&lt;life_na,1,IF(1=life_na,1-phi_0,0)))+$I$104/life_na*IF(0=0,phi_0,IF(0&lt;life_na,1,IF(0=life_na,1-phi_0,0)))</f>
        <v>3.63781840175314</v>
      </c>
      <c r="J108" s="23" t="n">
        <f aca="false">$F$104/life_na*IF(3=0,phi_0,IF(3&lt;life_na,1,IF(3=life_na,1-phi_0,0)))+$H$104/life_na*IF(2=0,phi_0,IF(2&lt;life_na,1,IF(2=life_na,1-phi_0,0)))+$I$104/life_na*IF(1=0,phi_0,IF(1&lt;life_na,1,IF(1=life_na,1-phi_0,0)))+$J$104/life_na*IF(0=0,phi_0,IF(0&lt;life_na,1,IF(0=life_na,1-phi_0,0)))</f>
        <v>6.44822799955188</v>
      </c>
      <c r="K108" s="23" t="n">
        <f aca="false">$F$104/life_na*IF(4=0,phi_0,IF(4&lt;life_na,1,IF(4=life_na,1-phi_0,0)))+$H$104/life_na*IF(3=0,phi_0,IF(3&lt;life_na,1,IF(3=life_na,1-phi_0,0)))+$I$104/life_na*IF(2=0,phi_0,IF(2&lt;life_na,1,IF(2=life_na,1-phi_0,0)))+$J$104/life_na*IF(1=0,phi_0,IF(1&lt;life_na,1,IF(1=life_na,1-phi_0,0)))+$K$104/life_na*IF(0=0,phi_0,IF(0&lt;life_na,1,IF(0=life_na,1-phi_0,0)))</f>
        <v>9.67685894387024</v>
      </c>
      <c r="L108" s="23" t="n">
        <f aca="false">$F$104/life_na*IF(5=0,phi_0,IF(5&lt;life_na,1,IF(5=life_na,1-phi_0,0)))+$H$104/life_na*IF(4=0,phi_0,IF(4&lt;life_na,1,IF(4=life_na,1-phi_0,0)))+$I$104/life_na*IF(3=0,phi_0,IF(3&lt;life_na,1,IF(3=life_na,1-phi_0,0)))+$J$104/life_na*IF(2=0,phi_0,IF(2&lt;life_na,1,IF(2=life_na,1-phi_0,0)))+$K$104/life_na*IF(1=0,phi_0,IF(1&lt;life_na,1,IF(1=life_na,1-phi_0,0)))+$L$104/life_na*IF(0=0,phi_0,IF(0&lt;life_na,1,IF(0=life_na,1-phi_0,0)))</f>
        <v>13.1637803637341</v>
      </c>
      <c r="M108" s="23" t="n">
        <f aca="false">$F$104/life_na*IF(6=0,phi_0,IF(6&lt;life_na,1,IF(6=life_na,1-phi_0,0)))+$H$104/life_na*IF(5=0,phi_0,IF(5&lt;life_na,1,IF(5=life_na,1-phi_0,0)))+$I$104/life_na*IF(4=0,phi_0,IF(4&lt;life_na,1,IF(4=life_na,1-phi_0,0)))+$J$104/life_na*IF(3=0,phi_0,IF(3&lt;life_na,1,IF(3=life_na,1-phi_0,0)))+$K$104/life_na*IF(2=0,phi_0,IF(2&lt;life_na,1,IF(2=life_na,1-phi_0,0)))+$L$104/life_na*IF(1=0,phi_0,IF(1&lt;life_na,1,IF(1=life_na,1-phi_0,0)))+$M$104/life_na*IF(0=0,phi_0,IF(0&lt;life_na,1,IF(0=life_na,1-phi_0,0)))</f>
        <v>16.929655497187</v>
      </c>
    </row>
    <row r="109" customFormat="false" ht="17.15" hidden="false" customHeight="false" outlineLevel="0" collapsed="false">
      <c r="A109" s="4" t="s">
        <v>940</v>
      </c>
      <c r="B109" s="0" t="s">
        <v>77</v>
      </c>
      <c r="F109" s="23" t="n">
        <f aca="false">$F$105/life_na*IF(0=0,phi_0,IF(0&lt;life_na,1,IF(0=life_na,1-phi_0,0)))</f>
        <v>0.001125</v>
      </c>
      <c r="G109" s="23" t="n">
        <f aca="false">F109</f>
        <v>0.001125</v>
      </c>
      <c r="H109" s="23" t="n">
        <f aca="false">$F$105/life_na*IF(1=0,phi_0,IF(1&lt;life_na,1,IF(1=life_na,1-phi_0,0)))+$H$105/life_na*IF(0=0,phi_0,IF(0&lt;life_na,1,IF(0=life_na,1-phi_0,0)))</f>
        <v>0.0069</v>
      </c>
      <c r="I109" s="23" t="n">
        <f aca="false">$F$105/life_na*IF(2=0,phi_0,IF(2&lt;life_na,1,IF(2=life_na,1-phi_0,0)))+$H$105/life_na*IF(1=0,phi_0,IF(1&lt;life_na,1,IF(1=life_na,1-phi_0,0)))+$I$105/life_na*IF(0=0,phi_0,IF(0&lt;life_na,1,IF(0=life_na,1-phi_0,0)))</f>
        <v>0.0168</v>
      </c>
      <c r="J109" s="23" t="n">
        <f aca="false">$F$105/life_na*IF(3=0,phi_0,IF(3&lt;life_na,1,IF(3=life_na,1-phi_0,0)))+$H$105/life_na*IF(2=0,phi_0,IF(2&lt;life_na,1,IF(2=life_na,1-phi_0,0)))+$I$105/life_na*IF(1=0,phi_0,IF(1&lt;life_na,1,IF(1=life_na,1-phi_0,0)))+$J$105/life_na*IF(0=0,phi_0,IF(0&lt;life_na,1,IF(0=life_na,1-phi_0,0)))</f>
        <v>0.0279</v>
      </c>
      <c r="K109" s="23" t="n">
        <f aca="false">$F$105/life_na*IF(4=0,phi_0,IF(4&lt;life_na,1,IF(4=life_na,1-phi_0,0)))+$H$105/life_na*IF(3=0,phi_0,IF(3&lt;life_na,1,IF(3=life_na,1-phi_0,0)))+$I$105/life_na*IF(2=0,phi_0,IF(2&lt;life_na,1,IF(2=life_na,1-phi_0,0)))+$J$105/life_na*IF(1=0,phi_0,IF(1&lt;life_na,1,IF(1=life_na,1-phi_0,0)))+$K$105/life_na*IF(0=0,phi_0,IF(0&lt;life_na,1,IF(0=life_na,1-phi_0,0)))</f>
        <v>0.0402</v>
      </c>
      <c r="L109" s="23" t="n">
        <f aca="false">$F$105/life_na*IF(5=0,phi_0,IF(5&lt;life_na,1,IF(5=life_na,1-phi_0,0)))+$H$105/life_na*IF(4=0,phi_0,IF(4&lt;life_na,1,IF(4=life_na,1-phi_0,0)))+$I$105/life_na*IF(3=0,phi_0,IF(3&lt;life_na,1,IF(3=life_na,1-phi_0,0)))+$J$105/life_na*IF(2=0,phi_0,IF(2&lt;life_na,1,IF(2=life_na,1-phi_0,0)))+$K$105/life_na*IF(1=0,phi_0,IF(1&lt;life_na,1,IF(1=life_na,1-phi_0,0)))+$L$105/life_na*IF(0=0,phi_0,IF(0&lt;life_na,1,IF(0=life_na,1-phi_0,0)))</f>
        <v>0.0537</v>
      </c>
      <c r="M109" s="23" t="n">
        <f aca="false">$F$105/life_na*IF(6=0,phi_0,IF(6&lt;life_na,1,IF(6=life_na,1-phi_0,0)))+$H$105/life_na*IF(5=0,phi_0,IF(5&lt;life_na,1,IF(5=life_na,1-phi_0,0)))+$I$105/life_na*IF(4=0,phi_0,IF(4&lt;life_na,1,IF(4=life_na,1-phi_0,0)))+$J$105/life_na*IF(3=0,phi_0,IF(3&lt;life_na,1,IF(3=life_na,1-phi_0,0)))+$K$105/life_na*IF(2=0,phi_0,IF(2&lt;life_na,1,IF(2=life_na,1-phi_0,0)))+$L$105/life_na*IF(1=0,phi_0,IF(1&lt;life_na,1,IF(1=life_na,1-phi_0,0)))+$M$105/life_na*IF(0=0,phi_0,IF(0&lt;life_na,1,IF(0=life_na,1-phi_0,0)))</f>
        <v>0.0684</v>
      </c>
    </row>
    <row r="110" customFormat="false" ht="17.15" hidden="false" customHeight="false" outlineLevel="0" collapsed="false">
      <c r="A110" s="2" t="s">
        <v>941</v>
      </c>
      <c r="B110" s="7" t="s">
        <v>77</v>
      </c>
      <c r="F110" s="23" t="n">
        <f aca="false">F107+F108+F109</f>
        <v>0.527979997072668</v>
      </c>
      <c r="G110" s="23" t="n">
        <f aca="false">G107+G108+G109</f>
        <v>0.527979997072668</v>
      </c>
      <c r="H110" s="23" t="n">
        <f aca="false">H107+H108+H109</f>
        <v>3.27922794129907</v>
      </c>
      <c r="I110" s="23" t="n">
        <f aca="false">I107+I108+I109</f>
        <v>8.12889145109681</v>
      </c>
      <c r="J110" s="23" t="n">
        <f aca="false">J107+J108+J109</f>
        <v>13.6648271862849</v>
      </c>
      <c r="K110" s="23" t="n">
        <f aca="false">K107+K108+K109</f>
        <v>19.7141672419766</v>
      </c>
      <c r="L110" s="23" t="n">
        <f aca="false">L107+L108+L109</f>
        <v>26.1240341863094</v>
      </c>
      <c r="M110" s="23" t="n">
        <f aca="false">M107+M108+M109</f>
        <v>33.0445941336104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946</v>
      </c>
    </row>
    <row r="2" customFormat="false" ht="17.15" hidden="false" customHeight="false" outlineLevel="0" collapsed="false">
      <c r="A2" s="4" t="s">
        <v>947</v>
      </c>
    </row>
    <row r="4" customFormat="false" ht="17.15" hidden="false" customHeight="false" outlineLevel="0" collapsed="false">
      <c r="A4" s="2" t="s">
        <v>948</v>
      </c>
    </row>
    <row r="5" customFormat="false" ht="15" hidden="false" customHeight="false" outlineLevel="0" collapsed="false">
      <c r="A5" s="3" t="s">
        <v>44</v>
      </c>
      <c r="B5" s="3" t="s">
        <v>45</v>
      </c>
      <c r="C5" s="18" t="s">
        <v>829</v>
      </c>
      <c r="D5" s="18" t="s">
        <v>830</v>
      </c>
      <c r="E5" s="18" t="s">
        <v>831</v>
      </c>
      <c r="F5" s="18" t="s">
        <v>832</v>
      </c>
      <c r="G5" s="18" t="s">
        <v>833</v>
      </c>
      <c r="H5" s="18" t="s">
        <v>834</v>
      </c>
      <c r="I5" s="18" t="s">
        <v>835</v>
      </c>
      <c r="J5" s="18" t="s">
        <v>836</v>
      </c>
      <c r="K5" s="18" t="s">
        <v>837</v>
      </c>
      <c r="L5" s="18" t="s">
        <v>838</v>
      </c>
      <c r="M5" s="18" t="s">
        <v>839</v>
      </c>
      <c r="N5" s="3" t="s">
        <v>51</v>
      </c>
    </row>
    <row r="6" customFormat="false" ht="17.15" hidden="false" customHeight="false" outlineLevel="0" collapsed="false">
      <c r="A6" s="4" t="s">
        <v>730</v>
      </c>
      <c r="B6" s="0" t="s">
        <v>77</v>
      </c>
      <c r="C6" s="19" t="n">
        <f aca="false">MAX(ABS(C26),ABS(C85),ABS(C144))</f>
        <v>0</v>
      </c>
      <c r="D6" s="19" t="n">
        <f aca="false">MAX(ABS(D26),ABS(D85),ABS(D144))</f>
        <v>0</v>
      </c>
      <c r="E6" s="19" t="n">
        <f aca="false">MAX(ABS(E26),ABS(E85),ABS(E144))</f>
        <v>0</v>
      </c>
      <c r="F6" s="19" t="n">
        <f aca="false">MAX(ABS(F26),ABS(F85),ABS(F144))</f>
        <v>0</v>
      </c>
      <c r="G6" s="19" t="n">
        <f aca="false">MAX(ABS(G26),ABS(G85),ABS(G144))</f>
        <v>0</v>
      </c>
      <c r="H6" s="19" t="n">
        <f aca="false">MAX(ABS(H26),ABS(H85),ABS(H144))</f>
        <v>0</v>
      </c>
      <c r="I6" s="19" t="n">
        <f aca="false">MAX(ABS(I26),ABS(I85),ABS(I144))</f>
        <v>0</v>
      </c>
      <c r="J6" s="19" t="n">
        <f aca="false">MAX(ABS(J26),ABS(J85),ABS(J144))</f>
        <v>0</v>
      </c>
      <c r="K6" s="19" t="n">
        <f aca="false">MAX(ABS(K26),ABS(K85),ABS(K144))</f>
        <v>0</v>
      </c>
      <c r="L6" s="19" t="n">
        <f aca="false">MAX(ABS(L26),ABS(L85),ABS(L144))</f>
        <v>0</v>
      </c>
      <c r="M6" s="19" t="n">
        <f aca="false">MAX(ABS(M26),ABS(M85),ABS(M144))</f>
        <v>0</v>
      </c>
      <c r="N6" s="4" t="s">
        <v>949</v>
      </c>
    </row>
    <row r="7" customFormat="false" ht="17.15" hidden="false" customHeight="false" outlineLevel="0" collapsed="false">
      <c r="A7" s="4" t="s">
        <v>932</v>
      </c>
      <c r="B7" s="0" t="s">
        <v>77</v>
      </c>
      <c r="E7" s="19" t="n">
        <f aca="false">MAX(ABS(E27),ABS(E86),ABS(E145))</f>
        <v>0</v>
      </c>
      <c r="F7" s="19" t="n">
        <f aca="false">MAX(ABS(F27),ABS(F86),ABS(F145))</f>
        <v>0</v>
      </c>
      <c r="G7" s="19" t="n">
        <f aca="false">MAX(ABS(G27),ABS(G86),ABS(G145))</f>
        <v>0</v>
      </c>
      <c r="H7" s="19" t="n">
        <f aca="false">MAX(ABS(H27),ABS(H86),ABS(H145))</f>
        <v>0</v>
      </c>
      <c r="I7" s="19" t="n">
        <f aca="false">MAX(ABS(I27),ABS(I86),ABS(I145))</f>
        <v>0</v>
      </c>
      <c r="J7" s="19" t="n">
        <f aca="false">MAX(ABS(J27),ABS(J86),ABS(J145))</f>
        <v>0</v>
      </c>
      <c r="K7" s="19" t="n">
        <f aca="false">MAX(ABS(K27),ABS(K86),ABS(K145))</f>
        <v>0</v>
      </c>
      <c r="L7" s="19" t="n">
        <f aca="false">MAX(ABS(L27),ABS(L86),ABS(L145))</f>
        <v>0</v>
      </c>
      <c r="M7" s="19" t="n">
        <f aca="false">MAX(ABS(M27),ABS(M86),ABS(M145))</f>
        <v>0</v>
      </c>
      <c r="N7" s="4" t="s">
        <v>949</v>
      </c>
    </row>
    <row r="8" customFormat="false" ht="17.15" hidden="false" customHeight="false" outlineLevel="0" collapsed="false">
      <c r="A8" s="4" t="s">
        <v>736</v>
      </c>
      <c r="B8" s="0" t="s">
        <v>77</v>
      </c>
      <c r="C8" s="19" t="n">
        <f aca="false">MAX(ABS(C28),ABS(C87),ABS(C146))</f>
        <v>0</v>
      </c>
      <c r="D8" s="19" t="n">
        <f aca="false">MAX(ABS(D28),ABS(D87),ABS(D146))</f>
        <v>0</v>
      </c>
      <c r="E8" s="19" t="n">
        <f aca="false">MAX(ABS(E28),ABS(E87),ABS(E146))</f>
        <v>0</v>
      </c>
      <c r="F8" s="19" t="n">
        <f aca="false">MAX(ABS(F28),ABS(F87),ABS(F146))</f>
        <v>0</v>
      </c>
      <c r="G8" s="19" t="n">
        <f aca="false">MAX(ABS(G28),ABS(G87),ABS(G146))</f>
        <v>0</v>
      </c>
      <c r="H8" s="19" t="n">
        <f aca="false">MAX(ABS(H28),ABS(H87),ABS(H146))</f>
        <v>0</v>
      </c>
      <c r="I8" s="19" t="n">
        <f aca="false">MAX(ABS(I28),ABS(I87),ABS(I146))</f>
        <v>0</v>
      </c>
      <c r="J8" s="19" t="n">
        <f aca="false">MAX(ABS(J28),ABS(J87),ABS(J146))</f>
        <v>0</v>
      </c>
      <c r="K8" s="19" t="n">
        <f aca="false">MAX(ABS(K28),ABS(K87),ABS(K146))</f>
        <v>0</v>
      </c>
      <c r="L8" s="19" t="n">
        <f aca="false">MAX(ABS(L28),ABS(L87),ABS(L146))</f>
        <v>0</v>
      </c>
      <c r="M8" s="19" t="n">
        <f aca="false">MAX(ABS(M28),ABS(M87),ABS(M146))</f>
        <v>0</v>
      </c>
      <c r="N8" s="4" t="s">
        <v>949</v>
      </c>
    </row>
    <row r="9" customFormat="false" ht="17.15" hidden="false" customHeight="false" outlineLevel="0" collapsed="false">
      <c r="A9" s="4" t="s">
        <v>743</v>
      </c>
      <c r="B9" s="0" t="s">
        <v>77</v>
      </c>
      <c r="C9" s="19" t="n">
        <f aca="false">MAX(ABS(C47),ABS(C106),ABS(C165))</f>
        <v>0</v>
      </c>
      <c r="D9" s="19" t="n">
        <f aca="false">MAX(ABS(D47),ABS(D106),ABS(D165))</f>
        <v>0</v>
      </c>
      <c r="E9" s="19" t="n">
        <f aca="false">MAX(ABS(E47),ABS(E106),ABS(E165))</f>
        <v>0</v>
      </c>
      <c r="F9" s="19" t="n">
        <f aca="false">MAX(ABS(F47),ABS(F106),ABS(F165))</f>
        <v>0</v>
      </c>
      <c r="G9" s="19" t="n">
        <f aca="false">MAX(ABS(G47),ABS(G106),ABS(G165))</f>
        <v>0</v>
      </c>
      <c r="H9" s="19" t="n">
        <f aca="false">MAX(ABS(H47),ABS(H106),ABS(H165))</f>
        <v>0</v>
      </c>
      <c r="I9" s="19" t="n">
        <f aca="false">MAX(ABS(I47),ABS(I106),ABS(I165))</f>
        <v>0</v>
      </c>
      <c r="J9" s="19" t="n">
        <f aca="false">MAX(ABS(J47),ABS(J106),ABS(J165))</f>
        <v>0</v>
      </c>
      <c r="K9" s="19" t="n">
        <f aca="false">MAX(ABS(K47),ABS(K106),ABS(K165))</f>
        <v>0</v>
      </c>
      <c r="L9" s="19" t="n">
        <f aca="false">MAX(ABS(L47),ABS(L106),ABS(L165))</f>
        <v>0</v>
      </c>
      <c r="M9" s="19" t="n">
        <f aca="false">MAX(ABS(M47),ABS(M106),ABS(M165))</f>
        <v>0</v>
      </c>
      <c r="N9" s="4" t="s">
        <v>949</v>
      </c>
    </row>
    <row r="11" customFormat="false" ht="17.15" hidden="false" customHeight="false" outlineLevel="0" collapsed="false">
      <c r="A11" s="26" t="s">
        <v>907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18" t="s">
        <v>829</v>
      </c>
      <c r="D12" s="18" t="s">
        <v>830</v>
      </c>
      <c r="E12" s="18" t="s">
        <v>831</v>
      </c>
      <c r="F12" s="18" t="s">
        <v>832</v>
      </c>
      <c r="G12" s="18" t="s">
        <v>833</v>
      </c>
      <c r="H12" s="18" t="s">
        <v>834</v>
      </c>
      <c r="I12" s="18" t="s">
        <v>835</v>
      </c>
      <c r="J12" s="18" t="s">
        <v>836</v>
      </c>
      <c r="K12" s="18" t="s">
        <v>837</v>
      </c>
      <c r="L12" s="18" t="s">
        <v>838</v>
      </c>
      <c r="M12" s="18" t="s">
        <v>839</v>
      </c>
      <c r="N12" s="3" t="s">
        <v>51</v>
      </c>
    </row>
    <row r="13" customFormat="false" ht="15" hidden="false" customHeight="false" outlineLevel="0" collapsed="false">
      <c r="A13" s="0" t="s">
        <v>723</v>
      </c>
      <c r="B13" s="0" t="s">
        <v>77</v>
      </c>
      <c r="C13" s="23" t="n">
        <f aca="false">Seg!C11</f>
        <v>198.084</v>
      </c>
      <c r="D13" s="23" t="n">
        <f aca="false">Seg!D11</f>
        <v>224.532</v>
      </c>
      <c r="E13" s="23" t="n">
        <f aca="false">Seg!E11</f>
        <v>123.67</v>
      </c>
      <c r="F13" s="23" t="n">
        <f aca="false">Seg!F11</f>
        <v>139.741100565981</v>
      </c>
      <c r="G13" s="23" t="n">
        <f aca="false">Seg!G11</f>
        <v>263.411100565981</v>
      </c>
      <c r="H13" s="23" t="n">
        <f aca="false">Seg!H11</f>
        <v>313.286256030661</v>
      </c>
      <c r="I13" s="23" t="n">
        <f aca="false">Seg!I11</f>
        <v>365.177888644975</v>
      </c>
      <c r="J13" s="23" t="n">
        <f aca="false">Seg!J11</f>
        <v>417.03333836977</v>
      </c>
      <c r="K13" s="23" t="n">
        <f aca="false">Seg!K11</f>
        <v>466.422985739379</v>
      </c>
      <c r="L13" s="23" t="n">
        <f aca="false">Seg!L11</f>
        <v>503.736824598529</v>
      </c>
      <c r="M13" s="23" t="n">
        <f aca="false">Seg!M11</f>
        <v>544.035770566412</v>
      </c>
    </row>
    <row r="14" customFormat="false" ht="15" hidden="false" customHeight="false" outlineLevel="0" collapsed="false">
      <c r="A14" s="0" t="s">
        <v>726</v>
      </c>
      <c r="B14" s="0" t="s">
        <v>77</v>
      </c>
      <c r="C14" s="23" t="n">
        <f aca="false">Seg!C13</f>
        <v>36.147</v>
      </c>
      <c r="D14" s="23" t="n">
        <f aca="false">Seg!D13</f>
        <v>40.367</v>
      </c>
      <c r="E14" s="23" t="n">
        <f aca="false">Seg!E13</f>
        <v>20.938</v>
      </c>
      <c r="F14" s="23" t="n">
        <f aca="false">Seg!F13</f>
        <v>24.1793637484587</v>
      </c>
      <c r="G14" s="23" t="n">
        <f aca="false">Seg!G13</f>
        <v>45.1173637484587</v>
      </c>
      <c r="H14" s="23" t="n">
        <f aca="false">Seg!H13</f>
        <v>49.9834744846827</v>
      </c>
      <c r="I14" s="23" t="n">
        <f aca="false">Seg!I13</f>
        <v>54.9103289240237</v>
      </c>
      <c r="J14" s="23" t="n">
        <f aca="false">Seg!J13</f>
        <v>59.8129885015682</v>
      </c>
      <c r="K14" s="23" t="n">
        <f aca="false">Seg!K13</f>
        <v>64.5980275816936</v>
      </c>
      <c r="L14" s="23" t="n">
        <f aca="false">Seg!L13</f>
        <v>69.7658697882291</v>
      </c>
      <c r="M14" s="23" t="n">
        <f aca="false">Seg!M13</f>
        <v>75.3471393712874</v>
      </c>
    </row>
    <row r="15" customFormat="false" ht="15" hidden="false" customHeight="false" outlineLevel="0" collapsed="false">
      <c r="A15" s="0" t="s">
        <v>727</v>
      </c>
      <c r="B15" s="0" t="s">
        <v>77</v>
      </c>
      <c r="C15" s="23" t="n">
        <f aca="false">Seg!C15</f>
        <v>30.359</v>
      </c>
      <c r="D15" s="23" t="n">
        <f aca="false">Seg!D15</f>
        <v>29.792</v>
      </c>
      <c r="E15" s="23" t="n">
        <f aca="false">Seg!E15</f>
        <v>14.274</v>
      </c>
      <c r="F15" s="23" t="n">
        <f aca="false">Seg!F15</f>
        <v>14.8512550478215</v>
      </c>
      <c r="G15" s="23" t="n">
        <f aca="false">Seg!G15</f>
        <v>29.1252550478215</v>
      </c>
      <c r="H15" s="23" t="n">
        <f aca="false">Seg!H15</f>
        <v>28.6493774746437</v>
      </c>
      <c r="I15" s="23" t="n">
        <f aca="false">Seg!I15</f>
        <v>28.3373093353078</v>
      </c>
      <c r="J15" s="23" t="n">
        <f aca="false">Seg!J15</f>
        <v>28.1829748928599</v>
      </c>
      <c r="K15" s="23" t="n">
        <f aca="false">Seg!K15</f>
        <v>28.1829748928599</v>
      </c>
      <c r="L15" s="23" t="n">
        <f aca="false">Seg!L15</f>
        <v>28.1829748928599</v>
      </c>
      <c r="M15" s="23" t="n">
        <f aca="false">Seg!M15</f>
        <v>28.1829748928599</v>
      </c>
    </row>
    <row r="16" customFormat="false" ht="15" hidden="false" customHeight="false" outlineLevel="0" collapsed="false">
      <c r="A16" s="0" t="s">
        <v>728</v>
      </c>
      <c r="B16" s="0" t="s">
        <v>77</v>
      </c>
      <c r="C16" s="23" t="n">
        <f aca="false">Seg!C17</f>
        <v>40.34</v>
      </c>
      <c r="D16" s="23" t="n">
        <f aca="false">Seg!D17</f>
        <v>48.03</v>
      </c>
      <c r="E16" s="23" t="n">
        <f aca="false">Seg!E17</f>
        <v>25.295</v>
      </c>
      <c r="F16" s="23" t="n">
        <f aca="false">Seg!F17</f>
        <v>31.1937011693374</v>
      </c>
      <c r="G16" s="23" t="n">
        <f aca="false">Seg!G17</f>
        <v>56.4887011693374</v>
      </c>
      <c r="H16" s="23" t="n">
        <f aca="false">Seg!H17</f>
        <v>65.5029631403152</v>
      </c>
      <c r="I16" s="23" t="n">
        <f aca="false">Seg!I17</f>
        <v>74.6548787045084</v>
      </c>
      <c r="J16" s="23" t="n">
        <f aca="false">Seg!J17</f>
        <v>83.602922174315</v>
      </c>
      <c r="K16" s="23" t="n">
        <f aca="false">Seg!K17</f>
        <v>91.9632143917465</v>
      </c>
      <c r="L16" s="23" t="n">
        <f aca="false">Seg!L17</f>
        <v>101.159535830921</v>
      </c>
      <c r="M16" s="23" t="n">
        <f aca="false">Seg!M17</f>
        <v>111.275489414013</v>
      </c>
    </row>
    <row r="17" customFormat="false" ht="15" hidden="false" customHeight="false" outlineLevel="0" collapsed="false">
      <c r="A17" s="27" t="s">
        <v>919</v>
      </c>
      <c r="B17" s="28" t="s">
        <v>77</v>
      </c>
      <c r="C17" s="29" t="n">
        <f aca="false">Seg!C18</f>
        <v>304.93</v>
      </c>
      <c r="D17" s="29" t="n">
        <f aca="false">Seg!D18</f>
        <v>342.721</v>
      </c>
      <c r="E17" s="29" t="n">
        <f aca="false">Seg!E18</f>
        <v>184.177</v>
      </c>
      <c r="F17" s="29" t="n">
        <f aca="false">Seg!F18</f>
        <v>209.965420531598</v>
      </c>
      <c r="G17" s="29" t="n">
        <f aca="false">Seg!G18</f>
        <v>394.142420531598</v>
      </c>
      <c r="H17" s="29" t="n">
        <f aca="false">Seg!H18</f>
        <v>457.422071130303</v>
      </c>
      <c r="I17" s="29" t="n">
        <f aca="false">Seg!I18</f>
        <v>523.080405608814</v>
      </c>
      <c r="J17" s="29" t="n">
        <f aca="false">Seg!J18</f>
        <v>588.632223938513</v>
      </c>
      <c r="K17" s="29" t="n">
        <f aca="false">Seg!K18</f>
        <v>651.167202605679</v>
      </c>
      <c r="L17" s="29" t="n">
        <f aca="false">Seg!L18</f>
        <v>702.84520511054</v>
      </c>
      <c r="M17" s="29" t="n">
        <f aca="false">Seg!M18</f>
        <v>758.841374244572</v>
      </c>
      <c r="N17" s="28"/>
    </row>
    <row r="18" customFormat="false" ht="17.15" hidden="false" customHeight="false" outlineLevel="0" collapsed="false">
      <c r="A18" s="0" t="s">
        <v>920</v>
      </c>
      <c r="B18" s="0" t="s">
        <v>77</v>
      </c>
      <c r="E18" s="23" t="n">
        <f aca="false">Seg!E19</f>
        <v>9.75837289307536</v>
      </c>
      <c r="F18" s="23" t="n">
        <f aca="false">Seg!F19</f>
        <v>13.072238179387</v>
      </c>
      <c r="G18" s="23" t="n">
        <f aca="false">Seg!G19</f>
        <v>22.8306110724624</v>
      </c>
      <c r="H18" s="23" t="n">
        <f aca="false">Seg!H19</f>
        <v>38.882857987105</v>
      </c>
      <c r="I18" s="23" t="n">
        <f aca="false">Seg!I19</f>
        <v>56.7035586757632</v>
      </c>
      <c r="J18" s="23" t="n">
        <f aca="false">Seg!J19</f>
        <v>73.012119150783</v>
      </c>
      <c r="K18" s="23" t="n">
        <f aca="false">Seg!K19</f>
        <v>85.4001792660974</v>
      </c>
      <c r="L18" s="23" t="n">
        <f aca="false">Seg!L19</f>
        <v>94.0392600856694</v>
      </c>
      <c r="M18" s="23" t="n">
        <f aca="false">Seg!M19</f>
        <v>99.0170129701231</v>
      </c>
    </row>
    <row r="19" customFormat="false" ht="17.15" hidden="false" customHeight="false" outlineLevel="0" collapsed="false">
      <c r="A19" s="0" t="s">
        <v>922</v>
      </c>
      <c r="B19" s="0" t="s">
        <v>77</v>
      </c>
      <c r="E19" s="23" t="n">
        <f aca="false">Seg!E20</f>
        <v>0</v>
      </c>
      <c r="F19" s="23" t="n">
        <f aca="false">Seg!F20</f>
        <v>1</v>
      </c>
      <c r="G19" s="23" t="n">
        <f aca="false">Seg!G20</f>
        <v>1</v>
      </c>
      <c r="H19" s="23" t="n">
        <f aca="false">Seg!H20</f>
        <v>13</v>
      </c>
      <c r="I19" s="23" t="n">
        <f aca="false">Seg!I20</f>
        <v>13</v>
      </c>
      <c r="J19" s="23" t="n">
        <f aca="false">Seg!J20</f>
        <v>13</v>
      </c>
      <c r="K19" s="23" t="n">
        <f aca="false">Seg!K20</f>
        <v>13</v>
      </c>
      <c r="L19" s="23" t="n">
        <f aca="false">Seg!L20</f>
        <v>13</v>
      </c>
      <c r="M19" s="23" t="n">
        <f aca="false">Seg!M20</f>
        <v>13</v>
      </c>
    </row>
    <row r="20" customFormat="false" ht="17.15" hidden="false" customHeight="false" outlineLevel="0" collapsed="false">
      <c r="A20" s="0" t="s">
        <v>926</v>
      </c>
      <c r="B20" s="0" t="s">
        <v>77</v>
      </c>
      <c r="E20" s="23" t="n">
        <f aca="false">Seg!E22</f>
        <v>35.0376271069246</v>
      </c>
      <c r="F20" s="23" t="n">
        <f aca="false">Seg!F22</f>
        <v>42.3813732550541</v>
      </c>
      <c r="G20" s="23" t="n">
        <f aca="false">Seg!G22</f>
        <v>77.4190003619788</v>
      </c>
      <c r="H20" s="23" t="n">
        <f aca="false">Seg!H22</f>
        <v>105.858238766016</v>
      </c>
      <c r="I20" s="23" t="n">
        <f aca="false">Seg!I22</f>
        <v>134.605232266348</v>
      </c>
      <c r="J20" s="23" t="n">
        <f aca="false">Seg!J22</f>
        <v>158.266222760704</v>
      </c>
      <c r="K20" s="23" t="n">
        <f aca="false">Seg!K22</f>
        <v>170.92752058156</v>
      </c>
      <c r="L20" s="23" t="n">
        <f aca="false">Seg!L22</f>
        <v>184.601722228085</v>
      </c>
      <c r="M20" s="23" t="n">
        <f aca="false">Seg!M22</f>
        <v>199.369860006332</v>
      </c>
    </row>
    <row r="21" customFormat="false" ht="15" hidden="false" customHeight="false" outlineLevel="0" collapsed="false">
      <c r="A21" s="27" t="s">
        <v>928</v>
      </c>
      <c r="B21" s="28" t="s">
        <v>77</v>
      </c>
      <c r="C21" s="29" t="n">
        <f aca="false">Seg!C23</f>
        <v>43.229</v>
      </c>
      <c r="D21" s="29" t="n">
        <f aca="false">Seg!D23</f>
        <v>58.705</v>
      </c>
      <c r="E21" s="29" t="n">
        <f aca="false">Seg!E23</f>
        <v>44.796</v>
      </c>
      <c r="F21" s="29" t="n">
        <f aca="false">Seg!F23</f>
        <v>56.4536114344411</v>
      </c>
      <c r="G21" s="29" t="n">
        <f aca="false">Seg!G23</f>
        <v>101.249611434441</v>
      </c>
      <c r="H21" s="29" t="n">
        <f aca="false">Seg!H23</f>
        <v>157.741096753121</v>
      </c>
      <c r="I21" s="29" t="n">
        <f aca="false">Seg!I23</f>
        <v>204.308790942111</v>
      </c>
      <c r="J21" s="29" t="n">
        <f aca="false">Seg!J23</f>
        <v>244.278341911487</v>
      </c>
      <c r="K21" s="29" t="n">
        <f aca="false">Seg!K23</f>
        <v>269.327699847657</v>
      </c>
      <c r="L21" s="29" t="n">
        <f aca="false">Seg!L23</f>
        <v>291.640982313754</v>
      </c>
      <c r="M21" s="29" t="n">
        <f aca="false">Seg!M23</f>
        <v>311.386872976455</v>
      </c>
      <c r="N21" s="28"/>
    </row>
    <row r="22" customFormat="false" ht="15" hidden="false" customHeight="false" outlineLevel="0" collapsed="false">
      <c r="A22" s="27" t="s">
        <v>929</v>
      </c>
      <c r="B22" s="28" t="s">
        <v>77</v>
      </c>
      <c r="C22" s="29" t="n">
        <f aca="false">Seg!C24</f>
        <v>1.648</v>
      </c>
      <c r="D22" s="29" t="n">
        <f aca="false">Seg!D24</f>
        <v>1.537</v>
      </c>
      <c r="E22" s="29" t="n">
        <f aca="false">Seg!E24</f>
        <v>0.793</v>
      </c>
      <c r="F22" s="29" t="n">
        <f aca="false">Seg!F24</f>
        <v>0.75</v>
      </c>
      <c r="G22" s="29" t="n">
        <f aca="false">Seg!G24</f>
        <v>1.543</v>
      </c>
      <c r="H22" s="29" t="n">
        <f aca="false">Seg!H24</f>
        <v>1.6</v>
      </c>
      <c r="I22" s="29" t="n">
        <f aca="false">Seg!I24</f>
        <v>1.8</v>
      </c>
      <c r="J22" s="29" t="n">
        <f aca="false">Seg!J24</f>
        <v>2</v>
      </c>
      <c r="K22" s="29" t="n">
        <f aca="false">Seg!K24</f>
        <v>2.2</v>
      </c>
      <c r="L22" s="29" t="n">
        <f aca="false">Seg!L24</f>
        <v>2.4</v>
      </c>
      <c r="M22" s="29" t="n">
        <f aca="false">Seg!M24</f>
        <v>2.6</v>
      </c>
      <c r="N22" s="28"/>
    </row>
    <row r="23" customFormat="false" ht="15" hidden="false" customHeight="false" outlineLevel="0" collapsed="false">
      <c r="A23" s="0" t="s">
        <v>930</v>
      </c>
      <c r="B23" s="0" t="s">
        <v>77</v>
      </c>
      <c r="C23" s="23" t="n">
        <f aca="false">Seg!C25</f>
        <v>0.211</v>
      </c>
      <c r="D23" s="23" t="n">
        <f aca="false">Seg!D25</f>
        <v>-0.127</v>
      </c>
      <c r="E23" s="23" t="n">
        <f aca="false">Seg!E25</f>
        <v>-0.074</v>
      </c>
      <c r="F23" s="23" t="n">
        <f aca="false">Seg!F25</f>
        <v>0</v>
      </c>
      <c r="G23" s="23" t="n">
        <f aca="false">Seg!G25</f>
        <v>-0.074</v>
      </c>
      <c r="H23" s="23" t="n">
        <f aca="false">Seg!H25</f>
        <v>0</v>
      </c>
      <c r="I23" s="23" t="n">
        <f aca="false">Seg!I25</f>
        <v>0</v>
      </c>
      <c r="J23" s="23" t="n">
        <f aca="false">Seg!J25</f>
        <v>0</v>
      </c>
      <c r="K23" s="23" t="n">
        <f aca="false">Seg!K25</f>
        <v>0</v>
      </c>
      <c r="L23" s="23" t="n">
        <f aca="false">Seg!L25</f>
        <v>0</v>
      </c>
      <c r="M23" s="23" t="n">
        <f aca="false">Seg!M25</f>
        <v>0</v>
      </c>
    </row>
    <row r="24" customFormat="false" ht="15" hidden="false" customHeight="false" outlineLevel="0" collapsed="false">
      <c r="A24" s="2" t="s">
        <v>735</v>
      </c>
      <c r="B24" s="7" t="s">
        <v>77</v>
      </c>
      <c r="C24" s="23" t="n">
        <f aca="false">Seg!C26</f>
        <v>350.018</v>
      </c>
      <c r="D24" s="23" t="n">
        <f aca="false">Seg!D26</f>
        <v>402.836</v>
      </c>
      <c r="E24" s="23" t="n">
        <f aca="false">Seg!E26</f>
        <v>229.692</v>
      </c>
      <c r="F24" s="23" t="n">
        <f aca="false">Seg!F26</f>
        <v>267.169031966039</v>
      </c>
      <c r="G24" s="23" t="n">
        <f aca="false">Seg!G26</f>
        <v>496.861031966039</v>
      </c>
      <c r="H24" s="23" t="n">
        <f aca="false">Seg!H26</f>
        <v>616.763167883424</v>
      </c>
      <c r="I24" s="23" t="n">
        <f aca="false">Seg!I26</f>
        <v>729.189196550926</v>
      </c>
      <c r="J24" s="23" t="n">
        <f aca="false">Seg!J26</f>
        <v>834.91056585</v>
      </c>
      <c r="K24" s="23" t="n">
        <f aca="false">Seg!K26</f>
        <v>922.694902453337</v>
      </c>
      <c r="L24" s="23" t="n">
        <f aca="false">Seg!L26</f>
        <v>996.886187424294</v>
      </c>
      <c r="M24" s="23" t="n">
        <f aca="false">Seg!M26</f>
        <v>1072.82824722103</v>
      </c>
    </row>
    <row r="25" customFormat="false" ht="15" hidden="false" customHeight="false" outlineLevel="0" collapsed="false">
      <c r="A25" s="4" t="s">
        <v>950</v>
      </c>
      <c r="B25" s="0" t="s">
        <v>100</v>
      </c>
      <c r="D25" s="14" t="n">
        <f aca="false">D24/C24-1</f>
        <v>0.150900810815444</v>
      </c>
      <c r="G25" s="14" t="n">
        <f aca="false">G24/D24-1</f>
        <v>0.233407719186069</v>
      </c>
      <c r="H25" s="14" t="n">
        <f aca="false">H24/G24-1</f>
        <v>0.241319258712927</v>
      </c>
      <c r="I25" s="14" t="n">
        <f aca="false">I24/H24-1</f>
        <v>0.182283953585166</v>
      </c>
      <c r="J25" s="14" t="n">
        <f aca="false">J24/I24-1</f>
        <v>0.144984826707715</v>
      </c>
      <c r="K25" s="14" t="n">
        <f aca="false">K24/J24-1</f>
        <v>0.105142203481359</v>
      </c>
      <c r="L25" s="14" t="n">
        <f aca="false">L24/K24-1</f>
        <v>0.0804071690151222</v>
      </c>
      <c r="M25" s="14" t="n">
        <f aca="false">M24/L24-1</f>
        <v>0.0761792677586881</v>
      </c>
    </row>
    <row r="26" customFormat="false" ht="17.15" hidden="false" customHeight="false" outlineLevel="0" collapsed="false">
      <c r="A26" s="4" t="s">
        <v>730</v>
      </c>
      <c r="B26" s="0" t="s">
        <v>77</v>
      </c>
      <c r="C26" s="19" t="n">
        <f aca="false">C13+C14+C15+C16-C17</f>
        <v>0</v>
      </c>
      <c r="D26" s="19" t="n">
        <f aca="false">D13+D14+D15+D16-D17</f>
        <v>0</v>
      </c>
      <c r="E26" s="19" t="n">
        <f aca="false">E13+E14+E15+E16-E17</f>
        <v>0</v>
      </c>
      <c r="F26" s="19" t="n">
        <f aca="false">F13+F14+F15+F16-F17</f>
        <v>0</v>
      </c>
      <c r="G26" s="19" t="n">
        <f aca="false">G13+G14+G15+G16-G17</f>
        <v>0</v>
      </c>
      <c r="H26" s="19" t="n">
        <f aca="false">H13+H14+H15+H16-H17</f>
        <v>0</v>
      </c>
      <c r="I26" s="19" t="n">
        <f aca="false">I13+I14+I15+I16-I17</f>
        <v>0</v>
      </c>
      <c r="J26" s="19" t="n">
        <f aca="false">J13+J14+J15+J16-J17</f>
        <v>0</v>
      </c>
      <c r="K26" s="19" t="n">
        <f aca="false">K13+K14+K15+K16-K17</f>
        <v>0</v>
      </c>
      <c r="L26" s="19" t="n">
        <f aca="false">L13+L14+L15+L16-L17</f>
        <v>0</v>
      </c>
      <c r="M26" s="19" t="n">
        <f aca="false">M13+M14+M15+M16-M17</f>
        <v>0</v>
      </c>
    </row>
    <row r="27" customFormat="false" ht="17.15" hidden="false" customHeight="false" outlineLevel="0" collapsed="false">
      <c r="A27" s="4" t="s">
        <v>932</v>
      </c>
      <c r="B27" s="0" t="s">
        <v>77</v>
      </c>
      <c r="E27" s="19" t="n">
        <f aca="false">E18+E19+E20-E21</f>
        <v>0</v>
      </c>
      <c r="F27" s="19" t="n">
        <f aca="false">F18+F19+F20-F21</f>
        <v>0</v>
      </c>
      <c r="G27" s="19" t="n">
        <f aca="false">G18+G19+G20-G21</f>
        <v>0</v>
      </c>
      <c r="H27" s="19" t="n">
        <f aca="false">H18+H19+H20-H21</f>
        <v>0</v>
      </c>
      <c r="I27" s="19" t="n">
        <f aca="false">I18+I19+I20-I21</f>
        <v>0</v>
      </c>
      <c r="J27" s="19" t="n">
        <f aca="false">J18+J19+J20-J21</f>
        <v>0</v>
      </c>
      <c r="K27" s="19" t="n">
        <f aca="false">K18+K19+K20-K21</f>
        <v>0</v>
      </c>
      <c r="L27" s="19" t="n">
        <f aca="false">L18+L19+L20-L21</f>
        <v>0</v>
      </c>
      <c r="M27" s="19" t="n">
        <f aca="false">M18+M19+M20-M21</f>
        <v>0</v>
      </c>
    </row>
    <row r="28" customFormat="false" ht="15" hidden="false" customHeight="false" outlineLevel="0" collapsed="false">
      <c r="A28" s="4" t="s">
        <v>736</v>
      </c>
      <c r="B28" s="0" t="s">
        <v>77</v>
      </c>
      <c r="C28" s="19" t="n">
        <f aca="false">C17+C21+C22+C23-C24</f>
        <v>0</v>
      </c>
      <c r="D28" s="19" t="n">
        <f aca="false">D17+D21+D22+D23-D24</f>
        <v>0</v>
      </c>
      <c r="E28" s="19" t="n">
        <f aca="false">E17+E21+E22+E23-E24</f>
        <v>0</v>
      </c>
      <c r="F28" s="19" t="n">
        <f aca="false">F17+F21+F22+F23-F24</f>
        <v>0</v>
      </c>
      <c r="G28" s="19" t="n">
        <f aca="false">G17+G21+G22+G23-G24</f>
        <v>0</v>
      </c>
      <c r="H28" s="19" t="n">
        <f aca="false">H17+H21+H22+H23-H24</f>
        <v>0</v>
      </c>
      <c r="I28" s="19" t="n">
        <f aca="false">I17+I21+I22+I23-I24</f>
        <v>0</v>
      </c>
      <c r="J28" s="19" t="n">
        <f aca="false">J17+J21+J22+J23-J24</f>
        <v>0</v>
      </c>
      <c r="K28" s="19" t="n">
        <f aca="false">K17+K21+K22+K23-K24</f>
        <v>0</v>
      </c>
      <c r="L28" s="19" t="n">
        <f aca="false">L17+L21+L22+L23-L24</f>
        <v>0</v>
      </c>
      <c r="M28" s="19" t="n">
        <f aca="false">M17+M21+M22+M23-M24</f>
        <v>0</v>
      </c>
    </row>
    <row r="29" customFormat="false" ht="17.15" hidden="false" customHeight="false" outlineLevel="0" collapsed="false">
      <c r="A29" s="0" t="s">
        <v>951</v>
      </c>
      <c r="B29" s="0" t="s">
        <v>77</v>
      </c>
      <c r="F29" s="23" t="n">
        <f aca="false">Seg!F11-Seg!F7</f>
        <v>0</v>
      </c>
      <c r="G29" s="23" t="n">
        <f aca="false">F29</f>
        <v>0</v>
      </c>
      <c r="H29" s="23" t="n">
        <f aca="false">Seg!H11-Seg!H7</f>
        <v>11.4145248358055</v>
      </c>
      <c r="I29" s="23" t="n">
        <f aca="false">Seg!I11-Seg!I7</f>
        <v>25.872068765788</v>
      </c>
      <c r="J29" s="23" t="n">
        <f aca="false">Seg!J11-Seg!J7</f>
        <v>43.1172042192337</v>
      </c>
      <c r="K29" s="23" t="n">
        <f aca="false">Seg!K11-Seg!K7</f>
        <v>62.5935608567999</v>
      </c>
      <c r="L29" s="23" t="n">
        <f aca="false">Seg!L11-Seg!L7</f>
        <v>67.6010457253438</v>
      </c>
      <c r="M29" s="23" t="n">
        <f aca="false">Seg!M11-Seg!M7</f>
        <v>73.0091293833713</v>
      </c>
    </row>
    <row r="30" customFormat="false" ht="17.15" hidden="false" customHeight="false" outlineLevel="0" collapsed="false">
      <c r="A30" s="0" t="s">
        <v>952</v>
      </c>
      <c r="B30" s="0" t="s">
        <v>77</v>
      </c>
      <c r="F30" s="23" t="n">
        <f aca="false">m_svc*(F17-F29)+inc_m*F29-svc_sh*(Thesis!F68+Thesis!F69)</f>
        <v>101.679428068742</v>
      </c>
      <c r="H30" s="23" t="n">
        <f aca="false">m_svc*(H17-H29)+inc_m*H29-svc_sh*(Thesis!H68+Thesis!H69)</f>
        <v>218.278306038919</v>
      </c>
      <c r="I30" s="23" t="n">
        <f aca="false">m_svc*(I17-I29)+inc_m*I29-svc_sh*(Thesis!I68+Thesis!I69)</f>
        <v>250.093823473721</v>
      </c>
      <c r="J30" s="23" t="n">
        <f aca="false">m_svc*(J17-J29)+inc_m*J29-svc_sh*(Thesis!J68+Thesis!J69)</f>
        <v>286.095918438709</v>
      </c>
      <c r="K30" s="23" t="n">
        <f aca="false">m_svc*(K17-K29)+inc_m*K29-svc_sh*(Thesis!K68+Thesis!K69)</f>
        <v>321.848787753977</v>
      </c>
      <c r="L30" s="23" t="n">
        <f aca="false">m_svc*(L17-L29)+inc_m*L29-svc_sh*(Thesis!L68+Thesis!L69)</f>
        <v>346.694865597672</v>
      </c>
      <c r="M30" s="23" t="n">
        <f aca="false">m_svc*(M17-M29)+inc_m*M29-svc_sh*(Thesis!M68+Thesis!M69)</f>
        <v>374.488352959903</v>
      </c>
      <c r="N30" s="7" t="s">
        <v>953</v>
      </c>
    </row>
    <row r="31" customFormat="false" ht="17.15" hidden="false" customHeight="false" outlineLevel="0" collapsed="false">
      <c r="A31" s="0" t="s">
        <v>954</v>
      </c>
      <c r="B31" s="0" t="s">
        <v>77</v>
      </c>
      <c r="F31" s="23" t="n">
        <f aca="false">Thesis!F77*sh_svc+Seg!F35+Thesis!F65*svc_sh</f>
        <v>14.9965690659575</v>
      </c>
      <c r="H31" s="23" t="n">
        <f aca="false">Thesis!H77*sh_svc+Seg!H35+Thesis!H65*svc_sh</f>
        <v>40.0717718926729</v>
      </c>
      <c r="I31" s="23" t="n">
        <f aca="false">Thesis!I77*sh_svc+Seg!I35+Thesis!I65*svc_sh</f>
        <v>54.2157397254276</v>
      </c>
      <c r="J31" s="23" t="n">
        <f aca="false">Thesis!J77*sh_svc+Seg!J35+Thesis!J65*svc_sh</f>
        <v>67.9091518545174</v>
      </c>
      <c r="K31" s="23" t="n">
        <f aca="false">Thesis!K77*sh_svc+Seg!K35+Thesis!K65*svc_sh</f>
        <v>78.4166039661197</v>
      </c>
      <c r="L31" s="23" t="n">
        <f aca="false">Thesis!L77*sh_svc+Seg!L35+Thesis!L65*svc_sh</f>
        <v>85.4261641273449</v>
      </c>
      <c r="M31" s="23" t="n">
        <f aca="false">Thesis!M77*sh_svc+Seg!M35+Thesis!M65*svc_sh</f>
        <v>97.7780509512032</v>
      </c>
    </row>
    <row r="32" customFormat="false" ht="17.15" hidden="false" customHeight="false" outlineLevel="0" collapsed="false">
      <c r="A32" s="5" t="s">
        <v>955</v>
      </c>
      <c r="B32" s="7" t="s">
        <v>77</v>
      </c>
      <c r="C32" s="23" t="n">
        <f aca="false">Q!J18</f>
        <v>121.263</v>
      </c>
      <c r="D32" s="23" t="n">
        <f aca="false">Q!K18</f>
        <v>139.404</v>
      </c>
      <c r="E32" s="23" t="n">
        <f aca="false">Q!L18</f>
        <v>80.133</v>
      </c>
      <c r="F32" s="23" t="n">
        <f aca="false">F30-F31</f>
        <v>86.6828590027843</v>
      </c>
      <c r="G32" s="23" t="n">
        <f aca="false">E32+F32</f>
        <v>166.815859002784</v>
      </c>
      <c r="H32" s="23" t="n">
        <f aca="false">H30-H31</f>
        <v>178.206534146247</v>
      </c>
      <c r="I32" s="23" t="n">
        <f aca="false">I30-I31</f>
        <v>195.878083748294</v>
      </c>
      <c r="J32" s="23" t="n">
        <f aca="false">J30-J31</f>
        <v>218.186766584192</v>
      </c>
      <c r="K32" s="23" t="n">
        <f aca="false">K30-K31</f>
        <v>243.432183787857</v>
      </c>
      <c r="L32" s="23" t="n">
        <f aca="false">L30-L31</f>
        <v>261.268701470327</v>
      </c>
      <c r="M32" s="23" t="n">
        <f aca="false">M30-M31</f>
        <v>276.7103020087</v>
      </c>
    </row>
    <row r="33" customFormat="false" ht="17.15" hidden="false" customHeight="false" outlineLevel="0" collapsed="false">
      <c r="A33" s="0" t="s">
        <v>956</v>
      </c>
      <c r="B33" s="0" t="s">
        <v>77</v>
      </c>
      <c r="F33" s="23" t="n">
        <f aca="false">Thesis!F41+F19*tpu_m+F20*m_co</f>
        <v>23.1804867072037</v>
      </c>
      <c r="H33" s="23" t="n">
        <f aca="false">Thesis!H41+H19*tpu_m+H20*m_co</f>
        <v>65.9102849718516</v>
      </c>
      <c r="I33" s="23" t="n">
        <f aca="false">Thesis!I41+I19*tpu_m+I20*m_co</f>
        <v>89.2627271785295</v>
      </c>
      <c r="J33" s="23" t="n">
        <f aca="false">Thesis!J41+J19*tpu_m+J20*m_co</f>
        <v>109.920806164157</v>
      </c>
      <c r="K33" s="23" t="n">
        <f aca="false">Thesis!K41+K19*tpu_m+K20*m_co</f>
        <v>124.114330559677</v>
      </c>
      <c r="L33" s="23" t="n">
        <f aca="false">Thesis!L41+L19*tpu_m+L20*m_co</f>
        <v>135.379162291457</v>
      </c>
      <c r="M33" s="23" t="n">
        <f aca="false">Thesis!M41+M19*tpu_m+M20*m_co</f>
        <v>143.813314584279</v>
      </c>
      <c r="N33" s="7" t="s">
        <v>957</v>
      </c>
    </row>
    <row r="34" customFormat="false" ht="17.15" hidden="false" customHeight="false" outlineLevel="0" collapsed="false">
      <c r="A34" s="0" t="s">
        <v>958</v>
      </c>
      <c r="B34" s="0" t="s">
        <v>77</v>
      </c>
      <c r="F34" s="23" t="n">
        <f aca="false">Thesis!F77*sh_cloud+Thesis!F64+Seg!F36</f>
        <v>4.82119327366453</v>
      </c>
      <c r="H34" s="23" t="n">
        <f aca="false">Thesis!H77*sh_cloud+Thesis!H64+Seg!H36</f>
        <v>16.8544946111865</v>
      </c>
      <c r="I34" s="23" t="n">
        <f aca="false">Thesis!I77*sh_cloud+Thesis!I64+Seg!I36</f>
        <v>27.187499999905</v>
      </c>
      <c r="J34" s="23" t="n">
        <f aca="false">Thesis!J77*sh_cloud+Thesis!J64+Seg!J36</f>
        <v>38.0673447038783</v>
      </c>
      <c r="K34" s="23" t="n">
        <f aca="false">Thesis!K77*sh_cloud+Thesis!K64+Seg!K36</f>
        <v>48.2328053690676</v>
      </c>
      <c r="L34" s="23" t="n">
        <f aca="false">Thesis!L77*sh_cloud+Thesis!L64+Seg!L36</f>
        <v>57.875470838129</v>
      </c>
      <c r="M34" s="23" t="n">
        <f aca="false">Thesis!M77*sh_cloud+Thesis!M64+Seg!M36</f>
        <v>67.8283824574952</v>
      </c>
    </row>
    <row r="35" customFormat="false" ht="17.15" hidden="false" customHeight="false" outlineLevel="0" collapsed="false">
      <c r="A35" s="5" t="s">
        <v>959</v>
      </c>
      <c r="B35" s="7" t="s">
        <v>77</v>
      </c>
      <c r="C35" s="23" t="n">
        <f aca="false">Q!J19</f>
        <v>6.112</v>
      </c>
      <c r="D35" s="23" t="n">
        <f aca="false">Q!K19</f>
        <v>13.91</v>
      </c>
      <c r="E35" s="23" t="n">
        <f aca="false">Q!L19</f>
        <v>15.412</v>
      </c>
      <c r="F35" s="23" t="n">
        <f aca="false">F33-F34</f>
        <v>18.3592934335392</v>
      </c>
      <c r="G35" s="23" t="n">
        <f aca="false">E35+F35</f>
        <v>33.7712934335392</v>
      </c>
      <c r="H35" s="23" t="n">
        <f aca="false">H33-H34</f>
        <v>49.0557903606651</v>
      </c>
      <c r="I35" s="23" t="n">
        <f aca="false">I33-I34</f>
        <v>62.0752271786245</v>
      </c>
      <c r="J35" s="23" t="n">
        <f aca="false">J33-J34</f>
        <v>71.8534614602786</v>
      </c>
      <c r="K35" s="23" t="n">
        <f aca="false">K33-K34</f>
        <v>75.8815251906092</v>
      </c>
      <c r="L35" s="23" t="n">
        <f aca="false">L33-L34</f>
        <v>77.5036914533283</v>
      </c>
      <c r="M35" s="23" t="n">
        <f aca="false">M33-M34</f>
        <v>75.9849321267838</v>
      </c>
    </row>
    <row r="36" customFormat="false" ht="17.15" hidden="false" customHeight="false" outlineLevel="0" collapsed="false">
      <c r="A36" s="0" t="s">
        <v>960</v>
      </c>
      <c r="B36" s="0" t="s">
        <v>77</v>
      </c>
      <c r="F36" s="23" t="n">
        <f aca="false">Thesis!F77*sh_ob+Seg!F37</f>
        <v>0.0491096172809072</v>
      </c>
      <c r="H36" s="23" t="n">
        <f aca="false">Thesis!H77*sh_ob+Seg!H37</f>
        <v>0.102869234561814</v>
      </c>
      <c r="I36" s="23" t="n">
        <f aca="false">Thesis!I77*sh_ob+Seg!I37</f>
        <v>0.112769234561814</v>
      </c>
      <c r="J36" s="23" t="n">
        <f aca="false">Thesis!J77*sh_ob+Seg!J37</f>
        <v>0.118967293042818</v>
      </c>
      <c r="K36" s="23" t="n">
        <f aca="false">Thesis!K77*sh_ob+Seg!K37</f>
        <v>0.114766066000781</v>
      </c>
      <c r="L36" s="23" t="n">
        <f aca="false">Thesis!L77*sh_ob+Seg!L37</f>
        <v>0.0956508706859939</v>
      </c>
      <c r="M36" s="23" t="n">
        <f aca="false">Thesis!M77*sh_ob+Seg!M37</f>
        <v>0.106787693824726</v>
      </c>
    </row>
    <row r="37" customFormat="false" ht="17.15" hidden="false" customHeight="false" outlineLevel="0" collapsed="false">
      <c r="A37" s="5" t="s">
        <v>961</v>
      </c>
      <c r="B37" s="7" t="s">
        <v>77</v>
      </c>
      <c r="C37" s="23" t="n">
        <f aca="false">Q!J20</f>
        <v>-4.444</v>
      </c>
      <c r="D37" s="23" t="n">
        <f aca="false">Q!K20</f>
        <v>-7.515</v>
      </c>
      <c r="E37" s="23" t="n">
        <f aca="false">Q!L20</f>
        <v>-3.899</v>
      </c>
      <c r="F37" s="23" t="n">
        <f aca="false">ob_oi*0.5</f>
        <v>-4.5</v>
      </c>
      <c r="G37" s="23" t="n">
        <f aca="false">E37+F37</f>
        <v>-8.399</v>
      </c>
      <c r="H37" s="23" t="n">
        <f aca="false">ob_oi*1</f>
        <v>-9</v>
      </c>
      <c r="I37" s="23" t="n">
        <f aca="false">ob_oi*1</f>
        <v>-9</v>
      </c>
      <c r="J37" s="23" t="n">
        <f aca="false">ob_oi*1</f>
        <v>-9</v>
      </c>
      <c r="K37" s="23" t="n">
        <f aca="false">ob_oi*1</f>
        <v>-9</v>
      </c>
      <c r="L37" s="23" t="n">
        <f aca="false">ob_oi*1</f>
        <v>-9</v>
      </c>
      <c r="M37" s="23" t="n">
        <f aca="false">ob_oi*1</f>
        <v>-9</v>
      </c>
    </row>
    <row r="38" customFormat="false" ht="15" hidden="false" customHeight="false" outlineLevel="0" collapsed="false">
      <c r="A38" s="0" t="s">
        <v>962</v>
      </c>
      <c r="B38" s="0" t="s">
        <v>77</v>
      </c>
      <c r="F38" s="23" t="n">
        <f aca="false">F37+F36</f>
        <v>-4.45089038271909</v>
      </c>
      <c r="H38" s="23" t="n">
        <f aca="false">H37+H36</f>
        <v>-8.89713076543819</v>
      </c>
      <c r="I38" s="23" t="n">
        <f aca="false">I37+I36</f>
        <v>-8.88723076543819</v>
      </c>
      <c r="J38" s="23" t="n">
        <f aca="false">J37+J36</f>
        <v>-8.88103270695718</v>
      </c>
      <c r="K38" s="23" t="n">
        <f aca="false">K37+K36</f>
        <v>-8.88523393399922</v>
      </c>
      <c r="L38" s="23" t="n">
        <f aca="false">L37+L36</f>
        <v>-8.90434912931401</v>
      </c>
      <c r="M38" s="23" t="n">
        <f aca="false">M37+M36</f>
        <v>-8.89321230617527</v>
      </c>
    </row>
    <row r="39" customFormat="false" ht="17.15" hidden="false" customHeight="false" outlineLevel="0" collapsed="false">
      <c r="A39" s="0" t="s">
        <v>963</v>
      </c>
      <c r="B39" s="0" t="s">
        <v>77</v>
      </c>
      <c r="F39" s="23" t="n">
        <f aca="false">Thesis!F65*(1-svc_sh)</f>
        <v>1.99534687326734</v>
      </c>
      <c r="H39" s="23" t="n">
        <f aca="false">Thesis!H65*(1-svc_sh)</f>
        <v>9.83243000817972</v>
      </c>
      <c r="I39" s="23" t="n">
        <f aca="false">Thesis!I65*(1-svc_sh)</f>
        <v>17.3663952776831</v>
      </c>
      <c r="J39" s="23" t="n">
        <f aca="false">Thesis!J65*(1-svc_sh)</f>
        <v>25.1335077659995</v>
      </c>
      <c r="K39" s="23" t="n">
        <f aca="false">Thesis!K65*(1-svc_sh)</f>
        <v>32.4011075802636</v>
      </c>
      <c r="L39" s="23" t="n">
        <f aca="false">Thesis!L65*(1-svc_sh)</f>
        <v>39.7143037119353</v>
      </c>
      <c r="M39" s="23" t="n">
        <f aca="false">Thesis!M65*(1-svc_sh)</f>
        <v>45.6601554773843</v>
      </c>
    </row>
    <row r="40" customFormat="false" ht="17.15" hidden="false" customHeight="false" outlineLevel="0" collapsed="false">
      <c r="A40" s="5" t="s">
        <v>964</v>
      </c>
      <c r="B40" s="7" t="s">
        <v>77</v>
      </c>
      <c r="C40" s="23" t="n">
        <f aca="false">Q!J21</f>
        <v>-10.541</v>
      </c>
      <c r="D40" s="23" t="n">
        <f aca="false">Q!K21</f>
        <v>-16.76</v>
      </c>
      <c r="E40" s="23" t="n">
        <f aca="false">Q!L21</f>
        <v>-11.18</v>
      </c>
      <c r="F40" s="23" t="n">
        <f aca="false">F23-abc_rate*F24-Thesis!F72</f>
        <v>-16.2922598465888</v>
      </c>
      <c r="G40" s="23" t="n">
        <f aca="false">E40+F40</f>
        <v>-27.4722598465888</v>
      </c>
      <c r="H40" s="23" t="n">
        <f aca="false">H23-abc_rate*H24-Thesis!H72</f>
        <v>-46.3795609370415</v>
      </c>
      <c r="I40" s="23" t="n">
        <f aca="false">I23-abc_rate*I24-Thesis!I72</f>
        <v>-61.7497334816744</v>
      </c>
      <c r="J40" s="23" t="n">
        <f aca="false">J23-abc_rate*J24-Thesis!J72</f>
        <v>-74.5854984741138</v>
      </c>
      <c r="K40" s="23" t="n">
        <f aca="false">K23-abc_rate*K24-Thesis!K72</f>
        <v>-85.5336598250645</v>
      </c>
      <c r="L40" s="23" t="n">
        <f aca="false">L23-abc_rate*L24-Thesis!L72</f>
        <v>-97.5799664889312</v>
      </c>
      <c r="M40" s="23" t="n">
        <f aca="false">M23-abc_rate*M24-Thesis!M72</f>
        <v>-107.85624906647</v>
      </c>
    </row>
    <row r="41" customFormat="false" ht="15" hidden="false" customHeight="false" outlineLevel="0" collapsed="false">
      <c r="A41" s="0" t="s">
        <v>965</v>
      </c>
      <c r="B41" s="0" t="s">
        <v>77</v>
      </c>
      <c r="F41" s="23" t="n">
        <f aca="false">F40+F39</f>
        <v>-14.2969129733215</v>
      </c>
      <c r="H41" s="23" t="n">
        <f aca="false">H40+H39</f>
        <v>-36.5471309288618</v>
      </c>
      <c r="I41" s="23" t="n">
        <f aca="false">I40+I39</f>
        <v>-44.3833382039913</v>
      </c>
      <c r="J41" s="23" t="n">
        <f aca="false">J40+J39</f>
        <v>-49.4519907081144</v>
      </c>
      <c r="K41" s="23" t="n">
        <f aca="false">K40+K39</f>
        <v>-53.1325522448009</v>
      </c>
      <c r="L41" s="23" t="n">
        <f aca="false">L40+L39</f>
        <v>-57.8656627769958</v>
      </c>
      <c r="M41" s="23" t="n">
        <f aca="false">M40+M39</f>
        <v>-62.1960935890862</v>
      </c>
    </row>
    <row r="42" customFormat="false" ht="15" hidden="false" customHeight="false" outlineLevel="0" collapsed="false">
      <c r="A42" s="4" t="s">
        <v>966</v>
      </c>
      <c r="B42" s="0" t="s">
        <v>77</v>
      </c>
      <c r="C42" s="23" t="n">
        <f aca="false">C32+C35+C37+C40</f>
        <v>112.39</v>
      </c>
      <c r="D42" s="23" t="n">
        <f aca="false">D32+D35+D37+D40</f>
        <v>129.039</v>
      </c>
      <c r="E42" s="23" t="n">
        <f aca="false">E32+E35+E37+E40</f>
        <v>80.466</v>
      </c>
      <c r="F42" s="23" t="n">
        <f aca="false">F32+F35+F37+F40</f>
        <v>84.2498925897347</v>
      </c>
      <c r="G42" s="23" t="n">
        <f aca="false">G32+G35+G37+G40</f>
        <v>164.715892589735</v>
      </c>
      <c r="H42" s="23" t="n">
        <f aca="false">H32+H35+H37+H40</f>
        <v>171.88276356987</v>
      </c>
      <c r="I42" s="23" t="n">
        <f aca="false">I32+I35+I37+I40</f>
        <v>187.203577445244</v>
      </c>
      <c r="J42" s="23" t="n">
        <f aca="false">J32+J35+J37+J40</f>
        <v>206.454729570357</v>
      </c>
      <c r="K42" s="23" t="n">
        <f aca="false">K32+K35+K37+K40</f>
        <v>224.780049153402</v>
      </c>
      <c r="L42" s="23" t="n">
        <f aca="false">L32+L35+L37+L40</f>
        <v>232.192426434724</v>
      </c>
      <c r="M42" s="23" t="n">
        <f aca="false">M32+M35+M37+M40</f>
        <v>235.838985069013</v>
      </c>
    </row>
    <row r="43" customFormat="false" ht="17.15" hidden="false" customHeight="false" outlineLevel="0" collapsed="false">
      <c r="A43" s="4" t="s">
        <v>967</v>
      </c>
      <c r="B43" s="0" t="s">
        <v>77</v>
      </c>
      <c r="F43" s="23" t="n">
        <f aca="false">F30+F33+F38+F41</f>
        <v>106.112111419905</v>
      </c>
      <c r="H43" s="23" t="n">
        <f aca="false">H30+H33+H38+H41</f>
        <v>238.744329316471</v>
      </c>
      <c r="I43" s="23" t="n">
        <f aca="false">I30+I33+I38+I41</f>
        <v>286.085981682822</v>
      </c>
      <c r="J43" s="23" t="n">
        <f aca="false">J30+J33+J38+J41</f>
        <v>337.683701187795</v>
      </c>
      <c r="K43" s="23" t="n">
        <f aca="false">K30+K33+K38+K41</f>
        <v>383.945332134853</v>
      </c>
      <c r="L43" s="23" t="n">
        <f aca="false">L30+L33+L38+L41</f>
        <v>415.304015982819</v>
      </c>
      <c r="M43" s="23" t="n">
        <f aca="false">M30+M33+M38+M41</f>
        <v>447.21236164892</v>
      </c>
    </row>
    <row r="44" customFormat="false" ht="17.15" hidden="false" customHeight="false" outlineLevel="0" collapsed="false">
      <c r="A44" s="4" t="s">
        <v>968</v>
      </c>
      <c r="B44" s="0" t="s">
        <v>77</v>
      </c>
      <c r="C44" s="23" t="n">
        <f aca="false">Q!J43</f>
        <v>15.311</v>
      </c>
      <c r="D44" s="23" t="n">
        <f aca="false">Q!K43</f>
        <v>21.136</v>
      </c>
      <c r="E44" s="23" t="n">
        <f aca="false">Q!L43</f>
        <v>13.586</v>
      </c>
      <c r="F44" s="23" t="n">
        <f aca="false">Thesis!F77+Thesis!F63+Seg!F38</f>
        <v>21.8622188301703</v>
      </c>
      <c r="G44" s="23" t="n">
        <f aca="false">E44+F44</f>
        <v>35.4482188301703</v>
      </c>
      <c r="H44" s="23" t="n">
        <f aca="false">Thesis!H77+Thesis!H63+Seg!H38</f>
        <v>66.8615657466009</v>
      </c>
      <c r="I44" s="23" t="n">
        <f aca="false">Thesis!I77+Thesis!I63+Seg!I38</f>
        <v>98.8824042375775</v>
      </c>
      <c r="J44" s="23" t="n">
        <f aca="false">Thesis!J77+Thesis!J63+Seg!J38</f>
        <v>131.228971617438</v>
      </c>
      <c r="K44" s="23" t="n">
        <f aca="false">Thesis!K77+Thesis!K63+Seg!K38</f>
        <v>159.165282981452</v>
      </c>
      <c r="L44" s="23" t="n">
        <f aca="false">Thesis!L77+Thesis!L63+Seg!L38</f>
        <v>183.111589548095</v>
      </c>
      <c r="M44" s="23" t="n">
        <f aca="false">Thesis!M77+Thesis!M63+Seg!M38</f>
        <v>211.373376579907</v>
      </c>
      <c r="N44" s="7" t="s">
        <v>969</v>
      </c>
    </row>
    <row r="45" customFormat="false" ht="17.15" hidden="false" customHeight="false" outlineLevel="0" collapsed="false">
      <c r="A45" s="4" t="s">
        <v>970</v>
      </c>
      <c r="B45" s="0" t="s">
        <v>77</v>
      </c>
      <c r="F45" s="23" t="n">
        <f aca="false">Thesis!F63</f>
        <v>7.12623883309764</v>
      </c>
      <c r="G45" s="23" t="n">
        <f aca="false">F45</f>
        <v>7.12623883309764</v>
      </c>
      <c r="H45" s="23" t="n">
        <f aca="false">Thesis!H63</f>
        <v>35.1158214577847</v>
      </c>
      <c r="I45" s="23" t="n">
        <f aca="false">Thesis!I63</f>
        <v>62.0228402774397</v>
      </c>
      <c r="J45" s="23" t="n">
        <f aca="false">Thesis!J63</f>
        <v>89.7625277357123</v>
      </c>
      <c r="K45" s="23" t="n">
        <f aca="false">Thesis!K63</f>
        <v>115.718241358084</v>
      </c>
      <c r="L45" s="23" t="n">
        <f aca="false">Thesis!L63</f>
        <v>141.836798971198</v>
      </c>
      <c r="M45" s="23" t="n">
        <f aca="false">Thesis!M63</f>
        <v>163.071983847801</v>
      </c>
    </row>
    <row r="46" customFormat="false" ht="17.15" hidden="false" customHeight="false" outlineLevel="0" collapsed="false">
      <c r="A46" s="26" t="s">
        <v>742</v>
      </c>
      <c r="B46" s="28" t="s">
        <v>77</v>
      </c>
      <c r="C46" s="29" t="n">
        <f aca="false">Q!J22</f>
        <v>112.39</v>
      </c>
      <c r="D46" s="29" t="n">
        <f aca="false">Q!K22</f>
        <v>129.039</v>
      </c>
      <c r="E46" s="29" t="n">
        <f aca="false">Q!L22</f>
        <v>80.466</v>
      </c>
      <c r="F46" s="29" t="n">
        <f aca="false">F43-F44</f>
        <v>84.2498925897347</v>
      </c>
      <c r="G46" s="29" t="n">
        <f aca="false">E46+F46</f>
        <v>164.715892589735</v>
      </c>
      <c r="H46" s="29" t="n">
        <f aca="false">H43-H44</f>
        <v>171.88276356987</v>
      </c>
      <c r="I46" s="29" t="n">
        <f aca="false">I43-I44</f>
        <v>187.203577445244</v>
      </c>
      <c r="J46" s="29" t="n">
        <f aca="false">J43-J44</f>
        <v>206.454729570357</v>
      </c>
      <c r="K46" s="29" t="n">
        <f aca="false">K43-K44</f>
        <v>224.780049153402</v>
      </c>
      <c r="L46" s="29" t="n">
        <f aca="false">L43-L44</f>
        <v>232.192426434724</v>
      </c>
      <c r="M46" s="29" t="n">
        <f aca="false">M43-M44</f>
        <v>235.838985069013</v>
      </c>
      <c r="N46" s="30" t="s">
        <v>971</v>
      </c>
    </row>
    <row r="47" customFormat="false" ht="15" hidden="false" customHeight="false" outlineLevel="0" collapsed="false">
      <c r="A47" s="4" t="s">
        <v>743</v>
      </c>
      <c r="B47" s="0" t="s">
        <v>77</v>
      </c>
      <c r="C47" s="19" t="n">
        <f aca="false">C42-C46</f>
        <v>0</v>
      </c>
      <c r="D47" s="19" t="n">
        <f aca="false">D42-D46</f>
        <v>0</v>
      </c>
      <c r="E47" s="19" t="n">
        <f aca="false">E42-E46</f>
        <v>0</v>
      </c>
      <c r="F47" s="19" t="n">
        <f aca="false">F42-F46</f>
        <v>0</v>
      </c>
      <c r="G47" s="19" t="n">
        <f aca="false">G42-G46</f>
        <v>0</v>
      </c>
      <c r="H47" s="19" t="n">
        <f aca="false">H42-H46</f>
        <v>0</v>
      </c>
      <c r="I47" s="19" t="n">
        <f aca="false">I42-I46</f>
        <v>0</v>
      </c>
      <c r="J47" s="19" t="n">
        <f aca="false">J42-J46</f>
        <v>0</v>
      </c>
      <c r="K47" s="19" t="n">
        <f aca="false">K42-K46</f>
        <v>0</v>
      </c>
      <c r="L47" s="19" t="n">
        <f aca="false">L42-L46</f>
        <v>0</v>
      </c>
      <c r="M47" s="19" t="n">
        <f aca="false">M42-M46</f>
        <v>0</v>
      </c>
    </row>
    <row r="48" customFormat="false" ht="17.15" hidden="false" customHeight="false" outlineLevel="0" collapsed="false">
      <c r="A48" s="4" t="s">
        <v>972</v>
      </c>
      <c r="B48" s="0" t="s">
        <v>77</v>
      </c>
      <c r="F48" s="23" t="n">
        <f aca="false">Thesis!F80</f>
        <v>3.96233925965039</v>
      </c>
      <c r="G48" s="23" t="n">
        <f aca="false">F48</f>
        <v>3.96233925965039</v>
      </c>
      <c r="H48" s="23" t="n">
        <f aca="false">Thesis!H80</f>
        <v>32.673472428289</v>
      </c>
      <c r="I48" s="23" t="n">
        <f aca="false">Thesis!I80</f>
        <v>67.29646155875</v>
      </c>
      <c r="J48" s="23" t="n">
        <f aca="false">Thesis!J80</f>
        <v>98.9815856133526</v>
      </c>
      <c r="K48" s="23" t="n">
        <f aca="false">Thesis!K80</f>
        <v>123.049756568774</v>
      </c>
      <c r="L48" s="23" t="n">
        <f aca="false">Thesis!L80</f>
        <v>139.834214516804</v>
      </c>
      <c r="M48" s="23" t="n">
        <f aca="false">Thesis!M80</f>
        <v>149.505253104094</v>
      </c>
      <c r="N48" s="4" t="s">
        <v>973</v>
      </c>
    </row>
    <row r="49" customFormat="false" ht="17.15" hidden="false" customHeight="false" outlineLevel="0" collapsed="false">
      <c r="A49" s="2" t="s">
        <v>974</v>
      </c>
      <c r="B49" s="7" t="s">
        <v>77</v>
      </c>
      <c r="C49" s="23" t="n">
        <f aca="false">C46</f>
        <v>112.39</v>
      </c>
      <c r="D49" s="23" t="n">
        <f aca="false">D46</f>
        <v>129.039</v>
      </c>
      <c r="E49" s="23" t="n">
        <f aca="false">E46</f>
        <v>80.466</v>
      </c>
      <c r="F49" s="23" t="n">
        <f aca="false">F46+(internal_ai_reading=2)*F48</f>
        <v>88.2122318493851</v>
      </c>
      <c r="G49" s="23" t="n">
        <f aca="false">G46+(internal_ai_reading=2)*G48</f>
        <v>168.678231849385</v>
      </c>
      <c r="H49" s="23" t="n">
        <f aca="false">H46+(internal_ai_reading=2)*H48</f>
        <v>204.556235998159</v>
      </c>
      <c r="I49" s="23" t="n">
        <f aca="false">I46+(internal_ai_reading=2)*I48</f>
        <v>254.500039003994</v>
      </c>
      <c r="J49" s="23" t="n">
        <f aca="false">J46+(internal_ai_reading=2)*J48</f>
        <v>305.436315183709</v>
      </c>
      <c r="K49" s="23" t="n">
        <f aca="false">K46+(internal_ai_reading=2)*K48</f>
        <v>347.829805722176</v>
      </c>
      <c r="L49" s="23" t="n">
        <f aca="false">L46+(internal_ai_reading=2)*L48</f>
        <v>372.026640951528</v>
      </c>
      <c r="M49" s="23" t="n">
        <f aca="false">M46+(internal_ai_reading=2)*M48</f>
        <v>385.344238173107</v>
      </c>
    </row>
    <row r="50" customFormat="false" ht="15" hidden="false" customHeight="false" outlineLevel="0" collapsed="false">
      <c r="A50" s="4" t="s">
        <v>975</v>
      </c>
      <c r="B50" s="0" t="s">
        <v>100</v>
      </c>
      <c r="C50" s="14" t="n">
        <f aca="false">C46/C24</f>
        <v>0.321097772114577</v>
      </c>
      <c r="D50" s="14" t="n">
        <f aca="false">D46/D24</f>
        <v>0.3203263859238</v>
      </c>
      <c r="E50" s="14" t="n">
        <f aca="false">E46/E24</f>
        <v>0.350321299827595</v>
      </c>
      <c r="F50" s="14" t="n">
        <f aca="false">F46/F24</f>
        <v>0.31534303197402</v>
      </c>
      <c r="G50" s="14" t="n">
        <f aca="false">G46/G24</f>
        <v>0.331513002615575</v>
      </c>
      <c r="H50" s="14" t="n">
        <f aca="false">H46/H24</f>
        <v>0.278685194772134</v>
      </c>
      <c r="I50" s="14" t="n">
        <f aca="false">I46/I24</f>
        <v>0.256728402355273</v>
      </c>
      <c r="J50" s="14" t="n">
        <f aca="false">J46/J24</f>
        <v>0.247277658248546</v>
      </c>
      <c r="K50" s="14" t="n">
        <f aca="false">K46/K24</f>
        <v>0.243612540348644</v>
      </c>
      <c r="L50" s="14" t="n">
        <f aca="false">L46/L24</f>
        <v>0.232917688462162</v>
      </c>
      <c r="M50" s="14" t="n">
        <f aca="false">M46/M24</f>
        <v>0.219829209083479</v>
      </c>
    </row>
    <row r="51" customFormat="false" ht="17.15" hidden="false" customHeight="false" outlineLevel="0" collapsed="false">
      <c r="A51" s="0" t="s">
        <v>976</v>
      </c>
      <c r="B51" s="0" t="s">
        <v>100</v>
      </c>
      <c r="C51" s="14" t="n">
        <f aca="false">C32/C17</f>
        <v>0.397674876201095</v>
      </c>
      <c r="D51" s="14" t="n">
        <f aca="false">D32/D17</f>
        <v>0.406756516233321</v>
      </c>
      <c r="E51" s="14" t="n">
        <f aca="false">E32/E17</f>
        <v>0.435086900101533</v>
      </c>
      <c r="F51" s="14" t="n">
        <f aca="false">F32/F17</f>
        <v>0.412843499578728</v>
      </c>
      <c r="G51" s="14" t="n">
        <f aca="false">G32/G17</f>
        <v>0.423237515966416</v>
      </c>
      <c r="H51" s="14" t="n">
        <f aca="false">H32/H17</f>
        <v>0.38958884014034</v>
      </c>
      <c r="I51" s="14" t="n">
        <f aca="false">I32/I17</f>
        <v>0.374470314024306</v>
      </c>
      <c r="J51" s="14" t="n">
        <f aca="false">J32/J17</f>
        <v>0.370667383997963</v>
      </c>
      <c r="K51" s="14" t="n">
        <f aca="false">K32/K17</f>
        <v>0.373839749320529</v>
      </c>
      <c r="L51" s="14" t="n">
        <f aca="false">L32/L17</f>
        <v>0.371730075940741</v>
      </c>
      <c r="M51" s="14" t="n">
        <f aca="false">M32/M17</f>
        <v>0.364648411908438</v>
      </c>
    </row>
    <row r="52" customFormat="false" ht="17.15" hidden="false" customHeight="false" outlineLevel="0" collapsed="false">
      <c r="A52" s="0" t="s">
        <v>977</v>
      </c>
      <c r="B52" s="0" t="s">
        <v>100</v>
      </c>
      <c r="C52" s="14" t="n">
        <f aca="false">C35/C21</f>
        <v>0.141386569201231</v>
      </c>
      <c r="D52" s="14" t="n">
        <f aca="false">D35/D21</f>
        <v>0.236947449109957</v>
      </c>
      <c r="E52" s="14" t="n">
        <f aca="false">E35/E21</f>
        <v>0.344048575765693</v>
      </c>
      <c r="F52" s="14" t="n">
        <f aca="false">F35/F21</f>
        <v>0.325210256120808</v>
      </c>
      <c r="G52" s="14" t="n">
        <f aca="false">G35/G21</f>
        <v>0.333544918889945</v>
      </c>
      <c r="H52" s="14" t="n">
        <f aca="false">H35/H21</f>
        <v>0.310989281616584</v>
      </c>
      <c r="I52" s="14" t="n">
        <f aca="false">I35/I21</f>
        <v>0.303830426935535</v>
      </c>
      <c r="J52" s="14" t="n">
        <f aca="false">J35/J21</f>
        <v>0.294145853856804</v>
      </c>
      <c r="K52" s="14" t="n">
        <f aca="false">K35/K21</f>
        <v>0.281744229180774</v>
      </c>
      <c r="L52" s="14" t="n">
        <f aca="false">L35/L21</f>
        <v>0.26575034427071</v>
      </c>
      <c r="M52" s="14" t="n">
        <f aca="false">M35/M21</f>
        <v>0.244020987142028</v>
      </c>
    </row>
    <row r="53" customFormat="false" ht="17.15" hidden="false" customHeight="false" outlineLevel="0" collapsed="false">
      <c r="A53" s="4" t="s">
        <v>978</v>
      </c>
      <c r="B53" s="0" t="s">
        <v>77</v>
      </c>
      <c r="F53" s="23" t="n">
        <f aca="false">r_cash*CF!F31*0.5</f>
        <v>2.952809</v>
      </c>
      <c r="G53" s="23" t="n">
        <f aca="false">F53</f>
        <v>2.952809</v>
      </c>
      <c r="H53" s="23" t="n">
        <f aca="false">r_cash*CF!H31*1</f>
        <v>6.39956355321569</v>
      </c>
      <c r="I53" s="23" t="n">
        <f aca="false">r_cash*CF!I31*1</f>
        <v>5.49838650044246</v>
      </c>
      <c r="J53" s="23" t="n">
        <f aca="false">r_cash*CF!J31*1</f>
        <v>5.65835096529076</v>
      </c>
      <c r="K53" s="23" t="n">
        <f aca="false">r_cash*CF!K31*1</f>
        <v>8.38895794653444</v>
      </c>
      <c r="L53" s="23" t="n">
        <f aca="false">r_cash*CF!L31*1</f>
        <v>12.9505287103089</v>
      </c>
      <c r="M53" s="23" t="n">
        <f aca="false">r_cash*CF!M31*1</f>
        <v>18.7748418986798</v>
      </c>
    </row>
    <row r="54" customFormat="false" ht="17.15" hidden="false" customHeight="false" outlineLevel="0" collapsed="false">
      <c r="A54" s="4" t="s">
        <v>979</v>
      </c>
      <c r="B54" s="0" t="s">
        <v>77</v>
      </c>
      <c r="F54" s="23" t="n">
        <f aca="false">r_debt*CF!F38*0.5</f>
        <v>2.42604</v>
      </c>
      <c r="G54" s="23" t="n">
        <f aca="false">F54</f>
        <v>2.42604</v>
      </c>
      <c r="H54" s="23" t="n">
        <f aca="false">r_debt*CF!H38*1</f>
        <v>5.95608</v>
      </c>
      <c r="I54" s="23" t="n">
        <f aca="false">r_debt*CF!I38*1</f>
        <v>5.90808</v>
      </c>
      <c r="J54" s="23" t="n">
        <f aca="false">r_debt*CF!J38*1</f>
        <v>5.779632</v>
      </c>
      <c r="K54" s="23" t="n">
        <f aca="false">r_debt*CF!K38*1</f>
        <v>5.69496</v>
      </c>
      <c r="L54" s="23" t="n">
        <f aca="false">r_debt*CF!L38*1</f>
        <v>5.350032</v>
      </c>
      <c r="M54" s="23" t="n">
        <f aca="false">r_debt*CF!M38*1</f>
        <v>5.110032</v>
      </c>
    </row>
    <row r="55" customFormat="false" ht="17.15" hidden="false" customHeight="false" outlineLevel="0" collapsed="false">
      <c r="A55" s="4" t="s">
        <v>980</v>
      </c>
      <c r="B55" s="0" t="s">
        <v>77</v>
      </c>
      <c r="D55" s="23" t="n">
        <f aca="false">SUM(Q!D33:G33)</f>
        <v>24.08</v>
      </c>
      <c r="E55" s="23" t="n">
        <f aca="false">Q!L33</f>
        <v>135.946</v>
      </c>
      <c r="F55" s="25" t="n">
        <v>0</v>
      </c>
      <c r="G55" s="23" t="n">
        <f aca="false">E55+F55</f>
        <v>135.946</v>
      </c>
      <c r="H55" s="25" t="n">
        <v>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  <c r="N55" s="7" t="s">
        <v>981</v>
      </c>
    </row>
    <row r="56" customFormat="false" ht="15" hidden="false" customHeight="false" outlineLevel="0" collapsed="false">
      <c r="A56" s="4" t="s">
        <v>982</v>
      </c>
      <c r="B56" s="0" t="s">
        <v>77</v>
      </c>
      <c r="C56" s="23" t="n">
        <f aca="false">Q!J32</f>
        <v>7.425</v>
      </c>
      <c r="D56" s="23" t="n">
        <f aca="false">Q!K32</f>
        <v>29.787</v>
      </c>
      <c r="E56" s="23" t="n">
        <f aca="false">Q!L32</f>
        <v>135.699</v>
      </c>
      <c r="F56" s="23" t="n">
        <f aca="false">F53-F54+F55</f>
        <v>0.526769</v>
      </c>
      <c r="G56" s="23" t="n">
        <f aca="false">E56+F56</f>
        <v>136.225769</v>
      </c>
      <c r="H56" s="23" t="n">
        <f aca="false">H53-H54+H55</f>
        <v>0.443483553215692</v>
      </c>
      <c r="I56" s="23" t="n">
        <f aca="false">I53-I54+I55</f>
        <v>-0.409693499557541</v>
      </c>
      <c r="J56" s="23" t="n">
        <f aca="false">J53-J54+J55</f>
        <v>-0.121281034709241</v>
      </c>
      <c r="K56" s="23" t="n">
        <f aca="false">K53-K54+K55</f>
        <v>2.69399794653444</v>
      </c>
      <c r="L56" s="23" t="n">
        <f aca="false">L53-L54+L55</f>
        <v>7.60049671030886</v>
      </c>
      <c r="M56" s="23" t="n">
        <f aca="false">M53-M54+M55</f>
        <v>13.6648098986798</v>
      </c>
    </row>
    <row r="57" customFormat="false" ht="15" hidden="false" customHeight="false" outlineLevel="0" collapsed="false">
      <c r="A57" s="4" t="s">
        <v>753</v>
      </c>
      <c r="B57" s="0" t="s">
        <v>77</v>
      </c>
      <c r="C57" s="23" t="n">
        <f aca="false">C46+C56</f>
        <v>119.815</v>
      </c>
      <c r="D57" s="23" t="n">
        <f aca="false">D46+D56</f>
        <v>158.826</v>
      </c>
      <c r="E57" s="23" t="n">
        <f aca="false">E46+E56</f>
        <v>216.165</v>
      </c>
      <c r="F57" s="23" t="n">
        <f aca="false">F46+F56</f>
        <v>84.7766615897347</v>
      </c>
      <c r="G57" s="23" t="n">
        <f aca="false">G46+G56</f>
        <v>300.941661589735</v>
      </c>
      <c r="H57" s="23" t="n">
        <f aca="false">H46+H56</f>
        <v>172.326247123086</v>
      </c>
      <c r="I57" s="23" t="n">
        <f aca="false">I46+I56</f>
        <v>186.793883945687</v>
      </c>
      <c r="J57" s="23" t="n">
        <f aca="false">J46+J56</f>
        <v>206.333448535647</v>
      </c>
      <c r="K57" s="23" t="n">
        <f aca="false">K46+K56</f>
        <v>227.474047099936</v>
      </c>
      <c r="L57" s="23" t="n">
        <f aca="false">L46+L56</f>
        <v>239.792923145033</v>
      </c>
      <c r="M57" s="23" t="n">
        <f aca="false">M46+M56</f>
        <v>249.503794967693</v>
      </c>
    </row>
    <row r="58" customFormat="false" ht="15" hidden="false" customHeight="false" outlineLevel="0" collapsed="false">
      <c r="A58" s="4" t="s">
        <v>755</v>
      </c>
      <c r="B58" s="0" t="s">
        <v>77</v>
      </c>
      <c r="C58" s="23" t="n">
        <f aca="false">Q!J36</f>
        <v>19.697</v>
      </c>
      <c r="D58" s="23" t="n">
        <f aca="false">Q!K36</f>
        <v>26.656</v>
      </c>
      <c r="E58" s="23" t="n">
        <f aca="false">Q!L36</f>
        <v>41.394</v>
      </c>
      <c r="F58" s="23" t="n">
        <f aca="false">F57*tax</f>
        <v>14.2424791470754</v>
      </c>
      <c r="G58" s="23" t="n">
        <f aca="false">E58+F58</f>
        <v>55.6364791470754</v>
      </c>
      <c r="H58" s="23" t="n">
        <f aca="false">H57*tax</f>
        <v>28.9508095166784</v>
      </c>
      <c r="I58" s="23" t="n">
        <f aca="false">I57*tax</f>
        <v>31.3813725028753</v>
      </c>
      <c r="J58" s="23" t="n">
        <f aca="false">J57*tax</f>
        <v>34.6640193539888</v>
      </c>
      <c r="K58" s="23" t="n">
        <f aca="false">K57*tax</f>
        <v>38.2156399127893</v>
      </c>
      <c r="L58" s="23" t="n">
        <f aca="false">L57*tax</f>
        <v>40.2852110883655</v>
      </c>
      <c r="M58" s="23" t="n">
        <f aca="false">M57*tax</f>
        <v>41.9166375545724</v>
      </c>
    </row>
    <row r="59" customFormat="false" ht="15" hidden="false" customHeight="false" outlineLevel="0" collapsed="false">
      <c r="A59" s="2" t="s">
        <v>756</v>
      </c>
      <c r="B59" s="7" t="s">
        <v>77</v>
      </c>
      <c r="C59" s="23" t="n">
        <f aca="false">C57-C58</f>
        <v>100.118</v>
      </c>
      <c r="D59" s="23" t="n">
        <f aca="false">D57-D58</f>
        <v>132.17</v>
      </c>
      <c r="E59" s="23" t="n">
        <f aca="false">E57-E58</f>
        <v>174.771</v>
      </c>
      <c r="F59" s="23" t="n">
        <f aca="false">F57-F58</f>
        <v>70.5341824426593</v>
      </c>
      <c r="G59" s="23" t="n">
        <f aca="false">G57-G58</f>
        <v>245.305182442659</v>
      </c>
      <c r="H59" s="23" t="n">
        <f aca="false">H57-H58</f>
        <v>143.375437606407</v>
      </c>
      <c r="I59" s="23" t="n">
        <f aca="false">I57-I58</f>
        <v>155.412511442811</v>
      </c>
      <c r="J59" s="23" t="n">
        <f aca="false">J57-J58</f>
        <v>171.669429181659</v>
      </c>
      <c r="K59" s="23" t="n">
        <f aca="false">K57-K58</f>
        <v>189.258407187147</v>
      </c>
      <c r="L59" s="23" t="n">
        <f aca="false">L57-L58</f>
        <v>199.507712056667</v>
      </c>
      <c r="M59" s="23" t="n">
        <f aca="false">M57-M58</f>
        <v>207.58715741312</v>
      </c>
    </row>
    <row r="60" customFormat="false" ht="17.15" hidden="false" customHeight="false" outlineLevel="0" collapsed="false">
      <c r="A60" s="4" t="s">
        <v>983</v>
      </c>
      <c r="B60" s="0" t="s">
        <v>77</v>
      </c>
      <c r="C60" s="19" t="n">
        <f aca="false">C59-Q!J37</f>
        <v>0</v>
      </c>
      <c r="D60" s="19" t="n">
        <f aca="false">D59-Q!K37</f>
        <v>0</v>
      </c>
      <c r="E60" s="19" t="n">
        <f aca="false">E59-Q!L37</f>
        <v>0</v>
      </c>
    </row>
    <row r="61" customFormat="false" ht="15" hidden="false" customHeight="false" outlineLevel="0" collapsed="false">
      <c r="A61" s="4" t="s">
        <v>984</v>
      </c>
      <c r="B61" s="0" t="s">
        <v>77</v>
      </c>
      <c r="E61" s="25" t="n">
        <v>0</v>
      </c>
      <c r="F61" s="23" t="n">
        <f aca="false">pref_2H</f>
        <v>0.535</v>
      </c>
      <c r="G61" s="23" t="n">
        <f aca="false">E61+F61</f>
        <v>0.535</v>
      </c>
      <c r="H61" s="23" t="n">
        <f aca="false">pref_27</f>
        <v>1.203</v>
      </c>
      <c r="I61" s="23" t="n">
        <f aca="false">pref_28</f>
        <v>1.203</v>
      </c>
      <c r="J61" s="23" t="n">
        <f aca="false">pref_29</f>
        <v>0.602</v>
      </c>
      <c r="K61" s="25" t="n">
        <v>0</v>
      </c>
      <c r="L61" s="25" t="n">
        <v>0</v>
      </c>
      <c r="M61" s="25" t="n">
        <v>0</v>
      </c>
    </row>
    <row r="62" customFormat="false" ht="15" hidden="false" customHeight="false" outlineLevel="0" collapsed="false">
      <c r="A62" s="4" t="s">
        <v>985</v>
      </c>
      <c r="B62" s="0" t="s">
        <v>77</v>
      </c>
      <c r="E62" s="23" t="n">
        <f aca="false">E59-E61</f>
        <v>174.771</v>
      </c>
      <c r="F62" s="23" t="n">
        <f aca="false">F59-F61</f>
        <v>69.9991824426593</v>
      </c>
      <c r="G62" s="23" t="n">
        <f aca="false">G59-G61</f>
        <v>244.770182442659</v>
      </c>
      <c r="H62" s="23" t="n">
        <f aca="false">H59-H61</f>
        <v>142.172437606407</v>
      </c>
      <c r="I62" s="23" t="n">
        <f aca="false">I59-I61</f>
        <v>154.209511442811</v>
      </c>
      <c r="J62" s="23" t="n">
        <f aca="false">J59-J61</f>
        <v>171.067429181659</v>
      </c>
      <c r="K62" s="23" t="n">
        <f aca="false">K59-K61</f>
        <v>189.258407187147</v>
      </c>
      <c r="L62" s="23" t="n">
        <f aca="false">L59-L61</f>
        <v>199.507712056667</v>
      </c>
      <c r="M62" s="23" t="n">
        <f aca="false">M59-M61</f>
        <v>207.58715741312</v>
      </c>
    </row>
    <row r="63" customFormat="false" ht="17.15" hidden="false" customHeight="false" outlineLevel="0" collapsed="false">
      <c r="A63" s="4" t="s">
        <v>986</v>
      </c>
      <c r="B63" s="4" t="s">
        <v>61</v>
      </c>
      <c r="E63" s="19" t="n">
        <f aca="false">sh_dil_q2+(sh_out-sh_basic_q2)</f>
        <v>12.388</v>
      </c>
      <c r="F63" s="19" t="n">
        <f aca="false">E63*(1+dil*0.5)-CF!F34/CF!F41</f>
        <v>12.44994</v>
      </c>
      <c r="H63" s="19" t="n">
        <f aca="false">F63*(1+dil*1)-CF!H34/CF!H41</f>
        <v>12.5245203662183</v>
      </c>
      <c r="I63" s="19" t="n">
        <f aca="false">H63*(1+dil*1)-CF!I34/CF!I41</f>
        <v>12.6048930389142</v>
      </c>
      <c r="J63" s="19" t="n">
        <f aca="false">I63*(1+dil*1)-CF!J34/CF!J41+conv_sh</f>
        <v>12.7452057712087</v>
      </c>
      <c r="K63" s="19" t="n">
        <f aca="false">J63*(1+dil*1)-CF!K34/CF!K41</f>
        <v>12.8363993687515</v>
      </c>
      <c r="L63" s="19" t="n">
        <f aca="false">K63*(1+dil*1)-CF!L34/CF!L41</f>
        <v>12.9321704063364</v>
      </c>
      <c r="M63" s="19" t="n">
        <f aca="false">L63*(1+dil*1)-CF!M34/CF!M41</f>
        <v>13.0321940987757</v>
      </c>
      <c r="N63" s="7" t="s">
        <v>987</v>
      </c>
    </row>
    <row r="64" customFormat="false" ht="15" hidden="false" customHeight="false" outlineLevel="0" collapsed="false">
      <c r="A64" s="4" t="s">
        <v>988</v>
      </c>
      <c r="B64" s="4" t="s">
        <v>61</v>
      </c>
      <c r="C64" s="19" t="n">
        <f aca="false">Q!J39</f>
        <v>12.447</v>
      </c>
      <c r="D64" s="19" t="n">
        <f aca="false">Q!K39</f>
        <v>12.23</v>
      </c>
      <c r="E64" s="19" t="n">
        <f aca="false">Q!L39</f>
        <v>12.2735</v>
      </c>
      <c r="F64" s="19" t="n">
        <f aca="false">E63*(1+dil*0.25)</f>
        <v>12.41897</v>
      </c>
      <c r="G64" s="19" t="n">
        <f aca="false">(E64+F64)/2</f>
        <v>12.346235</v>
      </c>
      <c r="H64" s="19" t="n">
        <f aca="false">(F63+H63)/2</f>
        <v>12.4872301831091</v>
      </c>
      <c r="I64" s="19" t="n">
        <f aca="false">(H63+I63)/2</f>
        <v>12.5647067025663</v>
      </c>
      <c r="J64" s="19" t="n">
        <f aca="false">(I63+J63)/2</f>
        <v>12.6750494050615</v>
      </c>
      <c r="K64" s="19" t="n">
        <f aca="false">(J63+K63)/2</f>
        <v>12.7908025699801</v>
      </c>
      <c r="L64" s="19" t="n">
        <f aca="false">(K63+L63)/2</f>
        <v>12.8842848875439</v>
      </c>
      <c r="M64" s="19" t="n">
        <f aca="false">(L63+M63)/2</f>
        <v>12.982182252556</v>
      </c>
    </row>
    <row r="65" customFormat="false" ht="17.15" hidden="false" customHeight="false" outlineLevel="0" collapsed="false">
      <c r="A65" s="5" t="s">
        <v>989</v>
      </c>
      <c r="B65" s="7" t="s">
        <v>55</v>
      </c>
      <c r="C65" s="21" t="n">
        <f aca="false">C59/C64</f>
        <v>8.04354462922793</v>
      </c>
      <c r="D65" s="21" t="n">
        <f aca="false">D59/D64</f>
        <v>10.807031888798</v>
      </c>
      <c r="E65" s="21" t="n">
        <f aca="false">E62/E64</f>
        <v>14.2397034260806</v>
      </c>
      <c r="F65" s="21" t="n">
        <f aca="false">F62/F64</f>
        <v>5.63647246451672</v>
      </c>
      <c r="G65" s="21" t="n">
        <f aca="false">G62/G64</f>
        <v>19.825491936826</v>
      </c>
      <c r="H65" s="21" t="n">
        <f aca="false">H62/H64</f>
        <v>11.3854261931294</v>
      </c>
      <c r="I65" s="21" t="n">
        <f aca="false">I62/I64</f>
        <v>12.2732281057794</v>
      </c>
      <c r="J65" s="21" t="n">
        <f aca="false">J62/J64</f>
        <v>13.4963915101859</v>
      </c>
      <c r="K65" s="21" t="n">
        <f aca="false">K62/K64</f>
        <v>14.7964450355394</v>
      </c>
      <c r="L65" s="21" t="n">
        <f aca="false">L62/L64</f>
        <v>15.4845778246913</v>
      </c>
      <c r="M65" s="21" t="n">
        <f aca="false">M62/M64</f>
        <v>15.9901589251105</v>
      </c>
    </row>
    <row r="66" customFormat="false" ht="17.15" hidden="false" customHeight="false" outlineLevel="0" collapsed="false">
      <c r="A66" s="0" t="s">
        <v>990</v>
      </c>
      <c r="B66" s="0" t="s">
        <v>55</v>
      </c>
      <c r="E66" s="21" t="n">
        <f aca="false">(E62-E55*(1-tax_eq))/E64</f>
        <v>5.48936000325906</v>
      </c>
      <c r="F66" s="21" t="n">
        <f aca="false">(F62-F55*(1-tax_eq))/F64</f>
        <v>5.63647246451672</v>
      </c>
      <c r="G66" s="21" t="n">
        <f aca="false">(G62-G55*(1-tax_eq))/G64</f>
        <v>11.1266991469593</v>
      </c>
      <c r="H66" s="21" t="n">
        <f aca="false">(H62-H55*(1-tax_eq))/H64</f>
        <v>11.3854261931294</v>
      </c>
      <c r="I66" s="21" t="n">
        <f aca="false">(I62-I55*(1-tax_eq))/I64</f>
        <v>12.2732281057794</v>
      </c>
      <c r="J66" s="21" t="n">
        <f aca="false">(J62-J55*(1-tax_eq))/J64</f>
        <v>13.4963915101859</v>
      </c>
      <c r="K66" s="21" t="n">
        <f aca="false">(K62-K55*(1-tax_eq))/K64</f>
        <v>14.7964450355394</v>
      </c>
      <c r="L66" s="21" t="n">
        <f aca="false">(L62-L55*(1-tax_eq))/L64</f>
        <v>15.4845778246913</v>
      </c>
      <c r="M66" s="21" t="n">
        <f aca="false">(M62-M55*(1-tax_eq))/M64</f>
        <v>15.9901589251105</v>
      </c>
      <c r="N66" s="4" t="s">
        <v>991</v>
      </c>
    </row>
    <row r="67" customFormat="false" ht="17.15" hidden="false" customHeight="false" outlineLevel="0" collapsed="false">
      <c r="A67" s="0" t="s">
        <v>992</v>
      </c>
      <c r="B67" s="0" t="s">
        <v>55</v>
      </c>
      <c r="F67" s="21" t="n">
        <f aca="false">(F62+(internal_ai_reading=2)*F48*(1-tax))/F64</f>
        <v>5.90192654517149</v>
      </c>
      <c r="G67" s="21" t="n">
        <f aca="false">(G62+(internal_ai_reading=2)*G48*(1-tax))/G64</f>
        <v>20.0925098790594</v>
      </c>
      <c r="H67" s="21" t="n">
        <f aca="false">(H62+(internal_ai_reading=2)*H48*(1-tax))/H64</f>
        <v>13.5623964789105</v>
      </c>
      <c r="I67" s="21" t="n">
        <f aca="false">(I62+(internal_ai_reading=2)*I48*(1-tax))/I64</f>
        <v>16.7294129847662</v>
      </c>
      <c r="J67" s="21" t="n">
        <f aca="false">(J62+(internal_ai_reading=2)*J48*(1-tax))/J64</f>
        <v>19.9936189842993</v>
      </c>
      <c r="K67" s="21" t="n">
        <f aca="false">(K62+(internal_ai_reading=2)*K48*(1-tax))/K64</f>
        <v>22.800430470003</v>
      </c>
      <c r="L67" s="21" t="n">
        <f aca="false">(L62+(internal_ai_reading=2)*L48*(1-tax))/L64</f>
        <v>24.5143429605473</v>
      </c>
      <c r="M67" s="21" t="n">
        <f aca="false">(M62+(internal_ai_reading=2)*M48*(1-tax))/M64</f>
        <v>25.5716274457914</v>
      </c>
      <c r="N67" s="4" t="s">
        <v>993</v>
      </c>
    </row>
    <row r="68" customFormat="false" ht="15" hidden="false" customHeight="false" outlineLevel="0" collapsed="false">
      <c r="A68" s="4" t="s">
        <v>994</v>
      </c>
      <c r="B68" s="0" t="s">
        <v>77</v>
      </c>
      <c r="C68" s="23" t="n">
        <f aca="false">Q!J44</f>
        <v>22.785</v>
      </c>
      <c r="D68" s="23" t="n">
        <f aca="false">Q!K44</f>
        <v>24.953</v>
      </c>
      <c r="E68" s="23" t="n">
        <f aca="false">Q!L44</f>
        <v>14.708</v>
      </c>
      <c r="F68" s="23" t="n">
        <f aca="false">F24*sbc_r</f>
        <v>16.8583659170571</v>
      </c>
      <c r="G68" s="23" t="n">
        <f aca="false">E68+F68</f>
        <v>31.5663659170571</v>
      </c>
      <c r="H68" s="23" t="n">
        <f aca="false">H24*sbc_r</f>
        <v>38.917755893444</v>
      </c>
      <c r="I68" s="23" t="n">
        <f aca="false">I24*sbc_r</f>
        <v>46.0118383023634</v>
      </c>
      <c r="J68" s="23" t="n">
        <f aca="false">J24*sbc_r</f>
        <v>52.682856705135</v>
      </c>
      <c r="K68" s="23" t="n">
        <f aca="false">K24*sbc_r</f>
        <v>58.2220483448055</v>
      </c>
      <c r="L68" s="23" t="n">
        <f aca="false">L24*sbc_r</f>
        <v>62.9035184264729</v>
      </c>
      <c r="M68" s="23" t="n">
        <f aca="false">M24*sbc_r</f>
        <v>67.6954623996468</v>
      </c>
    </row>
    <row r="70" customFormat="false" ht="17.15" hidden="false" customHeight="false" outlineLevel="0" collapsed="false">
      <c r="A70" s="26" t="s">
        <v>942</v>
      </c>
    </row>
    <row r="71" customFormat="false" ht="15" hidden="false" customHeight="false" outlineLevel="0" collapsed="false">
      <c r="A71" s="3" t="s">
        <v>44</v>
      </c>
      <c r="B71" s="3" t="s">
        <v>45</v>
      </c>
      <c r="C71" s="18" t="s">
        <v>829</v>
      </c>
      <c r="D71" s="18" t="s">
        <v>830</v>
      </c>
      <c r="E71" s="18" t="s">
        <v>831</v>
      </c>
      <c r="F71" s="18" t="s">
        <v>832</v>
      </c>
      <c r="G71" s="18" t="s">
        <v>833</v>
      </c>
      <c r="H71" s="18" t="s">
        <v>834</v>
      </c>
      <c r="I71" s="18" t="s">
        <v>835</v>
      </c>
      <c r="J71" s="18" t="s">
        <v>836</v>
      </c>
      <c r="K71" s="18" t="s">
        <v>837</v>
      </c>
      <c r="L71" s="18" t="s">
        <v>838</v>
      </c>
      <c r="M71" s="18" t="s">
        <v>839</v>
      </c>
      <c r="N71" s="3" t="s">
        <v>51</v>
      </c>
    </row>
    <row r="72" customFormat="false" ht="15" hidden="false" customHeight="false" outlineLevel="0" collapsed="false">
      <c r="A72" s="0" t="s">
        <v>723</v>
      </c>
      <c r="B72" s="0" t="s">
        <v>77</v>
      </c>
      <c r="C72" s="23" t="n">
        <f aca="false">Seg!C47</f>
        <v>198.084</v>
      </c>
      <c r="D72" s="23" t="n">
        <f aca="false">Seg!D47</f>
        <v>224.532</v>
      </c>
      <c r="E72" s="23" t="n">
        <f aca="false">Seg!E47</f>
        <v>123.67</v>
      </c>
      <c r="F72" s="23" t="n">
        <f aca="false">Seg!F47</f>
        <v>139.741100565981</v>
      </c>
      <c r="G72" s="23" t="n">
        <f aca="false">Seg!G47</f>
        <v>263.411100565981</v>
      </c>
      <c r="H72" s="23" t="n">
        <f aca="false">Seg!H47</f>
        <v>301.871731194856</v>
      </c>
      <c r="I72" s="23" t="n">
        <f aca="false">Seg!I47</f>
        <v>339.305819879187</v>
      </c>
      <c r="J72" s="23" t="n">
        <f aca="false">Seg!J47</f>
        <v>373.916134150536</v>
      </c>
      <c r="K72" s="23" t="n">
        <f aca="false">Seg!K47</f>
        <v>403.829424882579</v>
      </c>
      <c r="L72" s="23" t="n">
        <f aca="false">Seg!L47</f>
        <v>436.135778873185</v>
      </c>
      <c r="M72" s="23" t="n">
        <f aca="false">Seg!M47</f>
        <v>471.02664118304</v>
      </c>
    </row>
    <row r="73" customFormat="false" ht="15" hidden="false" customHeight="false" outlineLevel="0" collapsed="false">
      <c r="A73" s="0" t="s">
        <v>726</v>
      </c>
      <c r="B73" s="0" t="s">
        <v>77</v>
      </c>
      <c r="C73" s="23" t="n">
        <f aca="false">Seg!C49</f>
        <v>36.147</v>
      </c>
      <c r="D73" s="23" t="n">
        <f aca="false">Seg!D49</f>
        <v>40.367</v>
      </c>
      <c r="E73" s="23" t="n">
        <f aca="false">Seg!E49</f>
        <v>20.938</v>
      </c>
      <c r="F73" s="23" t="n">
        <f aca="false">Seg!F49</f>
        <v>24.1793637484587</v>
      </c>
      <c r="G73" s="23" t="n">
        <f aca="false">Seg!G49</f>
        <v>45.1173637484587</v>
      </c>
      <c r="H73" s="23" t="n">
        <f aca="false">Seg!H49</f>
        <v>49.9834744846827</v>
      </c>
      <c r="I73" s="23" t="n">
        <f aca="false">Seg!I49</f>
        <v>54.9103289240237</v>
      </c>
      <c r="J73" s="23" t="n">
        <f aca="false">Seg!J49</f>
        <v>59.8129885015682</v>
      </c>
      <c r="K73" s="23" t="n">
        <f aca="false">Seg!K49</f>
        <v>64.5980275816936</v>
      </c>
      <c r="L73" s="23" t="n">
        <f aca="false">Seg!L49</f>
        <v>69.7658697882291</v>
      </c>
      <c r="M73" s="23" t="n">
        <f aca="false">Seg!M49</f>
        <v>75.3471393712874</v>
      </c>
    </row>
    <row r="74" customFormat="false" ht="15" hidden="false" customHeight="false" outlineLevel="0" collapsed="false">
      <c r="A74" s="0" t="s">
        <v>727</v>
      </c>
      <c r="B74" s="0" t="s">
        <v>77</v>
      </c>
      <c r="C74" s="23" t="n">
        <f aca="false">Seg!C51</f>
        <v>30.359</v>
      </c>
      <c r="D74" s="23" t="n">
        <f aca="false">Seg!D51</f>
        <v>29.792</v>
      </c>
      <c r="E74" s="23" t="n">
        <f aca="false">Seg!E51</f>
        <v>14.274</v>
      </c>
      <c r="F74" s="23" t="n">
        <f aca="false">Seg!F51</f>
        <v>14.8512550478215</v>
      </c>
      <c r="G74" s="23" t="n">
        <f aca="false">Seg!G51</f>
        <v>29.1252550478215</v>
      </c>
      <c r="H74" s="23" t="n">
        <f aca="false">Seg!H51</f>
        <v>28.6493774746437</v>
      </c>
      <c r="I74" s="23" t="n">
        <f aca="false">Seg!I51</f>
        <v>28.3373093353078</v>
      </c>
      <c r="J74" s="23" t="n">
        <f aca="false">Seg!J51</f>
        <v>28.1829748928599</v>
      </c>
      <c r="K74" s="23" t="n">
        <f aca="false">Seg!K51</f>
        <v>28.1829748928599</v>
      </c>
      <c r="L74" s="23" t="n">
        <f aca="false">Seg!L51</f>
        <v>28.1829748928599</v>
      </c>
      <c r="M74" s="23" t="n">
        <f aca="false">Seg!M51</f>
        <v>28.1829748928599</v>
      </c>
    </row>
    <row r="75" customFormat="false" ht="15" hidden="false" customHeight="false" outlineLevel="0" collapsed="false">
      <c r="A75" s="0" t="s">
        <v>728</v>
      </c>
      <c r="B75" s="0" t="s">
        <v>77</v>
      </c>
      <c r="C75" s="23" t="n">
        <f aca="false">Seg!C53</f>
        <v>40.34</v>
      </c>
      <c r="D75" s="23" t="n">
        <f aca="false">Seg!D53</f>
        <v>48.03</v>
      </c>
      <c r="E75" s="23" t="n">
        <f aca="false">Seg!E53</f>
        <v>25.295</v>
      </c>
      <c r="F75" s="23" t="n">
        <f aca="false">Seg!F53</f>
        <v>31.1937011693374</v>
      </c>
      <c r="G75" s="23" t="n">
        <f aca="false">Seg!G53</f>
        <v>56.4887011693374</v>
      </c>
      <c r="H75" s="23" t="n">
        <f aca="false">Seg!H53</f>
        <v>65.5029631403152</v>
      </c>
      <c r="I75" s="23" t="n">
        <f aca="false">Seg!I53</f>
        <v>74.6548787045084</v>
      </c>
      <c r="J75" s="23" t="n">
        <f aca="false">Seg!J53</f>
        <v>83.602922174315</v>
      </c>
      <c r="K75" s="23" t="n">
        <f aca="false">Seg!K53</f>
        <v>91.9632143917465</v>
      </c>
      <c r="L75" s="23" t="n">
        <f aca="false">Seg!L53</f>
        <v>101.159535830921</v>
      </c>
      <c r="M75" s="23" t="n">
        <f aca="false">Seg!M53</f>
        <v>111.275489414013</v>
      </c>
    </row>
    <row r="76" customFormat="false" ht="15" hidden="false" customHeight="false" outlineLevel="0" collapsed="false">
      <c r="A76" s="27" t="s">
        <v>919</v>
      </c>
      <c r="B76" s="28" t="s">
        <v>77</v>
      </c>
      <c r="C76" s="29" t="n">
        <f aca="false">Seg!C54</f>
        <v>304.93</v>
      </c>
      <c r="D76" s="29" t="n">
        <f aca="false">Seg!D54</f>
        <v>342.721</v>
      </c>
      <c r="E76" s="29" t="n">
        <f aca="false">Seg!E54</f>
        <v>184.177</v>
      </c>
      <c r="F76" s="29" t="n">
        <f aca="false">Seg!F54</f>
        <v>209.965420531598</v>
      </c>
      <c r="G76" s="29" t="n">
        <f aca="false">Seg!G54</f>
        <v>394.142420531598</v>
      </c>
      <c r="H76" s="29" t="n">
        <f aca="false">Seg!H54</f>
        <v>446.007546294497</v>
      </c>
      <c r="I76" s="29" t="n">
        <f aca="false">Seg!I54</f>
        <v>497.208336843026</v>
      </c>
      <c r="J76" s="29" t="n">
        <f aca="false">Seg!J54</f>
        <v>545.515019719279</v>
      </c>
      <c r="K76" s="29" t="n">
        <f aca="false">Seg!K54</f>
        <v>588.573641748879</v>
      </c>
      <c r="L76" s="29" t="n">
        <f aca="false">Seg!L54</f>
        <v>635.244159385196</v>
      </c>
      <c r="M76" s="29" t="n">
        <f aca="false">Seg!M54</f>
        <v>685.832244861201</v>
      </c>
      <c r="N76" s="28"/>
    </row>
    <row r="77" customFormat="false" ht="17.15" hidden="false" customHeight="false" outlineLevel="0" collapsed="false">
      <c r="A77" s="0" t="s">
        <v>920</v>
      </c>
      <c r="B77" s="0" t="s">
        <v>77</v>
      </c>
      <c r="E77" s="23" t="n">
        <f aca="false">Seg!E55</f>
        <v>9.75837289307536</v>
      </c>
      <c r="F77" s="23" t="n">
        <f aca="false">Seg!F55</f>
        <v>13.072238179387</v>
      </c>
      <c r="G77" s="23" t="n">
        <f aca="false">Seg!G55</f>
        <v>22.8306110724624</v>
      </c>
      <c r="H77" s="23" t="n">
        <f aca="false">Seg!H55</f>
        <v>38.882857987105</v>
      </c>
      <c r="I77" s="23" t="n">
        <f aca="false">Seg!I55</f>
        <v>56.7035586757632</v>
      </c>
      <c r="J77" s="23" t="n">
        <f aca="false">Seg!J55</f>
        <v>73.012119150783</v>
      </c>
      <c r="K77" s="23" t="n">
        <f aca="false">Seg!K55</f>
        <v>85.4001792660974</v>
      </c>
      <c r="L77" s="23" t="n">
        <f aca="false">Seg!L55</f>
        <v>94.0392600856694</v>
      </c>
      <c r="M77" s="23" t="n">
        <f aca="false">Seg!M55</f>
        <v>99.0170129701231</v>
      </c>
    </row>
    <row r="78" customFormat="false" ht="17.15" hidden="false" customHeight="false" outlineLevel="0" collapsed="false">
      <c r="A78" s="0" t="s">
        <v>922</v>
      </c>
      <c r="B78" s="0" t="s">
        <v>77</v>
      </c>
      <c r="E78" s="23" t="n">
        <f aca="false">Seg!E56</f>
        <v>0</v>
      </c>
      <c r="F78" s="23" t="n">
        <f aca="false">Seg!F56</f>
        <v>1</v>
      </c>
      <c r="G78" s="23" t="n">
        <f aca="false">Seg!G56</f>
        <v>1</v>
      </c>
      <c r="H78" s="23" t="n">
        <f aca="false">Seg!H56</f>
        <v>13</v>
      </c>
      <c r="I78" s="23" t="n">
        <f aca="false">Seg!I56</f>
        <v>13</v>
      </c>
      <c r="J78" s="23" t="n">
        <f aca="false">Seg!J56</f>
        <v>13</v>
      </c>
      <c r="K78" s="23" t="n">
        <f aca="false">Seg!K56</f>
        <v>13</v>
      </c>
      <c r="L78" s="23" t="n">
        <f aca="false">Seg!L56</f>
        <v>13</v>
      </c>
      <c r="M78" s="23" t="n">
        <f aca="false">Seg!M56</f>
        <v>13</v>
      </c>
    </row>
    <row r="79" customFormat="false" ht="17.15" hidden="false" customHeight="false" outlineLevel="0" collapsed="false">
      <c r="A79" s="0" t="s">
        <v>926</v>
      </c>
      <c r="B79" s="0" t="s">
        <v>77</v>
      </c>
      <c r="E79" s="23" t="n">
        <f aca="false">Seg!E58</f>
        <v>35.0376271069246</v>
      </c>
      <c r="F79" s="23" t="n">
        <f aca="false">Seg!F58</f>
        <v>42.3813732550541</v>
      </c>
      <c r="G79" s="23" t="n">
        <f aca="false">Seg!G58</f>
        <v>77.4190003619788</v>
      </c>
      <c r="H79" s="23" t="n">
        <f aca="false">Seg!H58</f>
        <v>105.858238766016</v>
      </c>
      <c r="I79" s="23" t="n">
        <f aca="false">Seg!I58</f>
        <v>134.605232266348</v>
      </c>
      <c r="J79" s="23" t="n">
        <f aca="false">Seg!J58</f>
        <v>158.266222760704</v>
      </c>
      <c r="K79" s="23" t="n">
        <f aca="false">Seg!K58</f>
        <v>170.92752058156</v>
      </c>
      <c r="L79" s="23" t="n">
        <f aca="false">Seg!L58</f>
        <v>184.601722228085</v>
      </c>
      <c r="M79" s="23" t="n">
        <f aca="false">Seg!M58</f>
        <v>199.369860006332</v>
      </c>
    </row>
    <row r="80" customFormat="false" ht="15" hidden="false" customHeight="false" outlineLevel="0" collapsed="false">
      <c r="A80" s="27" t="s">
        <v>928</v>
      </c>
      <c r="B80" s="28" t="s">
        <v>77</v>
      </c>
      <c r="C80" s="29" t="n">
        <f aca="false">Seg!C59</f>
        <v>43.229</v>
      </c>
      <c r="D80" s="29" t="n">
        <f aca="false">Seg!D59</f>
        <v>58.705</v>
      </c>
      <c r="E80" s="29" t="n">
        <f aca="false">Seg!E59</f>
        <v>44.796</v>
      </c>
      <c r="F80" s="29" t="n">
        <f aca="false">Seg!F59</f>
        <v>56.4536114344411</v>
      </c>
      <c r="G80" s="29" t="n">
        <f aca="false">Seg!G59</f>
        <v>101.249611434441</v>
      </c>
      <c r="H80" s="29" t="n">
        <f aca="false">Seg!H59</f>
        <v>157.741096753121</v>
      </c>
      <c r="I80" s="29" t="n">
        <f aca="false">Seg!I59</f>
        <v>204.308790942111</v>
      </c>
      <c r="J80" s="29" t="n">
        <f aca="false">Seg!J59</f>
        <v>244.278341911487</v>
      </c>
      <c r="K80" s="29" t="n">
        <f aca="false">Seg!K59</f>
        <v>269.327699847657</v>
      </c>
      <c r="L80" s="29" t="n">
        <f aca="false">Seg!L59</f>
        <v>291.640982313754</v>
      </c>
      <c r="M80" s="29" t="n">
        <f aca="false">Seg!M59</f>
        <v>311.386872976455</v>
      </c>
      <c r="N80" s="28"/>
    </row>
    <row r="81" customFormat="false" ht="15" hidden="false" customHeight="false" outlineLevel="0" collapsed="false">
      <c r="A81" s="27" t="s">
        <v>929</v>
      </c>
      <c r="B81" s="28" t="s">
        <v>77</v>
      </c>
      <c r="C81" s="29" t="n">
        <f aca="false">Seg!C60</f>
        <v>1.648</v>
      </c>
      <c r="D81" s="29" t="n">
        <f aca="false">Seg!D60</f>
        <v>1.537</v>
      </c>
      <c r="E81" s="29" t="n">
        <f aca="false">Seg!E60</f>
        <v>0.793</v>
      </c>
      <c r="F81" s="29" t="n">
        <f aca="false">Seg!F60</f>
        <v>0.75</v>
      </c>
      <c r="G81" s="29" t="n">
        <f aca="false">Seg!G60</f>
        <v>1.543</v>
      </c>
      <c r="H81" s="29" t="n">
        <f aca="false">Seg!H60</f>
        <v>1.6</v>
      </c>
      <c r="I81" s="29" t="n">
        <f aca="false">Seg!I60</f>
        <v>1.8</v>
      </c>
      <c r="J81" s="29" t="n">
        <f aca="false">Seg!J60</f>
        <v>2</v>
      </c>
      <c r="K81" s="29" t="n">
        <f aca="false">Seg!K60</f>
        <v>2.2</v>
      </c>
      <c r="L81" s="29" t="n">
        <f aca="false">Seg!L60</f>
        <v>2.4</v>
      </c>
      <c r="M81" s="29" t="n">
        <f aca="false">Seg!M60</f>
        <v>2.6</v>
      </c>
      <c r="N81" s="28"/>
    </row>
    <row r="82" customFormat="false" ht="15" hidden="false" customHeight="false" outlineLevel="0" collapsed="false">
      <c r="A82" s="0" t="s">
        <v>930</v>
      </c>
      <c r="B82" s="0" t="s">
        <v>77</v>
      </c>
      <c r="C82" s="23" t="n">
        <f aca="false">Seg!C61</f>
        <v>0.211</v>
      </c>
      <c r="D82" s="23" t="n">
        <f aca="false">Seg!D61</f>
        <v>-0.127</v>
      </c>
      <c r="E82" s="23" t="n">
        <f aca="false">Seg!E61</f>
        <v>-0.074</v>
      </c>
      <c r="F82" s="23" t="n">
        <f aca="false">Seg!F61</f>
        <v>0</v>
      </c>
      <c r="G82" s="23" t="n">
        <f aca="false">Seg!G61</f>
        <v>-0.074</v>
      </c>
      <c r="H82" s="23" t="n">
        <f aca="false">Seg!H61</f>
        <v>0</v>
      </c>
      <c r="I82" s="23" t="n">
        <f aca="false">Seg!I61</f>
        <v>0</v>
      </c>
      <c r="J82" s="23" t="n">
        <f aca="false">Seg!J61</f>
        <v>0</v>
      </c>
      <c r="K82" s="23" t="n">
        <f aca="false">Seg!K61</f>
        <v>0</v>
      </c>
      <c r="L82" s="23" t="n">
        <f aca="false">Seg!L61</f>
        <v>0</v>
      </c>
      <c r="M82" s="23" t="n">
        <f aca="false">Seg!M61</f>
        <v>0</v>
      </c>
    </row>
    <row r="83" customFormat="false" ht="15" hidden="false" customHeight="false" outlineLevel="0" collapsed="false">
      <c r="A83" s="2" t="s">
        <v>735</v>
      </c>
      <c r="B83" s="7" t="s">
        <v>77</v>
      </c>
      <c r="C83" s="23" t="n">
        <f aca="false">Seg!C62</f>
        <v>350.018</v>
      </c>
      <c r="D83" s="23" t="n">
        <f aca="false">Seg!D62</f>
        <v>402.836</v>
      </c>
      <c r="E83" s="23" t="n">
        <f aca="false">Seg!E62</f>
        <v>229.692</v>
      </c>
      <c r="F83" s="23" t="n">
        <f aca="false">Seg!F62</f>
        <v>267.169031966039</v>
      </c>
      <c r="G83" s="23" t="n">
        <f aca="false">Seg!G62</f>
        <v>496.861031966039</v>
      </c>
      <c r="H83" s="23" t="n">
        <f aca="false">Seg!H62</f>
        <v>605.348643047618</v>
      </c>
      <c r="I83" s="23" t="n">
        <f aca="false">Seg!I62</f>
        <v>703.317127785138</v>
      </c>
      <c r="J83" s="23" t="n">
        <f aca="false">Seg!J62</f>
        <v>791.793361630766</v>
      </c>
      <c r="K83" s="23" t="n">
        <f aca="false">Seg!K62</f>
        <v>860.101341596537</v>
      </c>
      <c r="L83" s="23" t="n">
        <f aca="false">Seg!L62</f>
        <v>929.28514169895</v>
      </c>
      <c r="M83" s="23" t="n">
        <f aca="false">Seg!M62</f>
        <v>999.819117837656</v>
      </c>
    </row>
    <row r="84" customFormat="false" ht="15" hidden="false" customHeight="false" outlineLevel="0" collapsed="false">
      <c r="A84" s="4" t="s">
        <v>950</v>
      </c>
      <c r="B84" s="0" t="s">
        <v>100</v>
      </c>
      <c r="D84" s="14" t="n">
        <f aca="false">D83/C83-1</f>
        <v>0.150900810815444</v>
      </c>
      <c r="G84" s="14" t="n">
        <f aca="false">G83/D83-1</f>
        <v>0.233407719186069</v>
      </c>
      <c r="H84" s="14" t="n">
        <f aca="false">H83/G83-1</f>
        <v>0.218345984293238</v>
      </c>
      <c r="I84" s="14" t="n">
        <f aca="false">I83/H83-1</f>
        <v>0.161838117360433</v>
      </c>
      <c r="J84" s="14" t="n">
        <f aca="false">J83/I83-1</f>
        <v>0.125798491676514</v>
      </c>
      <c r="K84" s="14" t="n">
        <f aca="false">K83/J83-1</f>
        <v>0.0862699578903825</v>
      </c>
      <c r="L84" s="14" t="n">
        <f aca="false">L83/K83-1</f>
        <v>0.08043680059142</v>
      </c>
      <c r="M84" s="14" t="n">
        <f aca="false">M83/L83-1</f>
        <v>0.0759013277773422</v>
      </c>
    </row>
    <row r="85" customFormat="false" ht="17.15" hidden="false" customHeight="false" outlineLevel="0" collapsed="false">
      <c r="A85" s="4" t="s">
        <v>730</v>
      </c>
      <c r="B85" s="0" t="s">
        <v>77</v>
      </c>
      <c r="C85" s="19" t="n">
        <f aca="false">C72+C73+C74+C75-C76</f>
        <v>0</v>
      </c>
      <c r="D85" s="19" t="n">
        <f aca="false">D72+D73+D74+D75-D76</f>
        <v>0</v>
      </c>
      <c r="E85" s="19" t="n">
        <f aca="false">E72+E73+E74+E75-E76</f>
        <v>0</v>
      </c>
      <c r="F85" s="19" t="n">
        <f aca="false">F72+F73+F74+F75-F76</f>
        <v>0</v>
      </c>
      <c r="G85" s="19" t="n">
        <f aca="false">G72+G73+G74+G75-G76</f>
        <v>0</v>
      </c>
      <c r="H85" s="19" t="n">
        <f aca="false">H72+H73+H74+H75-H76</f>
        <v>0</v>
      </c>
      <c r="I85" s="19" t="n">
        <f aca="false">I72+I73+I74+I75-I76</f>
        <v>0</v>
      </c>
      <c r="J85" s="19" t="n">
        <f aca="false">J72+J73+J74+J75-J76</f>
        <v>0</v>
      </c>
      <c r="K85" s="19" t="n">
        <f aca="false">K72+K73+K74+K75-K76</f>
        <v>0</v>
      </c>
      <c r="L85" s="19" t="n">
        <f aca="false">L72+L73+L74+L75-L76</f>
        <v>0</v>
      </c>
      <c r="M85" s="19" t="n">
        <f aca="false">M72+M73+M74+M75-M76</f>
        <v>0</v>
      </c>
    </row>
    <row r="86" customFormat="false" ht="17.15" hidden="false" customHeight="false" outlineLevel="0" collapsed="false">
      <c r="A86" s="4" t="s">
        <v>932</v>
      </c>
      <c r="B86" s="0" t="s">
        <v>77</v>
      </c>
      <c r="E86" s="19" t="n">
        <f aca="false">E77+E78+E79-E80</f>
        <v>0</v>
      </c>
      <c r="F86" s="19" t="n">
        <f aca="false">F77+F78+F79-F80</f>
        <v>0</v>
      </c>
      <c r="G86" s="19" t="n">
        <f aca="false">G77+G78+G79-G80</f>
        <v>0</v>
      </c>
      <c r="H86" s="19" t="n">
        <f aca="false">H77+H78+H79-H80</f>
        <v>0</v>
      </c>
      <c r="I86" s="19" t="n">
        <f aca="false">I77+I78+I79-I80</f>
        <v>0</v>
      </c>
      <c r="J86" s="19" t="n">
        <f aca="false">J77+J78+J79-J80</f>
        <v>0</v>
      </c>
      <c r="K86" s="19" t="n">
        <f aca="false">K77+K78+K79-K80</f>
        <v>0</v>
      </c>
      <c r="L86" s="19" t="n">
        <f aca="false">L77+L78+L79-L80</f>
        <v>0</v>
      </c>
      <c r="M86" s="19" t="n">
        <f aca="false">M77+M78+M79-M80</f>
        <v>0</v>
      </c>
    </row>
    <row r="87" customFormat="false" ht="15" hidden="false" customHeight="false" outlineLevel="0" collapsed="false">
      <c r="A87" s="4" t="s">
        <v>736</v>
      </c>
      <c r="B87" s="0" t="s">
        <v>77</v>
      </c>
      <c r="C87" s="19" t="n">
        <f aca="false">C76+C80+C81+C82-C83</f>
        <v>0</v>
      </c>
      <c r="D87" s="19" t="n">
        <f aca="false">D76+D80+D81+D82-D83</f>
        <v>0</v>
      </c>
      <c r="E87" s="19" t="n">
        <f aca="false">E76+E80+E81+E82-E83</f>
        <v>0</v>
      </c>
      <c r="F87" s="19" t="n">
        <f aca="false">F76+F80+F81+F82-F83</f>
        <v>0</v>
      </c>
      <c r="G87" s="19" t="n">
        <f aca="false">G76+G80+G81+G82-G83</f>
        <v>0</v>
      </c>
      <c r="H87" s="19" t="n">
        <f aca="false">H76+H80+H81+H82-H83</f>
        <v>0</v>
      </c>
      <c r="I87" s="19" t="n">
        <f aca="false">I76+I80+I81+I82-I83</f>
        <v>0</v>
      </c>
      <c r="J87" s="19" t="n">
        <f aca="false">J76+J80+J81+J82-J83</f>
        <v>0</v>
      </c>
      <c r="K87" s="19" t="n">
        <f aca="false">K76+K80+K81+K82-K83</f>
        <v>0</v>
      </c>
      <c r="L87" s="19" t="n">
        <f aca="false">L76+L80+L81+L82-L83</f>
        <v>0</v>
      </c>
      <c r="M87" s="19" t="n">
        <f aca="false">M76+M80+M81+M82-M83</f>
        <v>0</v>
      </c>
    </row>
    <row r="88" customFormat="false" ht="17.15" hidden="false" customHeight="false" outlineLevel="0" collapsed="false">
      <c r="A88" s="0" t="s">
        <v>951</v>
      </c>
      <c r="B88" s="0" t="s">
        <v>77</v>
      </c>
      <c r="F88" s="23" t="n">
        <f aca="false">Seg!F47-Seg!F43</f>
        <v>0</v>
      </c>
      <c r="G88" s="23" t="n">
        <f aca="false">F88</f>
        <v>0</v>
      </c>
      <c r="H88" s="23" t="n">
        <f aca="false">Seg!H47-Seg!H43</f>
        <v>0</v>
      </c>
      <c r="I88" s="23" t="n">
        <f aca="false">Seg!I47-Seg!I43</f>
        <v>0</v>
      </c>
      <c r="J88" s="23" t="n">
        <f aca="false">Seg!J47-Seg!J43</f>
        <v>0</v>
      </c>
      <c r="K88" s="23" t="n">
        <f aca="false">Seg!K47-Seg!K43</f>
        <v>0</v>
      </c>
      <c r="L88" s="23" t="n">
        <f aca="false">Seg!L47-Seg!L43</f>
        <v>0</v>
      </c>
      <c r="M88" s="23" t="n">
        <f aca="false">Seg!M47-Seg!M43</f>
        <v>0</v>
      </c>
    </row>
    <row r="89" customFormat="false" ht="17.15" hidden="false" customHeight="false" outlineLevel="0" collapsed="false">
      <c r="A89" s="0" t="s">
        <v>952</v>
      </c>
      <c r="B89" s="0" t="s">
        <v>77</v>
      </c>
      <c r="F89" s="23" t="n">
        <f aca="false">m_svc*(F76-F88)+inc_m*F88-svc_sh*(Thesis!F68+Thesis!F69)</f>
        <v>101.679428068742</v>
      </c>
      <c r="H89" s="23" t="n">
        <f aca="false">m_svc*(H76-H88)+inc_m*H88-svc_sh*(Thesis!H68+Thesis!H69)</f>
        <v>210.288138653856</v>
      </c>
      <c r="I89" s="23" t="n">
        <f aca="false">m_svc*(I76-I88)+inc_m*I88-svc_sh*(Thesis!I68+Thesis!I69)</f>
        <v>231.98337533767</v>
      </c>
      <c r="J89" s="23" t="n">
        <f aca="false">m_svc*(J76-J88)+inc_m*J88-svc_sh*(Thesis!J68+Thesis!J69)</f>
        <v>255.913875485246</v>
      </c>
      <c r="K89" s="23" t="n">
        <f aca="false">m_svc*(K76-K88)+inc_m*K88-svc_sh*(Thesis!K68+Thesis!K69)</f>
        <v>278.033295154217</v>
      </c>
      <c r="L89" s="23" t="n">
        <f aca="false">m_svc*(L76-L88)+inc_m*L88-svc_sh*(Thesis!L68+Thesis!L69)</f>
        <v>299.374133589931</v>
      </c>
      <c r="M89" s="23" t="n">
        <f aca="false">m_svc*(M76-M88)+inc_m*M88-svc_sh*(Thesis!M68+Thesis!M69)</f>
        <v>323.381962391543</v>
      </c>
      <c r="N89" s="7" t="s">
        <v>953</v>
      </c>
    </row>
    <row r="90" customFormat="false" ht="17.15" hidden="false" customHeight="false" outlineLevel="0" collapsed="false">
      <c r="A90" s="0" t="s">
        <v>954</v>
      </c>
      <c r="B90" s="0" t="s">
        <v>77</v>
      </c>
      <c r="F90" s="23" t="n">
        <f aca="false">Thesis!F77*sh_svc+Seg!F71+Thesis!F65*svc_sh</f>
        <v>14.9965690659575</v>
      </c>
      <c r="H90" s="23" t="n">
        <f aca="false">Thesis!H77*sh_svc+Seg!H71+Thesis!H65*svc_sh</f>
        <v>40.0546501054192</v>
      </c>
      <c r="I90" s="23" t="n">
        <f aca="false">Thesis!I77*sh_svc+Seg!I71+Thesis!I65*svc_sh</f>
        <v>54.108444473264</v>
      </c>
      <c r="J90" s="23" t="n">
        <f aca="false">Thesis!J77*sh_svc+Seg!J71+Thesis!J65*svc_sh</f>
        <v>67.6207564865789</v>
      </c>
      <c r="K90" s="23" t="n">
        <f aca="false">Thesis!K77*sh_svc+Seg!K71+Thesis!K65*svc_sh</f>
        <v>77.8402908379095</v>
      </c>
      <c r="L90" s="23" t="n">
        <f aca="false">Thesis!L77*sh_svc+Seg!L71+Thesis!L65*svc_sh</f>
        <v>84.4667784066911</v>
      </c>
      <c r="M90" s="23" t="n">
        <f aca="false">Thesis!M77*sh_svc+Seg!M71+Thesis!M65*svc_sh</f>
        <v>96.4049468307103</v>
      </c>
    </row>
    <row r="91" customFormat="false" ht="17.15" hidden="false" customHeight="false" outlineLevel="0" collapsed="false">
      <c r="A91" s="5" t="s">
        <v>955</v>
      </c>
      <c r="B91" s="7" t="s">
        <v>77</v>
      </c>
      <c r="C91" s="23" t="n">
        <f aca="false">Q!J18</f>
        <v>121.263</v>
      </c>
      <c r="D91" s="23" t="n">
        <f aca="false">Q!K18</f>
        <v>139.404</v>
      </c>
      <c r="E91" s="23" t="n">
        <f aca="false">Q!L18</f>
        <v>80.133</v>
      </c>
      <c r="F91" s="23" t="n">
        <f aca="false">F89-F90</f>
        <v>86.6828590027843</v>
      </c>
      <c r="G91" s="23" t="n">
        <f aca="false">E91+F91</f>
        <v>166.815859002784</v>
      </c>
      <c r="H91" s="23" t="n">
        <f aca="false">H89-H90</f>
        <v>170.233488548436</v>
      </c>
      <c r="I91" s="23" t="n">
        <f aca="false">I89-I90</f>
        <v>177.874930864406</v>
      </c>
      <c r="J91" s="23" t="n">
        <f aca="false">J89-J90</f>
        <v>188.293118998667</v>
      </c>
      <c r="K91" s="23" t="n">
        <f aca="false">K89-K90</f>
        <v>200.193004316307</v>
      </c>
      <c r="L91" s="23" t="n">
        <f aca="false">L89-L90</f>
        <v>214.90735518324</v>
      </c>
      <c r="M91" s="23" t="n">
        <f aca="false">M89-M90</f>
        <v>226.977015560833</v>
      </c>
    </row>
    <row r="92" customFormat="false" ht="17.15" hidden="false" customHeight="false" outlineLevel="0" collapsed="false">
      <c r="A92" s="0" t="s">
        <v>956</v>
      </c>
      <c r="B92" s="0" t="s">
        <v>77</v>
      </c>
      <c r="F92" s="23" t="n">
        <f aca="false">Thesis!F41+F78*tpu_m+F79*m_co</f>
        <v>23.1804867072037</v>
      </c>
      <c r="H92" s="23" t="n">
        <f aca="false">Thesis!H41+H78*tpu_m+H79*m_co</f>
        <v>65.9102849718516</v>
      </c>
      <c r="I92" s="23" t="n">
        <f aca="false">Thesis!I41+I78*tpu_m+I79*m_co</f>
        <v>89.2627271785295</v>
      </c>
      <c r="J92" s="23" t="n">
        <f aca="false">Thesis!J41+J78*tpu_m+J79*m_co</f>
        <v>109.920806164157</v>
      </c>
      <c r="K92" s="23" t="n">
        <f aca="false">Thesis!K41+K78*tpu_m+K79*m_co</f>
        <v>124.114330559677</v>
      </c>
      <c r="L92" s="23" t="n">
        <f aca="false">Thesis!L41+L78*tpu_m+L79*m_co</f>
        <v>135.379162291457</v>
      </c>
      <c r="M92" s="23" t="n">
        <f aca="false">Thesis!M41+M78*tpu_m+M79*m_co</f>
        <v>143.813314584279</v>
      </c>
      <c r="N92" s="7" t="s">
        <v>957</v>
      </c>
    </row>
    <row r="93" customFormat="false" ht="17.15" hidden="false" customHeight="false" outlineLevel="0" collapsed="false">
      <c r="A93" s="0" t="s">
        <v>958</v>
      </c>
      <c r="B93" s="0" t="s">
        <v>77</v>
      </c>
      <c r="F93" s="23" t="n">
        <f aca="false">Thesis!F77*sh_cloud+Thesis!F64+Seg!F72</f>
        <v>4.82119327366453</v>
      </c>
      <c r="H93" s="23" t="n">
        <f aca="false">Thesis!H77*sh_cloud+Thesis!H64+Seg!H72</f>
        <v>16.8544946111865</v>
      </c>
      <c r="I93" s="23" t="n">
        <f aca="false">Thesis!I77*sh_cloud+Thesis!I64+Seg!I72</f>
        <v>27.187499999905</v>
      </c>
      <c r="J93" s="23" t="n">
        <f aca="false">Thesis!J77*sh_cloud+Thesis!J64+Seg!J72</f>
        <v>38.0673447038783</v>
      </c>
      <c r="K93" s="23" t="n">
        <f aca="false">Thesis!K77*sh_cloud+Thesis!K64+Seg!K72</f>
        <v>48.2328053690676</v>
      </c>
      <c r="L93" s="23" t="n">
        <f aca="false">Thesis!L77*sh_cloud+Thesis!L64+Seg!L72</f>
        <v>57.875470838129</v>
      </c>
      <c r="M93" s="23" t="n">
        <f aca="false">Thesis!M77*sh_cloud+Thesis!M64+Seg!M72</f>
        <v>67.8283824574952</v>
      </c>
    </row>
    <row r="94" customFormat="false" ht="17.15" hidden="false" customHeight="false" outlineLevel="0" collapsed="false">
      <c r="A94" s="5" t="s">
        <v>959</v>
      </c>
      <c r="B94" s="7" t="s">
        <v>77</v>
      </c>
      <c r="C94" s="23" t="n">
        <f aca="false">Q!J19</f>
        <v>6.112</v>
      </c>
      <c r="D94" s="23" t="n">
        <f aca="false">Q!K19</f>
        <v>13.91</v>
      </c>
      <c r="E94" s="23" t="n">
        <f aca="false">Q!L19</f>
        <v>15.412</v>
      </c>
      <c r="F94" s="23" t="n">
        <f aca="false">F92-F93</f>
        <v>18.3592934335392</v>
      </c>
      <c r="G94" s="23" t="n">
        <f aca="false">E94+F94</f>
        <v>33.7712934335392</v>
      </c>
      <c r="H94" s="23" t="n">
        <f aca="false">H92-H93</f>
        <v>49.0557903606651</v>
      </c>
      <c r="I94" s="23" t="n">
        <f aca="false">I92-I93</f>
        <v>62.0752271786245</v>
      </c>
      <c r="J94" s="23" t="n">
        <f aca="false">J92-J93</f>
        <v>71.8534614602786</v>
      </c>
      <c r="K94" s="23" t="n">
        <f aca="false">K92-K93</f>
        <v>75.8815251906092</v>
      </c>
      <c r="L94" s="23" t="n">
        <f aca="false">L92-L93</f>
        <v>77.5036914533283</v>
      </c>
      <c r="M94" s="23" t="n">
        <f aca="false">M92-M93</f>
        <v>75.9849321267838</v>
      </c>
    </row>
    <row r="95" customFormat="false" ht="17.15" hidden="false" customHeight="false" outlineLevel="0" collapsed="false">
      <c r="A95" s="0" t="s">
        <v>960</v>
      </c>
      <c r="B95" s="0" t="s">
        <v>77</v>
      </c>
      <c r="F95" s="23" t="n">
        <f aca="false">Thesis!F77*sh_ob+Seg!F73</f>
        <v>0.0491096172809072</v>
      </c>
      <c r="H95" s="23" t="n">
        <f aca="false">Thesis!H77*sh_ob+Seg!H73</f>
        <v>0.102869234561814</v>
      </c>
      <c r="I95" s="23" t="n">
        <f aca="false">Thesis!I77*sh_ob+Seg!I73</f>
        <v>0.112769234561814</v>
      </c>
      <c r="J95" s="23" t="n">
        <f aca="false">Thesis!J77*sh_ob+Seg!J73</f>
        <v>0.118967293042818</v>
      </c>
      <c r="K95" s="23" t="n">
        <f aca="false">Thesis!K77*sh_ob+Seg!K73</f>
        <v>0.114766066000781</v>
      </c>
      <c r="L95" s="23" t="n">
        <f aca="false">Thesis!L77*sh_ob+Seg!L73</f>
        <v>0.0956508706859939</v>
      </c>
      <c r="M95" s="23" t="n">
        <f aca="false">Thesis!M77*sh_ob+Seg!M73</f>
        <v>0.106787693824726</v>
      </c>
    </row>
    <row r="96" customFormat="false" ht="17.15" hidden="false" customHeight="false" outlineLevel="0" collapsed="false">
      <c r="A96" s="5" t="s">
        <v>961</v>
      </c>
      <c r="B96" s="7" t="s">
        <v>77</v>
      </c>
      <c r="C96" s="23" t="n">
        <f aca="false">Q!J20</f>
        <v>-4.444</v>
      </c>
      <c r="D96" s="23" t="n">
        <f aca="false">Q!K20</f>
        <v>-7.515</v>
      </c>
      <c r="E96" s="23" t="n">
        <f aca="false">Q!L20</f>
        <v>-3.899</v>
      </c>
      <c r="F96" s="23" t="n">
        <f aca="false">ob_oi*0.5</f>
        <v>-4.5</v>
      </c>
      <c r="G96" s="23" t="n">
        <f aca="false">E96+F96</f>
        <v>-8.399</v>
      </c>
      <c r="H96" s="23" t="n">
        <f aca="false">ob_oi*1</f>
        <v>-9</v>
      </c>
      <c r="I96" s="23" t="n">
        <f aca="false">ob_oi*1</f>
        <v>-9</v>
      </c>
      <c r="J96" s="23" t="n">
        <f aca="false">ob_oi*1</f>
        <v>-9</v>
      </c>
      <c r="K96" s="23" t="n">
        <f aca="false">ob_oi*1</f>
        <v>-9</v>
      </c>
      <c r="L96" s="23" t="n">
        <f aca="false">ob_oi*1</f>
        <v>-9</v>
      </c>
      <c r="M96" s="23" t="n">
        <f aca="false">ob_oi*1</f>
        <v>-9</v>
      </c>
    </row>
    <row r="97" customFormat="false" ht="15" hidden="false" customHeight="false" outlineLevel="0" collapsed="false">
      <c r="A97" s="0" t="s">
        <v>962</v>
      </c>
      <c r="B97" s="0" t="s">
        <v>77</v>
      </c>
      <c r="F97" s="23" t="n">
        <f aca="false">F96+F95</f>
        <v>-4.45089038271909</v>
      </c>
      <c r="H97" s="23" t="n">
        <f aca="false">H96+H95</f>
        <v>-8.89713076543819</v>
      </c>
      <c r="I97" s="23" t="n">
        <f aca="false">I96+I95</f>
        <v>-8.88723076543819</v>
      </c>
      <c r="J97" s="23" t="n">
        <f aca="false">J96+J95</f>
        <v>-8.88103270695718</v>
      </c>
      <c r="K97" s="23" t="n">
        <f aca="false">K96+K95</f>
        <v>-8.88523393399922</v>
      </c>
      <c r="L97" s="23" t="n">
        <f aca="false">L96+L95</f>
        <v>-8.90434912931401</v>
      </c>
      <c r="M97" s="23" t="n">
        <f aca="false">M96+M95</f>
        <v>-8.89321230617527</v>
      </c>
    </row>
    <row r="98" customFormat="false" ht="17.15" hidden="false" customHeight="false" outlineLevel="0" collapsed="false">
      <c r="A98" s="0" t="s">
        <v>963</v>
      </c>
      <c r="B98" s="0" t="s">
        <v>77</v>
      </c>
      <c r="F98" s="23" t="n">
        <f aca="false">Thesis!F65*(1-svc_sh)</f>
        <v>1.99534687326734</v>
      </c>
      <c r="H98" s="23" t="n">
        <f aca="false">Thesis!H65*(1-svc_sh)</f>
        <v>9.83243000817972</v>
      </c>
      <c r="I98" s="23" t="n">
        <f aca="false">Thesis!I65*(1-svc_sh)</f>
        <v>17.3663952776831</v>
      </c>
      <c r="J98" s="23" t="n">
        <f aca="false">Thesis!J65*(1-svc_sh)</f>
        <v>25.1335077659995</v>
      </c>
      <c r="K98" s="23" t="n">
        <f aca="false">Thesis!K65*(1-svc_sh)</f>
        <v>32.4011075802636</v>
      </c>
      <c r="L98" s="23" t="n">
        <f aca="false">Thesis!L65*(1-svc_sh)</f>
        <v>39.7143037119353</v>
      </c>
      <c r="M98" s="23" t="n">
        <f aca="false">Thesis!M65*(1-svc_sh)</f>
        <v>45.6601554773843</v>
      </c>
    </row>
    <row r="99" customFormat="false" ht="17.15" hidden="false" customHeight="false" outlineLevel="0" collapsed="false">
      <c r="A99" s="5" t="s">
        <v>964</v>
      </c>
      <c r="B99" s="7" t="s">
        <v>77</v>
      </c>
      <c r="C99" s="23" t="n">
        <f aca="false">Q!J21</f>
        <v>-10.541</v>
      </c>
      <c r="D99" s="23" t="n">
        <f aca="false">Q!K21</f>
        <v>-16.76</v>
      </c>
      <c r="E99" s="23" t="n">
        <f aca="false">Q!L21</f>
        <v>-11.18</v>
      </c>
      <c r="F99" s="23" t="n">
        <f aca="false">F82-abc_rate*F83-Thesis!F72</f>
        <v>-16.2922598465888</v>
      </c>
      <c r="G99" s="23" t="n">
        <f aca="false">E99+F99</f>
        <v>-27.4722598465888</v>
      </c>
      <c r="H99" s="23" t="n">
        <f aca="false">H82-abc_rate*H83-Thesis!H72</f>
        <v>-45.8282393874721</v>
      </c>
      <c r="I99" s="23" t="n">
        <f aca="false">I82-abc_rate*I83-Thesis!I72</f>
        <v>-60.5001125602868</v>
      </c>
      <c r="J99" s="23" t="n">
        <f aca="false">J82-abc_rate*J83-Thesis!J72</f>
        <v>-72.5029375103248</v>
      </c>
      <c r="K99" s="23" t="n">
        <f aca="false">K82-abc_rate*K83-Thesis!K72</f>
        <v>-82.510390835681</v>
      </c>
      <c r="L99" s="23" t="n">
        <f aca="false">L82-abc_rate*L83-Thesis!L72</f>
        <v>-94.314835980397</v>
      </c>
      <c r="M99" s="23" t="n">
        <f aca="false">M82-abc_rate*M83-Thesis!M72</f>
        <v>-104.329908117254</v>
      </c>
    </row>
    <row r="100" customFormat="false" ht="15" hidden="false" customHeight="false" outlineLevel="0" collapsed="false">
      <c r="A100" s="0" t="s">
        <v>965</v>
      </c>
      <c r="B100" s="0" t="s">
        <v>77</v>
      </c>
      <c r="F100" s="23" t="n">
        <f aca="false">F99+F98</f>
        <v>-14.2969129733215</v>
      </c>
      <c r="H100" s="23" t="n">
        <f aca="false">H99+H98</f>
        <v>-35.9958093792924</v>
      </c>
      <c r="I100" s="23" t="n">
        <f aca="false">I99+I98</f>
        <v>-43.1337172826037</v>
      </c>
      <c r="J100" s="23" t="n">
        <f aca="false">J99+J98</f>
        <v>-47.3694297443254</v>
      </c>
      <c r="K100" s="23" t="n">
        <f aca="false">K99+K98</f>
        <v>-50.1092832554175</v>
      </c>
      <c r="L100" s="23" t="n">
        <f aca="false">L99+L98</f>
        <v>-54.6005322684617</v>
      </c>
      <c r="M100" s="23" t="n">
        <f aca="false">M99+M98</f>
        <v>-58.6697526398694</v>
      </c>
    </row>
    <row r="101" customFormat="false" ht="15" hidden="false" customHeight="false" outlineLevel="0" collapsed="false">
      <c r="A101" s="4" t="s">
        <v>966</v>
      </c>
      <c r="B101" s="0" t="s">
        <v>77</v>
      </c>
      <c r="C101" s="23" t="n">
        <f aca="false">C91+C94+C96+C99</f>
        <v>112.39</v>
      </c>
      <c r="D101" s="23" t="n">
        <f aca="false">D91+D94+D96+D99</f>
        <v>129.039</v>
      </c>
      <c r="E101" s="23" t="n">
        <f aca="false">E91+E94+E96+E99</f>
        <v>80.466</v>
      </c>
      <c r="F101" s="23" t="n">
        <f aca="false">F91+F94+F96+F99</f>
        <v>84.2498925897347</v>
      </c>
      <c r="G101" s="23" t="n">
        <f aca="false">G91+G94+G96+G99</f>
        <v>164.715892589735</v>
      </c>
      <c r="H101" s="23" t="n">
        <f aca="false">H91+H94+H96+H99</f>
        <v>164.461039521629</v>
      </c>
      <c r="I101" s="23" t="n">
        <f aca="false">I91+I94+I96+I99</f>
        <v>170.450045482744</v>
      </c>
      <c r="J101" s="23" t="n">
        <f aca="false">J91+J94+J96+J99</f>
        <v>178.64364294862</v>
      </c>
      <c r="K101" s="23" t="n">
        <f aca="false">K91+K94+K96+K99</f>
        <v>184.564138671236</v>
      </c>
      <c r="L101" s="23" t="n">
        <f aca="false">L91+L94+L96+L99</f>
        <v>189.096210656171</v>
      </c>
      <c r="M101" s="23" t="n">
        <f aca="false">M91+M94+M96+M99</f>
        <v>189.632039570363</v>
      </c>
    </row>
    <row r="102" customFormat="false" ht="17.15" hidden="false" customHeight="false" outlineLevel="0" collapsed="false">
      <c r="A102" s="4" t="s">
        <v>967</v>
      </c>
      <c r="B102" s="0" t="s">
        <v>77</v>
      </c>
      <c r="F102" s="23" t="n">
        <f aca="false">F89+F92+F97+F100</f>
        <v>106.112111419905</v>
      </c>
      <c r="H102" s="23" t="n">
        <f aca="false">H89+H92+H97+H100</f>
        <v>231.305483480977</v>
      </c>
      <c r="I102" s="23" t="n">
        <f aca="false">I89+I92+I97+I100</f>
        <v>269.225154468158</v>
      </c>
      <c r="J102" s="23" t="n">
        <f aca="false">J89+J92+J97+J100</f>
        <v>309.58421919812</v>
      </c>
      <c r="K102" s="23" t="n">
        <f aca="false">K89+K92+K97+K100</f>
        <v>343.153108524477</v>
      </c>
      <c r="L102" s="23" t="n">
        <f aca="false">L89+L92+L97+L100</f>
        <v>371.248414483613</v>
      </c>
      <c r="M102" s="23" t="n">
        <f aca="false">M89+M92+M97+M100</f>
        <v>399.632312029777</v>
      </c>
    </row>
    <row r="103" customFormat="false" ht="17.15" hidden="false" customHeight="false" outlineLevel="0" collapsed="false">
      <c r="A103" s="4" t="s">
        <v>968</v>
      </c>
      <c r="B103" s="0" t="s">
        <v>77</v>
      </c>
      <c r="C103" s="23" t="n">
        <f aca="false">Q!J43</f>
        <v>15.311</v>
      </c>
      <c r="D103" s="23" t="n">
        <f aca="false">Q!K43</f>
        <v>21.136</v>
      </c>
      <c r="E103" s="23" t="n">
        <f aca="false">Q!L43</f>
        <v>13.586</v>
      </c>
      <c r="F103" s="23" t="n">
        <f aca="false">Thesis!F77+Thesis!F63+Seg!F74</f>
        <v>21.8622188301703</v>
      </c>
      <c r="G103" s="23" t="n">
        <f aca="false">E103+F103</f>
        <v>35.4482188301703</v>
      </c>
      <c r="H103" s="23" t="n">
        <f aca="false">Thesis!H77+Thesis!H63+Seg!H74</f>
        <v>66.8444439593472</v>
      </c>
      <c r="I103" s="23" t="n">
        <f aca="false">Thesis!I77+Thesis!I63+Seg!I74</f>
        <v>98.775108985414</v>
      </c>
      <c r="J103" s="23" t="n">
        <f aca="false">Thesis!J77+Thesis!J63+Seg!J74</f>
        <v>130.9405762495</v>
      </c>
      <c r="K103" s="23" t="n">
        <f aca="false">Thesis!K77+Thesis!K63+Seg!K74</f>
        <v>158.588969853241</v>
      </c>
      <c r="L103" s="23" t="n">
        <f aca="false">Thesis!L77+Thesis!L63+Seg!L74</f>
        <v>182.152203827441</v>
      </c>
      <c r="M103" s="23" t="n">
        <f aca="false">Thesis!M77+Thesis!M63+Seg!M74</f>
        <v>210.000272459415</v>
      </c>
      <c r="N103" s="7" t="s">
        <v>969</v>
      </c>
    </row>
    <row r="104" customFormat="false" ht="17.15" hidden="false" customHeight="false" outlineLevel="0" collapsed="false">
      <c r="A104" s="4" t="s">
        <v>970</v>
      </c>
      <c r="B104" s="0" t="s">
        <v>77</v>
      </c>
      <c r="F104" s="23" t="n">
        <f aca="false">Thesis!F63</f>
        <v>7.12623883309764</v>
      </c>
      <c r="G104" s="23" t="n">
        <f aca="false">F104</f>
        <v>7.12623883309764</v>
      </c>
      <c r="H104" s="23" t="n">
        <f aca="false">Thesis!H63</f>
        <v>35.1158214577847</v>
      </c>
      <c r="I104" s="23" t="n">
        <f aca="false">Thesis!I63</f>
        <v>62.0228402774397</v>
      </c>
      <c r="J104" s="23" t="n">
        <f aca="false">Thesis!J63</f>
        <v>89.7625277357123</v>
      </c>
      <c r="K104" s="23" t="n">
        <f aca="false">Thesis!K63</f>
        <v>115.718241358084</v>
      </c>
      <c r="L104" s="23" t="n">
        <f aca="false">Thesis!L63</f>
        <v>141.836798971198</v>
      </c>
      <c r="M104" s="23" t="n">
        <f aca="false">Thesis!M63</f>
        <v>163.071983847801</v>
      </c>
    </row>
    <row r="105" customFormat="false" ht="17.15" hidden="false" customHeight="false" outlineLevel="0" collapsed="false">
      <c r="A105" s="26" t="s">
        <v>742</v>
      </c>
      <c r="B105" s="28" t="s">
        <v>77</v>
      </c>
      <c r="C105" s="29" t="n">
        <f aca="false">Q!J22</f>
        <v>112.39</v>
      </c>
      <c r="D105" s="29" t="n">
        <f aca="false">Q!K22</f>
        <v>129.039</v>
      </c>
      <c r="E105" s="29" t="n">
        <f aca="false">Q!L22</f>
        <v>80.466</v>
      </c>
      <c r="F105" s="29" t="n">
        <f aca="false">F102-F103</f>
        <v>84.2498925897347</v>
      </c>
      <c r="G105" s="29" t="n">
        <f aca="false">E105+F105</f>
        <v>164.715892589735</v>
      </c>
      <c r="H105" s="29" t="n">
        <f aca="false">H102-H103</f>
        <v>164.461039521629</v>
      </c>
      <c r="I105" s="29" t="n">
        <f aca="false">I102-I103</f>
        <v>170.450045482744</v>
      </c>
      <c r="J105" s="29" t="n">
        <f aca="false">J102-J103</f>
        <v>178.64364294862</v>
      </c>
      <c r="K105" s="29" t="n">
        <f aca="false">K102-K103</f>
        <v>184.564138671235</v>
      </c>
      <c r="L105" s="29" t="n">
        <f aca="false">L102-L103</f>
        <v>189.096210656171</v>
      </c>
      <c r="M105" s="29" t="n">
        <f aca="false">M102-M103</f>
        <v>189.632039570363</v>
      </c>
      <c r="N105" s="30" t="s">
        <v>971</v>
      </c>
    </row>
    <row r="106" customFormat="false" ht="15" hidden="false" customHeight="false" outlineLevel="0" collapsed="false">
      <c r="A106" s="4" t="s">
        <v>743</v>
      </c>
      <c r="B106" s="0" t="s">
        <v>77</v>
      </c>
      <c r="C106" s="19" t="n">
        <f aca="false">C101-C105</f>
        <v>0</v>
      </c>
      <c r="D106" s="19" t="n">
        <f aca="false">D101-D105</f>
        <v>0</v>
      </c>
      <c r="E106" s="19" t="n">
        <f aca="false">E101-E105</f>
        <v>0</v>
      </c>
      <c r="F106" s="19" t="n">
        <f aca="false">F101-F105</f>
        <v>0</v>
      </c>
      <c r="G106" s="19" t="n">
        <f aca="false">G101-G105</f>
        <v>0</v>
      </c>
      <c r="H106" s="19" t="n">
        <f aca="false">H101-H105</f>
        <v>0</v>
      </c>
      <c r="I106" s="19" t="n">
        <f aca="false">I101-I105</f>
        <v>0</v>
      </c>
      <c r="J106" s="19" t="n">
        <f aca="false">J101-J105</f>
        <v>0</v>
      </c>
      <c r="K106" s="19" t="n">
        <f aca="false">K101-K105</f>
        <v>0</v>
      </c>
      <c r="L106" s="19" t="n">
        <f aca="false">L101-L105</f>
        <v>0</v>
      </c>
      <c r="M106" s="19" t="n">
        <f aca="false">M101-M105</f>
        <v>0</v>
      </c>
    </row>
    <row r="107" customFormat="false" ht="17.15" hidden="false" customHeight="false" outlineLevel="0" collapsed="false">
      <c r="A107" s="4" t="s">
        <v>972</v>
      </c>
      <c r="B107" s="0" t="s">
        <v>77</v>
      </c>
      <c r="F107" s="23" t="n">
        <f aca="false">Thesis!F80</f>
        <v>3.96233925965039</v>
      </c>
      <c r="G107" s="23" t="n">
        <f aca="false">F107</f>
        <v>3.96233925965039</v>
      </c>
      <c r="H107" s="23" t="n">
        <f aca="false">Thesis!H80</f>
        <v>32.673472428289</v>
      </c>
      <c r="I107" s="23" t="n">
        <f aca="false">Thesis!I80</f>
        <v>67.29646155875</v>
      </c>
      <c r="J107" s="23" t="n">
        <f aca="false">Thesis!J80</f>
        <v>98.9815856133526</v>
      </c>
      <c r="K107" s="23" t="n">
        <f aca="false">Thesis!K80</f>
        <v>123.049756568774</v>
      </c>
      <c r="L107" s="23" t="n">
        <f aca="false">Thesis!L80</f>
        <v>139.834214516804</v>
      </c>
      <c r="M107" s="23" t="n">
        <f aca="false">Thesis!M80</f>
        <v>149.505253104094</v>
      </c>
      <c r="N107" s="4" t="s">
        <v>973</v>
      </c>
    </row>
    <row r="108" customFormat="false" ht="17.15" hidden="false" customHeight="false" outlineLevel="0" collapsed="false">
      <c r="A108" s="2" t="s">
        <v>974</v>
      </c>
      <c r="B108" s="7" t="s">
        <v>77</v>
      </c>
      <c r="C108" s="23" t="n">
        <f aca="false">C105</f>
        <v>112.39</v>
      </c>
      <c r="D108" s="23" t="n">
        <f aca="false">D105</f>
        <v>129.039</v>
      </c>
      <c r="E108" s="23" t="n">
        <f aca="false">E105</f>
        <v>80.466</v>
      </c>
      <c r="F108" s="23" t="n">
        <f aca="false">F105+(internal_ai_reading=2)*F107</f>
        <v>88.2122318493851</v>
      </c>
      <c r="G108" s="23" t="n">
        <f aca="false">G105+(internal_ai_reading=2)*G107</f>
        <v>168.678231849385</v>
      </c>
      <c r="H108" s="23" t="n">
        <f aca="false">H105+(internal_ai_reading=2)*H107</f>
        <v>197.134511949918</v>
      </c>
      <c r="I108" s="23" t="n">
        <f aca="false">I105+(internal_ai_reading=2)*I107</f>
        <v>237.746507041494</v>
      </c>
      <c r="J108" s="23" t="n">
        <f aca="false">J105+(internal_ai_reading=2)*J107</f>
        <v>277.625228561973</v>
      </c>
      <c r="K108" s="23" t="n">
        <f aca="false">K105+(internal_ai_reading=2)*K107</f>
        <v>307.61389524001</v>
      </c>
      <c r="L108" s="23" t="n">
        <f aca="false">L105+(internal_ai_reading=2)*L107</f>
        <v>328.930425172975</v>
      </c>
      <c r="M108" s="23" t="n">
        <f aca="false">M105+(internal_ai_reading=2)*M107</f>
        <v>339.137292674457</v>
      </c>
    </row>
    <row r="109" customFormat="false" ht="15" hidden="false" customHeight="false" outlineLevel="0" collapsed="false">
      <c r="A109" s="4" t="s">
        <v>975</v>
      </c>
      <c r="B109" s="0" t="s">
        <v>100</v>
      </c>
      <c r="C109" s="14" t="n">
        <f aca="false">C105/C83</f>
        <v>0.321097772114577</v>
      </c>
      <c r="D109" s="14" t="n">
        <f aca="false">D105/D83</f>
        <v>0.3203263859238</v>
      </c>
      <c r="E109" s="14" t="n">
        <f aca="false">E105/E83</f>
        <v>0.350321299827595</v>
      </c>
      <c r="F109" s="14" t="n">
        <f aca="false">F105/F83</f>
        <v>0.31534303197402</v>
      </c>
      <c r="G109" s="14" t="n">
        <f aca="false">G105/G83</f>
        <v>0.331513002615575</v>
      </c>
      <c r="H109" s="14" t="n">
        <f aca="false">H105/H83</f>
        <v>0.271679868139545</v>
      </c>
      <c r="I109" s="14" t="n">
        <f aca="false">I105/I83</f>
        <v>0.24235162027053</v>
      </c>
      <c r="J109" s="14" t="n">
        <f aca="false">J105/J83</f>
        <v>0.225619020827212</v>
      </c>
      <c r="K109" s="14" t="n">
        <f aca="false">K105/K83</f>
        <v>0.214584177172243</v>
      </c>
      <c r="L109" s="14" t="n">
        <f aca="false">L105/L83</f>
        <v>0.203485671050824</v>
      </c>
      <c r="M109" s="14" t="n">
        <f aca="false">M105/M83</f>
        <v>0.189666346829301</v>
      </c>
    </row>
    <row r="110" customFormat="false" ht="17.15" hidden="false" customHeight="false" outlineLevel="0" collapsed="false">
      <c r="A110" s="0" t="s">
        <v>976</v>
      </c>
      <c r="B110" s="0" t="s">
        <v>100</v>
      </c>
      <c r="C110" s="14" t="n">
        <f aca="false">C91/C76</f>
        <v>0.397674876201095</v>
      </c>
      <c r="D110" s="14" t="n">
        <f aca="false">D91/D76</f>
        <v>0.406756516233321</v>
      </c>
      <c r="E110" s="14" t="n">
        <f aca="false">E91/E76</f>
        <v>0.435086900101533</v>
      </c>
      <c r="F110" s="14" t="n">
        <f aca="false">F91/F76</f>
        <v>0.412843499578728</v>
      </c>
      <c r="G110" s="14" t="n">
        <f aca="false">G91/G76</f>
        <v>0.423237515966416</v>
      </c>
      <c r="H110" s="14" t="n">
        <f aca="false">H91/H76</f>
        <v>0.381682978153091</v>
      </c>
      <c r="I110" s="14" t="n">
        <f aca="false">I91/I76</f>
        <v>0.357747281539575</v>
      </c>
      <c r="J110" s="14" t="n">
        <f aca="false">J91/J76</f>
        <v>0.345165783144819</v>
      </c>
      <c r="K110" s="14" t="n">
        <f aca="false">K91/K76</f>
        <v>0.3401324662135</v>
      </c>
      <c r="L110" s="14" t="n">
        <f aca="false">L91/L76</f>
        <v>0.338306699885651</v>
      </c>
      <c r="M110" s="14" t="n">
        <f aca="false">M91/M76</f>
        <v>0.330951216221641</v>
      </c>
    </row>
    <row r="111" customFormat="false" ht="17.15" hidden="false" customHeight="false" outlineLevel="0" collapsed="false">
      <c r="A111" s="0" t="s">
        <v>977</v>
      </c>
      <c r="B111" s="0" t="s">
        <v>100</v>
      </c>
      <c r="C111" s="14" t="n">
        <f aca="false">C94/C80</f>
        <v>0.141386569201231</v>
      </c>
      <c r="D111" s="14" t="n">
        <f aca="false">D94/D80</f>
        <v>0.236947449109957</v>
      </c>
      <c r="E111" s="14" t="n">
        <f aca="false">E94/E80</f>
        <v>0.344048575765693</v>
      </c>
      <c r="F111" s="14" t="n">
        <f aca="false">F94/F80</f>
        <v>0.325210256120808</v>
      </c>
      <c r="G111" s="14" t="n">
        <f aca="false">G94/G80</f>
        <v>0.333544918889945</v>
      </c>
      <c r="H111" s="14" t="n">
        <f aca="false">H94/H80</f>
        <v>0.310989281616584</v>
      </c>
      <c r="I111" s="14" t="n">
        <f aca="false">I94/I80</f>
        <v>0.303830426935535</v>
      </c>
      <c r="J111" s="14" t="n">
        <f aca="false">J94/J80</f>
        <v>0.294145853856804</v>
      </c>
      <c r="K111" s="14" t="n">
        <f aca="false">K94/K80</f>
        <v>0.281744229180774</v>
      </c>
      <c r="L111" s="14" t="n">
        <f aca="false">L94/L80</f>
        <v>0.26575034427071</v>
      </c>
      <c r="M111" s="14" t="n">
        <f aca="false">M94/M80</f>
        <v>0.244020987142028</v>
      </c>
    </row>
    <row r="112" customFormat="false" ht="17.15" hidden="false" customHeight="false" outlineLevel="0" collapsed="false">
      <c r="A112" s="4" t="s">
        <v>978</v>
      </c>
      <c r="B112" s="0" t="s">
        <v>77</v>
      </c>
      <c r="F112" s="23" t="n">
        <f aca="false">r_cash*CF!F63*0.5</f>
        <v>2.952809</v>
      </c>
      <c r="G112" s="23" t="n">
        <f aca="false">F112</f>
        <v>2.952809</v>
      </c>
      <c r="H112" s="23" t="n">
        <f aca="false">r_cash*CF!H63*1</f>
        <v>6.39956355321569</v>
      </c>
      <c r="I112" s="23" t="n">
        <f aca="false">r_cash*CF!I63*1</f>
        <v>5.25667111624998</v>
      </c>
      <c r="J112" s="23" t="n">
        <f aca="false">r_cash*CF!J63*1</f>
        <v>4.86576106767114</v>
      </c>
      <c r="K112" s="23" t="n">
        <f aca="false">r_cash*CF!K63*1</f>
        <v>6.66832879421758</v>
      </c>
      <c r="L112" s="23" t="n">
        <f aca="false">r_cash*CF!L63*1</f>
        <v>9.86610131240621</v>
      </c>
      <c r="M112" s="23" t="n">
        <f aca="false">r_cash*CF!M63*1</f>
        <v>14.1837208977665</v>
      </c>
    </row>
    <row r="113" customFormat="false" ht="17.15" hidden="false" customHeight="false" outlineLevel="0" collapsed="false">
      <c r="A113" s="4" t="s">
        <v>979</v>
      </c>
      <c r="B113" s="0" t="s">
        <v>77</v>
      </c>
      <c r="F113" s="23" t="n">
        <f aca="false">r_debt*CF!F70*0.5</f>
        <v>2.42604</v>
      </c>
      <c r="G113" s="23" t="n">
        <f aca="false">F113</f>
        <v>2.42604</v>
      </c>
      <c r="H113" s="23" t="n">
        <f aca="false">r_debt*CF!H70*1</f>
        <v>5.95608</v>
      </c>
      <c r="I113" s="23" t="n">
        <f aca="false">r_debt*CF!I70*1</f>
        <v>5.90808</v>
      </c>
      <c r="J113" s="23" t="n">
        <f aca="false">r_debt*CF!J70*1</f>
        <v>5.779632</v>
      </c>
      <c r="K113" s="23" t="n">
        <f aca="false">r_debt*CF!K70*1</f>
        <v>5.69496</v>
      </c>
      <c r="L113" s="23" t="n">
        <f aca="false">r_debt*CF!L70*1</f>
        <v>5.350032</v>
      </c>
      <c r="M113" s="23" t="n">
        <f aca="false">r_debt*CF!M70*1</f>
        <v>5.110032</v>
      </c>
    </row>
    <row r="114" customFormat="false" ht="17.15" hidden="false" customHeight="false" outlineLevel="0" collapsed="false">
      <c r="A114" s="4" t="s">
        <v>980</v>
      </c>
      <c r="B114" s="0" t="s">
        <v>77</v>
      </c>
      <c r="D114" s="23" t="n">
        <f aca="false">SUM(Q!D33:G33)</f>
        <v>24.08</v>
      </c>
      <c r="E114" s="23" t="n">
        <f aca="false">Q!L33</f>
        <v>135.946</v>
      </c>
      <c r="F114" s="25" t="n">
        <v>0</v>
      </c>
      <c r="G114" s="23" t="n">
        <f aca="false">E114+F114</f>
        <v>135.946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7" t="s">
        <v>981</v>
      </c>
    </row>
    <row r="115" customFormat="false" ht="15" hidden="false" customHeight="false" outlineLevel="0" collapsed="false">
      <c r="A115" s="4" t="s">
        <v>982</v>
      </c>
      <c r="B115" s="0" t="s">
        <v>77</v>
      </c>
      <c r="C115" s="23" t="n">
        <f aca="false">Q!J32</f>
        <v>7.425</v>
      </c>
      <c r="D115" s="23" t="n">
        <f aca="false">Q!K32</f>
        <v>29.787</v>
      </c>
      <c r="E115" s="23" t="n">
        <f aca="false">Q!L32</f>
        <v>135.699</v>
      </c>
      <c r="F115" s="23" t="n">
        <f aca="false">F112-F113+F114</f>
        <v>0.526769</v>
      </c>
      <c r="G115" s="23" t="n">
        <f aca="false">E115+F115</f>
        <v>136.225769</v>
      </c>
      <c r="H115" s="23" t="n">
        <f aca="false">H112-H113+H114</f>
        <v>0.443483553215692</v>
      </c>
      <c r="I115" s="23" t="n">
        <f aca="false">I112-I113+I114</f>
        <v>-0.651408883750017</v>
      </c>
      <c r="J115" s="23" t="n">
        <f aca="false">J112-J113+J114</f>
        <v>-0.913870932328855</v>
      </c>
      <c r="K115" s="23" t="n">
        <f aca="false">K112-K113+K114</f>
        <v>0.973368794217583</v>
      </c>
      <c r="L115" s="23" t="n">
        <f aca="false">L112-L113+L114</f>
        <v>4.51606931240621</v>
      </c>
      <c r="M115" s="23" t="n">
        <f aca="false">M112-M113+M114</f>
        <v>9.07368889776649</v>
      </c>
    </row>
    <row r="116" customFormat="false" ht="15" hidden="false" customHeight="false" outlineLevel="0" collapsed="false">
      <c r="A116" s="4" t="s">
        <v>753</v>
      </c>
      <c r="B116" s="0" t="s">
        <v>77</v>
      </c>
      <c r="C116" s="23" t="n">
        <f aca="false">C105+C115</f>
        <v>119.815</v>
      </c>
      <c r="D116" s="23" t="n">
        <f aca="false">D105+D115</f>
        <v>158.826</v>
      </c>
      <c r="E116" s="23" t="n">
        <f aca="false">E105+E115</f>
        <v>216.165</v>
      </c>
      <c r="F116" s="23" t="n">
        <f aca="false">F105+F115</f>
        <v>84.7766615897347</v>
      </c>
      <c r="G116" s="23" t="n">
        <f aca="false">G105+G115</f>
        <v>300.941661589735</v>
      </c>
      <c r="H116" s="23" t="n">
        <f aca="false">H105+H115</f>
        <v>164.904523074845</v>
      </c>
      <c r="I116" s="23" t="n">
        <f aca="false">I105+I115</f>
        <v>169.798636598994</v>
      </c>
      <c r="J116" s="23" t="n">
        <f aca="false">J105+J115</f>
        <v>177.729772016291</v>
      </c>
      <c r="K116" s="23" t="n">
        <f aca="false">K105+K115</f>
        <v>185.537507465453</v>
      </c>
      <c r="L116" s="23" t="n">
        <f aca="false">L105+L115</f>
        <v>193.612279968577</v>
      </c>
      <c r="M116" s="23" t="n">
        <f aca="false">M105+M115</f>
        <v>198.705728468129</v>
      </c>
    </row>
    <row r="117" customFormat="false" ht="15" hidden="false" customHeight="false" outlineLevel="0" collapsed="false">
      <c r="A117" s="4" t="s">
        <v>755</v>
      </c>
      <c r="B117" s="0" t="s">
        <v>77</v>
      </c>
      <c r="C117" s="23" t="n">
        <f aca="false">Q!J36</f>
        <v>19.697</v>
      </c>
      <c r="D117" s="23" t="n">
        <f aca="false">Q!K36</f>
        <v>26.656</v>
      </c>
      <c r="E117" s="23" t="n">
        <f aca="false">Q!L36</f>
        <v>41.394</v>
      </c>
      <c r="F117" s="23" t="n">
        <f aca="false">F116*tax</f>
        <v>14.2424791470754</v>
      </c>
      <c r="G117" s="23" t="n">
        <f aca="false">E117+F117</f>
        <v>55.6364791470754</v>
      </c>
      <c r="H117" s="23" t="n">
        <f aca="false">H116*tax</f>
        <v>27.703959876574</v>
      </c>
      <c r="I117" s="23" t="n">
        <f aca="false">I116*tax</f>
        <v>28.5261709486309</v>
      </c>
      <c r="J117" s="23" t="n">
        <f aca="false">J116*tax</f>
        <v>29.858601698737</v>
      </c>
      <c r="K117" s="23" t="n">
        <f aca="false">K116*tax</f>
        <v>31.1703012541961</v>
      </c>
      <c r="L117" s="23" t="n">
        <f aca="false">L116*tax</f>
        <v>32.526863034721</v>
      </c>
      <c r="M117" s="23" t="n">
        <f aca="false">M116*tax</f>
        <v>33.3825623826457</v>
      </c>
    </row>
    <row r="118" customFormat="false" ht="15" hidden="false" customHeight="false" outlineLevel="0" collapsed="false">
      <c r="A118" s="2" t="s">
        <v>756</v>
      </c>
      <c r="B118" s="7" t="s">
        <v>77</v>
      </c>
      <c r="C118" s="23" t="n">
        <f aca="false">C116-C117</f>
        <v>100.118</v>
      </c>
      <c r="D118" s="23" t="n">
        <f aca="false">D116-D117</f>
        <v>132.17</v>
      </c>
      <c r="E118" s="23" t="n">
        <f aca="false">E116-E117</f>
        <v>174.771</v>
      </c>
      <c r="F118" s="23" t="n">
        <f aca="false">F116-F117</f>
        <v>70.5341824426593</v>
      </c>
      <c r="G118" s="23" t="n">
        <f aca="false">G116-G117</f>
        <v>245.305182442659</v>
      </c>
      <c r="H118" s="23" t="n">
        <f aca="false">H116-H117</f>
        <v>137.200563198271</v>
      </c>
      <c r="I118" s="23" t="n">
        <f aca="false">I116-I117</f>
        <v>141.272465650363</v>
      </c>
      <c r="J118" s="23" t="n">
        <f aca="false">J116-J117</f>
        <v>147.871170317555</v>
      </c>
      <c r="K118" s="23" t="n">
        <f aca="false">K116-K117</f>
        <v>154.367206211257</v>
      </c>
      <c r="L118" s="23" t="n">
        <f aca="false">L116-L117</f>
        <v>161.085416933856</v>
      </c>
      <c r="M118" s="23" t="n">
        <f aca="false">M116-M117</f>
        <v>165.323166085484</v>
      </c>
    </row>
    <row r="119" customFormat="false" ht="17.15" hidden="false" customHeight="false" outlineLevel="0" collapsed="false">
      <c r="A119" s="4" t="s">
        <v>983</v>
      </c>
      <c r="B119" s="0" t="s">
        <v>77</v>
      </c>
      <c r="C119" s="19" t="n">
        <f aca="false">C118-Q!J37</f>
        <v>0</v>
      </c>
      <c r="D119" s="19" t="n">
        <f aca="false">D118-Q!K37</f>
        <v>0</v>
      </c>
      <c r="E119" s="19" t="n">
        <f aca="false">E118-Q!L37</f>
        <v>0</v>
      </c>
    </row>
    <row r="120" customFormat="false" ht="15" hidden="false" customHeight="false" outlineLevel="0" collapsed="false">
      <c r="A120" s="4" t="s">
        <v>984</v>
      </c>
      <c r="B120" s="0" t="s">
        <v>77</v>
      </c>
      <c r="E120" s="25" t="n">
        <v>0</v>
      </c>
      <c r="F120" s="23" t="n">
        <f aca="false">pref_2H</f>
        <v>0.535</v>
      </c>
      <c r="G120" s="23" t="n">
        <f aca="false">E120+F120</f>
        <v>0.535</v>
      </c>
      <c r="H120" s="23" t="n">
        <f aca="false">pref_27</f>
        <v>1.203</v>
      </c>
      <c r="I120" s="23" t="n">
        <f aca="false">pref_28</f>
        <v>1.203</v>
      </c>
      <c r="J120" s="23" t="n">
        <f aca="false">pref_29</f>
        <v>0.602</v>
      </c>
      <c r="K120" s="25" t="n">
        <v>0</v>
      </c>
      <c r="L120" s="25" t="n">
        <v>0</v>
      </c>
      <c r="M120" s="25" t="n">
        <v>0</v>
      </c>
    </row>
    <row r="121" customFormat="false" ht="15" hidden="false" customHeight="false" outlineLevel="0" collapsed="false">
      <c r="A121" s="4" t="s">
        <v>985</v>
      </c>
      <c r="B121" s="0" t="s">
        <v>77</v>
      </c>
      <c r="E121" s="23" t="n">
        <f aca="false">E118-E120</f>
        <v>174.771</v>
      </c>
      <c r="F121" s="23" t="n">
        <f aca="false">F118-F120</f>
        <v>69.9991824426593</v>
      </c>
      <c r="G121" s="23" t="n">
        <f aca="false">G118-G120</f>
        <v>244.770182442659</v>
      </c>
      <c r="H121" s="23" t="n">
        <f aca="false">H118-H120</f>
        <v>135.997563198271</v>
      </c>
      <c r="I121" s="23" t="n">
        <f aca="false">I118-I120</f>
        <v>140.069465650363</v>
      </c>
      <c r="J121" s="23" t="n">
        <f aca="false">J118-J120</f>
        <v>147.269170317554</v>
      </c>
      <c r="K121" s="23" t="n">
        <f aca="false">K118-K120</f>
        <v>154.367206211257</v>
      </c>
      <c r="L121" s="23" t="n">
        <f aca="false">L118-L120</f>
        <v>161.085416933856</v>
      </c>
      <c r="M121" s="23" t="n">
        <f aca="false">M118-M120</f>
        <v>165.323166085484</v>
      </c>
    </row>
    <row r="122" customFormat="false" ht="17.15" hidden="false" customHeight="false" outlineLevel="0" collapsed="false">
      <c r="A122" s="4" t="s">
        <v>986</v>
      </c>
      <c r="B122" s="4" t="s">
        <v>61</v>
      </c>
      <c r="E122" s="19" t="n">
        <f aca="false">sh_dil_q2+(sh_out-sh_basic_q2)</f>
        <v>12.388</v>
      </c>
      <c r="F122" s="19" t="n">
        <f aca="false">E122*(1+dil*0.5)-CF!F66/CF!F73</f>
        <v>12.44994</v>
      </c>
      <c r="H122" s="19" t="n">
        <f aca="false">F122*(1+dil*1)-CF!H66/CF!H73</f>
        <v>12.5245203662183</v>
      </c>
      <c r="I122" s="19" t="n">
        <f aca="false">H122*(1+dil*1)-CF!I66/CF!I73</f>
        <v>12.6048930389142</v>
      </c>
      <c r="J122" s="19" t="n">
        <f aca="false">I122*(1+dil*1)-CF!J66/CF!J73+conv_sh</f>
        <v>12.7452057712087</v>
      </c>
      <c r="K122" s="19" t="n">
        <f aca="false">J122*(1+dil*1)-CF!K66/CF!K73</f>
        <v>12.8363993687515</v>
      </c>
      <c r="L122" s="19" t="n">
        <f aca="false">K122*(1+dil*1)-CF!L66/CF!L73</f>
        <v>12.9321704063364</v>
      </c>
      <c r="M122" s="19" t="n">
        <f aca="false">L122*(1+dil*1)-CF!M66/CF!M73</f>
        <v>13.0321940987757</v>
      </c>
      <c r="N122" s="7" t="s">
        <v>987</v>
      </c>
    </row>
    <row r="123" customFormat="false" ht="15" hidden="false" customHeight="false" outlineLevel="0" collapsed="false">
      <c r="A123" s="4" t="s">
        <v>988</v>
      </c>
      <c r="B123" s="4" t="s">
        <v>61</v>
      </c>
      <c r="C123" s="19" t="n">
        <f aca="false">Q!J39</f>
        <v>12.447</v>
      </c>
      <c r="D123" s="19" t="n">
        <f aca="false">Q!K39</f>
        <v>12.23</v>
      </c>
      <c r="E123" s="19" t="n">
        <f aca="false">Q!L39</f>
        <v>12.2735</v>
      </c>
      <c r="F123" s="19" t="n">
        <f aca="false">E122*(1+dil*0.25)</f>
        <v>12.41897</v>
      </c>
      <c r="G123" s="19" t="n">
        <f aca="false">(E123+F123)/2</f>
        <v>12.346235</v>
      </c>
      <c r="H123" s="19" t="n">
        <f aca="false">(F122+H122)/2</f>
        <v>12.4872301831091</v>
      </c>
      <c r="I123" s="19" t="n">
        <f aca="false">(H122+I122)/2</f>
        <v>12.5647067025663</v>
      </c>
      <c r="J123" s="19" t="n">
        <f aca="false">(I122+J122)/2</f>
        <v>12.6750494050615</v>
      </c>
      <c r="K123" s="19" t="n">
        <f aca="false">(J122+K122)/2</f>
        <v>12.7908025699801</v>
      </c>
      <c r="L123" s="19" t="n">
        <f aca="false">(K122+L122)/2</f>
        <v>12.8842848875439</v>
      </c>
      <c r="M123" s="19" t="n">
        <f aca="false">(L122+M122)/2</f>
        <v>12.982182252556</v>
      </c>
    </row>
    <row r="124" customFormat="false" ht="17.15" hidden="false" customHeight="false" outlineLevel="0" collapsed="false">
      <c r="A124" s="5" t="s">
        <v>989</v>
      </c>
      <c r="B124" s="7" t="s">
        <v>55</v>
      </c>
      <c r="C124" s="21" t="n">
        <f aca="false">C118/C123</f>
        <v>8.04354462922793</v>
      </c>
      <c r="D124" s="21" t="n">
        <f aca="false">D118/D123</f>
        <v>10.807031888798</v>
      </c>
      <c r="E124" s="21" t="n">
        <f aca="false">E121/E123</f>
        <v>14.2397034260806</v>
      </c>
      <c r="F124" s="21" t="n">
        <f aca="false">F121/F123</f>
        <v>5.63647246451672</v>
      </c>
      <c r="G124" s="21" t="n">
        <f aca="false">G121/G123</f>
        <v>19.825491936826</v>
      </c>
      <c r="H124" s="21" t="n">
        <f aca="false">H121/H123</f>
        <v>10.890931071506</v>
      </c>
      <c r="I124" s="21" t="n">
        <f aca="false">I121/I123</f>
        <v>11.1478500028779</v>
      </c>
      <c r="J124" s="21" t="n">
        <f aca="false">J121/J123</f>
        <v>11.6188241647994</v>
      </c>
      <c r="K124" s="21" t="n">
        <f aca="false">K121/K123</f>
        <v>12.0686098754706</v>
      </c>
      <c r="L124" s="21" t="n">
        <f aca="false">L121/L123</f>
        <v>12.5024724569377</v>
      </c>
      <c r="M124" s="21" t="n">
        <f aca="false">M121/M123</f>
        <v>12.7346206415284</v>
      </c>
    </row>
    <row r="125" customFormat="false" ht="17.15" hidden="false" customHeight="false" outlineLevel="0" collapsed="false">
      <c r="A125" s="0" t="s">
        <v>990</v>
      </c>
      <c r="B125" s="0" t="s">
        <v>55</v>
      </c>
      <c r="E125" s="21" t="n">
        <f aca="false">(E121-E114*(1-tax_eq))/E123</f>
        <v>5.48936000325906</v>
      </c>
      <c r="F125" s="21" t="n">
        <f aca="false">(F121-F114*(1-tax_eq))/F123</f>
        <v>5.63647246451672</v>
      </c>
      <c r="G125" s="21" t="n">
        <f aca="false">(G121-G114*(1-tax_eq))/G123</f>
        <v>11.1266991469593</v>
      </c>
      <c r="H125" s="21" t="n">
        <f aca="false">(H121-H114*(1-tax_eq))/H123</f>
        <v>10.890931071506</v>
      </c>
      <c r="I125" s="21" t="n">
        <f aca="false">(I121-I114*(1-tax_eq))/I123</f>
        <v>11.1478500028779</v>
      </c>
      <c r="J125" s="21" t="n">
        <f aca="false">(J121-J114*(1-tax_eq))/J123</f>
        <v>11.6188241647994</v>
      </c>
      <c r="K125" s="21" t="n">
        <f aca="false">(K121-K114*(1-tax_eq))/K123</f>
        <v>12.0686098754706</v>
      </c>
      <c r="L125" s="21" t="n">
        <f aca="false">(L121-L114*(1-tax_eq))/L123</f>
        <v>12.5024724569377</v>
      </c>
      <c r="M125" s="21" t="n">
        <f aca="false">(M121-M114*(1-tax_eq))/M123</f>
        <v>12.7346206415284</v>
      </c>
      <c r="N125" s="4" t="s">
        <v>991</v>
      </c>
    </row>
    <row r="126" customFormat="false" ht="17.15" hidden="false" customHeight="false" outlineLevel="0" collapsed="false">
      <c r="A126" s="0" t="s">
        <v>992</v>
      </c>
      <c r="B126" s="0" t="s">
        <v>55</v>
      </c>
      <c r="F126" s="21" t="n">
        <f aca="false">(F121+(internal_ai_reading=2)*F107*(1-tax))/F123</f>
        <v>5.90192654517149</v>
      </c>
      <c r="G126" s="21" t="n">
        <f aca="false">(G121+(internal_ai_reading=2)*G107*(1-tax))/G123</f>
        <v>20.0925098790594</v>
      </c>
      <c r="H126" s="21" t="n">
        <f aca="false">(H121+(internal_ai_reading=2)*H107*(1-tax))/H123</f>
        <v>13.067901357287</v>
      </c>
      <c r="I126" s="21" t="n">
        <f aca="false">(I121+(internal_ai_reading=2)*I107*(1-tax))/I123</f>
        <v>15.6040348818647</v>
      </c>
      <c r="J126" s="21" t="n">
        <f aca="false">(J121+(internal_ai_reading=2)*J107*(1-tax))/J123</f>
        <v>18.1160516389128</v>
      </c>
      <c r="K126" s="21" t="n">
        <f aca="false">(K121+(internal_ai_reading=2)*K107*(1-tax))/K123</f>
        <v>20.0725953099342</v>
      </c>
      <c r="L126" s="21" t="n">
        <f aca="false">(L121+(internal_ai_reading=2)*L107*(1-tax))/L123</f>
        <v>21.5322375927938</v>
      </c>
      <c r="M126" s="21" t="n">
        <f aca="false">(M121+(internal_ai_reading=2)*M107*(1-tax))/M123</f>
        <v>22.3160891622092</v>
      </c>
      <c r="N126" s="4" t="s">
        <v>993</v>
      </c>
    </row>
    <row r="127" customFormat="false" ht="15" hidden="false" customHeight="false" outlineLevel="0" collapsed="false">
      <c r="A127" s="4" t="s">
        <v>994</v>
      </c>
      <c r="B127" s="0" t="s">
        <v>77</v>
      </c>
      <c r="C127" s="23" t="n">
        <f aca="false">Q!J44</f>
        <v>22.785</v>
      </c>
      <c r="D127" s="23" t="n">
        <f aca="false">Q!K44</f>
        <v>24.953</v>
      </c>
      <c r="E127" s="23" t="n">
        <f aca="false">Q!L44</f>
        <v>14.708</v>
      </c>
      <c r="F127" s="23" t="n">
        <f aca="false">F83*sbc_r</f>
        <v>16.8583659170571</v>
      </c>
      <c r="G127" s="23" t="n">
        <f aca="false">E127+F127</f>
        <v>31.5663659170571</v>
      </c>
      <c r="H127" s="23" t="n">
        <f aca="false">H83*sbc_r</f>
        <v>38.1974993763047</v>
      </c>
      <c r="I127" s="23" t="n">
        <f aca="false">I83*sbc_r</f>
        <v>44.3793107632422</v>
      </c>
      <c r="J127" s="23" t="n">
        <f aca="false">J83*sbc_r</f>
        <v>49.9621611189013</v>
      </c>
      <c r="K127" s="23" t="n">
        <f aca="false">K83*sbc_r</f>
        <v>54.2723946547415</v>
      </c>
      <c r="L127" s="23" t="n">
        <f aca="false">L83*sbc_r</f>
        <v>58.6378924412037</v>
      </c>
      <c r="M127" s="23" t="n">
        <f aca="false">M83*sbc_r</f>
        <v>63.0885863355561</v>
      </c>
    </row>
    <row r="129" customFormat="false" ht="17.15" hidden="false" customHeight="false" outlineLevel="0" collapsed="false">
      <c r="A129" s="26" t="s">
        <v>944</v>
      </c>
    </row>
    <row r="130" customFormat="false" ht="15" hidden="false" customHeight="false" outlineLevel="0" collapsed="false">
      <c r="A130" s="3" t="s">
        <v>44</v>
      </c>
      <c r="B130" s="3" t="s">
        <v>45</v>
      </c>
      <c r="C130" s="18" t="s">
        <v>829</v>
      </c>
      <c r="D130" s="18" t="s">
        <v>830</v>
      </c>
      <c r="E130" s="18" t="s">
        <v>831</v>
      </c>
      <c r="F130" s="18" t="s">
        <v>832</v>
      </c>
      <c r="G130" s="18" t="s">
        <v>833</v>
      </c>
      <c r="H130" s="18" t="s">
        <v>834</v>
      </c>
      <c r="I130" s="18" t="s">
        <v>835</v>
      </c>
      <c r="J130" s="18" t="s">
        <v>836</v>
      </c>
      <c r="K130" s="18" t="s">
        <v>837</v>
      </c>
      <c r="L130" s="18" t="s">
        <v>838</v>
      </c>
      <c r="M130" s="18" t="s">
        <v>839</v>
      </c>
      <c r="N130" s="3" t="s">
        <v>51</v>
      </c>
    </row>
    <row r="131" customFormat="false" ht="15" hidden="false" customHeight="false" outlineLevel="0" collapsed="false">
      <c r="A131" s="0" t="s">
        <v>723</v>
      </c>
      <c r="B131" s="0" t="s">
        <v>77</v>
      </c>
      <c r="C131" s="23" t="n">
        <f aca="false">Seg!C83</f>
        <v>198.084</v>
      </c>
      <c r="D131" s="23" t="n">
        <f aca="false">Seg!D83</f>
        <v>224.532</v>
      </c>
      <c r="E131" s="23" t="n">
        <f aca="false">Seg!E83</f>
        <v>123.67</v>
      </c>
      <c r="F131" s="23" t="n">
        <f aca="false">Seg!F83</f>
        <v>139.741100565981</v>
      </c>
      <c r="G131" s="23" t="n">
        <f aca="false">Seg!G83</f>
        <v>263.411100565981</v>
      </c>
      <c r="H131" s="23" t="n">
        <f aca="false">Seg!H83</f>
        <v>279.608691019235</v>
      </c>
      <c r="I131" s="23" t="n">
        <f aca="false">Seg!I83</f>
        <v>290.106475996705</v>
      </c>
      <c r="J131" s="23" t="n">
        <f aca="false">Seg!J83</f>
        <v>293.991560475859</v>
      </c>
      <c r="K131" s="23" t="n">
        <f aca="false">Seg!K83</f>
        <v>290.757185915457</v>
      </c>
      <c r="L131" s="23" t="n">
        <f aca="false">Seg!L83</f>
        <v>314.017760788694</v>
      </c>
      <c r="M131" s="23" t="n">
        <f aca="false">Seg!M83</f>
        <v>339.139181651789</v>
      </c>
    </row>
    <row r="132" customFormat="false" ht="15" hidden="false" customHeight="false" outlineLevel="0" collapsed="false">
      <c r="A132" s="0" t="s">
        <v>726</v>
      </c>
      <c r="B132" s="0" t="s">
        <v>77</v>
      </c>
      <c r="C132" s="23" t="n">
        <f aca="false">Seg!C85</f>
        <v>36.147</v>
      </c>
      <c r="D132" s="23" t="n">
        <f aca="false">Seg!D85</f>
        <v>40.367</v>
      </c>
      <c r="E132" s="23" t="n">
        <f aca="false">Seg!E85</f>
        <v>20.938</v>
      </c>
      <c r="F132" s="23" t="n">
        <f aca="false">Seg!F85</f>
        <v>24.1793637484587</v>
      </c>
      <c r="G132" s="23" t="n">
        <f aca="false">Seg!G85</f>
        <v>45.1173637484587</v>
      </c>
      <c r="H132" s="23" t="n">
        <f aca="false">Seg!H85</f>
        <v>49.9834744846827</v>
      </c>
      <c r="I132" s="23" t="n">
        <f aca="false">Seg!I85</f>
        <v>54.9103289240237</v>
      </c>
      <c r="J132" s="23" t="n">
        <f aca="false">Seg!J85</f>
        <v>59.8129885015682</v>
      </c>
      <c r="K132" s="23" t="n">
        <f aca="false">Seg!K85</f>
        <v>64.5980275816936</v>
      </c>
      <c r="L132" s="23" t="n">
        <f aca="false">Seg!L85</f>
        <v>69.7658697882291</v>
      </c>
      <c r="M132" s="23" t="n">
        <f aca="false">Seg!M85</f>
        <v>75.3471393712874</v>
      </c>
    </row>
    <row r="133" customFormat="false" ht="15" hidden="false" customHeight="false" outlineLevel="0" collapsed="false">
      <c r="A133" s="0" t="s">
        <v>727</v>
      </c>
      <c r="B133" s="0" t="s">
        <v>77</v>
      </c>
      <c r="C133" s="23" t="n">
        <f aca="false">Seg!C87</f>
        <v>30.359</v>
      </c>
      <c r="D133" s="23" t="n">
        <f aca="false">Seg!D87</f>
        <v>29.792</v>
      </c>
      <c r="E133" s="23" t="n">
        <f aca="false">Seg!E87</f>
        <v>14.274</v>
      </c>
      <c r="F133" s="23" t="n">
        <f aca="false">Seg!F87</f>
        <v>14.8512550478215</v>
      </c>
      <c r="G133" s="23" t="n">
        <f aca="false">Seg!G87</f>
        <v>29.1252550478215</v>
      </c>
      <c r="H133" s="23" t="n">
        <f aca="false">Seg!H87</f>
        <v>28.6493774746437</v>
      </c>
      <c r="I133" s="23" t="n">
        <f aca="false">Seg!I87</f>
        <v>28.3373093353078</v>
      </c>
      <c r="J133" s="23" t="n">
        <f aca="false">Seg!J87</f>
        <v>28.1829748928599</v>
      </c>
      <c r="K133" s="23" t="n">
        <f aca="false">Seg!K87</f>
        <v>28.1829748928599</v>
      </c>
      <c r="L133" s="23" t="n">
        <f aca="false">Seg!L87</f>
        <v>28.1829748928599</v>
      </c>
      <c r="M133" s="23" t="n">
        <f aca="false">Seg!M87</f>
        <v>28.1829748928599</v>
      </c>
    </row>
    <row r="134" customFormat="false" ht="15" hidden="false" customHeight="false" outlineLevel="0" collapsed="false">
      <c r="A134" s="0" t="s">
        <v>728</v>
      </c>
      <c r="B134" s="0" t="s">
        <v>77</v>
      </c>
      <c r="C134" s="23" t="n">
        <f aca="false">Seg!C89</f>
        <v>40.34</v>
      </c>
      <c r="D134" s="23" t="n">
        <f aca="false">Seg!D89</f>
        <v>48.03</v>
      </c>
      <c r="E134" s="23" t="n">
        <f aca="false">Seg!E89</f>
        <v>25.295</v>
      </c>
      <c r="F134" s="23" t="n">
        <f aca="false">Seg!F89</f>
        <v>31.1937011693374</v>
      </c>
      <c r="G134" s="23" t="n">
        <f aca="false">Seg!G89</f>
        <v>56.4887011693374</v>
      </c>
      <c r="H134" s="23" t="n">
        <f aca="false">Seg!H89</f>
        <v>65.5029631403152</v>
      </c>
      <c r="I134" s="23" t="n">
        <f aca="false">Seg!I89</f>
        <v>74.6548787045084</v>
      </c>
      <c r="J134" s="23" t="n">
        <f aca="false">Seg!J89</f>
        <v>83.602922174315</v>
      </c>
      <c r="K134" s="23" t="n">
        <f aca="false">Seg!K89</f>
        <v>91.9632143917465</v>
      </c>
      <c r="L134" s="23" t="n">
        <f aca="false">Seg!L89</f>
        <v>101.159535830921</v>
      </c>
      <c r="M134" s="23" t="n">
        <f aca="false">Seg!M89</f>
        <v>111.275489414013</v>
      </c>
    </row>
    <row r="135" customFormat="false" ht="15" hidden="false" customHeight="false" outlineLevel="0" collapsed="false">
      <c r="A135" s="27" t="s">
        <v>919</v>
      </c>
      <c r="B135" s="28" t="s">
        <v>77</v>
      </c>
      <c r="C135" s="29" t="n">
        <f aca="false">Seg!C90</f>
        <v>304.93</v>
      </c>
      <c r="D135" s="29" t="n">
        <f aca="false">Seg!D90</f>
        <v>342.721</v>
      </c>
      <c r="E135" s="29" t="n">
        <f aca="false">Seg!E90</f>
        <v>184.177</v>
      </c>
      <c r="F135" s="29" t="n">
        <f aca="false">Seg!F90</f>
        <v>209.965420531598</v>
      </c>
      <c r="G135" s="29" t="n">
        <f aca="false">Seg!G90</f>
        <v>394.142420531598</v>
      </c>
      <c r="H135" s="29" t="n">
        <f aca="false">Seg!H90</f>
        <v>423.744506118877</v>
      </c>
      <c r="I135" s="29" t="n">
        <f aca="false">Seg!I90</f>
        <v>448.008992960544</v>
      </c>
      <c r="J135" s="29" t="n">
        <f aca="false">Seg!J90</f>
        <v>465.590446044602</v>
      </c>
      <c r="K135" s="29" t="n">
        <f aca="false">Seg!K90</f>
        <v>475.501402781757</v>
      </c>
      <c r="L135" s="29" t="n">
        <f aca="false">Seg!L90</f>
        <v>513.126141300704</v>
      </c>
      <c r="M135" s="29" t="n">
        <f aca="false">Seg!M90</f>
        <v>553.94478532995</v>
      </c>
      <c r="N135" s="28"/>
    </row>
    <row r="136" customFormat="false" ht="17.15" hidden="false" customHeight="false" outlineLevel="0" collapsed="false">
      <c r="A136" s="0" t="s">
        <v>920</v>
      </c>
      <c r="B136" s="0" t="s">
        <v>77</v>
      </c>
      <c r="E136" s="23" t="n">
        <f aca="false">Seg!E91</f>
        <v>9.75837289307536</v>
      </c>
      <c r="F136" s="23" t="n">
        <f aca="false">Seg!F91</f>
        <v>13.072238179387</v>
      </c>
      <c r="G136" s="23" t="n">
        <f aca="false">Seg!G91</f>
        <v>22.8306110724624</v>
      </c>
      <c r="H136" s="23" t="n">
        <f aca="false">Seg!H91</f>
        <v>38.882857987105</v>
      </c>
      <c r="I136" s="23" t="n">
        <f aca="false">Seg!I91</f>
        <v>56.7035586757632</v>
      </c>
      <c r="J136" s="23" t="n">
        <f aca="false">Seg!J91</f>
        <v>73.012119150783</v>
      </c>
      <c r="K136" s="23" t="n">
        <f aca="false">Seg!K91</f>
        <v>85.4001792660974</v>
      </c>
      <c r="L136" s="23" t="n">
        <f aca="false">Seg!L91</f>
        <v>94.0392600856694</v>
      </c>
      <c r="M136" s="23" t="n">
        <f aca="false">Seg!M91</f>
        <v>99.0170129701231</v>
      </c>
    </row>
    <row r="137" customFormat="false" ht="17.15" hidden="false" customHeight="false" outlineLevel="0" collapsed="false">
      <c r="A137" s="0" t="s">
        <v>922</v>
      </c>
      <c r="B137" s="0" t="s">
        <v>77</v>
      </c>
      <c r="E137" s="23" t="n">
        <f aca="false">Seg!E92</f>
        <v>0</v>
      </c>
      <c r="F137" s="23" t="n">
        <f aca="false">Seg!F92</f>
        <v>1</v>
      </c>
      <c r="G137" s="23" t="n">
        <f aca="false">Seg!G92</f>
        <v>1</v>
      </c>
      <c r="H137" s="23" t="n">
        <f aca="false">Seg!H92</f>
        <v>13</v>
      </c>
      <c r="I137" s="23" t="n">
        <f aca="false">Seg!I92</f>
        <v>13</v>
      </c>
      <c r="J137" s="23" t="n">
        <f aca="false">Seg!J92</f>
        <v>13</v>
      </c>
      <c r="K137" s="23" t="n">
        <f aca="false">Seg!K92</f>
        <v>13</v>
      </c>
      <c r="L137" s="23" t="n">
        <f aca="false">Seg!L92</f>
        <v>13</v>
      </c>
      <c r="M137" s="23" t="n">
        <f aca="false">Seg!M92</f>
        <v>13</v>
      </c>
    </row>
    <row r="138" customFormat="false" ht="17.15" hidden="false" customHeight="false" outlineLevel="0" collapsed="false">
      <c r="A138" s="0" t="s">
        <v>926</v>
      </c>
      <c r="B138" s="0" t="s">
        <v>77</v>
      </c>
      <c r="E138" s="23" t="n">
        <f aca="false">Seg!E94</f>
        <v>35.0376271069246</v>
      </c>
      <c r="F138" s="23" t="n">
        <f aca="false">Seg!F94</f>
        <v>42.3813732550541</v>
      </c>
      <c r="G138" s="23" t="n">
        <f aca="false">Seg!G94</f>
        <v>77.4190003619788</v>
      </c>
      <c r="H138" s="23" t="n">
        <f aca="false">Seg!H94</f>
        <v>105.858238766016</v>
      </c>
      <c r="I138" s="23" t="n">
        <f aca="false">Seg!I94</f>
        <v>134.605232266348</v>
      </c>
      <c r="J138" s="23" t="n">
        <f aca="false">Seg!J94</f>
        <v>158.266222760704</v>
      </c>
      <c r="K138" s="23" t="n">
        <f aca="false">Seg!K94</f>
        <v>170.92752058156</v>
      </c>
      <c r="L138" s="23" t="n">
        <f aca="false">Seg!L94</f>
        <v>184.601722228085</v>
      </c>
      <c r="M138" s="23" t="n">
        <f aca="false">Seg!M94</f>
        <v>199.369860006332</v>
      </c>
    </row>
    <row r="139" customFormat="false" ht="15" hidden="false" customHeight="false" outlineLevel="0" collapsed="false">
      <c r="A139" s="27" t="s">
        <v>928</v>
      </c>
      <c r="B139" s="28" t="s">
        <v>77</v>
      </c>
      <c r="C139" s="29" t="n">
        <f aca="false">Seg!C95</f>
        <v>43.229</v>
      </c>
      <c r="D139" s="29" t="n">
        <f aca="false">Seg!D95</f>
        <v>58.705</v>
      </c>
      <c r="E139" s="29" t="n">
        <f aca="false">Seg!E95</f>
        <v>44.796</v>
      </c>
      <c r="F139" s="29" t="n">
        <f aca="false">Seg!F95</f>
        <v>56.4536114344411</v>
      </c>
      <c r="G139" s="29" t="n">
        <f aca="false">Seg!G95</f>
        <v>101.249611434441</v>
      </c>
      <c r="H139" s="29" t="n">
        <f aca="false">Seg!H95</f>
        <v>157.741096753121</v>
      </c>
      <c r="I139" s="29" t="n">
        <f aca="false">Seg!I95</f>
        <v>204.308790942111</v>
      </c>
      <c r="J139" s="29" t="n">
        <f aca="false">Seg!J95</f>
        <v>244.278341911487</v>
      </c>
      <c r="K139" s="29" t="n">
        <f aca="false">Seg!K95</f>
        <v>269.327699847657</v>
      </c>
      <c r="L139" s="29" t="n">
        <f aca="false">Seg!L95</f>
        <v>291.640982313754</v>
      </c>
      <c r="M139" s="29" t="n">
        <f aca="false">Seg!M95</f>
        <v>311.386872976455</v>
      </c>
      <c r="N139" s="28"/>
    </row>
    <row r="140" customFormat="false" ht="15" hidden="false" customHeight="false" outlineLevel="0" collapsed="false">
      <c r="A140" s="27" t="s">
        <v>929</v>
      </c>
      <c r="B140" s="28" t="s">
        <v>77</v>
      </c>
      <c r="C140" s="29" t="n">
        <f aca="false">Seg!C96</f>
        <v>1.648</v>
      </c>
      <c r="D140" s="29" t="n">
        <f aca="false">Seg!D96</f>
        <v>1.537</v>
      </c>
      <c r="E140" s="29" t="n">
        <f aca="false">Seg!E96</f>
        <v>0.793</v>
      </c>
      <c r="F140" s="29" t="n">
        <f aca="false">Seg!F96</f>
        <v>0.75</v>
      </c>
      <c r="G140" s="29" t="n">
        <f aca="false">Seg!G96</f>
        <v>1.543</v>
      </c>
      <c r="H140" s="29" t="n">
        <f aca="false">Seg!H96</f>
        <v>1.6</v>
      </c>
      <c r="I140" s="29" t="n">
        <f aca="false">Seg!I96</f>
        <v>1.8</v>
      </c>
      <c r="J140" s="29" t="n">
        <f aca="false">Seg!J96</f>
        <v>2</v>
      </c>
      <c r="K140" s="29" t="n">
        <f aca="false">Seg!K96</f>
        <v>2.2</v>
      </c>
      <c r="L140" s="29" t="n">
        <f aca="false">Seg!L96</f>
        <v>2.4</v>
      </c>
      <c r="M140" s="29" t="n">
        <f aca="false">Seg!M96</f>
        <v>2.6</v>
      </c>
      <c r="N140" s="28"/>
    </row>
    <row r="141" customFormat="false" ht="15" hidden="false" customHeight="false" outlineLevel="0" collapsed="false">
      <c r="A141" s="0" t="s">
        <v>930</v>
      </c>
      <c r="B141" s="0" t="s">
        <v>77</v>
      </c>
      <c r="C141" s="23" t="n">
        <f aca="false">Seg!C97</f>
        <v>0.211</v>
      </c>
      <c r="D141" s="23" t="n">
        <f aca="false">Seg!D97</f>
        <v>-0.127</v>
      </c>
      <c r="E141" s="23" t="n">
        <f aca="false">Seg!E97</f>
        <v>-0.074</v>
      </c>
      <c r="F141" s="23" t="n">
        <f aca="false">Seg!F97</f>
        <v>0</v>
      </c>
      <c r="G141" s="23" t="n">
        <f aca="false">Seg!G97</f>
        <v>-0.074</v>
      </c>
      <c r="H141" s="23" t="n">
        <f aca="false">Seg!H97</f>
        <v>0</v>
      </c>
      <c r="I141" s="23" t="n">
        <f aca="false">Seg!I97</f>
        <v>0</v>
      </c>
      <c r="J141" s="23" t="n">
        <f aca="false">Seg!J97</f>
        <v>0</v>
      </c>
      <c r="K141" s="23" t="n">
        <f aca="false">Seg!K97</f>
        <v>0</v>
      </c>
      <c r="L141" s="23" t="n">
        <f aca="false">Seg!L97</f>
        <v>0</v>
      </c>
      <c r="M141" s="23" t="n">
        <f aca="false">Seg!M97</f>
        <v>0</v>
      </c>
    </row>
    <row r="142" customFormat="false" ht="15" hidden="false" customHeight="false" outlineLevel="0" collapsed="false">
      <c r="A142" s="2" t="s">
        <v>735</v>
      </c>
      <c r="B142" s="7" t="s">
        <v>77</v>
      </c>
      <c r="C142" s="23" t="n">
        <f aca="false">Seg!C98</f>
        <v>350.018</v>
      </c>
      <c r="D142" s="23" t="n">
        <f aca="false">Seg!D98</f>
        <v>402.836</v>
      </c>
      <c r="E142" s="23" t="n">
        <f aca="false">Seg!E98</f>
        <v>229.692</v>
      </c>
      <c r="F142" s="23" t="n">
        <f aca="false">Seg!F98</f>
        <v>267.169031966039</v>
      </c>
      <c r="G142" s="23" t="n">
        <f aca="false">Seg!G98</f>
        <v>496.861031966039</v>
      </c>
      <c r="H142" s="23" t="n">
        <f aca="false">Seg!H98</f>
        <v>583.085602871998</v>
      </c>
      <c r="I142" s="23" t="n">
        <f aca="false">Seg!I98</f>
        <v>654.117783902656</v>
      </c>
      <c r="J142" s="23" t="n">
        <f aca="false">Seg!J98</f>
        <v>711.868787956089</v>
      </c>
      <c r="K142" s="23" t="n">
        <f aca="false">Seg!K98</f>
        <v>747.029102629414</v>
      </c>
      <c r="L142" s="23" t="n">
        <f aca="false">Seg!L98</f>
        <v>807.167123614458</v>
      </c>
      <c r="M142" s="23" t="n">
        <f aca="false">Seg!M98</f>
        <v>867.931658306404</v>
      </c>
    </row>
    <row r="143" customFormat="false" ht="15" hidden="false" customHeight="false" outlineLevel="0" collapsed="false">
      <c r="A143" s="4" t="s">
        <v>950</v>
      </c>
      <c r="B143" s="0" t="s">
        <v>100</v>
      </c>
      <c r="D143" s="14" t="n">
        <f aca="false">D142/C142-1</f>
        <v>0.150900810815444</v>
      </c>
      <c r="G143" s="14" t="n">
        <f aca="false">G142/D142-1</f>
        <v>0.233407719186069</v>
      </c>
      <c r="H143" s="14" t="n">
        <f aca="false">H142/G142-1</f>
        <v>0.173538606086242</v>
      </c>
      <c r="I143" s="14" t="n">
        <f aca="false">I142/H142-1</f>
        <v>0.12182118831401</v>
      </c>
      <c r="J143" s="14" t="n">
        <f aca="false">J142/I142-1</f>
        <v>0.0882883870071138</v>
      </c>
      <c r="K143" s="14" t="n">
        <f aca="false">K142/J142-1</f>
        <v>0.0493915666316507</v>
      </c>
      <c r="L143" s="14" t="n">
        <f aca="false">L142/K142-1</f>
        <v>0.0805029158480812</v>
      </c>
      <c r="M143" s="14" t="n">
        <f aca="false">M142/L142-1</f>
        <v>0.075281231004362</v>
      </c>
    </row>
    <row r="144" customFormat="false" ht="17.15" hidden="false" customHeight="false" outlineLevel="0" collapsed="false">
      <c r="A144" s="4" t="s">
        <v>730</v>
      </c>
      <c r="B144" s="0" t="s">
        <v>77</v>
      </c>
      <c r="C144" s="19" t="n">
        <f aca="false">C131+C132+C133+C134-C135</f>
        <v>0</v>
      </c>
      <c r="D144" s="19" t="n">
        <f aca="false">D131+D132+D133+D134-D135</f>
        <v>0</v>
      </c>
      <c r="E144" s="19" t="n">
        <f aca="false">E131+E132+E133+E134-E135</f>
        <v>0</v>
      </c>
      <c r="F144" s="19" t="n">
        <f aca="false">F131+F132+F133+F134-F135</f>
        <v>0</v>
      </c>
      <c r="G144" s="19" t="n">
        <f aca="false">G131+G132+G133+G134-G135</f>
        <v>0</v>
      </c>
      <c r="H144" s="19" t="n">
        <f aca="false">H131+H132+H133+H134-H135</f>
        <v>0</v>
      </c>
      <c r="I144" s="19" t="n">
        <f aca="false">I131+I132+I133+I134-I135</f>
        <v>0</v>
      </c>
      <c r="J144" s="19" t="n">
        <f aca="false">J131+J132+J133+J134-J135</f>
        <v>0</v>
      </c>
      <c r="K144" s="19" t="n">
        <f aca="false">K131+K132+K133+K134-K135</f>
        <v>0</v>
      </c>
      <c r="L144" s="19" t="n">
        <f aca="false">L131+L132+L133+L134-L135</f>
        <v>0</v>
      </c>
      <c r="M144" s="19" t="n">
        <f aca="false">M131+M132+M133+M134-M135</f>
        <v>0</v>
      </c>
    </row>
    <row r="145" customFormat="false" ht="17.15" hidden="false" customHeight="false" outlineLevel="0" collapsed="false">
      <c r="A145" s="4" t="s">
        <v>932</v>
      </c>
      <c r="B145" s="0" t="s">
        <v>77</v>
      </c>
      <c r="E145" s="19" t="n">
        <f aca="false">E136+E137+E138-E139</f>
        <v>0</v>
      </c>
      <c r="F145" s="19" t="n">
        <f aca="false">F136+F137+F138-F139</f>
        <v>0</v>
      </c>
      <c r="G145" s="19" t="n">
        <f aca="false">G136+G137+G138-G139</f>
        <v>0</v>
      </c>
      <c r="H145" s="19" t="n">
        <f aca="false">H136+H137+H138-H139</f>
        <v>0</v>
      </c>
      <c r="I145" s="19" t="n">
        <f aca="false">I136+I137+I138-I139</f>
        <v>0</v>
      </c>
      <c r="J145" s="19" t="n">
        <f aca="false">J136+J137+J138-J139</f>
        <v>0</v>
      </c>
      <c r="K145" s="19" t="n">
        <f aca="false">K136+K137+K138-K139</f>
        <v>0</v>
      </c>
      <c r="L145" s="19" t="n">
        <f aca="false">L136+L137+L138-L139</f>
        <v>0</v>
      </c>
      <c r="M145" s="19" t="n">
        <f aca="false">M136+M137+M138-M139</f>
        <v>0</v>
      </c>
    </row>
    <row r="146" customFormat="false" ht="15" hidden="false" customHeight="false" outlineLevel="0" collapsed="false">
      <c r="A146" s="4" t="s">
        <v>736</v>
      </c>
      <c r="B146" s="0" t="s">
        <v>77</v>
      </c>
      <c r="C146" s="19" t="n">
        <f aca="false">C135+C139+C140+C141-C142</f>
        <v>0</v>
      </c>
      <c r="D146" s="19" t="n">
        <f aca="false">D135+D139+D140+D141-D142</f>
        <v>0</v>
      </c>
      <c r="E146" s="19" t="n">
        <f aca="false">E135+E139+E140+E141-E142</f>
        <v>0</v>
      </c>
      <c r="F146" s="19" t="n">
        <f aca="false">F135+F139+F140+F141-F142</f>
        <v>0</v>
      </c>
      <c r="G146" s="19" t="n">
        <f aca="false">G135+G139+G140+G141-G142</f>
        <v>0</v>
      </c>
      <c r="H146" s="19" t="n">
        <f aca="false">H135+H139+H140+H141-H142</f>
        <v>0</v>
      </c>
      <c r="I146" s="19" t="n">
        <f aca="false">I135+I139+I140+I141-I142</f>
        <v>0</v>
      </c>
      <c r="J146" s="19" t="n">
        <f aca="false">J135+J139+J140+J141-J142</f>
        <v>0</v>
      </c>
      <c r="K146" s="19" t="n">
        <f aca="false">K135+K139+K140+K141-K142</f>
        <v>0</v>
      </c>
      <c r="L146" s="19" t="n">
        <f aca="false">L135+L139+L140+L141-L142</f>
        <v>0</v>
      </c>
      <c r="M146" s="19" t="n">
        <f aca="false">M135+M139+M140+M141-M142</f>
        <v>0</v>
      </c>
    </row>
    <row r="147" customFormat="false" ht="17.15" hidden="false" customHeight="false" outlineLevel="0" collapsed="false">
      <c r="A147" s="0" t="s">
        <v>951</v>
      </c>
      <c r="B147" s="0" t="s">
        <v>77</v>
      </c>
      <c r="F147" s="23" t="n">
        <f aca="false">Seg!F83-Seg!F79</f>
        <v>0</v>
      </c>
      <c r="G147" s="23" t="n">
        <f aca="false">F147</f>
        <v>0</v>
      </c>
      <c r="H147" s="23" t="n">
        <f aca="false">Seg!H83-Seg!H79</f>
        <v>-22.2630401756206</v>
      </c>
      <c r="I147" s="23" t="n">
        <f aca="false">Seg!I83-Seg!I79</f>
        <v>-49.199343882482</v>
      </c>
      <c r="J147" s="23" t="n">
        <f aca="false">Seg!J83-Seg!J79</f>
        <v>-79.9245736746771</v>
      </c>
      <c r="K147" s="23" t="n">
        <f aca="false">Seg!K83-Seg!K79</f>
        <v>-113.072238967122</v>
      </c>
      <c r="L147" s="23" t="n">
        <f aca="false">Seg!L83-Seg!L79</f>
        <v>-122.118018084492</v>
      </c>
      <c r="M147" s="23" t="n">
        <f aca="false">Seg!M83-Seg!M79</f>
        <v>-131.887459531251</v>
      </c>
    </row>
    <row r="148" customFormat="false" ht="17.15" hidden="false" customHeight="false" outlineLevel="0" collapsed="false">
      <c r="A148" s="0" t="s">
        <v>952</v>
      </c>
      <c r="B148" s="0" t="s">
        <v>77</v>
      </c>
      <c r="F148" s="23" t="n">
        <f aca="false">m_svc*(F135-F147)+inc_m*F147-svc_sh*(Thesis!F68+Thesis!F69)</f>
        <v>101.679428068742</v>
      </c>
      <c r="H148" s="23" t="n">
        <f aca="false">m_svc*(H135-H147)+inc_m*H147-svc_sh*(Thesis!H68+Thesis!H69)</f>
        <v>194.704010530921</v>
      </c>
      <c r="I148" s="23" t="n">
        <f aca="false">m_svc*(I135-I147)+inc_m*I147-svc_sh*(Thesis!I68+Thesis!I69)</f>
        <v>197.543834619932</v>
      </c>
      <c r="J148" s="23" t="n">
        <f aca="false">m_svc*(J135-J147)+inc_m*J147-svc_sh*(Thesis!J68+Thesis!J69)</f>
        <v>199.966673912972</v>
      </c>
      <c r="K148" s="23" t="n">
        <f aca="false">m_svc*(K135-K147)+inc_m*K147-svc_sh*(Thesis!K68+Thesis!K69)</f>
        <v>198.882727877231</v>
      </c>
      <c r="L148" s="23" t="n">
        <f aca="false">m_svc*(L135-L147)+inc_m*L147-svc_sh*(Thesis!L68+Thesis!L69)</f>
        <v>213.891520930787</v>
      </c>
      <c r="M148" s="23" t="n">
        <f aca="false">m_svc*(M135-M147)+inc_m*M147-svc_sh*(Thesis!M68+Thesis!M69)</f>
        <v>231.060740719667</v>
      </c>
      <c r="N148" s="7" t="s">
        <v>953</v>
      </c>
    </row>
    <row r="149" customFormat="false" ht="17.15" hidden="false" customHeight="false" outlineLevel="0" collapsed="false">
      <c r="A149" s="0" t="s">
        <v>954</v>
      </c>
      <c r="B149" s="0" t="s">
        <v>77</v>
      </c>
      <c r="F149" s="23" t="n">
        <f aca="false">Thesis!F77*sh_svc+Seg!F107+Thesis!F65*svc_sh</f>
        <v>14.9965690659575</v>
      </c>
      <c r="H149" s="23" t="n">
        <f aca="false">Thesis!H77*sh_svc+Seg!H107+Thesis!H65*svc_sh</f>
        <v>40.0212555451557</v>
      </c>
      <c r="I149" s="23" t="n">
        <f aca="false">Thesis!I77*sh_svc+Seg!I107+Thesis!I65*svc_sh</f>
        <v>53.9010672163866</v>
      </c>
      <c r="J149" s="23" t="n">
        <f aca="false">Thesis!J77*sh_svc+Seg!J107+Thesis!J65*svc_sh</f>
        <v>67.0720953217183</v>
      </c>
      <c r="K149" s="23" t="n">
        <f aca="false">Thesis!K77*sh_svc+Seg!K107+Thesis!K65*svc_sh</f>
        <v>76.7623607330621</v>
      </c>
      <c r="L149" s="23" t="n">
        <f aca="false">Thesis!L77*sh_svc+Seg!L107+Thesis!L65*svc_sh</f>
        <v>82.6968461993649</v>
      </c>
      <c r="M149" s="23" t="n">
        <f aca="false">Thesis!M77*sh_svc+Seg!M107+Thesis!M65*svc_sh</f>
        <v>93.8876523527071</v>
      </c>
    </row>
    <row r="150" customFormat="false" ht="17.15" hidden="false" customHeight="false" outlineLevel="0" collapsed="false">
      <c r="A150" s="5" t="s">
        <v>955</v>
      </c>
      <c r="B150" s="7" t="s">
        <v>77</v>
      </c>
      <c r="C150" s="23" t="n">
        <f aca="false">Q!J18</f>
        <v>121.263</v>
      </c>
      <c r="D150" s="23" t="n">
        <f aca="false">Q!K18</f>
        <v>139.404</v>
      </c>
      <c r="E150" s="23" t="n">
        <f aca="false">Q!L18</f>
        <v>80.133</v>
      </c>
      <c r="F150" s="23" t="n">
        <f aca="false">F148-F149</f>
        <v>86.6828590027843</v>
      </c>
      <c r="G150" s="23" t="n">
        <f aca="false">E150+F150</f>
        <v>166.815859002784</v>
      </c>
      <c r="H150" s="23" t="n">
        <f aca="false">H148-H149</f>
        <v>154.682754985765</v>
      </c>
      <c r="I150" s="23" t="n">
        <f aca="false">I148-I149</f>
        <v>143.642767403546</v>
      </c>
      <c r="J150" s="23" t="n">
        <f aca="false">J148-J149</f>
        <v>132.894578591253</v>
      </c>
      <c r="K150" s="23" t="n">
        <f aca="false">K148-K149</f>
        <v>122.120367144169</v>
      </c>
      <c r="L150" s="23" t="n">
        <f aca="false">L148-L149</f>
        <v>131.194674731422</v>
      </c>
      <c r="M150" s="23" t="n">
        <f aca="false">M148-M149</f>
        <v>137.17308836696</v>
      </c>
    </row>
    <row r="151" customFormat="false" ht="17.15" hidden="false" customHeight="false" outlineLevel="0" collapsed="false">
      <c r="A151" s="0" t="s">
        <v>956</v>
      </c>
      <c r="B151" s="0" t="s">
        <v>77</v>
      </c>
      <c r="F151" s="23" t="n">
        <f aca="false">Thesis!F41+F137*tpu_m+F138*m_co</f>
        <v>23.1804867072037</v>
      </c>
      <c r="H151" s="23" t="n">
        <f aca="false">Thesis!H41+H137*tpu_m+H138*m_co</f>
        <v>65.9102849718516</v>
      </c>
      <c r="I151" s="23" t="n">
        <f aca="false">Thesis!I41+I137*tpu_m+I138*m_co</f>
        <v>89.2627271785295</v>
      </c>
      <c r="J151" s="23" t="n">
        <f aca="false">Thesis!J41+J137*tpu_m+J138*m_co</f>
        <v>109.920806164157</v>
      </c>
      <c r="K151" s="23" t="n">
        <f aca="false">Thesis!K41+K137*tpu_m+K138*m_co</f>
        <v>124.114330559677</v>
      </c>
      <c r="L151" s="23" t="n">
        <f aca="false">Thesis!L41+L137*tpu_m+L138*m_co</f>
        <v>135.379162291457</v>
      </c>
      <c r="M151" s="23" t="n">
        <f aca="false">Thesis!M41+M137*tpu_m+M138*m_co</f>
        <v>143.813314584279</v>
      </c>
      <c r="N151" s="7" t="s">
        <v>957</v>
      </c>
    </row>
    <row r="152" customFormat="false" ht="17.15" hidden="false" customHeight="false" outlineLevel="0" collapsed="false">
      <c r="A152" s="0" t="s">
        <v>958</v>
      </c>
      <c r="B152" s="0" t="s">
        <v>77</v>
      </c>
      <c r="F152" s="23" t="n">
        <f aca="false">Thesis!F77*sh_cloud+Thesis!F64+Seg!F108</f>
        <v>4.82119327366453</v>
      </c>
      <c r="H152" s="23" t="n">
        <f aca="false">Thesis!H77*sh_cloud+Thesis!H64+Seg!H108</f>
        <v>16.8544946111865</v>
      </c>
      <c r="I152" s="23" t="n">
        <f aca="false">Thesis!I77*sh_cloud+Thesis!I64+Seg!I108</f>
        <v>27.187499999905</v>
      </c>
      <c r="J152" s="23" t="n">
        <f aca="false">Thesis!J77*sh_cloud+Thesis!J64+Seg!J108</f>
        <v>38.0673447038783</v>
      </c>
      <c r="K152" s="23" t="n">
        <f aca="false">Thesis!K77*sh_cloud+Thesis!K64+Seg!K108</f>
        <v>48.2328053690676</v>
      </c>
      <c r="L152" s="23" t="n">
        <f aca="false">Thesis!L77*sh_cloud+Thesis!L64+Seg!L108</f>
        <v>57.875470838129</v>
      </c>
      <c r="M152" s="23" t="n">
        <f aca="false">Thesis!M77*sh_cloud+Thesis!M64+Seg!M108</f>
        <v>67.8283824574952</v>
      </c>
    </row>
    <row r="153" customFormat="false" ht="17.15" hidden="false" customHeight="false" outlineLevel="0" collapsed="false">
      <c r="A153" s="5" t="s">
        <v>959</v>
      </c>
      <c r="B153" s="7" t="s">
        <v>77</v>
      </c>
      <c r="C153" s="23" t="n">
        <f aca="false">Q!J19</f>
        <v>6.112</v>
      </c>
      <c r="D153" s="23" t="n">
        <f aca="false">Q!K19</f>
        <v>13.91</v>
      </c>
      <c r="E153" s="23" t="n">
        <f aca="false">Q!L19</f>
        <v>15.412</v>
      </c>
      <c r="F153" s="23" t="n">
        <f aca="false">F151-F152</f>
        <v>18.3592934335392</v>
      </c>
      <c r="G153" s="23" t="n">
        <f aca="false">E153+F153</f>
        <v>33.7712934335392</v>
      </c>
      <c r="H153" s="23" t="n">
        <f aca="false">H151-H152</f>
        <v>49.0557903606651</v>
      </c>
      <c r="I153" s="23" t="n">
        <f aca="false">I151-I152</f>
        <v>62.0752271786245</v>
      </c>
      <c r="J153" s="23" t="n">
        <f aca="false">J151-J152</f>
        <v>71.8534614602786</v>
      </c>
      <c r="K153" s="23" t="n">
        <f aca="false">K151-K152</f>
        <v>75.8815251906092</v>
      </c>
      <c r="L153" s="23" t="n">
        <f aca="false">L151-L152</f>
        <v>77.5036914533283</v>
      </c>
      <c r="M153" s="23" t="n">
        <f aca="false">M151-M152</f>
        <v>75.9849321267838</v>
      </c>
    </row>
    <row r="154" customFormat="false" ht="17.15" hidden="false" customHeight="false" outlineLevel="0" collapsed="false">
      <c r="A154" s="0" t="s">
        <v>960</v>
      </c>
      <c r="B154" s="0" t="s">
        <v>77</v>
      </c>
      <c r="F154" s="23" t="n">
        <f aca="false">Thesis!F77*sh_ob+Seg!F109</f>
        <v>0.0491096172809072</v>
      </c>
      <c r="H154" s="23" t="n">
        <f aca="false">Thesis!H77*sh_ob+Seg!H109</f>
        <v>0.102869234561814</v>
      </c>
      <c r="I154" s="23" t="n">
        <f aca="false">Thesis!I77*sh_ob+Seg!I109</f>
        <v>0.112769234561814</v>
      </c>
      <c r="J154" s="23" t="n">
        <f aca="false">Thesis!J77*sh_ob+Seg!J109</f>
        <v>0.118967293042818</v>
      </c>
      <c r="K154" s="23" t="n">
        <f aca="false">Thesis!K77*sh_ob+Seg!K109</f>
        <v>0.114766066000781</v>
      </c>
      <c r="L154" s="23" t="n">
        <f aca="false">Thesis!L77*sh_ob+Seg!L109</f>
        <v>0.0956508706859939</v>
      </c>
      <c r="M154" s="23" t="n">
        <f aca="false">Thesis!M77*sh_ob+Seg!M109</f>
        <v>0.106787693824726</v>
      </c>
    </row>
    <row r="155" customFormat="false" ht="17.15" hidden="false" customHeight="false" outlineLevel="0" collapsed="false">
      <c r="A155" s="5" t="s">
        <v>961</v>
      </c>
      <c r="B155" s="7" t="s">
        <v>77</v>
      </c>
      <c r="C155" s="23" t="n">
        <f aca="false">Q!J20</f>
        <v>-4.444</v>
      </c>
      <c r="D155" s="23" t="n">
        <f aca="false">Q!K20</f>
        <v>-7.515</v>
      </c>
      <c r="E155" s="23" t="n">
        <f aca="false">Q!L20</f>
        <v>-3.899</v>
      </c>
      <c r="F155" s="23" t="n">
        <f aca="false">ob_oi*0.5</f>
        <v>-4.5</v>
      </c>
      <c r="G155" s="23" t="n">
        <f aca="false">E155+F155</f>
        <v>-8.399</v>
      </c>
      <c r="H155" s="23" t="n">
        <f aca="false">ob_oi*1</f>
        <v>-9</v>
      </c>
      <c r="I155" s="23" t="n">
        <f aca="false">ob_oi*1</f>
        <v>-9</v>
      </c>
      <c r="J155" s="23" t="n">
        <f aca="false">ob_oi*1</f>
        <v>-9</v>
      </c>
      <c r="K155" s="23" t="n">
        <f aca="false">ob_oi*1</f>
        <v>-9</v>
      </c>
      <c r="L155" s="23" t="n">
        <f aca="false">ob_oi*1</f>
        <v>-9</v>
      </c>
      <c r="M155" s="23" t="n">
        <f aca="false">ob_oi*1</f>
        <v>-9</v>
      </c>
    </row>
    <row r="156" customFormat="false" ht="15" hidden="false" customHeight="false" outlineLevel="0" collapsed="false">
      <c r="A156" s="0" t="s">
        <v>962</v>
      </c>
      <c r="B156" s="0" t="s">
        <v>77</v>
      </c>
      <c r="F156" s="23" t="n">
        <f aca="false">F155+F154</f>
        <v>-4.45089038271909</v>
      </c>
      <c r="H156" s="23" t="n">
        <f aca="false">H155+H154</f>
        <v>-8.89713076543819</v>
      </c>
      <c r="I156" s="23" t="n">
        <f aca="false">I155+I154</f>
        <v>-8.88723076543819</v>
      </c>
      <c r="J156" s="23" t="n">
        <f aca="false">J155+J154</f>
        <v>-8.88103270695718</v>
      </c>
      <c r="K156" s="23" t="n">
        <f aca="false">K155+K154</f>
        <v>-8.88523393399922</v>
      </c>
      <c r="L156" s="23" t="n">
        <f aca="false">L155+L154</f>
        <v>-8.90434912931401</v>
      </c>
      <c r="M156" s="23" t="n">
        <f aca="false">M155+M154</f>
        <v>-8.89321230617527</v>
      </c>
    </row>
    <row r="157" customFormat="false" ht="17.15" hidden="false" customHeight="false" outlineLevel="0" collapsed="false">
      <c r="A157" s="0" t="s">
        <v>963</v>
      </c>
      <c r="B157" s="0" t="s">
        <v>77</v>
      </c>
      <c r="F157" s="23" t="n">
        <f aca="false">Thesis!F65*(1-svc_sh)</f>
        <v>1.99534687326734</v>
      </c>
      <c r="H157" s="23" t="n">
        <f aca="false">Thesis!H65*(1-svc_sh)</f>
        <v>9.83243000817972</v>
      </c>
      <c r="I157" s="23" t="n">
        <f aca="false">Thesis!I65*(1-svc_sh)</f>
        <v>17.3663952776831</v>
      </c>
      <c r="J157" s="23" t="n">
        <f aca="false">Thesis!J65*(1-svc_sh)</f>
        <v>25.1335077659995</v>
      </c>
      <c r="K157" s="23" t="n">
        <f aca="false">Thesis!K65*(1-svc_sh)</f>
        <v>32.4011075802636</v>
      </c>
      <c r="L157" s="23" t="n">
        <f aca="false">Thesis!L65*(1-svc_sh)</f>
        <v>39.7143037119353</v>
      </c>
      <c r="M157" s="23" t="n">
        <f aca="false">Thesis!M65*(1-svc_sh)</f>
        <v>45.6601554773843</v>
      </c>
    </row>
    <row r="158" customFormat="false" ht="17.15" hidden="false" customHeight="false" outlineLevel="0" collapsed="false">
      <c r="A158" s="5" t="s">
        <v>964</v>
      </c>
      <c r="B158" s="7" t="s">
        <v>77</v>
      </c>
      <c r="C158" s="23" t="n">
        <f aca="false">Q!J21</f>
        <v>-10.541</v>
      </c>
      <c r="D158" s="23" t="n">
        <f aca="false">Q!K21</f>
        <v>-16.76</v>
      </c>
      <c r="E158" s="23" t="n">
        <f aca="false">Q!L21</f>
        <v>-11.18</v>
      </c>
      <c r="F158" s="23" t="n">
        <f aca="false">F141-abc_rate*F142-Thesis!F72</f>
        <v>-16.2922598465888</v>
      </c>
      <c r="G158" s="23" t="n">
        <f aca="false">E158+F158</f>
        <v>-27.4722598465888</v>
      </c>
      <c r="H158" s="23" t="n">
        <f aca="false">H141-abc_rate*H142-Thesis!H72</f>
        <v>-44.7529345469896</v>
      </c>
      <c r="I158" s="23" t="n">
        <f aca="false">I141-abc_rate*I142-Thesis!I72</f>
        <v>-58.123784250763</v>
      </c>
      <c r="J158" s="23" t="n">
        <f aca="false">J141-abc_rate*J142-Thesis!J72</f>
        <v>-68.6425806018379</v>
      </c>
      <c r="K158" s="23" t="n">
        <f aca="false">K141-abc_rate*K142-Thesis!K72</f>
        <v>-77.049001693569</v>
      </c>
      <c r="L158" s="23" t="n">
        <f aca="false">L141-abc_rate*L142-Thesis!L72</f>
        <v>-88.4165357069161</v>
      </c>
      <c r="M158" s="23" t="n">
        <f aca="false">M141-abc_rate*M142-Thesis!M72</f>
        <v>-97.9597438218942</v>
      </c>
    </row>
    <row r="159" customFormat="false" ht="15" hidden="false" customHeight="false" outlineLevel="0" collapsed="false">
      <c r="A159" s="0" t="s">
        <v>965</v>
      </c>
      <c r="B159" s="0" t="s">
        <v>77</v>
      </c>
      <c r="F159" s="23" t="n">
        <f aca="false">F158+F157</f>
        <v>-14.2969129733215</v>
      </c>
      <c r="H159" s="23" t="n">
        <f aca="false">H158+H157</f>
        <v>-34.9205045388099</v>
      </c>
      <c r="I159" s="23" t="n">
        <f aca="false">I158+I157</f>
        <v>-40.7573889730798</v>
      </c>
      <c r="J159" s="23" t="n">
        <f aca="false">J158+J157</f>
        <v>-43.5090728358385</v>
      </c>
      <c r="K159" s="23" t="n">
        <f aca="false">K158+K157</f>
        <v>-44.6478941133055</v>
      </c>
      <c r="L159" s="23" t="n">
        <f aca="false">L158+L157</f>
        <v>-48.7022319949808</v>
      </c>
      <c r="M159" s="23" t="n">
        <f aca="false">M158+M157</f>
        <v>-52.29958834451</v>
      </c>
    </row>
    <row r="160" customFormat="false" ht="15" hidden="false" customHeight="false" outlineLevel="0" collapsed="false">
      <c r="A160" s="4" t="s">
        <v>966</v>
      </c>
      <c r="B160" s="0" t="s">
        <v>77</v>
      </c>
      <c r="C160" s="23" t="n">
        <f aca="false">C150+C153+C155+C158</f>
        <v>112.39</v>
      </c>
      <c r="D160" s="23" t="n">
        <f aca="false">D150+D153+D155+D158</f>
        <v>129.039</v>
      </c>
      <c r="E160" s="23" t="n">
        <f aca="false">E150+E153+E155+E158</f>
        <v>80.466</v>
      </c>
      <c r="F160" s="23" t="n">
        <f aca="false">F150+F153+F155+F158</f>
        <v>84.2498925897347</v>
      </c>
      <c r="G160" s="23" t="n">
        <f aca="false">G150+G153+G155+G158</f>
        <v>164.715892589735</v>
      </c>
      <c r="H160" s="23" t="n">
        <f aca="false">H150+H153+H155+H158</f>
        <v>149.985610799441</v>
      </c>
      <c r="I160" s="23" t="n">
        <f aca="false">I150+I153+I155+I158</f>
        <v>138.594210331407</v>
      </c>
      <c r="J160" s="23" t="n">
        <f aca="false">J150+J153+J155+J158</f>
        <v>127.105459449694</v>
      </c>
      <c r="K160" s="23" t="n">
        <f aca="false">K150+K153+K155+K158</f>
        <v>111.952890641209</v>
      </c>
      <c r="L160" s="23" t="n">
        <f aca="false">L150+L153+L155+L158</f>
        <v>111.281830477834</v>
      </c>
      <c r="M160" s="23" t="n">
        <f aca="false">M150+M153+M155+M158</f>
        <v>106.19827667185</v>
      </c>
    </row>
    <row r="161" customFormat="false" ht="17.15" hidden="false" customHeight="false" outlineLevel="0" collapsed="false">
      <c r="A161" s="4" t="s">
        <v>967</v>
      </c>
      <c r="B161" s="0" t="s">
        <v>77</v>
      </c>
      <c r="F161" s="23" t="n">
        <f aca="false">F148+F151+F156+F159</f>
        <v>106.112111419905</v>
      </c>
      <c r="H161" s="23" t="n">
        <f aca="false">H148+H151+H156+H159</f>
        <v>216.796660198525</v>
      </c>
      <c r="I161" s="23" t="n">
        <f aca="false">I148+I151+I156+I159</f>
        <v>237.161942059944</v>
      </c>
      <c r="J161" s="23" t="n">
        <f aca="false">J148+J151+J156+J159</f>
        <v>257.497374534333</v>
      </c>
      <c r="K161" s="23" t="n">
        <f aca="false">K148+K151+K156+K159</f>
        <v>269.463930389603</v>
      </c>
      <c r="L161" s="23" t="n">
        <f aca="false">L148+L151+L156+L159</f>
        <v>291.664102097949</v>
      </c>
      <c r="M161" s="23" t="n">
        <f aca="false">M148+M151+M156+M159</f>
        <v>313.681254653261</v>
      </c>
    </row>
    <row r="162" customFormat="false" ht="17.15" hidden="false" customHeight="false" outlineLevel="0" collapsed="false">
      <c r="A162" s="4" t="s">
        <v>968</v>
      </c>
      <c r="B162" s="0" t="s">
        <v>77</v>
      </c>
      <c r="C162" s="23" t="n">
        <f aca="false">Q!J43</f>
        <v>15.311</v>
      </c>
      <c r="D162" s="23" t="n">
        <f aca="false">Q!K43</f>
        <v>21.136</v>
      </c>
      <c r="E162" s="23" t="n">
        <f aca="false">Q!L43</f>
        <v>13.586</v>
      </c>
      <c r="F162" s="23" t="n">
        <f aca="false">Thesis!F77+Thesis!F63+Seg!F110</f>
        <v>21.8622188301703</v>
      </c>
      <c r="G162" s="23" t="n">
        <f aca="false">E162+F162</f>
        <v>35.4482188301703</v>
      </c>
      <c r="H162" s="23" t="n">
        <f aca="false">Thesis!H77+Thesis!H63+Seg!H110</f>
        <v>66.8110493990838</v>
      </c>
      <c r="I162" s="23" t="n">
        <f aca="false">Thesis!I77+Thesis!I63+Seg!I110</f>
        <v>98.5677317285365</v>
      </c>
      <c r="J162" s="23" t="n">
        <f aca="false">Thesis!J77+Thesis!J63+Seg!J110</f>
        <v>130.391915084639</v>
      </c>
      <c r="K162" s="23" t="n">
        <f aca="false">Thesis!K77+Thesis!K63+Seg!K110</f>
        <v>157.511039748394</v>
      </c>
      <c r="L162" s="23" t="n">
        <f aca="false">Thesis!L77+Thesis!L63+Seg!L110</f>
        <v>180.382271620115</v>
      </c>
      <c r="M162" s="23" t="n">
        <f aca="false">Thesis!M77+Thesis!M63+Seg!M110</f>
        <v>207.482977981411</v>
      </c>
      <c r="N162" s="7" t="s">
        <v>969</v>
      </c>
    </row>
    <row r="163" customFormat="false" ht="17.15" hidden="false" customHeight="false" outlineLevel="0" collapsed="false">
      <c r="A163" s="4" t="s">
        <v>970</v>
      </c>
      <c r="B163" s="0" t="s">
        <v>77</v>
      </c>
      <c r="F163" s="23" t="n">
        <f aca="false">Thesis!F63</f>
        <v>7.12623883309764</v>
      </c>
      <c r="G163" s="23" t="n">
        <f aca="false">F163</f>
        <v>7.12623883309764</v>
      </c>
      <c r="H163" s="23" t="n">
        <f aca="false">Thesis!H63</f>
        <v>35.1158214577847</v>
      </c>
      <c r="I163" s="23" t="n">
        <f aca="false">Thesis!I63</f>
        <v>62.0228402774397</v>
      </c>
      <c r="J163" s="23" t="n">
        <f aca="false">Thesis!J63</f>
        <v>89.7625277357123</v>
      </c>
      <c r="K163" s="23" t="n">
        <f aca="false">Thesis!K63</f>
        <v>115.718241358084</v>
      </c>
      <c r="L163" s="23" t="n">
        <f aca="false">Thesis!L63</f>
        <v>141.836798971198</v>
      </c>
      <c r="M163" s="23" t="n">
        <f aca="false">Thesis!M63</f>
        <v>163.071983847801</v>
      </c>
    </row>
    <row r="164" customFormat="false" ht="17.15" hidden="false" customHeight="false" outlineLevel="0" collapsed="false">
      <c r="A164" s="26" t="s">
        <v>742</v>
      </c>
      <c r="B164" s="28" t="s">
        <v>77</v>
      </c>
      <c r="C164" s="29" t="n">
        <f aca="false">Q!J22</f>
        <v>112.39</v>
      </c>
      <c r="D164" s="29" t="n">
        <f aca="false">Q!K22</f>
        <v>129.039</v>
      </c>
      <c r="E164" s="29" t="n">
        <f aca="false">Q!L22</f>
        <v>80.466</v>
      </c>
      <c r="F164" s="29" t="n">
        <f aca="false">F161-F162</f>
        <v>84.2498925897347</v>
      </c>
      <c r="G164" s="29" t="n">
        <f aca="false">E164+F164</f>
        <v>164.715892589735</v>
      </c>
      <c r="H164" s="29" t="n">
        <f aca="false">H161-H162</f>
        <v>149.985610799441</v>
      </c>
      <c r="I164" s="29" t="n">
        <f aca="false">I161-I162</f>
        <v>138.594210331407</v>
      </c>
      <c r="J164" s="29" t="n">
        <f aca="false">J161-J162</f>
        <v>127.105459449694</v>
      </c>
      <c r="K164" s="29" t="n">
        <f aca="false">K161-K162</f>
        <v>111.952890641209</v>
      </c>
      <c r="L164" s="29" t="n">
        <f aca="false">L161-L162</f>
        <v>111.281830477834</v>
      </c>
      <c r="M164" s="29" t="n">
        <f aca="false">M161-M162</f>
        <v>106.19827667185</v>
      </c>
      <c r="N164" s="30" t="s">
        <v>971</v>
      </c>
    </row>
    <row r="165" customFormat="false" ht="15" hidden="false" customHeight="false" outlineLevel="0" collapsed="false">
      <c r="A165" s="4" t="s">
        <v>743</v>
      </c>
      <c r="B165" s="0" t="s">
        <v>77</v>
      </c>
      <c r="C165" s="19" t="n">
        <f aca="false">C160-C164</f>
        <v>0</v>
      </c>
      <c r="D165" s="19" t="n">
        <f aca="false">D160-D164</f>
        <v>0</v>
      </c>
      <c r="E165" s="19" t="n">
        <f aca="false">E160-E164</f>
        <v>0</v>
      </c>
      <c r="F165" s="19" t="n">
        <f aca="false">F160-F164</f>
        <v>0</v>
      </c>
      <c r="G165" s="19" t="n">
        <f aca="false">G160-G164</f>
        <v>0</v>
      </c>
      <c r="H165" s="19" t="n">
        <f aca="false">H160-H164</f>
        <v>0</v>
      </c>
      <c r="I165" s="19" t="n">
        <f aca="false">I160-I164</f>
        <v>0</v>
      </c>
      <c r="J165" s="19" t="n">
        <f aca="false">J160-J164</f>
        <v>0</v>
      </c>
      <c r="K165" s="19" t="n">
        <f aca="false">K160-K164</f>
        <v>0</v>
      </c>
      <c r="L165" s="19" t="n">
        <f aca="false">L160-L164</f>
        <v>0</v>
      </c>
      <c r="M165" s="19" t="n">
        <f aca="false">M160-M164</f>
        <v>0</v>
      </c>
    </row>
    <row r="166" customFormat="false" ht="17.15" hidden="false" customHeight="false" outlineLevel="0" collapsed="false">
      <c r="A166" s="4" t="s">
        <v>972</v>
      </c>
      <c r="B166" s="0" t="s">
        <v>77</v>
      </c>
      <c r="F166" s="23" t="n">
        <f aca="false">Thesis!F80</f>
        <v>3.96233925965039</v>
      </c>
      <c r="G166" s="23" t="n">
        <f aca="false">F166</f>
        <v>3.96233925965039</v>
      </c>
      <c r="H166" s="23" t="n">
        <f aca="false">Thesis!H80</f>
        <v>32.673472428289</v>
      </c>
      <c r="I166" s="23" t="n">
        <f aca="false">Thesis!I80</f>
        <v>67.29646155875</v>
      </c>
      <c r="J166" s="23" t="n">
        <f aca="false">Thesis!J80</f>
        <v>98.9815856133526</v>
      </c>
      <c r="K166" s="23" t="n">
        <f aca="false">Thesis!K80</f>
        <v>123.049756568774</v>
      </c>
      <c r="L166" s="23" t="n">
        <f aca="false">Thesis!L80</f>
        <v>139.834214516804</v>
      </c>
      <c r="M166" s="23" t="n">
        <f aca="false">Thesis!M80</f>
        <v>149.505253104094</v>
      </c>
      <c r="N166" s="4" t="s">
        <v>973</v>
      </c>
    </row>
    <row r="167" customFormat="false" ht="17.15" hidden="false" customHeight="false" outlineLevel="0" collapsed="false">
      <c r="A167" s="2" t="s">
        <v>974</v>
      </c>
      <c r="B167" s="7" t="s">
        <v>77</v>
      </c>
      <c r="C167" s="23" t="n">
        <f aca="false">C164</f>
        <v>112.39</v>
      </c>
      <c r="D167" s="23" t="n">
        <f aca="false">D164</f>
        <v>129.039</v>
      </c>
      <c r="E167" s="23" t="n">
        <f aca="false">E164</f>
        <v>80.466</v>
      </c>
      <c r="F167" s="23" t="n">
        <f aca="false">F164+(internal_ai_reading=2)*F166</f>
        <v>88.2122318493851</v>
      </c>
      <c r="G167" s="23" t="n">
        <f aca="false">G164+(internal_ai_reading=2)*G166</f>
        <v>168.678231849385</v>
      </c>
      <c r="H167" s="23" t="n">
        <f aca="false">H164+(internal_ai_reading=2)*H166</f>
        <v>182.65908322773</v>
      </c>
      <c r="I167" s="23" t="n">
        <f aca="false">I164+(internal_ai_reading=2)*I166</f>
        <v>205.890671890157</v>
      </c>
      <c r="J167" s="23" t="n">
        <f aca="false">J164+(internal_ai_reading=2)*J166</f>
        <v>226.087045063046</v>
      </c>
      <c r="K167" s="23" t="n">
        <f aca="false">K164+(internal_ai_reading=2)*K166</f>
        <v>235.002647209983</v>
      </c>
      <c r="L167" s="23" t="n">
        <f aca="false">L164+(internal_ai_reading=2)*L166</f>
        <v>251.116044994638</v>
      </c>
      <c r="M167" s="23" t="n">
        <f aca="false">M164+(internal_ai_reading=2)*M166</f>
        <v>255.703529775944</v>
      </c>
    </row>
    <row r="168" customFormat="false" ht="15" hidden="false" customHeight="false" outlineLevel="0" collapsed="false">
      <c r="A168" s="4" t="s">
        <v>975</v>
      </c>
      <c r="B168" s="0" t="s">
        <v>100</v>
      </c>
      <c r="C168" s="14" t="n">
        <f aca="false">C164/C142</f>
        <v>0.321097772114577</v>
      </c>
      <c r="D168" s="14" t="n">
        <f aca="false">D164/D142</f>
        <v>0.3203263859238</v>
      </c>
      <c r="E168" s="14" t="n">
        <f aca="false">E164/E142</f>
        <v>0.350321299827595</v>
      </c>
      <c r="F168" s="14" t="n">
        <f aca="false">F164/F142</f>
        <v>0.31534303197402</v>
      </c>
      <c r="G168" s="14" t="n">
        <f aca="false">G164/G142</f>
        <v>0.331513002615575</v>
      </c>
      <c r="H168" s="14" t="n">
        <f aca="false">H164/H142</f>
        <v>0.257227429490086</v>
      </c>
      <c r="I168" s="14" t="n">
        <f aca="false">I164/I142</f>
        <v>0.211879593770581</v>
      </c>
      <c r="J168" s="14" t="n">
        <f aca="false">J164/J142</f>
        <v>0.178551808423344</v>
      </c>
      <c r="K168" s="14" t="n">
        <f aca="false">K164/K142</f>
        <v>0.14986416224904</v>
      </c>
      <c r="L168" s="14" t="n">
        <f aca="false">L164/L142</f>
        <v>0.137867149469021</v>
      </c>
      <c r="M168" s="14" t="n">
        <f aca="false">M164/M142</f>
        <v>0.122357878820867</v>
      </c>
    </row>
    <row r="169" customFormat="false" ht="17.15" hidden="false" customHeight="false" outlineLevel="0" collapsed="false">
      <c r="A169" s="0" t="s">
        <v>976</v>
      </c>
      <c r="B169" s="0" t="s">
        <v>100</v>
      </c>
      <c r="C169" s="14" t="n">
        <f aca="false">C150/C135</f>
        <v>0.397674876201095</v>
      </c>
      <c r="D169" s="14" t="n">
        <f aca="false">D150/D135</f>
        <v>0.406756516233321</v>
      </c>
      <c r="E169" s="14" t="n">
        <f aca="false">E150/E135</f>
        <v>0.435086900101533</v>
      </c>
      <c r="F169" s="14" t="n">
        <f aca="false">F150/F135</f>
        <v>0.412843499578728</v>
      </c>
      <c r="G169" s="14" t="n">
        <f aca="false">G150/G135</f>
        <v>0.423237515966416</v>
      </c>
      <c r="H169" s="14" t="n">
        <f aca="false">H150/H135</f>
        <v>0.365037782796341</v>
      </c>
      <c r="I169" s="14" t="n">
        <f aca="false">I150/I135</f>
        <v>0.320624741156025</v>
      </c>
      <c r="J169" s="14" t="n">
        <f aca="false">J150/J135</f>
        <v>0.285432357386737</v>
      </c>
      <c r="K169" s="14" t="n">
        <f aca="false">K150/K135</f>
        <v>0.25682440983296</v>
      </c>
      <c r="L169" s="14" t="n">
        <f aca="false">L150/L135</f>
        <v>0.25567723834701</v>
      </c>
      <c r="M169" s="14" t="n">
        <f aca="false">M150/M135</f>
        <v>0.247629532761564</v>
      </c>
    </row>
    <row r="170" customFormat="false" ht="17.15" hidden="false" customHeight="false" outlineLevel="0" collapsed="false">
      <c r="A170" s="0" t="s">
        <v>977</v>
      </c>
      <c r="B170" s="0" t="s">
        <v>100</v>
      </c>
      <c r="C170" s="14" t="n">
        <f aca="false">C153/C139</f>
        <v>0.141386569201231</v>
      </c>
      <c r="D170" s="14" t="n">
        <f aca="false">D153/D139</f>
        <v>0.236947449109957</v>
      </c>
      <c r="E170" s="14" t="n">
        <f aca="false">E153/E139</f>
        <v>0.344048575765693</v>
      </c>
      <c r="F170" s="14" t="n">
        <f aca="false">F153/F139</f>
        <v>0.325210256120808</v>
      </c>
      <c r="G170" s="14" t="n">
        <f aca="false">G153/G139</f>
        <v>0.333544918889945</v>
      </c>
      <c r="H170" s="14" t="n">
        <f aca="false">H153/H139</f>
        <v>0.310989281616584</v>
      </c>
      <c r="I170" s="14" t="n">
        <f aca="false">I153/I139</f>
        <v>0.303830426935535</v>
      </c>
      <c r="J170" s="14" t="n">
        <f aca="false">J153/J139</f>
        <v>0.294145853856804</v>
      </c>
      <c r="K170" s="14" t="n">
        <f aca="false">K153/K139</f>
        <v>0.281744229180774</v>
      </c>
      <c r="L170" s="14" t="n">
        <f aca="false">L153/L139</f>
        <v>0.26575034427071</v>
      </c>
      <c r="M170" s="14" t="n">
        <f aca="false">M153/M139</f>
        <v>0.244020987142028</v>
      </c>
    </row>
    <row r="171" customFormat="false" ht="17.15" hidden="false" customHeight="false" outlineLevel="0" collapsed="false">
      <c r="A171" s="4" t="s">
        <v>978</v>
      </c>
      <c r="B171" s="0" t="s">
        <v>77</v>
      </c>
      <c r="F171" s="23" t="n">
        <f aca="false">r_cash*CF!F95*0.5</f>
        <v>2.952809</v>
      </c>
      <c r="G171" s="23" t="n">
        <f aca="false">F171</f>
        <v>2.952809</v>
      </c>
      <c r="H171" s="23" t="n">
        <f aca="false">r_cash*CF!H95*1</f>
        <v>6.39956355321569</v>
      </c>
      <c r="I171" s="23" t="n">
        <f aca="false">r_cash*CF!I95*1</f>
        <v>4.78522623468449</v>
      </c>
      <c r="J171" s="23" t="n">
        <f aca="false">r_cash*CF!J95*1</f>
        <v>3.34660500148666</v>
      </c>
      <c r="K171" s="23" t="n">
        <f aca="false">r_cash*CF!K95*1</f>
        <v>3.42778720413337</v>
      </c>
      <c r="L171" s="23" t="n">
        <f aca="false">r_cash*CF!L95*1</f>
        <v>4.15841083596903</v>
      </c>
      <c r="M171" s="23" t="n">
        <f aca="false">r_cash*CF!M95*1</f>
        <v>5.74973195570363</v>
      </c>
    </row>
    <row r="172" customFormat="false" ht="17.15" hidden="false" customHeight="false" outlineLevel="0" collapsed="false">
      <c r="A172" s="4" t="s">
        <v>979</v>
      </c>
      <c r="B172" s="0" t="s">
        <v>77</v>
      </c>
      <c r="F172" s="23" t="n">
        <f aca="false">r_debt*CF!F102*0.5</f>
        <v>2.42604</v>
      </c>
      <c r="G172" s="23" t="n">
        <f aca="false">F172</f>
        <v>2.42604</v>
      </c>
      <c r="H172" s="23" t="n">
        <f aca="false">r_debt*CF!H102*1</f>
        <v>5.95608</v>
      </c>
      <c r="I172" s="23" t="n">
        <f aca="false">r_debt*CF!I102*1</f>
        <v>5.90808</v>
      </c>
      <c r="J172" s="23" t="n">
        <f aca="false">r_debt*CF!J102*1</f>
        <v>5.779632</v>
      </c>
      <c r="K172" s="23" t="n">
        <f aca="false">r_debt*CF!K102*1</f>
        <v>5.69496</v>
      </c>
      <c r="L172" s="23" t="n">
        <f aca="false">r_debt*CF!L102*1</f>
        <v>5.350032</v>
      </c>
      <c r="M172" s="23" t="n">
        <f aca="false">r_debt*CF!M102*1</f>
        <v>5.110032</v>
      </c>
    </row>
    <row r="173" customFormat="false" ht="17.15" hidden="false" customHeight="false" outlineLevel="0" collapsed="false">
      <c r="A173" s="4" t="s">
        <v>980</v>
      </c>
      <c r="B173" s="0" t="s">
        <v>77</v>
      </c>
      <c r="D173" s="23" t="n">
        <f aca="false">SUM(Q!D33:G33)</f>
        <v>24.08</v>
      </c>
      <c r="E173" s="23" t="n">
        <f aca="false">Q!L33</f>
        <v>135.946</v>
      </c>
      <c r="F173" s="25" t="n">
        <v>0</v>
      </c>
      <c r="G173" s="23" t="n">
        <f aca="false">E173+F173</f>
        <v>135.946</v>
      </c>
      <c r="H173" s="25" t="n">
        <v>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  <c r="N173" s="7" t="s">
        <v>981</v>
      </c>
    </row>
    <row r="174" customFormat="false" ht="15" hidden="false" customHeight="false" outlineLevel="0" collapsed="false">
      <c r="A174" s="4" t="s">
        <v>982</v>
      </c>
      <c r="B174" s="0" t="s">
        <v>77</v>
      </c>
      <c r="C174" s="23" t="n">
        <f aca="false">Q!J32</f>
        <v>7.425</v>
      </c>
      <c r="D174" s="23" t="n">
        <f aca="false">Q!K32</f>
        <v>29.787</v>
      </c>
      <c r="E174" s="23" t="n">
        <f aca="false">Q!L32</f>
        <v>135.699</v>
      </c>
      <c r="F174" s="23" t="n">
        <f aca="false">F171-F172+F173</f>
        <v>0.526769</v>
      </c>
      <c r="G174" s="23" t="n">
        <f aca="false">E174+F174</f>
        <v>136.225769</v>
      </c>
      <c r="H174" s="23" t="n">
        <f aca="false">H171-H172+H173</f>
        <v>0.443483553215692</v>
      </c>
      <c r="I174" s="23" t="n">
        <f aca="false">I171-I172+I173</f>
        <v>-1.12285376531551</v>
      </c>
      <c r="J174" s="23" t="n">
        <f aca="false">J171-J172+J173</f>
        <v>-2.43302699851334</v>
      </c>
      <c r="K174" s="23" t="n">
        <f aca="false">K171-K172+K173</f>
        <v>-2.26717279586664</v>
      </c>
      <c r="L174" s="23" t="n">
        <f aca="false">L171-L172+L173</f>
        <v>-1.19162116403097</v>
      </c>
      <c r="M174" s="23" t="n">
        <f aca="false">M171-M172+M173</f>
        <v>0.63969995570363</v>
      </c>
    </row>
    <row r="175" customFormat="false" ht="15" hidden="false" customHeight="false" outlineLevel="0" collapsed="false">
      <c r="A175" s="4" t="s">
        <v>753</v>
      </c>
      <c r="B175" s="0" t="s">
        <v>77</v>
      </c>
      <c r="C175" s="23" t="n">
        <f aca="false">C164+C174</f>
        <v>119.815</v>
      </c>
      <c r="D175" s="23" t="n">
        <f aca="false">D164+D174</f>
        <v>158.826</v>
      </c>
      <c r="E175" s="23" t="n">
        <f aca="false">E164+E174</f>
        <v>216.165</v>
      </c>
      <c r="F175" s="23" t="n">
        <f aca="false">F164+F174</f>
        <v>84.7766615897347</v>
      </c>
      <c r="G175" s="23" t="n">
        <f aca="false">G164+G174</f>
        <v>300.941661589735</v>
      </c>
      <c r="H175" s="23" t="n">
        <f aca="false">H164+H174</f>
        <v>150.429094352657</v>
      </c>
      <c r="I175" s="23" t="n">
        <f aca="false">I164+I174</f>
        <v>137.471356566092</v>
      </c>
      <c r="J175" s="23" t="n">
        <f aca="false">J164+J174</f>
        <v>124.672432451181</v>
      </c>
      <c r="K175" s="23" t="n">
        <f aca="false">K164+K174</f>
        <v>109.685717845343</v>
      </c>
      <c r="L175" s="23" t="n">
        <f aca="false">L164+L174</f>
        <v>110.090209313803</v>
      </c>
      <c r="M175" s="23" t="n">
        <f aca="false">M164+M174</f>
        <v>106.837976627553</v>
      </c>
    </row>
    <row r="176" customFormat="false" ht="15" hidden="false" customHeight="false" outlineLevel="0" collapsed="false">
      <c r="A176" s="4" t="s">
        <v>755</v>
      </c>
      <c r="B176" s="0" t="s">
        <v>77</v>
      </c>
      <c r="C176" s="23" t="n">
        <f aca="false">Q!J36</f>
        <v>19.697</v>
      </c>
      <c r="D176" s="23" t="n">
        <f aca="false">Q!K36</f>
        <v>26.656</v>
      </c>
      <c r="E176" s="23" t="n">
        <f aca="false">Q!L36</f>
        <v>41.394</v>
      </c>
      <c r="F176" s="23" t="n">
        <f aca="false">F175*tax</f>
        <v>14.2424791470754</v>
      </c>
      <c r="G176" s="23" t="n">
        <f aca="false">E176+F176</f>
        <v>55.6364791470754</v>
      </c>
      <c r="H176" s="23" t="n">
        <f aca="false">H175*tax</f>
        <v>25.2720878512463</v>
      </c>
      <c r="I176" s="23" t="n">
        <f aca="false">I175*tax</f>
        <v>23.0951879031034</v>
      </c>
      <c r="J176" s="23" t="n">
        <f aca="false">J175*tax</f>
        <v>20.9449686517983</v>
      </c>
      <c r="K176" s="23" t="n">
        <f aca="false">K175*tax</f>
        <v>18.4272005980176</v>
      </c>
      <c r="L176" s="23" t="n">
        <f aca="false">L175*tax</f>
        <v>18.4951551647189</v>
      </c>
      <c r="M176" s="23" t="n">
        <f aca="false">M175*tax</f>
        <v>17.9487800734289</v>
      </c>
    </row>
    <row r="177" customFormat="false" ht="15" hidden="false" customHeight="false" outlineLevel="0" collapsed="false">
      <c r="A177" s="2" t="s">
        <v>756</v>
      </c>
      <c r="B177" s="7" t="s">
        <v>77</v>
      </c>
      <c r="C177" s="23" t="n">
        <f aca="false">C175-C176</f>
        <v>100.118</v>
      </c>
      <c r="D177" s="23" t="n">
        <f aca="false">D175-D176</f>
        <v>132.17</v>
      </c>
      <c r="E177" s="23" t="n">
        <f aca="false">E175-E176</f>
        <v>174.771</v>
      </c>
      <c r="F177" s="23" t="n">
        <f aca="false">F175-F176</f>
        <v>70.5341824426593</v>
      </c>
      <c r="G177" s="23" t="n">
        <f aca="false">G175-G176</f>
        <v>245.305182442659</v>
      </c>
      <c r="H177" s="23" t="n">
        <f aca="false">H175-H176</f>
        <v>125.15700650141</v>
      </c>
      <c r="I177" s="23" t="n">
        <f aca="false">I175-I176</f>
        <v>114.376168662988</v>
      </c>
      <c r="J177" s="23" t="n">
        <f aca="false">J175-J176</f>
        <v>103.727463799382</v>
      </c>
      <c r="K177" s="23" t="n">
        <f aca="false">K175-K176</f>
        <v>91.2585172473251</v>
      </c>
      <c r="L177" s="23" t="n">
        <f aca="false">L175-L176</f>
        <v>91.5950541490841</v>
      </c>
      <c r="M177" s="23" t="n">
        <f aca="false">M175-M176</f>
        <v>88.8891965541243</v>
      </c>
    </row>
    <row r="178" customFormat="false" ht="17.15" hidden="false" customHeight="false" outlineLevel="0" collapsed="false">
      <c r="A178" s="4" t="s">
        <v>983</v>
      </c>
      <c r="B178" s="0" t="s">
        <v>77</v>
      </c>
      <c r="C178" s="19" t="n">
        <f aca="false">C177-Q!J37</f>
        <v>0</v>
      </c>
      <c r="D178" s="19" t="n">
        <f aca="false">D177-Q!K37</f>
        <v>0</v>
      </c>
      <c r="E178" s="19" t="n">
        <f aca="false">E177-Q!L37</f>
        <v>0</v>
      </c>
    </row>
    <row r="179" customFormat="false" ht="15" hidden="false" customHeight="false" outlineLevel="0" collapsed="false">
      <c r="A179" s="4" t="s">
        <v>984</v>
      </c>
      <c r="B179" s="0" t="s">
        <v>77</v>
      </c>
      <c r="E179" s="25" t="n">
        <v>0</v>
      </c>
      <c r="F179" s="23" t="n">
        <f aca="false">pref_2H</f>
        <v>0.535</v>
      </c>
      <c r="G179" s="23" t="n">
        <f aca="false">E179+F179</f>
        <v>0.535</v>
      </c>
      <c r="H179" s="23" t="n">
        <f aca="false">pref_27</f>
        <v>1.203</v>
      </c>
      <c r="I179" s="23" t="n">
        <f aca="false">pref_28</f>
        <v>1.203</v>
      </c>
      <c r="J179" s="23" t="n">
        <f aca="false">pref_29</f>
        <v>0.602</v>
      </c>
      <c r="K179" s="25" t="n">
        <v>0</v>
      </c>
      <c r="L179" s="25" t="n">
        <v>0</v>
      </c>
      <c r="M179" s="25" t="n">
        <v>0</v>
      </c>
    </row>
    <row r="180" customFormat="false" ht="15" hidden="false" customHeight="false" outlineLevel="0" collapsed="false">
      <c r="A180" s="4" t="s">
        <v>985</v>
      </c>
      <c r="B180" s="0" t="s">
        <v>77</v>
      </c>
      <c r="E180" s="23" t="n">
        <f aca="false">E177-E179</f>
        <v>174.771</v>
      </c>
      <c r="F180" s="23" t="n">
        <f aca="false">F177-F179</f>
        <v>69.9991824426593</v>
      </c>
      <c r="G180" s="23" t="n">
        <f aca="false">G177-G179</f>
        <v>244.770182442659</v>
      </c>
      <c r="H180" s="23" t="n">
        <f aca="false">H177-H179</f>
        <v>123.95400650141</v>
      </c>
      <c r="I180" s="23" t="n">
        <f aca="false">I177-I179</f>
        <v>113.173168662988</v>
      </c>
      <c r="J180" s="23" t="n">
        <f aca="false">J177-J179</f>
        <v>103.125463799382</v>
      </c>
      <c r="K180" s="23" t="n">
        <f aca="false">K177-K179</f>
        <v>91.2585172473251</v>
      </c>
      <c r="L180" s="23" t="n">
        <f aca="false">L177-L179</f>
        <v>91.5950541490841</v>
      </c>
      <c r="M180" s="23" t="n">
        <f aca="false">M177-M179</f>
        <v>88.8891965541243</v>
      </c>
    </row>
    <row r="181" customFormat="false" ht="17.15" hidden="false" customHeight="false" outlineLevel="0" collapsed="false">
      <c r="A181" s="4" t="s">
        <v>986</v>
      </c>
      <c r="B181" s="4" t="s">
        <v>61</v>
      </c>
      <c r="E181" s="19" t="n">
        <f aca="false">sh_dil_q2+(sh_out-sh_basic_q2)</f>
        <v>12.388</v>
      </c>
      <c r="F181" s="19" t="n">
        <f aca="false">E181*(1+dil*0.5)-CF!F98/CF!F105</f>
        <v>12.44994</v>
      </c>
      <c r="H181" s="19" t="n">
        <f aca="false">F181*(1+dil*1)-CF!H98/CF!H105</f>
        <v>12.5245203662183</v>
      </c>
      <c r="I181" s="19" t="n">
        <f aca="false">H181*(1+dil*1)-CF!I98/CF!I105</f>
        <v>12.6048930389142</v>
      </c>
      <c r="J181" s="19" t="n">
        <f aca="false">I181*(1+dil*1)-CF!J98/CF!J105+conv_sh</f>
        <v>12.7452057712087</v>
      </c>
      <c r="K181" s="19" t="n">
        <f aca="false">J181*(1+dil*1)-CF!K98/CF!K105</f>
        <v>12.8363993687515</v>
      </c>
      <c r="L181" s="19" t="n">
        <f aca="false">K181*(1+dil*1)-CF!L98/CF!L105</f>
        <v>12.9321704063364</v>
      </c>
      <c r="M181" s="19" t="n">
        <f aca="false">L181*(1+dil*1)-CF!M98/CF!M105</f>
        <v>13.0321940987757</v>
      </c>
      <c r="N181" s="7" t="s">
        <v>987</v>
      </c>
    </row>
    <row r="182" customFormat="false" ht="15" hidden="false" customHeight="false" outlineLevel="0" collapsed="false">
      <c r="A182" s="4" t="s">
        <v>988</v>
      </c>
      <c r="B182" s="4" t="s">
        <v>61</v>
      </c>
      <c r="C182" s="19" t="n">
        <f aca="false">Q!J39</f>
        <v>12.447</v>
      </c>
      <c r="D182" s="19" t="n">
        <f aca="false">Q!K39</f>
        <v>12.23</v>
      </c>
      <c r="E182" s="19" t="n">
        <f aca="false">Q!L39</f>
        <v>12.2735</v>
      </c>
      <c r="F182" s="19" t="n">
        <f aca="false">E181*(1+dil*0.25)</f>
        <v>12.41897</v>
      </c>
      <c r="G182" s="19" t="n">
        <f aca="false">(E182+F182)/2</f>
        <v>12.346235</v>
      </c>
      <c r="H182" s="19" t="n">
        <f aca="false">(F181+H181)/2</f>
        <v>12.4872301831091</v>
      </c>
      <c r="I182" s="19" t="n">
        <f aca="false">(H181+I181)/2</f>
        <v>12.5647067025663</v>
      </c>
      <c r="J182" s="19" t="n">
        <f aca="false">(I181+J181)/2</f>
        <v>12.6750494050615</v>
      </c>
      <c r="K182" s="19" t="n">
        <f aca="false">(J181+K181)/2</f>
        <v>12.7908025699801</v>
      </c>
      <c r="L182" s="19" t="n">
        <f aca="false">(K181+L181)/2</f>
        <v>12.8842848875439</v>
      </c>
      <c r="M182" s="19" t="n">
        <f aca="false">(L181+M181)/2</f>
        <v>12.982182252556</v>
      </c>
    </row>
    <row r="183" customFormat="false" ht="17.15" hidden="false" customHeight="false" outlineLevel="0" collapsed="false">
      <c r="A183" s="5" t="s">
        <v>989</v>
      </c>
      <c r="B183" s="7" t="s">
        <v>55</v>
      </c>
      <c r="C183" s="21" t="n">
        <f aca="false">C177/C182</f>
        <v>8.04354462922793</v>
      </c>
      <c r="D183" s="21" t="n">
        <f aca="false">D177/D182</f>
        <v>10.807031888798</v>
      </c>
      <c r="E183" s="21" t="n">
        <f aca="false">E180/E182</f>
        <v>14.2397034260806</v>
      </c>
      <c r="F183" s="21" t="n">
        <f aca="false">F180/F182</f>
        <v>5.63647246451672</v>
      </c>
      <c r="G183" s="21" t="n">
        <f aca="false">G180/G182</f>
        <v>19.825491936826</v>
      </c>
      <c r="H183" s="21" t="n">
        <f aca="false">H180/H182</f>
        <v>9.92646124751322</v>
      </c>
      <c r="I183" s="21" t="n">
        <f aca="false">I180/I182</f>
        <v>9.00722725504397</v>
      </c>
      <c r="J183" s="21" t="n">
        <f aca="false">J180/J182</f>
        <v>8.13609955304803</v>
      </c>
      <c r="K183" s="21" t="n">
        <f aca="false">K180/K182</f>
        <v>7.13469829184199</v>
      </c>
      <c r="L183" s="21" t="n">
        <f aca="false">L180/L182</f>
        <v>7.1090522251363</v>
      </c>
      <c r="M183" s="21" t="n">
        <f aca="false">M180/M182</f>
        <v>6.84701499523496</v>
      </c>
    </row>
    <row r="184" customFormat="false" ht="17.15" hidden="false" customHeight="false" outlineLevel="0" collapsed="false">
      <c r="A184" s="0" t="s">
        <v>990</v>
      </c>
      <c r="B184" s="0" t="s">
        <v>55</v>
      </c>
      <c r="E184" s="21" t="n">
        <f aca="false">(E180-E173*(1-tax_eq))/E182</f>
        <v>5.48936000325906</v>
      </c>
      <c r="F184" s="21" t="n">
        <f aca="false">(F180-F173*(1-tax_eq))/F182</f>
        <v>5.63647246451672</v>
      </c>
      <c r="G184" s="21" t="n">
        <f aca="false">(G180-G173*(1-tax_eq))/G182</f>
        <v>11.1266991469593</v>
      </c>
      <c r="H184" s="21" t="n">
        <f aca="false">(H180-H173*(1-tax_eq))/H182</f>
        <v>9.92646124751322</v>
      </c>
      <c r="I184" s="21" t="n">
        <f aca="false">(I180-I173*(1-tax_eq))/I182</f>
        <v>9.00722725504397</v>
      </c>
      <c r="J184" s="21" t="n">
        <f aca="false">(J180-J173*(1-tax_eq))/J182</f>
        <v>8.13609955304803</v>
      </c>
      <c r="K184" s="21" t="n">
        <f aca="false">(K180-K173*(1-tax_eq))/K182</f>
        <v>7.13469829184199</v>
      </c>
      <c r="L184" s="21" t="n">
        <f aca="false">(L180-L173*(1-tax_eq))/L182</f>
        <v>7.1090522251363</v>
      </c>
      <c r="M184" s="21" t="n">
        <f aca="false">(M180-M173*(1-tax_eq))/M182</f>
        <v>6.84701499523496</v>
      </c>
      <c r="N184" s="4" t="s">
        <v>991</v>
      </c>
    </row>
    <row r="185" customFormat="false" ht="17.15" hidden="false" customHeight="false" outlineLevel="0" collapsed="false">
      <c r="A185" s="0" t="s">
        <v>992</v>
      </c>
      <c r="B185" s="0" t="s">
        <v>55</v>
      </c>
      <c r="F185" s="21" t="n">
        <f aca="false">(F180+(internal_ai_reading=2)*F166*(1-tax))/F182</f>
        <v>5.90192654517149</v>
      </c>
      <c r="G185" s="21" t="n">
        <f aca="false">(G180+(internal_ai_reading=2)*G166*(1-tax))/G182</f>
        <v>20.0925098790594</v>
      </c>
      <c r="H185" s="21" t="n">
        <f aca="false">(H180+(internal_ai_reading=2)*H166*(1-tax))/H182</f>
        <v>12.1034315332942</v>
      </c>
      <c r="I185" s="21" t="n">
        <f aca="false">(I180+(internal_ai_reading=2)*I166*(1-tax))/I182</f>
        <v>13.4634121340308</v>
      </c>
      <c r="J185" s="21" t="n">
        <f aca="false">(J180+(internal_ai_reading=2)*J166*(1-tax))/J182</f>
        <v>14.6333270271614</v>
      </c>
      <c r="K185" s="21" t="n">
        <f aca="false">(K180+(internal_ai_reading=2)*K166*(1-tax))/K182</f>
        <v>15.1386837263056</v>
      </c>
      <c r="L185" s="21" t="n">
        <f aca="false">(L180+(internal_ai_reading=2)*L166*(1-tax))/L182</f>
        <v>16.1388173609924</v>
      </c>
      <c r="M185" s="21" t="n">
        <f aca="false">(M180+(internal_ai_reading=2)*M166*(1-tax))/M182</f>
        <v>16.4284835159158</v>
      </c>
      <c r="N185" s="4" t="s">
        <v>993</v>
      </c>
    </row>
    <row r="186" customFormat="false" ht="15" hidden="false" customHeight="false" outlineLevel="0" collapsed="false">
      <c r="A186" s="4" t="s">
        <v>994</v>
      </c>
      <c r="B186" s="0" t="s">
        <v>77</v>
      </c>
      <c r="C186" s="23" t="n">
        <f aca="false">Q!J44</f>
        <v>22.785</v>
      </c>
      <c r="D186" s="23" t="n">
        <f aca="false">Q!K44</f>
        <v>24.953</v>
      </c>
      <c r="E186" s="23" t="n">
        <f aca="false">Q!L44</f>
        <v>14.708</v>
      </c>
      <c r="F186" s="23" t="n">
        <f aca="false">F142*sbc_r</f>
        <v>16.8583659170571</v>
      </c>
      <c r="G186" s="23" t="n">
        <f aca="false">E186+F186</f>
        <v>31.5663659170571</v>
      </c>
      <c r="H186" s="23" t="n">
        <f aca="false">H142*sbc_r</f>
        <v>36.7927015412231</v>
      </c>
      <c r="I186" s="23" t="n">
        <f aca="false">I142*sbc_r</f>
        <v>41.2748321642576</v>
      </c>
      <c r="J186" s="23" t="n">
        <f aca="false">J142*sbc_r</f>
        <v>44.9189205200292</v>
      </c>
      <c r="K186" s="23" t="n">
        <f aca="false">K142*sbc_r</f>
        <v>47.1375363759161</v>
      </c>
      <c r="L186" s="23" t="n">
        <f aca="false">L142*sbc_r</f>
        <v>50.9322455000723</v>
      </c>
      <c r="M186" s="23" t="n">
        <f aca="false">M142*sbc_r</f>
        <v>54.7664876391341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995</v>
      </c>
    </row>
    <row r="2" customFormat="false" ht="17.15" hidden="false" customHeight="false" outlineLevel="0" collapsed="false">
      <c r="A2" s="0" t="s">
        <v>996</v>
      </c>
    </row>
    <row r="4" customFormat="false" ht="17.15" hidden="false" customHeight="false" outlineLevel="0" collapsed="false">
      <c r="A4" s="2" t="s">
        <v>997</v>
      </c>
    </row>
    <row r="5" customFormat="false" ht="17.15" hidden="false" customHeight="false" outlineLevel="0" collapsed="false">
      <c r="A5" s="3" t="s">
        <v>44</v>
      </c>
      <c r="B5" s="3" t="s">
        <v>998</v>
      </c>
      <c r="C5" s="3" t="s">
        <v>999</v>
      </c>
      <c r="D5" s="3" t="s">
        <v>1000</v>
      </c>
      <c r="E5" s="3" t="s">
        <v>51</v>
      </c>
    </row>
    <row r="6" customFormat="false" ht="17.15" hidden="false" customHeight="false" outlineLevel="0" collapsed="false">
      <c r="A6" s="4" t="s">
        <v>1001</v>
      </c>
      <c r="B6" s="22" t="n">
        <f aca="false">SUM(G26:K26)</f>
        <v>261.218387113391</v>
      </c>
      <c r="C6" s="22" t="n">
        <f aca="false">SUM(G58:K58)</f>
        <v>180.049245063321</v>
      </c>
      <c r="D6" s="22" t="n">
        <f aca="false">SUM(G90:K90)</f>
        <v>29.8468641044482</v>
      </c>
      <c r="E6" s="7" t="s">
        <v>1002</v>
      </c>
    </row>
    <row r="7" customFormat="false" ht="15" hidden="false" customHeight="false" outlineLevel="0" collapsed="false">
      <c r="A7" s="4" t="s">
        <v>1003</v>
      </c>
      <c r="B7" s="22" t="n">
        <f aca="false">SUM(G35:K35)</f>
        <v>0</v>
      </c>
      <c r="C7" s="22" t="n">
        <f aca="false">SUM(G67:K67)</f>
        <v>0</v>
      </c>
      <c r="D7" s="22" t="n">
        <f aca="false">SUM(G99:K99)</f>
        <v>0</v>
      </c>
    </row>
    <row r="8" customFormat="false" ht="17.15" hidden="false" customHeight="false" outlineLevel="0" collapsed="false">
      <c r="A8" s="4" t="s">
        <v>1004</v>
      </c>
      <c r="B8" s="22" t="n">
        <f aca="false">SUM(G34:K34)</f>
        <v>68.012</v>
      </c>
      <c r="C8" s="22" t="n">
        <f aca="false">SUM(G66:K66)</f>
        <v>68.012</v>
      </c>
      <c r="D8" s="22" t="n">
        <f aca="false">SUM(G98:K98)</f>
        <v>68.012</v>
      </c>
    </row>
    <row r="9" customFormat="false" ht="17.15" hidden="false" customHeight="false" outlineLevel="0" collapsed="false">
      <c r="A9" s="4" t="s">
        <v>1005</v>
      </c>
      <c r="B9" s="0" t="str">
        <f aca="false">IF(B7&gt;0.001,"需要舉債"&amp;IF(B8&lt;4*bb_t-0.001,"且減少回購",""),IF(B8&lt;4*bb_t-0.001,"不需舉債，但須減少回購","不需舉債，回購照目標"))</f>
        <v>不需舉債，回購照目標</v>
      </c>
      <c r="C9" s="0" t="str">
        <f aca="false">IF(C7&gt;0.001,"需要舉債"&amp;IF(C8&lt;4*bb_t-0.001,"且減少回購",""),IF(C8&lt;4*bb_t-0.001,"不需舉債，但須減少回購","不需舉債，回購照目標"))</f>
        <v>不需舉債，回購照目標</v>
      </c>
      <c r="D9" s="0" t="str">
        <f aca="false">IF(D7&gt;0.001,"需要舉債"&amp;IF(D8&lt;4*bb_t-0.001,"且減少回購",""),IF(D8&lt;4*bb_t-0.001,"不需舉債，但須減少回購","不需舉債，回購照目標"))</f>
        <v>不需舉債，回購照目標</v>
      </c>
      <c r="E9" s="4" t="s">
        <v>1006</v>
      </c>
    </row>
    <row r="10" customFormat="false" ht="17.15" hidden="false" customHeight="false" outlineLevel="0" collapsed="false">
      <c r="A10" s="4" t="s">
        <v>1007</v>
      </c>
      <c r="B10" s="19" t="n">
        <f aca="false">B6-(G26+H26+I26+J26+K26)</f>
        <v>0</v>
      </c>
      <c r="C10" s="19" t="n">
        <f aca="false">C6-(G58+H58+I58+J58+K58)</f>
        <v>0</v>
      </c>
      <c r="D10" s="19" t="n">
        <f aca="false">D6-(G90+H90+I90+J90+K90)</f>
        <v>0</v>
      </c>
    </row>
    <row r="11" customFormat="false" ht="17.15" hidden="false" customHeight="false" outlineLevel="0" collapsed="false">
      <c r="A11" s="26" t="s">
        <v>907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18" t="s">
        <v>829</v>
      </c>
      <c r="D12" s="18" t="s">
        <v>830</v>
      </c>
      <c r="E12" s="18" t="s">
        <v>831</v>
      </c>
      <c r="F12" s="18" t="s">
        <v>832</v>
      </c>
      <c r="G12" s="18" t="s">
        <v>833</v>
      </c>
      <c r="H12" s="18" t="s">
        <v>834</v>
      </c>
      <c r="I12" s="18" t="s">
        <v>835</v>
      </c>
      <c r="J12" s="18" t="s">
        <v>836</v>
      </c>
      <c r="K12" s="18" t="s">
        <v>837</v>
      </c>
      <c r="L12" s="18" t="s">
        <v>838</v>
      </c>
      <c r="M12" s="18" t="s">
        <v>839</v>
      </c>
      <c r="N12" s="3" t="s">
        <v>51</v>
      </c>
    </row>
    <row r="13" customFormat="false" ht="15" hidden="false" customHeight="false" outlineLevel="0" collapsed="false">
      <c r="A13" s="4" t="s">
        <v>756</v>
      </c>
      <c r="B13" s="0" t="s">
        <v>77</v>
      </c>
      <c r="C13" s="23" t="n">
        <f aca="false">PL!C59</f>
        <v>100.118</v>
      </c>
      <c r="D13" s="23" t="n">
        <f aca="false">PL!D59</f>
        <v>132.17</v>
      </c>
      <c r="E13" s="23" t="n">
        <f aca="false">PL!E59</f>
        <v>174.771</v>
      </c>
      <c r="F13" s="23" t="n">
        <f aca="false">PL!F59</f>
        <v>70.5341824426593</v>
      </c>
      <c r="G13" s="23" t="n">
        <f aca="false">PL!G59</f>
        <v>245.305182442659</v>
      </c>
      <c r="H13" s="23" t="n">
        <f aca="false">PL!H59</f>
        <v>143.375437606407</v>
      </c>
      <c r="I13" s="23" t="n">
        <f aca="false">PL!I59</f>
        <v>155.412511442811</v>
      </c>
      <c r="J13" s="23" t="n">
        <f aca="false">PL!J59</f>
        <v>171.669429181659</v>
      </c>
      <c r="K13" s="23" t="n">
        <f aca="false">PL!K59</f>
        <v>189.258407187147</v>
      </c>
      <c r="L13" s="23" t="n">
        <f aca="false">PL!L59</f>
        <v>199.507712056667</v>
      </c>
      <c r="M13" s="23" t="n">
        <f aca="false">PL!M59</f>
        <v>207.58715741312</v>
      </c>
    </row>
    <row r="14" customFormat="false" ht="15" hidden="false" customHeight="false" outlineLevel="0" collapsed="false">
      <c r="A14" s="4" t="s">
        <v>1008</v>
      </c>
      <c r="B14" s="0" t="s">
        <v>77</v>
      </c>
      <c r="C14" s="23" t="n">
        <f aca="false">PL!C44</f>
        <v>15.311</v>
      </c>
      <c r="D14" s="23" t="n">
        <f aca="false">PL!D44</f>
        <v>21.136</v>
      </c>
      <c r="E14" s="23" t="n">
        <f aca="false">PL!E44</f>
        <v>13.586</v>
      </c>
      <c r="F14" s="23" t="n">
        <f aca="false">PL!F44</f>
        <v>21.8622188301703</v>
      </c>
      <c r="G14" s="23" t="n">
        <f aca="false">PL!G44</f>
        <v>35.4482188301703</v>
      </c>
      <c r="H14" s="23" t="n">
        <f aca="false">PL!H44</f>
        <v>66.8615657466009</v>
      </c>
      <c r="I14" s="23" t="n">
        <f aca="false">PL!I44</f>
        <v>98.8824042375775</v>
      </c>
      <c r="J14" s="23" t="n">
        <f aca="false">PL!J44</f>
        <v>131.228971617438</v>
      </c>
      <c r="K14" s="23" t="n">
        <f aca="false">PL!K44</f>
        <v>159.165282981452</v>
      </c>
      <c r="L14" s="23" t="n">
        <f aca="false">PL!L44</f>
        <v>183.111589548095</v>
      </c>
      <c r="M14" s="23" t="n">
        <f aca="false">PL!M44</f>
        <v>211.373376579907</v>
      </c>
    </row>
    <row r="15" customFormat="false" ht="15" hidden="false" customHeight="false" outlineLevel="0" collapsed="false">
      <c r="A15" s="4" t="s">
        <v>1009</v>
      </c>
      <c r="B15" s="0" t="s">
        <v>77</v>
      </c>
      <c r="C15" s="23" t="n">
        <f aca="false">PL!C68</f>
        <v>22.785</v>
      </c>
      <c r="D15" s="23" t="n">
        <f aca="false">PL!D68</f>
        <v>24.953</v>
      </c>
      <c r="E15" s="23" t="n">
        <f aca="false">PL!E68</f>
        <v>14.708</v>
      </c>
      <c r="F15" s="23" t="n">
        <f aca="false">PL!F68</f>
        <v>16.8583659170571</v>
      </c>
      <c r="G15" s="23" t="n">
        <f aca="false">PL!G68</f>
        <v>31.5663659170571</v>
      </c>
      <c r="H15" s="23" t="n">
        <f aca="false">PL!H68</f>
        <v>38.917755893444</v>
      </c>
      <c r="I15" s="23" t="n">
        <f aca="false">PL!I68</f>
        <v>46.0118383023634</v>
      </c>
      <c r="J15" s="23" t="n">
        <f aca="false">PL!J68</f>
        <v>52.682856705135</v>
      </c>
      <c r="K15" s="23" t="n">
        <f aca="false">PL!K68</f>
        <v>58.2220483448055</v>
      </c>
      <c r="L15" s="23" t="n">
        <f aca="false">PL!L68</f>
        <v>62.9035184264729</v>
      </c>
      <c r="M15" s="23" t="n">
        <f aca="false">PL!M68</f>
        <v>67.6954623996468</v>
      </c>
    </row>
    <row r="16" customFormat="false" ht="17.15" hidden="false" customHeight="false" outlineLevel="0" collapsed="false">
      <c r="A16" s="4" t="s">
        <v>1010</v>
      </c>
      <c r="B16" s="0" t="s">
        <v>77</v>
      </c>
      <c r="F16" s="23" t="n">
        <f aca="false">wc_2h</f>
        <v>8.49</v>
      </c>
      <c r="G16" s="23" t="n">
        <f aca="false">F16</f>
        <v>8.49</v>
      </c>
      <c r="H16" s="23" t="n">
        <f aca="false">wc_k*(PL!H24-PL!G24)</f>
        <v>1.4028549902334</v>
      </c>
      <c r="I16" s="23" t="n">
        <f aca="false">wc_k*(PL!I24-PL!H24)</f>
        <v>1.31538453540977</v>
      </c>
      <c r="J16" s="23" t="n">
        <f aca="false">wc_k*(PL!J24-PL!I24)</f>
        <v>1.23694002079917</v>
      </c>
      <c r="K16" s="23" t="n">
        <f aca="false">wc_k*(PL!K24-PL!J24)</f>
        <v>1.02707673825904</v>
      </c>
      <c r="L16" s="23" t="n">
        <f aca="false">wc_k*(PL!L24-PL!K24)</f>
        <v>0.868038034160199</v>
      </c>
      <c r="M16" s="23" t="n">
        <f aca="false">wc_k*(PL!M24-PL!L24)</f>
        <v>0.888522099621776</v>
      </c>
      <c r="N16" s="7" t="s">
        <v>1011</v>
      </c>
    </row>
    <row r="17" customFormat="false" ht="15" hidden="false" customHeight="false" outlineLevel="0" collapsed="false">
      <c r="A17" s="4" t="s">
        <v>1012</v>
      </c>
      <c r="B17" s="0" t="s">
        <v>77</v>
      </c>
      <c r="C17" s="23" t="n">
        <f aca="false">Q!J45-C13-C14-C15</f>
        <v>-12.915</v>
      </c>
      <c r="D17" s="23" t="n">
        <f aca="false">Q!K45-D13-D14-D15</f>
        <v>-13.546</v>
      </c>
      <c r="E17" s="23" t="n">
        <f aca="false">Q!L45-E13-E14-E15</f>
        <v>-118.206</v>
      </c>
      <c r="F17" s="25" t="n">
        <v>0</v>
      </c>
      <c r="G17" s="23" t="n">
        <f aca="false">E17+F17</f>
        <v>-118.206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</row>
    <row r="18" customFormat="false" ht="15" hidden="false" customHeight="false" outlineLevel="0" collapsed="false">
      <c r="A18" s="2" t="s">
        <v>763</v>
      </c>
      <c r="B18" s="7" t="s">
        <v>77</v>
      </c>
      <c r="C18" s="23" t="n">
        <f aca="false">C13+C14+C15+C16+C17</f>
        <v>125.299</v>
      </c>
      <c r="D18" s="23" t="n">
        <f aca="false">D13+D14+D15+D16+D17</f>
        <v>164.713</v>
      </c>
      <c r="E18" s="23" t="n">
        <f aca="false">E13+E14+E15+E16+E17</f>
        <v>84.859</v>
      </c>
      <c r="F18" s="23" t="n">
        <f aca="false">F13+F14+F15+F16+F17</f>
        <v>117.744767189887</v>
      </c>
      <c r="G18" s="23" t="n">
        <f aca="false">G13+G14+G15+G16+G17</f>
        <v>202.603767189887</v>
      </c>
      <c r="H18" s="23" t="n">
        <f aca="false">H13+H14+H15+H16+H17</f>
        <v>250.557614236686</v>
      </c>
      <c r="I18" s="23" t="n">
        <f aca="false">I13+I14+I15+I16+I17</f>
        <v>301.622138518162</v>
      </c>
      <c r="J18" s="23" t="n">
        <f aca="false">J13+J14+J15+J16+J17</f>
        <v>356.818197525031</v>
      </c>
      <c r="K18" s="23" t="n">
        <f aca="false">K13+K14+K15+K16+K17</f>
        <v>407.672815251663</v>
      </c>
      <c r="L18" s="23" t="n">
        <f aca="false">L13+L14+L15+L16+L17</f>
        <v>446.390858065396</v>
      </c>
      <c r="M18" s="23" t="n">
        <f aca="false">M13+M14+M15+M16+M17</f>
        <v>487.544518492296</v>
      </c>
    </row>
    <row r="19" customFormat="false" ht="17.15" hidden="false" customHeight="false" outlineLevel="0" collapsed="false">
      <c r="A19" s="4" t="s">
        <v>1013</v>
      </c>
      <c r="B19" s="0" t="s">
        <v>77</v>
      </c>
      <c r="F19" s="23" t="n">
        <f aca="false">Thesis!F52</f>
        <v>98.2828001170933</v>
      </c>
      <c r="G19" s="23" t="n">
        <f aca="false">F19</f>
        <v>98.2828001170933</v>
      </c>
      <c r="H19" s="23" t="n">
        <f aca="false">Thesis!H52</f>
        <v>190.01908325496</v>
      </c>
      <c r="I19" s="23" t="n">
        <f aca="false">Thesis!I52</f>
        <v>201.14438688884</v>
      </c>
      <c r="J19" s="23" t="n">
        <f aca="false">Thesis!J52</f>
        <v>180.859210495126</v>
      </c>
      <c r="K19" s="23" t="n">
        <f aca="false">Thesis!K52</f>
        <v>171.693091090462</v>
      </c>
      <c r="L19" s="23" t="n">
        <f aca="false">Thesis!L52</f>
        <v>177.214484957137</v>
      </c>
      <c r="M19" s="23" t="n">
        <f aca="false">Thesis!M52</f>
        <v>167.876844577705</v>
      </c>
    </row>
    <row r="20" customFormat="false" ht="17.15" hidden="false" customHeight="false" outlineLevel="0" collapsed="false">
      <c r="A20" s="4" t="s">
        <v>1014</v>
      </c>
      <c r="B20" s="0" t="s">
        <v>77</v>
      </c>
      <c r="F20" s="23" t="n">
        <f aca="false">Seg!F34</f>
        <v>21.1191998829067</v>
      </c>
      <c r="G20" s="23" t="n">
        <f aca="false">F20</f>
        <v>21.1191998829067</v>
      </c>
      <c r="H20" s="23" t="n">
        <f aca="false">Seg!H34</f>
        <v>48.7129720210214</v>
      </c>
      <c r="I20" s="23" t="n">
        <f aca="false">Seg!I34</f>
        <v>58.4138707897985</v>
      </c>
      <c r="J20" s="23" t="n">
        <f aca="false">Seg!J34</f>
        <v>67.0911779884515</v>
      </c>
      <c r="K20" s="23" t="n">
        <f aca="false">Seg!K34</f>
        <v>73.3875362726527</v>
      </c>
      <c r="L20" s="23" t="n">
        <f aca="false">Seg!L34</f>
        <v>79.2350567522493</v>
      </c>
      <c r="M20" s="23" t="n">
        <f aca="false">Seg!M34</f>
        <v>85.5604544559407</v>
      </c>
    </row>
    <row r="21" customFormat="false" ht="15" hidden="false" customHeight="false" outlineLevel="0" collapsed="false">
      <c r="A21" s="2" t="s">
        <v>1015</v>
      </c>
      <c r="B21" s="7" t="s">
        <v>77</v>
      </c>
      <c r="C21" s="23" t="n">
        <f aca="false">Q!J46</f>
        <v>52.535</v>
      </c>
      <c r="D21" s="23" t="n">
        <f aca="false">Q!K46</f>
        <v>91.447</v>
      </c>
      <c r="E21" s="23" t="n">
        <f aca="false">Q!L46</f>
        <v>80.598</v>
      </c>
      <c r="F21" s="23" t="n">
        <f aca="false">F19+F20</f>
        <v>119.402</v>
      </c>
      <c r="G21" s="23" t="n">
        <f aca="false">E21+F21</f>
        <v>200</v>
      </c>
      <c r="H21" s="23" t="n">
        <f aca="false">H19+H20</f>
        <v>238.732055275981</v>
      </c>
      <c r="I21" s="23" t="n">
        <f aca="false">I19+I20</f>
        <v>259.558257678638</v>
      </c>
      <c r="J21" s="23" t="n">
        <f aca="false">J19+J20</f>
        <v>247.950388483577</v>
      </c>
      <c r="K21" s="23" t="n">
        <f aca="false">K19+K20</f>
        <v>245.080627363115</v>
      </c>
      <c r="L21" s="23" t="n">
        <f aca="false">L19+L20</f>
        <v>256.449541709386</v>
      </c>
      <c r="M21" s="23" t="n">
        <f aca="false">M19+M20</f>
        <v>253.437299033645</v>
      </c>
    </row>
    <row r="22" customFormat="false" ht="17.15" hidden="false" customHeight="false" outlineLevel="0" collapsed="false">
      <c r="A22" s="4" t="s">
        <v>1016</v>
      </c>
      <c r="B22" s="0" t="s">
        <v>77</v>
      </c>
      <c r="E22" s="23" t="n">
        <f aca="false">lease_1H</f>
        <v>0.84</v>
      </c>
      <c r="F22" s="23" t="n">
        <f aca="false">lease_2H</f>
        <v>0.206</v>
      </c>
      <c r="G22" s="23" t="n">
        <f aca="false">E22+F22</f>
        <v>1.046</v>
      </c>
      <c r="H22" s="23" t="n">
        <f aca="false">lease_27</f>
        <v>0.387</v>
      </c>
      <c r="I22" s="23" t="n">
        <f aca="false">lease_28</f>
        <v>0.377</v>
      </c>
      <c r="J22" s="23" t="n">
        <f aca="false">lease_29</f>
        <v>0.356</v>
      </c>
      <c r="K22" s="23" t="n">
        <f aca="false">lease_30</f>
        <v>0.285</v>
      </c>
      <c r="L22" s="23" t="n">
        <f aca="false">lease_31</f>
        <v>0.25</v>
      </c>
      <c r="M22" s="23" t="n">
        <f aca="false">lease_32</f>
        <v>0.25</v>
      </c>
      <c r="N22" s="7" t="s">
        <v>1017</v>
      </c>
    </row>
    <row r="23" customFormat="false" ht="15" hidden="false" customHeight="false" outlineLevel="0" collapsed="false">
      <c r="A23" s="26" t="s">
        <v>1018</v>
      </c>
      <c r="B23" s="28" t="s">
        <v>77</v>
      </c>
      <c r="C23" s="29" t="n">
        <f aca="false">C18-C21-N(C22)</f>
        <v>72.764</v>
      </c>
      <c r="D23" s="29" t="n">
        <f aca="false">D18-D21-N(D22)</f>
        <v>73.266</v>
      </c>
      <c r="E23" s="29" t="n">
        <f aca="false">E18-E21-N(E22)</f>
        <v>3.42100000000002</v>
      </c>
      <c r="F23" s="29" t="n">
        <f aca="false">F18-F21-N(F22)</f>
        <v>-1.86323281011337</v>
      </c>
      <c r="G23" s="29" t="n">
        <f aca="false">G18-G21-N(G22)</f>
        <v>1.55776718988664</v>
      </c>
      <c r="H23" s="29" t="n">
        <f aca="false">H18-H21-N(H22)</f>
        <v>11.4385589607044</v>
      </c>
      <c r="I23" s="29" t="n">
        <f aca="false">I18-I21-N(I22)</f>
        <v>41.6868808395234</v>
      </c>
      <c r="J23" s="29" t="n">
        <f aca="false">J18-J21-N(J22)</f>
        <v>108.511809041453</v>
      </c>
      <c r="K23" s="29" t="n">
        <f aca="false">K18-K21-N(K22)</f>
        <v>162.307187888548</v>
      </c>
      <c r="L23" s="29" t="n">
        <f aca="false">L18-L21-N(L22)</f>
        <v>189.691316356009</v>
      </c>
      <c r="M23" s="29" t="n">
        <f aca="false">M18-M21-N(M22)</f>
        <v>233.857219458651</v>
      </c>
      <c r="N23" s="28"/>
    </row>
    <row r="24" customFormat="false" ht="17.15" hidden="false" customHeight="false" outlineLevel="0" collapsed="false">
      <c r="A24" s="4" t="s">
        <v>768</v>
      </c>
      <c r="B24" s="0" t="s">
        <v>77</v>
      </c>
      <c r="C24" s="23" t="n">
        <f aca="false">Q!J50</f>
        <v>7.363</v>
      </c>
      <c r="D24" s="23" t="n">
        <f aca="false">Q!K50</f>
        <v>10.049</v>
      </c>
      <c r="E24" s="23" t="n">
        <f aca="false">Q!L50</f>
        <v>5.231</v>
      </c>
      <c r="F24" s="23" t="n">
        <f aca="false">dps/2*sh_out</f>
        <v>5.3812</v>
      </c>
      <c r="G24" s="23" t="n">
        <f aca="false">E24+F24</f>
        <v>10.6122</v>
      </c>
      <c r="H24" s="23" t="n">
        <f aca="false">dps*(1+dps_g)^(2027-2026)*PL!F63</f>
        <v>11.50374456</v>
      </c>
      <c r="I24" s="23" t="n">
        <f aca="false">dps*(1+dps_g)^(2028-2026)*PL!H63</f>
        <v>12.151289659305</v>
      </c>
      <c r="J24" s="23" t="n">
        <f aca="false">dps*(1+dps_g)^(2029-2026)*PL!I63</f>
        <v>12.8407305876723</v>
      </c>
      <c r="K24" s="23" t="n">
        <f aca="false">dps*(1+dps_g)^(2030-2026)*PL!J63</f>
        <v>13.6328519997474</v>
      </c>
      <c r="L24" s="23" t="n">
        <f aca="false">dps*(1+dps_g)^(2031-2026)*PL!K63</f>
        <v>14.4169166620373</v>
      </c>
      <c r="M24" s="23" t="n">
        <f aca="false">dps*(1+dps_g)^(2032-2026)*PL!L63</f>
        <v>15.2507037631089</v>
      </c>
      <c r="N24" s="7" t="s">
        <v>1019</v>
      </c>
    </row>
    <row r="25" customFormat="false" ht="15" hidden="false" customHeight="false" outlineLevel="0" collapsed="false">
      <c r="A25" s="4" t="s">
        <v>984</v>
      </c>
      <c r="B25" s="0" t="s">
        <v>77</v>
      </c>
      <c r="E25" s="23" t="n">
        <f aca="false">PL!E61</f>
        <v>0</v>
      </c>
      <c r="F25" s="23" t="n">
        <f aca="false">PL!F61</f>
        <v>0.535</v>
      </c>
      <c r="G25" s="23" t="n">
        <f aca="false">PL!G61</f>
        <v>0.535</v>
      </c>
      <c r="H25" s="23" t="n">
        <f aca="false">PL!H61</f>
        <v>1.203</v>
      </c>
      <c r="I25" s="23" t="n">
        <f aca="false">PL!I61</f>
        <v>1.203</v>
      </c>
      <c r="J25" s="23" t="n">
        <f aca="false">PL!J61</f>
        <v>0.602</v>
      </c>
      <c r="K25" s="23" t="n">
        <f aca="false">PL!K61</f>
        <v>0</v>
      </c>
      <c r="L25" s="23" t="n">
        <f aca="false">PL!L61</f>
        <v>0</v>
      </c>
      <c r="M25" s="23" t="n">
        <f aca="false">PL!M61</f>
        <v>0</v>
      </c>
    </row>
    <row r="26" customFormat="false" ht="15" hidden="false" customHeight="false" outlineLevel="0" collapsed="false">
      <c r="A26" s="2" t="s">
        <v>1020</v>
      </c>
      <c r="B26" s="7" t="s">
        <v>77</v>
      </c>
      <c r="C26" s="23" t="n">
        <f aca="false">C23-C24-N(C25)</f>
        <v>65.401</v>
      </c>
      <c r="D26" s="23" t="n">
        <f aca="false">D23-D24-N(D25)</f>
        <v>63.217</v>
      </c>
      <c r="E26" s="23" t="n">
        <f aca="false">E23-E24-N(E25)</f>
        <v>-1.80999999999998</v>
      </c>
      <c r="F26" s="23" t="n">
        <f aca="false">F23-F24-N(F25)</f>
        <v>-7.77943281011337</v>
      </c>
      <c r="G26" s="23" t="n">
        <f aca="false">G23-G24-N(G25)</f>
        <v>-9.58943281011336</v>
      </c>
      <c r="H26" s="23" t="n">
        <f aca="false">H23-H24-N(H25)</f>
        <v>-1.2681855992956</v>
      </c>
      <c r="I26" s="23" t="n">
        <f aca="false">I23-I24-N(I25)</f>
        <v>28.3325911802184</v>
      </c>
      <c r="J26" s="23" t="n">
        <f aca="false">J23-J24-N(J25)</f>
        <v>95.0690784537811</v>
      </c>
      <c r="K26" s="23" t="n">
        <f aca="false">K23-K24-N(K25)</f>
        <v>148.674335888801</v>
      </c>
      <c r="L26" s="23" t="n">
        <f aca="false">L23-L24-N(L25)</f>
        <v>175.274399693972</v>
      </c>
      <c r="M26" s="23" t="n">
        <f aca="false">M23-M24-N(M25)</f>
        <v>218.606515695542</v>
      </c>
    </row>
    <row r="27" customFormat="false" ht="17.15" hidden="false" customHeight="false" outlineLevel="0" collapsed="false">
      <c r="A27" s="4" t="s">
        <v>1021</v>
      </c>
      <c r="B27" s="0" t="s">
        <v>77</v>
      </c>
      <c r="E27" s="23" t="n">
        <f aca="false">anth_1H</f>
        <v>55.44</v>
      </c>
      <c r="F27" s="23" t="n">
        <f aca="false">anth_2H</f>
        <v>2.222</v>
      </c>
      <c r="G27" s="23" t="n">
        <f aca="false">E27+F27</f>
        <v>57.662</v>
      </c>
      <c r="H27" s="23" t="n">
        <f aca="false">anth_27</f>
        <v>4.444</v>
      </c>
      <c r="I27" s="23" t="n">
        <f aca="false">anth_28</f>
        <v>4.444</v>
      </c>
      <c r="J27" s="23" t="n">
        <f aca="false">anth_29</f>
        <v>4.444</v>
      </c>
      <c r="K27" s="23" t="n">
        <f aca="false">anth_30</f>
        <v>4.444</v>
      </c>
      <c r="L27" s="23" t="n">
        <f aca="false">anth_31</f>
        <v>0</v>
      </c>
      <c r="M27" s="23" t="n">
        <f aca="false">anth_32</f>
        <v>0</v>
      </c>
      <c r="N27" s="7" t="s">
        <v>1022</v>
      </c>
    </row>
    <row r="28" customFormat="false" ht="17.15" hidden="false" customHeight="false" outlineLevel="0" collapsed="false">
      <c r="A28" s="4" t="s">
        <v>1023</v>
      </c>
      <c r="B28" s="0" t="s">
        <v>77</v>
      </c>
      <c r="E28" s="23" t="n">
        <f aca="false">mat_1H</f>
        <v>5.253</v>
      </c>
      <c r="F28" s="23" t="n">
        <f aca="false">mat_2H</f>
        <v>2</v>
      </c>
      <c r="G28" s="23" t="n">
        <f aca="false">E28+F28</f>
        <v>7.253</v>
      </c>
      <c r="H28" s="23" t="n">
        <f aca="false">mat_27</f>
        <v>1</v>
      </c>
      <c r="I28" s="23" t="n">
        <f aca="false">mat_28</f>
        <v>2.676</v>
      </c>
      <c r="J28" s="23" t="n">
        <f aca="false">mat_29</f>
        <v>1.764</v>
      </c>
      <c r="K28" s="23" t="n">
        <f aca="false">mat_30</f>
        <v>7.186</v>
      </c>
      <c r="L28" s="23" t="n">
        <f aca="false">mat_31</f>
        <v>5</v>
      </c>
      <c r="M28" s="23" t="n">
        <f aca="false">mat_32</f>
        <v>5</v>
      </c>
      <c r="N28" s="7" t="s">
        <v>1024</v>
      </c>
    </row>
    <row r="29" customFormat="false" ht="17.15" hidden="false" customHeight="false" outlineLevel="0" collapsed="false">
      <c r="A29" s="4" t="s">
        <v>1025</v>
      </c>
      <c r="B29" s="0" t="s">
        <v>77</v>
      </c>
      <c r="E29" s="23" t="n">
        <f aca="false">newd_1H</f>
        <v>56.226</v>
      </c>
      <c r="F29" s="23" t="n">
        <f aca="false">debt_new_2h</f>
        <v>25</v>
      </c>
      <c r="G29" s="23" t="n">
        <f aca="false">E29+F29</f>
        <v>81.226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7" t="s">
        <v>1026</v>
      </c>
    </row>
    <row r="30" customFormat="false" ht="17.15" hidden="false" customHeight="false" outlineLevel="0" collapsed="false">
      <c r="A30" s="4" t="s">
        <v>1027</v>
      </c>
      <c r="B30" s="0" t="s">
        <v>77</v>
      </c>
      <c r="E30" s="23" t="n">
        <f aca="false">eq_1H</f>
        <v>49.562</v>
      </c>
      <c r="F30" s="25" t="n">
        <v>0</v>
      </c>
      <c r="G30" s="23" t="n">
        <f aca="false">E30+F30</f>
        <v>49.562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7" t="s">
        <v>1028</v>
      </c>
    </row>
    <row r="31" customFormat="false" ht="15" hidden="false" customHeight="false" outlineLevel="0" collapsed="false">
      <c r="A31" s="4" t="s">
        <v>1029</v>
      </c>
      <c r="B31" s="0" t="s">
        <v>77</v>
      </c>
      <c r="E31" s="23" t="n">
        <f aca="false">cash_ye25</f>
        <v>120.53</v>
      </c>
      <c r="F31" s="23" t="n">
        <f aca="false">E36</f>
        <v>155.411</v>
      </c>
      <c r="H31" s="23" t="n">
        <f aca="false">F36</f>
        <v>168.409567189887</v>
      </c>
      <c r="I31" s="23" t="n">
        <f aca="false">H36</f>
        <v>144.694381590591</v>
      </c>
      <c r="J31" s="23" t="n">
        <f aca="false">I36</f>
        <v>148.903972770809</v>
      </c>
      <c r="K31" s="23" t="n">
        <f aca="false">J36</f>
        <v>220.762051224591</v>
      </c>
      <c r="L31" s="23" t="n">
        <f aca="false">K36</f>
        <v>340.803387113391</v>
      </c>
      <c r="M31" s="23" t="n">
        <f aca="false">L36</f>
        <v>494.074786807363</v>
      </c>
    </row>
    <row r="32" customFormat="false" ht="17.15" hidden="false" customHeight="false" outlineLevel="0" collapsed="false">
      <c r="A32" s="4" t="s">
        <v>1030</v>
      </c>
      <c r="B32" s="0" t="s">
        <v>77</v>
      </c>
      <c r="E32" s="23" t="n">
        <f aca="false">cash_0-(E31+E23-E24-E25-E27-E28+E29+E30)</f>
        <v>-8.40400000000003</v>
      </c>
      <c r="F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</row>
    <row r="33" customFormat="false" ht="15" hidden="false" customHeight="false" outlineLevel="0" collapsed="false">
      <c r="A33" s="4" t="s">
        <v>1031</v>
      </c>
      <c r="B33" s="0" t="s">
        <v>77</v>
      </c>
      <c r="E33" s="23" t="n">
        <f aca="false">E31+E23-E24-E25-E27-E28+E29+E30+E32</f>
        <v>155.411</v>
      </c>
      <c r="F33" s="23" t="n">
        <f aca="false">F31+F23-F24-F25-F27-F28+F29+F30+F32</f>
        <v>168.409567189887</v>
      </c>
      <c r="H33" s="23" t="n">
        <f aca="false">H31+H23-H24-H25-H27-H28+H29+H30+H32</f>
        <v>161.697381590591</v>
      </c>
      <c r="I33" s="23" t="n">
        <f aca="false">I31+I23-I24-I25-I27-I28+I29+I30+I32</f>
        <v>165.906972770809</v>
      </c>
      <c r="J33" s="23" t="n">
        <f aca="false">J31+J23-J24-J25-J27-J28+J29+J30+J32</f>
        <v>237.765051224591</v>
      </c>
      <c r="K33" s="23" t="n">
        <f aca="false">K31+K23-K24-K25-K27-K28+K29+K30+K32</f>
        <v>357.806387113391</v>
      </c>
      <c r="L33" s="23" t="n">
        <f aca="false">L31+L23-L24-L25-L27-L28+L29+L30+L32</f>
        <v>511.077786807363</v>
      </c>
      <c r="M33" s="23" t="n">
        <f aca="false">M31+M23-M24-M25-M27-M28+M29+M30+M32</f>
        <v>707.681302502905</v>
      </c>
    </row>
    <row r="34" customFormat="false" ht="17.15" hidden="false" customHeight="false" outlineLevel="0" collapsed="false">
      <c r="A34" s="4" t="s">
        <v>767</v>
      </c>
      <c r="B34" s="0" t="s">
        <v>77</v>
      </c>
      <c r="E34" s="23" t="n">
        <f aca="false">Q!L49</f>
        <v>0</v>
      </c>
      <c r="F34" s="25" t="n">
        <v>0</v>
      </c>
      <c r="G34" s="23" t="n">
        <f aca="false">E34+F34</f>
        <v>0</v>
      </c>
      <c r="H34" s="23" t="n">
        <f aca="false">MAX(0,MIN(bb_t,H33-min_cash))</f>
        <v>17.003</v>
      </c>
      <c r="I34" s="23" t="n">
        <f aca="false">MAX(0,MIN(bb_t,I33-min_cash))</f>
        <v>17.003</v>
      </c>
      <c r="J34" s="23" t="n">
        <f aca="false">MAX(0,MIN(bb_t,J33-min_cash))</f>
        <v>17.003</v>
      </c>
      <c r="K34" s="23" t="n">
        <f aca="false">MAX(0,MIN(bb_t,K33-min_cash))</f>
        <v>17.003</v>
      </c>
      <c r="L34" s="23" t="n">
        <f aca="false">MAX(0,MIN(bb_t,L33-min_cash))</f>
        <v>17.003</v>
      </c>
      <c r="M34" s="23" t="n">
        <f aca="false">MAX(0,MIN(bb_t,M33-min_cash))</f>
        <v>17.003</v>
      </c>
      <c r="N34" s="7" t="s">
        <v>1032</v>
      </c>
    </row>
    <row r="35" customFormat="false" ht="15" hidden="false" customHeight="false" outlineLevel="0" collapsed="false">
      <c r="A35" s="4" t="s">
        <v>1033</v>
      </c>
      <c r="B35" s="0" t="s">
        <v>77</v>
      </c>
      <c r="E35" s="25" t="n">
        <v>0</v>
      </c>
      <c r="F35" s="23" t="n">
        <f aca="false">MAX(0,min_cash-(F33-F34))</f>
        <v>0</v>
      </c>
      <c r="G35" s="23" t="n">
        <f aca="false">E35+F35</f>
        <v>0</v>
      </c>
      <c r="H35" s="23" t="n">
        <f aca="false">MAX(0,min_cash-(H33-H34))</f>
        <v>0</v>
      </c>
      <c r="I35" s="23" t="n">
        <f aca="false">MAX(0,min_cash-(I33-I34))</f>
        <v>0</v>
      </c>
      <c r="J35" s="23" t="n">
        <f aca="false">MAX(0,min_cash-(J33-J34))</f>
        <v>0</v>
      </c>
      <c r="K35" s="23" t="n">
        <f aca="false">MAX(0,min_cash-(K33-K34))</f>
        <v>0</v>
      </c>
      <c r="L35" s="23" t="n">
        <f aca="false">MAX(0,min_cash-(L33-L34))</f>
        <v>0</v>
      </c>
      <c r="M35" s="23" t="n">
        <f aca="false">MAX(0,min_cash-(M33-M34))</f>
        <v>0</v>
      </c>
    </row>
    <row r="36" customFormat="false" ht="15" hidden="false" customHeight="false" outlineLevel="0" collapsed="false">
      <c r="A36" s="4" t="s">
        <v>1034</v>
      </c>
      <c r="B36" s="0" t="s">
        <v>77</v>
      </c>
      <c r="E36" s="23" t="n">
        <f aca="false">E33-E34+E35</f>
        <v>155.411</v>
      </c>
      <c r="F36" s="23" t="n">
        <f aca="false">F33-F34+F35</f>
        <v>168.409567189887</v>
      </c>
      <c r="H36" s="23" t="n">
        <f aca="false">H33-H34+H35</f>
        <v>144.694381590591</v>
      </c>
      <c r="I36" s="23" t="n">
        <f aca="false">I33-I34+I35</f>
        <v>148.903972770809</v>
      </c>
      <c r="J36" s="23" t="n">
        <f aca="false">J33-J34+J35</f>
        <v>220.762051224591</v>
      </c>
      <c r="K36" s="23" t="n">
        <f aca="false">K33-K34+K35</f>
        <v>340.803387113391</v>
      </c>
      <c r="L36" s="23" t="n">
        <f aca="false">L33-L34+L35</f>
        <v>494.074786807363</v>
      </c>
      <c r="M36" s="23" t="n">
        <f aca="false">M33-M34+M35</f>
        <v>690.678302502905</v>
      </c>
    </row>
    <row r="37" customFormat="false" ht="17.15" hidden="false" customHeight="false" outlineLevel="0" collapsed="false">
      <c r="A37" s="4" t="s">
        <v>1035</v>
      </c>
      <c r="B37" s="0" t="s">
        <v>77</v>
      </c>
      <c r="E37" s="19" t="n">
        <f aca="false">E36-cash_0</f>
        <v>0</v>
      </c>
    </row>
    <row r="38" customFormat="false" ht="17.15" hidden="false" customHeight="false" outlineLevel="0" collapsed="false">
      <c r="A38" s="4" t="s">
        <v>1036</v>
      </c>
      <c r="B38" s="0" t="s">
        <v>77</v>
      </c>
      <c r="E38" s="23" t="n">
        <f aca="false">debt_ye25</f>
        <v>49.085</v>
      </c>
      <c r="F38" s="23" t="n">
        <f aca="false">E39</f>
        <v>101.085</v>
      </c>
      <c r="H38" s="23" t="n">
        <f aca="false">F39</f>
        <v>124.085</v>
      </c>
      <c r="I38" s="23" t="n">
        <f aca="false">H39</f>
        <v>123.085</v>
      </c>
      <c r="J38" s="23" t="n">
        <f aca="false">I39</f>
        <v>120.409</v>
      </c>
      <c r="K38" s="23" t="n">
        <f aca="false">J39</f>
        <v>118.645</v>
      </c>
      <c r="L38" s="23" t="n">
        <f aca="false">K39</f>
        <v>111.459</v>
      </c>
      <c r="M38" s="23" t="n">
        <f aca="false">L39</f>
        <v>106.459</v>
      </c>
      <c r="N38" s="7" t="s">
        <v>1037</v>
      </c>
    </row>
    <row r="39" customFormat="false" ht="17.15" hidden="false" customHeight="false" outlineLevel="0" collapsed="false">
      <c r="A39" s="4" t="s">
        <v>1038</v>
      </c>
      <c r="B39" s="0" t="s">
        <v>77</v>
      </c>
      <c r="E39" s="23" t="n">
        <f aca="false">debt_0</f>
        <v>101.085</v>
      </c>
      <c r="F39" s="23" t="n">
        <f aca="false">F38-F28+F29+F35</f>
        <v>124.085</v>
      </c>
      <c r="H39" s="23" t="n">
        <f aca="false">H38-H28+H29+H35</f>
        <v>123.085</v>
      </c>
      <c r="I39" s="23" t="n">
        <f aca="false">I38-I28+I29+I35</f>
        <v>120.409</v>
      </c>
      <c r="J39" s="23" t="n">
        <f aca="false">J38-J28+J29+J35</f>
        <v>118.645</v>
      </c>
      <c r="K39" s="23" t="n">
        <f aca="false">K38-K28+K29+K35</f>
        <v>111.459</v>
      </c>
      <c r="L39" s="23" t="n">
        <f aca="false">L38-L28+L29+L35</f>
        <v>106.459</v>
      </c>
      <c r="M39" s="23" t="n">
        <f aca="false">M38-M28+M29+M35</f>
        <v>101.459</v>
      </c>
      <c r="N39" s="7" t="s">
        <v>1039</v>
      </c>
    </row>
    <row r="40" customFormat="false" ht="15" hidden="false" customHeight="false" outlineLevel="0" collapsed="false">
      <c r="A40" s="4" t="s">
        <v>1040</v>
      </c>
      <c r="B40" s="0" t="s">
        <v>77</v>
      </c>
      <c r="E40" s="23" t="n">
        <f aca="false">E36-E39</f>
        <v>54.326</v>
      </c>
      <c r="F40" s="23" t="n">
        <f aca="false">F36-F39</f>
        <v>44.3245671898866</v>
      </c>
      <c r="H40" s="23" t="n">
        <f aca="false">H36-H39</f>
        <v>21.609381590591</v>
      </c>
      <c r="I40" s="23" t="n">
        <f aca="false">I36-I39</f>
        <v>28.4949727708095</v>
      </c>
      <c r="J40" s="23" t="n">
        <f aca="false">J36-J39</f>
        <v>102.117051224591</v>
      </c>
      <c r="K40" s="23" t="n">
        <f aca="false">K36-K39</f>
        <v>229.344387113391</v>
      </c>
      <c r="L40" s="23" t="n">
        <f aca="false">L36-L39</f>
        <v>387.615786807363</v>
      </c>
      <c r="M40" s="23" t="n">
        <f aca="false">M36-M39</f>
        <v>589.219302502905</v>
      </c>
    </row>
    <row r="41" customFormat="false" ht="17.15" hidden="false" customHeight="false" outlineLevel="0" collapsed="false">
      <c r="A41" s="4" t="s">
        <v>1041</v>
      </c>
      <c r="B41" s="0" t="s">
        <v>55</v>
      </c>
      <c r="F41" s="21" t="n">
        <f aca="false">px</f>
        <v>316.8</v>
      </c>
      <c r="H41" s="21" t="n">
        <f aca="false">px*(1+ke)^(2027+mid-t_px0)</f>
        <v>340.611560599256</v>
      </c>
      <c r="I41" s="21" t="n">
        <f aca="false">px*(1+ke)^(2028+mid-t_px0)</f>
        <v>378.917784084798</v>
      </c>
      <c r="J41" s="21" t="n">
        <f aca="false">px*(1+ke)^(2029+mid-t_px0)</f>
        <v>421.53204325516</v>
      </c>
      <c r="K41" s="21" t="n">
        <f aca="false">px*(1+ke)^(2030+mid-t_px0)</f>
        <v>468.938833050668</v>
      </c>
      <c r="L41" s="21" t="n">
        <f aca="false">px*(1+ke)^(2031+mid-t_px0)</f>
        <v>521.677136202458</v>
      </c>
      <c r="M41" s="21" t="n">
        <f aca="false">px*(1+ke)^(2032+mid-t_px0)</f>
        <v>580.34655109698</v>
      </c>
    </row>
    <row r="43" customFormat="false" ht="17.15" hidden="false" customHeight="false" outlineLevel="0" collapsed="false">
      <c r="A43" s="26" t="s">
        <v>942</v>
      </c>
    </row>
    <row r="44" customFormat="false" ht="15" hidden="false" customHeight="false" outlineLevel="0" collapsed="false">
      <c r="A44" s="3" t="s">
        <v>44</v>
      </c>
      <c r="B44" s="3" t="s">
        <v>45</v>
      </c>
      <c r="C44" s="18" t="s">
        <v>829</v>
      </c>
      <c r="D44" s="18" t="s">
        <v>830</v>
      </c>
      <c r="E44" s="18" t="s">
        <v>831</v>
      </c>
      <c r="F44" s="18" t="s">
        <v>832</v>
      </c>
      <c r="G44" s="18" t="s">
        <v>833</v>
      </c>
      <c r="H44" s="18" t="s">
        <v>834</v>
      </c>
      <c r="I44" s="18" t="s">
        <v>835</v>
      </c>
      <c r="J44" s="18" t="s">
        <v>836</v>
      </c>
      <c r="K44" s="18" t="s">
        <v>837</v>
      </c>
      <c r="L44" s="18" t="s">
        <v>838</v>
      </c>
      <c r="M44" s="18" t="s">
        <v>839</v>
      </c>
      <c r="N44" s="3" t="s">
        <v>51</v>
      </c>
    </row>
    <row r="45" customFormat="false" ht="15" hidden="false" customHeight="false" outlineLevel="0" collapsed="false">
      <c r="A45" s="4" t="s">
        <v>756</v>
      </c>
      <c r="B45" s="0" t="s">
        <v>77</v>
      </c>
      <c r="C45" s="23" t="n">
        <f aca="false">PL!C118</f>
        <v>100.118</v>
      </c>
      <c r="D45" s="23" t="n">
        <f aca="false">PL!D118</f>
        <v>132.17</v>
      </c>
      <c r="E45" s="23" t="n">
        <f aca="false">PL!E118</f>
        <v>174.771</v>
      </c>
      <c r="F45" s="23" t="n">
        <f aca="false">PL!F118</f>
        <v>70.5341824426593</v>
      </c>
      <c r="G45" s="23" t="n">
        <f aca="false">PL!G118</f>
        <v>245.305182442659</v>
      </c>
      <c r="H45" s="23" t="n">
        <f aca="false">PL!H118</f>
        <v>137.200563198271</v>
      </c>
      <c r="I45" s="23" t="n">
        <f aca="false">PL!I118</f>
        <v>141.272465650363</v>
      </c>
      <c r="J45" s="23" t="n">
        <f aca="false">PL!J118</f>
        <v>147.871170317555</v>
      </c>
      <c r="K45" s="23" t="n">
        <f aca="false">PL!K118</f>
        <v>154.367206211257</v>
      </c>
      <c r="L45" s="23" t="n">
        <f aca="false">PL!L118</f>
        <v>161.085416933856</v>
      </c>
      <c r="M45" s="23" t="n">
        <f aca="false">PL!M118</f>
        <v>165.323166085484</v>
      </c>
    </row>
    <row r="46" customFormat="false" ht="15" hidden="false" customHeight="false" outlineLevel="0" collapsed="false">
      <c r="A46" s="4" t="s">
        <v>1008</v>
      </c>
      <c r="B46" s="0" t="s">
        <v>77</v>
      </c>
      <c r="C46" s="23" t="n">
        <f aca="false">PL!C103</f>
        <v>15.311</v>
      </c>
      <c r="D46" s="23" t="n">
        <f aca="false">PL!D103</f>
        <v>21.136</v>
      </c>
      <c r="E46" s="23" t="n">
        <f aca="false">PL!E103</f>
        <v>13.586</v>
      </c>
      <c r="F46" s="23" t="n">
        <f aca="false">PL!F103</f>
        <v>21.8622188301703</v>
      </c>
      <c r="G46" s="23" t="n">
        <f aca="false">PL!G103</f>
        <v>35.4482188301703</v>
      </c>
      <c r="H46" s="23" t="n">
        <f aca="false">PL!H103</f>
        <v>66.8444439593472</v>
      </c>
      <c r="I46" s="23" t="n">
        <f aca="false">PL!I103</f>
        <v>98.775108985414</v>
      </c>
      <c r="J46" s="23" t="n">
        <f aca="false">PL!J103</f>
        <v>130.9405762495</v>
      </c>
      <c r="K46" s="23" t="n">
        <f aca="false">PL!K103</f>
        <v>158.588969853241</v>
      </c>
      <c r="L46" s="23" t="n">
        <f aca="false">PL!L103</f>
        <v>182.152203827441</v>
      </c>
      <c r="M46" s="23" t="n">
        <f aca="false">PL!M103</f>
        <v>210.000272459415</v>
      </c>
    </row>
    <row r="47" customFormat="false" ht="15" hidden="false" customHeight="false" outlineLevel="0" collapsed="false">
      <c r="A47" s="4" t="s">
        <v>1009</v>
      </c>
      <c r="B47" s="0" t="s">
        <v>77</v>
      </c>
      <c r="C47" s="23" t="n">
        <f aca="false">PL!C127</f>
        <v>22.785</v>
      </c>
      <c r="D47" s="23" t="n">
        <f aca="false">PL!D127</f>
        <v>24.953</v>
      </c>
      <c r="E47" s="23" t="n">
        <f aca="false">PL!E127</f>
        <v>14.708</v>
      </c>
      <c r="F47" s="23" t="n">
        <f aca="false">PL!F127</f>
        <v>16.8583659170571</v>
      </c>
      <c r="G47" s="23" t="n">
        <f aca="false">PL!G127</f>
        <v>31.5663659170571</v>
      </c>
      <c r="H47" s="23" t="n">
        <f aca="false">PL!H127</f>
        <v>38.1974993763047</v>
      </c>
      <c r="I47" s="23" t="n">
        <f aca="false">PL!I127</f>
        <v>44.3793107632422</v>
      </c>
      <c r="J47" s="23" t="n">
        <f aca="false">PL!J127</f>
        <v>49.9621611189013</v>
      </c>
      <c r="K47" s="23" t="n">
        <f aca="false">PL!K127</f>
        <v>54.2723946547415</v>
      </c>
      <c r="L47" s="23" t="n">
        <f aca="false">PL!L127</f>
        <v>58.6378924412037</v>
      </c>
      <c r="M47" s="23" t="n">
        <f aca="false">PL!M127</f>
        <v>63.0885863355561</v>
      </c>
    </row>
    <row r="48" customFormat="false" ht="17.15" hidden="false" customHeight="false" outlineLevel="0" collapsed="false">
      <c r="A48" s="4" t="s">
        <v>1010</v>
      </c>
      <c r="B48" s="0" t="s">
        <v>77</v>
      </c>
      <c r="F48" s="23" t="n">
        <f aca="false">wc_2h</f>
        <v>8.49</v>
      </c>
      <c r="G48" s="23" t="n">
        <f aca="false">F48</f>
        <v>8.49</v>
      </c>
      <c r="H48" s="23" t="n">
        <f aca="false">wc_k*(PL!H83-PL!G83)</f>
        <v>1.26930504965447</v>
      </c>
      <c r="I48" s="23" t="n">
        <f aca="false">wc_k*(PL!I83-PL!H83)</f>
        <v>1.14623127142898</v>
      </c>
      <c r="J48" s="23" t="n">
        <f aca="false">wc_k*(PL!J83-PL!I83)</f>
        <v>1.03517193599385</v>
      </c>
      <c r="K48" s="23" t="n">
        <f aca="false">wc_k*(PL!K83-PL!J83)</f>
        <v>0.799203365599515</v>
      </c>
      <c r="L48" s="23" t="n">
        <f aca="false">wc_k*(PL!L83-PL!K83)</f>
        <v>0.809450461198236</v>
      </c>
      <c r="M48" s="23" t="n">
        <f aca="false">wc_k*(PL!M83-PL!L83)</f>
        <v>0.825247520822858</v>
      </c>
      <c r="N48" s="7" t="s">
        <v>1011</v>
      </c>
    </row>
    <row r="49" customFormat="false" ht="15" hidden="false" customHeight="false" outlineLevel="0" collapsed="false">
      <c r="A49" s="4" t="s">
        <v>1012</v>
      </c>
      <c r="B49" s="0" t="s">
        <v>77</v>
      </c>
      <c r="C49" s="23" t="n">
        <f aca="false">Q!J45-C45-C46-C47</f>
        <v>-12.915</v>
      </c>
      <c r="D49" s="23" t="n">
        <f aca="false">Q!K45-D45-D46-D47</f>
        <v>-13.546</v>
      </c>
      <c r="E49" s="23" t="n">
        <f aca="false">Q!L45-E45-E46-E47</f>
        <v>-118.206</v>
      </c>
      <c r="F49" s="25" t="n">
        <v>0</v>
      </c>
      <c r="G49" s="23" t="n">
        <f aca="false">E49+F49</f>
        <v>-118.206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</row>
    <row r="50" customFormat="false" ht="15" hidden="false" customHeight="false" outlineLevel="0" collapsed="false">
      <c r="A50" s="2" t="s">
        <v>763</v>
      </c>
      <c r="B50" s="7" t="s">
        <v>77</v>
      </c>
      <c r="C50" s="23" t="n">
        <f aca="false">C45+C46+C47+C48+C49</f>
        <v>125.299</v>
      </c>
      <c r="D50" s="23" t="n">
        <f aca="false">D45+D46+D47+D48+D49</f>
        <v>164.713</v>
      </c>
      <c r="E50" s="23" t="n">
        <f aca="false">E45+E46+E47+E48+E49</f>
        <v>84.859</v>
      </c>
      <c r="F50" s="23" t="n">
        <f aca="false">F45+F46+F47+F48+F49</f>
        <v>117.744767189887</v>
      </c>
      <c r="G50" s="23" t="n">
        <f aca="false">G45+G46+G47+G48+G49</f>
        <v>202.603767189887</v>
      </c>
      <c r="H50" s="23" t="n">
        <f aca="false">H45+H46+H47+H48+H49</f>
        <v>243.511811583578</v>
      </c>
      <c r="I50" s="23" t="n">
        <f aca="false">I45+I46+I47+I48+I49</f>
        <v>285.573116670448</v>
      </c>
      <c r="J50" s="23" t="n">
        <f aca="false">J45+J46+J47+J48+J49</f>
        <v>329.809079621949</v>
      </c>
      <c r="K50" s="23" t="n">
        <f aca="false">K45+K46+K47+K48+K49</f>
        <v>368.027774084839</v>
      </c>
      <c r="L50" s="23" t="n">
        <f aca="false">L45+L46+L47+L48+L49</f>
        <v>402.6849636637</v>
      </c>
      <c r="M50" s="23" t="n">
        <f aca="false">M45+M46+M47+M48+M49</f>
        <v>439.237272401277</v>
      </c>
    </row>
    <row r="51" customFormat="false" ht="17.15" hidden="false" customHeight="false" outlineLevel="0" collapsed="false">
      <c r="A51" s="4" t="s">
        <v>1013</v>
      </c>
      <c r="B51" s="0" t="s">
        <v>77</v>
      </c>
      <c r="F51" s="23" t="n">
        <f aca="false">Thesis!F52</f>
        <v>98.2828001170933</v>
      </c>
      <c r="G51" s="23" t="n">
        <f aca="false">F51</f>
        <v>98.2828001170933</v>
      </c>
      <c r="H51" s="23" t="n">
        <f aca="false">Thesis!H52</f>
        <v>190.01908325496</v>
      </c>
      <c r="I51" s="23" t="n">
        <f aca="false">Thesis!I52</f>
        <v>201.14438688884</v>
      </c>
      <c r="J51" s="23" t="n">
        <f aca="false">Thesis!J52</f>
        <v>180.859210495126</v>
      </c>
      <c r="K51" s="23" t="n">
        <f aca="false">Thesis!K52</f>
        <v>171.693091090462</v>
      </c>
      <c r="L51" s="23" t="n">
        <f aca="false">Thesis!L52</f>
        <v>177.214484957137</v>
      </c>
      <c r="M51" s="23" t="n">
        <f aca="false">Thesis!M52</f>
        <v>167.876844577705</v>
      </c>
    </row>
    <row r="52" customFormat="false" ht="17.15" hidden="false" customHeight="false" outlineLevel="0" collapsed="false">
      <c r="A52" s="4" t="s">
        <v>1014</v>
      </c>
      <c r="B52" s="0" t="s">
        <v>77</v>
      </c>
      <c r="F52" s="23" t="n">
        <f aca="false">Seg!F70</f>
        <v>21.1191998829067</v>
      </c>
      <c r="G52" s="23" t="n">
        <f aca="false">F52</f>
        <v>21.1191998829067</v>
      </c>
      <c r="H52" s="23" t="n">
        <f aca="false">Seg!H70</f>
        <v>48.028100530873</v>
      </c>
      <c r="I52" s="23" t="n">
        <f aca="false">Seg!I70</f>
        <v>56.8615466638512</v>
      </c>
      <c r="J52" s="23" t="n">
        <f aca="false">Seg!J70</f>
        <v>64.5041457352975</v>
      </c>
      <c r="K52" s="23" t="n">
        <f aca="false">Seg!K70</f>
        <v>69.6319226212447</v>
      </c>
      <c r="L52" s="23" t="n">
        <f aca="false">Seg!L70</f>
        <v>75.1789940087287</v>
      </c>
      <c r="M52" s="23" t="n">
        <f aca="false">Seg!M70</f>
        <v>81.1799066929384</v>
      </c>
    </row>
    <row r="53" customFormat="false" ht="15" hidden="false" customHeight="false" outlineLevel="0" collapsed="false">
      <c r="A53" s="2" t="s">
        <v>1015</v>
      </c>
      <c r="B53" s="7" t="s">
        <v>77</v>
      </c>
      <c r="C53" s="23" t="n">
        <f aca="false">Q!J46</f>
        <v>52.535</v>
      </c>
      <c r="D53" s="23" t="n">
        <f aca="false">Q!K46</f>
        <v>91.447</v>
      </c>
      <c r="E53" s="23" t="n">
        <f aca="false">Q!L46</f>
        <v>80.598</v>
      </c>
      <c r="F53" s="23" t="n">
        <f aca="false">F51+F52</f>
        <v>119.402</v>
      </c>
      <c r="G53" s="23" t="n">
        <f aca="false">E53+F53</f>
        <v>200</v>
      </c>
      <c r="H53" s="23" t="n">
        <f aca="false">H51+H52</f>
        <v>238.047183785833</v>
      </c>
      <c r="I53" s="23" t="n">
        <f aca="false">I51+I52</f>
        <v>258.005933552691</v>
      </c>
      <c r="J53" s="23" t="n">
        <f aca="false">J51+J52</f>
        <v>245.363356230423</v>
      </c>
      <c r="K53" s="23" t="n">
        <f aca="false">K51+K52</f>
        <v>241.325013711707</v>
      </c>
      <c r="L53" s="23" t="n">
        <f aca="false">L51+L52</f>
        <v>252.393478965866</v>
      </c>
      <c r="M53" s="23" t="n">
        <f aca="false">M51+M52</f>
        <v>249.056751270643</v>
      </c>
    </row>
    <row r="54" customFormat="false" ht="17.15" hidden="false" customHeight="false" outlineLevel="0" collapsed="false">
      <c r="A54" s="4" t="s">
        <v>1016</v>
      </c>
      <c r="B54" s="0" t="s">
        <v>77</v>
      </c>
      <c r="E54" s="23" t="n">
        <f aca="false">lease_1H</f>
        <v>0.84</v>
      </c>
      <c r="F54" s="23" t="n">
        <f aca="false">lease_2H</f>
        <v>0.206</v>
      </c>
      <c r="G54" s="23" t="n">
        <f aca="false">E54+F54</f>
        <v>1.046</v>
      </c>
      <c r="H54" s="23" t="n">
        <f aca="false">lease_27</f>
        <v>0.387</v>
      </c>
      <c r="I54" s="23" t="n">
        <f aca="false">lease_28</f>
        <v>0.377</v>
      </c>
      <c r="J54" s="23" t="n">
        <f aca="false">lease_29</f>
        <v>0.356</v>
      </c>
      <c r="K54" s="23" t="n">
        <f aca="false">lease_30</f>
        <v>0.285</v>
      </c>
      <c r="L54" s="23" t="n">
        <f aca="false">lease_31</f>
        <v>0.25</v>
      </c>
      <c r="M54" s="23" t="n">
        <f aca="false">lease_32</f>
        <v>0.25</v>
      </c>
      <c r="N54" s="7" t="s">
        <v>1017</v>
      </c>
    </row>
    <row r="55" customFormat="false" ht="15" hidden="false" customHeight="false" outlineLevel="0" collapsed="false">
      <c r="A55" s="26" t="s">
        <v>1018</v>
      </c>
      <c r="B55" s="28" t="s">
        <v>77</v>
      </c>
      <c r="C55" s="29" t="n">
        <f aca="false">C50-C53-N(C54)</f>
        <v>72.764</v>
      </c>
      <c r="D55" s="29" t="n">
        <f aca="false">D50-D53-N(D54)</f>
        <v>73.266</v>
      </c>
      <c r="E55" s="29" t="n">
        <f aca="false">E50-E53-N(E54)</f>
        <v>3.42100000000002</v>
      </c>
      <c r="F55" s="29" t="n">
        <f aca="false">F50-F53-N(F54)</f>
        <v>-1.86323281011337</v>
      </c>
      <c r="G55" s="29" t="n">
        <f aca="false">G50-G53-N(G54)</f>
        <v>1.55776718988664</v>
      </c>
      <c r="H55" s="29" t="n">
        <f aca="false">H50-H53-N(H54)</f>
        <v>5.0776277977445</v>
      </c>
      <c r="I55" s="29" t="n">
        <f aca="false">I50-I53-N(I54)</f>
        <v>27.1901831177566</v>
      </c>
      <c r="J55" s="29" t="n">
        <f aca="false">J50-J53-N(J54)</f>
        <v>84.089723391526</v>
      </c>
      <c r="K55" s="29" t="n">
        <f aca="false">K50-K53-N(K54)</f>
        <v>126.417760373132</v>
      </c>
      <c r="L55" s="29" t="n">
        <f aca="false">L50-L53-N(L54)</f>
        <v>150.041484697834</v>
      </c>
      <c r="M55" s="29" t="n">
        <f aca="false">M50-M53-N(M54)</f>
        <v>189.930521130634</v>
      </c>
      <c r="N55" s="28"/>
    </row>
    <row r="56" customFormat="false" ht="17.15" hidden="false" customHeight="false" outlineLevel="0" collapsed="false">
      <c r="A56" s="4" t="s">
        <v>768</v>
      </c>
      <c r="B56" s="0" t="s">
        <v>77</v>
      </c>
      <c r="C56" s="23" t="n">
        <f aca="false">Q!J50</f>
        <v>7.363</v>
      </c>
      <c r="D56" s="23" t="n">
        <f aca="false">Q!K50</f>
        <v>10.049</v>
      </c>
      <c r="E56" s="23" t="n">
        <f aca="false">Q!L50</f>
        <v>5.231</v>
      </c>
      <c r="F56" s="23" t="n">
        <f aca="false">dps/2*sh_out</f>
        <v>5.3812</v>
      </c>
      <c r="G56" s="23" t="n">
        <f aca="false">E56+F56</f>
        <v>10.6122</v>
      </c>
      <c r="H56" s="23" t="n">
        <f aca="false">dps*(1+dps_g)^(2027-2026)*PL!F122</f>
        <v>11.50374456</v>
      </c>
      <c r="I56" s="23" t="n">
        <f aca="false">dps*(1+dps_g)^(2028-2026)*PL!H122</f>
        <v>12.151289659305</v>
      </c>
      <c r="J56" s="23" t="n">
        <f aca="false">dps*(1+dps_g)^(2029-2026)*PL!I122</f>
        <v>12.8407305876723</v>
      </c>
      <c r="K56" s="23" t="n">
        <f aca="false">dps*(1+dps_g)^(2030-2026)*PL!J122</f>
        <v>13.6328519997474</v>
      </c>
      <c r="L56" s="23" t="n">
        <f aca="false">dps*(1+dps_g)^(2031-2026)*PL!K122</f>
        <v>14.4169166620373</v>
      </c>
      <c r="M56" s="23" t="n">
        <f aca="false">dps*(1+dps_g)^(2032-2026)*PL!L122</f>
        <v>15.2507037631089</v>
      </c>
      <c r="N56" s="7" t="s">
        <v>1019</v>
      </c>
    </row>
    <row r="57" customFormat="false" ht="15" hidden="false" customHeight="false" outlineLevel="0" collapsed="false">
      <c r="A57" s="4" t="s">
        <v>984</v>
      </c>
      <c r="B57" s="0" t="s">
        <v>77</v>
      </c>
      <c r="E57" s="23" t="n">
        <f aca="false">PL!E120</f>
        <v>0</v>
      </c>
      <c r="F57" s="23" t="n">
        <f aca="false">PL!F120</f>
        <v>0.535</v>
      </c>
      <c r="G57" s="23" t="n">
        <f aca="false">PL!G120</f>
        <v>0.535</v>
      </c>
      <c r="H57" s="23" t="n">
        <f aca="false">PL!H120</f>
        <v>1.203</v>
      </c>
      <c r="I57" s="23" t="n">
        <f aca="false">PL!I120</f>
        <v>1.203</v>
      </c>
      <c r="J57" s="23" t="n">
        <f aca="false">PL!J120</f>
        <v>0.602</v>
      </c>
      <c r="K57" s="23" t="n">
        <f aca="false">PL!K120</f>
        <v>0</v>
      </c>
      <c r="L57" s="23" t="n">
        <f aca="false">PL!L120</f>
        <v>0</v>
      </c>
      <c r="M57" s="23" t="n">
        <f aca="false">PL!M120</f>
        <v>0</v>
      </c>
    </row>
    <row r="58" customFormat="false" ht="15" hidden="false" customHeight="false" outlineLevel="0" collapsed="false">
      <c r="A58" s="2" t="s">
        <v>1020</v>
      </c>
      <c r="B58" s="7" t="s">
        <v>77</v>
      </c>
      <c r="C58" s="23" t="n">
        <f aca="false">C55-C56-N(C57)</f>
        <v>65.401</v>
      </c>
      <c r="D58" s="23" t="n">
        <f aca="false">D55-D56-N(D57)</f>
        <v>63.217</v>
      </c>
      <c r="E58" s="23" t="n">
        <f aca="false">E55-E56-N(E57)</f>
        <v>-1.80999999999998</v>
      </c>
      <c r="F58" s="23" t="n">
        <f aca="false">F55-F56-N(F57)</f>
        <v>-7.77943281011337</v>
      </c>
      <c r="G58" s="23" t="n">
        <f aca="false">G55-G56-N(G57)</f>
        <v>-9.58943281011336</v>
      </c>
      <c r="H58" s="23" t="n">
        <f aca="false">H55-H56-N(H57)</f>
        <v>-7.6291167622555</v>
      </c>
      <c r="I58" s="23" t="n">
        <f aca="false">I55-I56-N(I57)</f>
        <v>13.8358934584516</v>
      </c>
      <c r="J58" s="23" t="n">
        <f aca="false">J55-J56-N(J57)</f>
        <v>70.6469928038536</v>
      </c>
      <c r="K58" s="23" t="n">
        <f aca="false">K55-K56-N(K57)</f>
        <v>112.784908373385</v>
      </c>
      <c r="L58" s="23" t="n">
        <f aca="false">L55-L56-N(L57)</f>
        <v>135.624568035797</v>
      </c>
      <c r="M58" s="23" t="n">
        <f aca="false">M55-M56-N(M57)</f>
        <v>174.679817367525</v>
      </c>
    </row>
    <row r="59" customFormat="false" ht="17.15" hidden="false" customHeight="false" outlineLevel="0" collapsed="false">
      <c r="A59" s="4" t="s">
        <v>1021</v>
      </c>
      <c r="B59" s="0" t="s">
        <v>77</v>
      </c>
      <c r="E59" s="23" t="n">
        <f aca="false">anth_1H</f>
        <v>55.44</v>
      </c>
      <c r="F59" s="23" t="n">
        <f aca="false">anth_2H</f>
        <v>2.222</v>
      </c>
      <c r="G59" s="23" t="n">
        <f aca="false">E59+F59</f>
        <v>57.662</v>
      </c>
      <c r="H59" s="23" t="n">
        <f aca="false">anth_27</f>
        <v>4.444</v>
      </c>
      <c r="I59" s="23" t="n">
        <f aca="false">anth_28</f>
        <v>4.444</v>
      </c>
      <c r="J59" s="23" t="n">
        <f aca="false">anth_29</f>
        <v>4.444</v>
      </c>
      <c r="K59" s="23" t="n">
        <f aca="false">anth_30</f>
        <v>4.444</v>
      </c>
      <c r="L59" s="23" t="n">
        <f aca="false">anth_31</f>
        <v>0</v>
      </c>
      <c r="M59" s="23" t="n">
        <f aca="false">anth_32</f>
        <v>0</v>
      </c>
      <c r="N59" s="7" t="s">
        <v>1022</v>
      </c>
    </row>
    <row r="60" customFormat="false" ht="17.15" hidden="false" customHeight="false" outlineLevel="0" collapsed="false">
      <c r="A60" s="4" t="s">
        <v>1023</v>
      </c>
      <c r="B60" s="0" t="s">
        <v>77</v>
      </c>
      <c r="E60" s="23" t="n">
        <f aca="false">mat_1H</f>
        <v>5.253</v>
      </c>
      <c r="F60" s="23" t="n">
        <f aca="false">mat_2H</f>
        <v>2</v>
      </c>
      <c r="G60" s="23" t="n">
        <f aca="false">E60+F60</f>
        <v>7.253</v>
      </c>
      <c r="H60" s="23" t="n">
        <f aca="false">mat_27</f>
        <v>1</v>
      </c>
      <c r="I60" s="23" t="n">
        <f aca="false">mat_28</f>
        <v>2.676</v>
      </c>
      <c r="J60" s="23" t="n">
        <f aca="false">mat_29</f>
        <v>1.764</v>
      </c>
      <c r="K60" s="23" t="n">
        <f aca="false">mat_30</f>
        <v>7.186</v>
      </c>
      <c r="L60" s="23" t="n">
        <f aca="false">mat_31</f>
        <v>5</v>
      </c>
      <c r="M60" s="23" t="n">
        <f aca="false">mat_32</f>
        <v>5</v>
      </c>
      <c r="N60" s="7" t="s">
        <v>1024</v>
      </c>
    </row>
    <row r="61" customFormat="false" ht="17.15" hidden="false" customHeight="false" outlineLevel="0" collapsed="false">
      <c r="A61" s="4" t="s">
        <v>1025</v>
      </c>
      <c r="B61" s="0" t="s">
        <v>77</v>
      </c>
      <c r="E61" s="23" t="n">
        <f aca="false">newd_1H</f>
        <v>56.226</v>
      </c>
      <c r="F61" s="23" t="n">
        <f aca="false">debt_new_2h</f>
        <v>25</v>
      </c>
      <c r="G61" s="23" t="n">
        <f aca="false">E61+F61</f>
        <v>81.226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7" t="s">
        <v>1026</v>
      </c>
    </row>
    <row r="62" customFormat="false" ht="17.15" hidden="false" customHeight="false" outlineLevel="0" collapsed="false">
      <c r="A62" s="4" t="s">
        <v>1027</v>
      </c>
      <c r="B62" s="0" t="s">
        <v>77</v>
      </c>
      <c r="E62" s="23" t="n">
        <f aca="false">eq_1H</f>
        <v>49.562</v>
      </c>
      <c r="F62" s="25" t="n">
        <v>0</v>
      </c>
      <c r="G62" s="23" t="n">
        <f aca="false">E62+F62</f>
        <v>49.562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v>0</v>
      </c>
      <c r="M62" s="25" t="n">
        <v>0</v>
      </c>
      <c r="N62" s="7" t="s">
        <v>1028</v>
      </c>
    </row>
    <row r="63" customFormat="false" ht="15" hidden="false" customHeight="false" outlineLevel="0" collapsed="false">
      <c r="A63" s="4" t="s">
        <v>1029</v>
      </c>
      <c r="B63" s="0" t="s">
        <v>77</v>
      </c>
      <c r="E63" s="23" t="n">
        <f aca="false">cash_ye25</f>
        <v>120.53</v>
      </c>
      <c r="F63" s="23" t="n">
        <f aca="false">E68</f>
        <v>155.411</v>
      </c>
      <c r="H63" s="23" t="n">
        <f aca="false">F68</f>
        <v>168.409567189887</v>
      </c>
      <c r="I63" s="23" t="n">
        <f aca="false">H68</f>
        <v>138.333450427631</v>
      </c>
      <c r="J63" s="23" t="n">
        <f aca="false">I68</f>
        <v>128.046343886083</v>
      </c>
      <c r="K63" s="23" t="n">
        <f aca="false">J68</f>
        <v>175.482336689936</v>
      </c>
      <c r="L63" s="23" t="n">
        <f aca="false">K68</f>
        <v>259.634245063321</v>
      </c>
      <c r="M63" s="23" t="n">
        <f aca="false">L68</f>
        <v>373.255813099118</v>
      </c>
    </row>
    <row r="64" customFormat="false" ht="17.15" hidden="false" customHeight="false" outlineLevel="0" collapsed="false">
      <c r="A64" s="4" t="s">
        <v>1030</v>
      </c>
      <c r="B64" s="0" t="s">
        <v>77</v>
      </c>
      <c r="E64" s="23" t="n">
        <f aca="false">cash_0-(E63+E55-E56-E57-E59-E60+E61+E62)</f>
        <v>-8.40400000000003</v>
      </c>
      <c r="F64" s="25" t="n">
        <v>0</v>
      </c>
      <c r="H64" s="25" t="n">
        <v>0</v>
      </c>
      <c r="I64" s="25" t="n">
        <v>0</v>
      </c>
      <c r="J64" s="25" t="n">
        <v>0</v>
      </c>
      <c r="K64" s="25" t="n">
        <v>0</v>
      </c>
      <c r="L64" s="25" t="n">
        <v>0</v>
      </c>
      <c r="M64" s="25" t="n">
        <v>0</v>
      </c>
    </row>
    <row r="65" customFormat="false" ht="15" hidden="false" customHeight="false" outlineLevel="0" collapsed="false">
      <c r="A65" s="4" t="s">
        <v>1031</v>
      </c>
      <c r="B65" s="0" t="s">
        <v>77</v>
      </c>
      <c r="E65" s="23" t="n">
        <f aca="false">E63+E55-E56-E57-E59-E60+E61+E62+E64</f>
        <v>155.411</v>
      </c>
      <c r="F65" s="23" t="n">
        <f aca="false">F63+F55-F56-F57-F59-F60+F61+F62+F64</f>
        <v>168.409567189887</v>
      </c>
      <c r="H65" s="23" t="n">
        <f aca="false">H63+H55-H56-H57-H59-H60+H61+H62+H64</f>
        <v>155.336450427631</v>
      </c>
      <c r="I65" s="23" t="n">
        <f aca="false">I63+I55-I56-I57-I59-I60+I61+I62+I64</f>
        <v>145.049343886083</v>
      </c>
      <c r="J65" s="23" t="n">
        <f aca="false">J63+J55-J56-J57-J59-J60+J61+J62+J64</f>
        <v>192.485336689936</v>
      </c>
      <c r="K65" s="23" t="n">
        <f aca="false">K63+K55-K56-K57-K59-K60+K61+K62+K64</f>
        <v>276.637245063321</v>
      </c>
      <c r="L65" s="23" t="n">
        <f aca="false">L63+L55-L56-L57-L59-L60+L61+L62+L64</f>
        <v>390.258813099118</v>
      </c>
      <c r="M65" s="23" t="n">
        <f aca="false">M63+M55-M56-M57-M59-M60+M61+M62+M64</f>
        <v>542.935630466643</v>
      </c>
    </row>
    <row r="66" customFormat="false" ht="17.15" hidden="false" customHeight="false" outlineLevel="0" collapsed="false">
      <c r="A66" s="4" t="s">
        <v>767</v>
      </c>
      <c r="B66" s="0" t="s">
        <v>77</v>
      </c>
      <c r="E66" s="23" t="n">
        <f aca="false">Q!L49</f>
        <v>0</v>
      </c>
      <c r="F66" s="25" t="n">
        <v>0</v>
      </c>
      <c r="G66" s="23" t="n">
        <f aca="false">E66+F66</f>
        <v>0</v>
      </c>
      <c r="H66" s="23" t="n">
        <f aca="false">MAX(0,MIN(bb_t,H65-min_cash))</f>
        <v>17.003</v>
      </c>
      <c r="I66" s="23" t="n">
        <f aca="false">MAX(0,MIN(bb_t,I65-min_cash))</f>
        <v>17.003</v>
      </c>
      <c r="J66" s="23" t="n">
        <f aca="false">MAX(0,MIN(bb_t,J65-min_cash))</f>
        <v>17.003</v>
      </c>
      <c r="K66" s="23" t="n">
        <f aca="false">MAX(0,MIN(bb_t,K65-min_cash))</f>
        <v>17.003</v>
      </c>
      <c r="L66" s="23" t="n">
        <f aca="false">MAX(0,MIN(bb_t,L65-min_cash))</f>
        <v>17.003</v>
      </c>
      <c r="M66" s="23" t="n">
        <f aca="false">MAX(0,MIN(bb_t,M65-min_cash))</f>
        <v>17.003</v>
      </c>
      <c r="N66" s="7" t="s">
        <v>1032</v>
      </c>
    </row>
    <row r="67" customFormat="false" ht="15" hidden="false" customHeight="false" outlineLevel="0" collapsed="false">
      <c r="A67" s="4" t="s">
        <v>1033</v>
      </c>
      <c r="B67" s="0" t="s">
        <v>77</v>
      </c>
      <c r="E67" s="25" t="n">
        <v>0</v>
      </c>
      <c r="F67" s="23" t="n">
        <f aca="false">MAX(0,min_cash-(F65-F66))</f>
        <v>0</v>
      </c>
      <c r="G67" s="23" t="n">
        <f aca="false">E67+F67</f>
        <v>0</v>
      </c>
      <c r="H67" s="23" t="n">
        <f aca="false">MAX(0,min_cash-(H65-H66))</f>
        <v>0</v>
      </c>
      <c r="I67" s="23" t="n">
        <f aca="false">MAX(0,min_cash-(I65-I66))</f>
        <v>0</v>
      </c>
      <c r="J67" s="23" t="n">
        <f aca="false">MAX(0,min_cash-(J65-J66))</f>
        <v>0</v>
      </c>
      <c r="K67" s="23" t="n">
        <f aca="false">MAX(0,min_cash-(K65-K66))</f>
        <v>0</v>
      </c>
      <c r="L67" s="23" t="n">
        <f aca="false">MAX(0,min_cash-(L65-L66))</f>
        <v>0</v>
      </c>
      <c r="M67" s="23" t="n">
        <f aca="false">MAX(0,min_cash-(M65-M66))</f>
        <v>0</v>
      </c>
    </row>
    <row r="68" customFormat="false" ht="15" hidden="false" customHeight="false" outlineLevel="0" collapsed="false">
      <c r="A68" s="4" t="s">
        <v>1034</v>
      </c>
      <c r="B68" s="0" t="s">
        <v>77</v>
      </c>
      <c r="E68" s="23" t="n">
        <f aca="false">E65-E66+E67</f>
        <v>155.411</v>
      </c>
      <c r="F68" s="23" t="n">
        <f aca="false">F65-F66+F67</f>
        <v>168.409567189887</v>
      </c>
      <c r="H68" s="23" t="n">
        <f aca="false">H65-H66+H67</f>
        <v>138.333450427631</v>
      </c>
      <c r="I68" s="23" t="n">
        <f aca="false">I65-I66+I67</f>
        <v>128.046343886083</v>
      </c>
      <c r="J68" s="23" t="n">
        <f aca="false">J65-J66+J67</f>
        <v>175.482336689936</v>
      </c>
      <c r="K68" s="23" t="n">
        <f aca="false">K65-K66+K67</f>
        <v>259.634245063321</v>
      </c>
      <c r="L68" s="23" t="n">
        <f aca="false">L65-L66+L67</f>
        <v>373.255813099118</v>
      </c>
      <c r="M68" s="23" t="n">
        <f aca="false">M65-M66+M67</f>
        <v>525.932630466643</v>
      </c>
    </row>
    <row r="69" customFormat="false" ht="17.15" hidden="false" customHeight="false" outlineLevel="0" collapsed="false">
      <c r="A69" s="4" t="s">
        <v>1035</v>
      </c>
      <c r="B69" s="0" t="s">
        <v>77</v>
      </c>
      <c r="E69" s="19" t="n">
        <f aca="false">E68-cash_0</f>
        <v>0</v>
      </c>
    </row>
    <row r="70" customFormat="false" ht="17.15" hidden="false" customHeight="false" outlineLevel="0" collapsed="false">
      <c r="A70" s="4" t="s">
        <v>1036</v>
      </c>
      <c r="B70" s="0" t="s">
        <v>77</v>
      </c>
      <c r="E70" s="23" t="n">
        <f aca="false">debt_ye25</f>
        <v>49.085</v>
      </c>
      <c r="F70" s="23" t="n">
        <f aca="false">E71</f>
        <v>101.085</v>
      </c>
      <c r="H70" s="23" t="n">
        <f aca="false">F71</f>
        <v>124.085</v>
      </c>
      <c r="I70" s="23" t="n">
        <f aca="false">H71</f>
        <v>123.085</v>
      </c>
      <c r="J70" s="23" t="n">
        <f aca="false">I71</f>
        <v>120.409</v>
      </c>
      <c r="K70" s="23" t="n">
        <f aca="false">J71</f>
        <v>118.645</v>
      </c>
      <c r="L70" s="23" t="n">
        <f aca="false">K71</f>
        <v>111.459</v>
      </c>
      <c r="M70" s="23" t="n">
        <f aca="false">L71</f>
        <v>106.459</v>
      </c>
      <c r="N70" s="7" t="s">
        <v>1037</v>
      </c>
    </row>
    <row r="71" customFormat="false" ht="17.15" hidden="false" customHeight="false" outlineLevel="0" collapsed="false">
      <c r="A71" s="4" t="s">
        <v>1038</v>
      </c>
      <c r="B71" s="0" t="s">
        <v>77</v>
      </c>
      <c r="E71" s="23" t="n">
        <f aca="false">debt_0</f>
        <v>101.085</v>
      </c>
      <c r="F71" s="23" t="n">
        <f aca="false">F70-F60+F61+F67</f>
        <v>124.085</v>
      </c>
      <c r="H71" s="23" t="n">
        <f aca="false">H70-H60+H61+H67</f>
        <v>123.085</v>
      </c>
      <c r="I71" s="23" t="n">
        <f aca="false">I70-I60+I61+I67</f>
        <v>120.409</v>
      </c>
      <c r="J71" s="23" t="n">
        <f aca="false">J70-J60+J61+J67</f>
        <v>118.645</v>
      </c>
      <c r="K71" s="23" t="n">
        <f aca="false">K70-K60+K61+K67</f>
        <v>111.459</v>
      </c>
      <c r="L71" s="23" t="n">
        <f aca="false">L70-L60+L61+L67</f>
        <v>106.459</v>
      </c>
      <c r="M71" s="23" t="n">
        <f aca="false">M70-M60+M61+M67</f>
        <v>101.459</v>
      </c>
      <c r="N71" s="7" t="s">
        <v>1039</v>
      </c>
    </row>
    <row r="72" customFormat="false" ht="15" hidden="false" customHeight="false" outlineLevel="0" collapsed="false">
      <c r="A72" s="4" t="s">
        <v>1040</v>
      </c>
      <c r="B72" s="0" t="s">
        <v>77</v>
      </c>
      <c r="E72" s="23" t="n">
        <f aca="false">E68-E71</f>
        <v>54.326</v>
      </c>
      <c r="F72" s="23" t="n">
        <f aca="false">F68-F71</f>
        <v>44.3245671898866</v>
      </c>
      <c r="H72" s="23" t="n">
        <f aca="false">H68-H71</f>
        <v>15.2484504276311</v>
      </c>
      <c r="I72" s="23" t="n">
        <f aca="false">I68-I71</f>
        <v>7.63734388608276</v>
      </c>
      <c r="J72" s="23" t="n">
        <f aca="false">J68-J71</f>
        <v>56.8373366899364</v>
      </c>
      <c r="K72" s="23" t="n">
        <f aca="false">K68-K71</f>
        <v>148.175245063321</v>
      </c>
      <c r="L72" s="23" t="n">
        <f aca="false">L68-L71</f>
        <v>266.796813099118</v>
      </c>
      <c r="M72" s="23" t="n">
        <f aca="false">M68-M71</f>
        <v>424.473630466643</v>
      </c>
    </row>
    <row r="73" customFormat="false" ht="17.15" hidden="false" customHeight="false" outlineLevel="0" collapsed="false">
      <c r="A73" s="4" t="s">
        <v>1041</v>
      </c>
      <c r="B73" s="0" t="s">
        <v>55</v>
      </c>
      <c r="F73" s="21" t="n">
        <f aca="false">px</f>
        <v>316.8</v>
      </c>
      <c r="H73" s="21" t="n">
        <f aca="false">px*(1+ke)^(2027+mid-t_px0)</f>
        <v>340.611560599256</v>
      </c>
      <c r="I73" s="21" t="n">
        <f aca="false">px*(1+ke)^(2028+mid-t_px0)</f>
        <v>378.917784084798</v>
      </c>
      <c r="J73" s="21" t="n">
        <f aca="false">px*(1+ke)^(2029+mid-t_px0)</f>
        <v>421.53204325516</v>
      </c>
      <c r="K73" s="21" t="n">
        <f aca="false">px*(1+ke)^(2030+mid-t_px0)</f>
        <v>468.938833050668</v>
      </c>
      <c r="L73" s="21" t="n">
        <f aca="false">px*(1+ke)^(2031+mid-t_px0)</f>
        <v>521.677136202458</v>
      </c>
      <c r="M73" s="21" t="n">
        <f aca="false">px*(1+ke)^(2032+mid-t_px0)</f>
        <v>580.34655109698</v>
      </c>
    </row>
    <row r="75" customFormat="false" ht="17.15" hidden="false" customHeight="false" outlineLevel="0" collapsed="false">
      <c r="A75" s="26" t="s">
        <v>944</v>
      </c>
    </row>
    <row r="76" customFormat="false" ht="15" hidden="false" customHeight="false" outlineLevel="0" collapsed="false">
      <c r="A76" s="3" t="s">
        <v>44</v>
      </c>
      <c r="B76" s="3" t="s">
        <v>45</v>
      </c>
      <c r="C76" s="18" t="s">
        <v>829</v>
      </c>
      <c r="D76" s="18" t="s">
        <v>830</v>
      </c>
      <c r="E76" s="18" t="s">
        <v>831</v>
      </c>
      <c r="F76" s="18" t="s">
        <v>832</v>
      </c>
      <c r="G76" s="18" t="s">
        <v>833</v>
      </c>
      <c r="H76" s="18" t="s">
        <v>834</v>
      </c>
      <c r="I76" s="18" t="s">
        <v>835</v>
      </c>
      <c r="J76" s="18" t="s">
        <v>836</v>
      </c>
      <c r="K76" s="18" t="s">
        <v>837</v>
      </c>
      <c r="L76" s="18" t="s">
        <v>838</v>
      </c>
      <c r="M76" s="18" t="s">
        <v>839</v>
      </c>
      <c r="N76" s="3" t="s">
        <v>51</v>
      </c>
    </row>
    <row r="77" customFormat="false" ht="15" hidden="false" customHeight="false" outlineLevel="0" collapsed="false">
      <c r="A77" s="4" t="s">
        <v>756</v>
      </c>
      <c r="B77" s="0" t="s">
        <v>77</v>
      </c>
      <c r="C77" s="23" t="n">
        <f aca="false">PL!C177</f>
        <v>100.118</v>
      </c>
      <c r="D77" s="23" t="n">
        <f aca="false">PL!D177</f>
        <v>132.17</v>
      </c>
      <c r="E77" s="23" t="n">
        <f aca="false">PL!E177</f>
        <v>174.771</v>
      </c>
      <c r="F77" s="23" t="n">
        <f aca="false">PL!F177</f>
        <v>70.5341824426593</v>
      </c>
      <c r="G77" s="23" t="n">
        <f aca="false">PL!G177</f>
        <v>245.305182442659</v>
      </c>
      <c r="H77" s="23" t="n">
        <f aca="false">PL!H177</f>
        <v>125.15700650141</v>
      </c>
      <c r="I77" s="23" t="n">
        <f aca="false">PL!I177</f>
        <v>114.376168662988</v>
      </c>
      <c r="J77" s="23" t="n">
        <f aca="false">PL!J177</f>
        <v>103.727463799382</v>
      </c>
      <c r="K77" s="23" t="n">
        <f aca="false">PL!K177</f>
        <v>91.2585172473251</v>
      </c>
      <c r="L77" s="23" t="n">
        <f aca="false">PL!L177</f>
        <v>91.5950541490841</v>
      </c>
      <c r="M77" s="23" t="n">
        <f aca="false">PL!M177</f>
        <v>88.8891965541243</v>
      </c>
    </row>
    <row r="78" customFormat="false" ht="15" hidden="false" customHeight="false" outlineLevel="0" collapsed="false">
      <c r="A78" s="4" t="s">
        <v>1008</v>
      </c>
      <c r="B78" s="0" t="s">
        <v>77</v>
      </c>
      <c r="C78" s="23" t="n">
        <f aca="false">PL!C162</f>
        <v>15.311</v>
      </c>
      <c r="D78" s="23" t="n">
        <f aca="false">PL!D162</f>
        <v>21.136</v>
      </c>
      <c r="E78" s="23" t="n">
        <f aca="false">PL!E162</f>
        <v>13.586</v>
      </c>
      <c r="F78" s="23" t="n">
        <f aca="false">PL!F162</f>
        <v>21.8622188301703</v>
      </c>
      <c r="G78" s="23" t="n">
        <f aca="false">PL!G162</f>
        <v>35.4482188301703</v>
      </c>
      <c r="H78" s="23" t="n">
        <f aca="false">PL!H162</f>
        <v>66.8110493990838</v>
      </c>
      <c r="I78" s="23" t="n">
        <f aca="false">PL!I162</f>
        <v>98.5677317285365</v>
      </c>
      <c r="J78" s="23" t="n">
        <f aca="false">PL!J162</f>
        <v>130.391915084639</v>
      </c>
      <c r="K78" s="23" t="n">
        <f aca="false">PL!K162</f>
        <v>157.511039748394</v>
      </c>
      <c r="L78" s="23" t="n">
        <f aca="false">PL!L162</f>
        <v>180.382271620115</v>
      </c>
      <c r="M78" s="23" t="n">
        <f aca="false">PL!M162</f>
        <v>207.482977981411</v>
      </c>
    </row>
    <row r="79" customFormat="false" ht="15" hidden="false" customHeight="false" outlineLevel="0" collapsed="false">
      <c r="A79" s="4" t="s">
        <v>1009</v>
      </c>
      <c r="B79" s="0" t="s">
        <v>77</v>
      </c>
      <c r="C79" s="23" t="n">
        <f aca="false">PL!C186</f>
        <v>22.785</v>
      </c>
      <c r="D79" s="23" t="n">
        <f aca="false">PL!D186</f>
        <v>24.953</v>
      </c>
      <c r="E79" s="23" t="n">
        <f aca="false">PL!E186</f>
        <v>14.708</v>
      </c>
      <c r="F79" s="23" t="n">
        <f aca="false">PL!F186</f>
        <v>16.8583659170571</v>
      </c>
      <c r="G79" s="23" t="n">
        <f aca="false">PL!G186</f>
        <v>31.5663659170571</v>
      </c>
      <c r="H79" s="23" t="n">
        <f aca="false">PL!H186</f>
        <v>36.7927015412231</v>
      </c>
      <c r="I79" s="23" t="n">
        <f aca="false">PL!I186</f>
        <v>41.2748321642576</v>
      </c>
      <c r="J79" s="23" t="n">
        <f aca="false">PL!J186</f>
        <v>44.9189205200292</v>
      </c>
      <c r="K79" s="23" t="n">
        <f aca="false">PL!K186</f>
        <v>47.1375363759161</v>
      </c>
      <c r="L79" s="23" t="n">
        <f aca="false">PL!L186</f>
        <v>50.9322455000723</v>
      </c>
      <c r="M79" s="23" t="n">
        <f aca="false">PL!M186</f>
        <v>54.7664876391341</v>
      </c>
    </row>
    <row r="80" customFormat="false" ht="17.15" hidden="false" customHeight="false" outlineLevel="0" collapsed="false">
      <c r="A80" s="4" t="s">
        <v>1010</v>
      </c>
      <c r="B80" s="0" t="s">
        <v>77</v>
      </c>
      <c r="F80" s="23" t="n">
        <f aca="false">wc_2h</f>
        <v>8.49</v>
      </c>
      <c r="G80" s="23" t="n">
        <f aca="false">F80</f>
        <v>8.49</v>
      </c>
      <c r="H80" s="23" t="n">
        <f aca="false">wc_k*(PL!H142-PL!G142)</f>
        <v>1.00882747959971</v>
      </c>
      <c r="I80" s="23" t="n">
        <f aca="false">wc_k*(PL!I142-PL!H142)</f>
        <v>0.831076518058697</v>
      </c>
      <c r="J80" s="23" t="n">
        <f aca="false">wc_k*(PL!J142-PL!I142)</f>
        <v>0.67568674742517</v>
      </c>
      <c r="K80" s="23" t="n">
        <f aca="false">wc_k*(PL!K142-PL!J142)</f>
        <v>0.411375681677908</v>
      </c>
      <c r="L80" s="23" t="n">
        <f aca="false">wc_k*(PL!L142-PL!K142)</f>
        <v>0.703614845525008</v>
      </c>
      <c r="M80" s="23" t="n">
        <f aca="false">wc_k*(PL!M142-PL!L142)</f>
        <v>0.710945055895773</v>
      </c>
      <c r="N80" s="7" t="s">
        <v>1011</v>
      </c>
    </row>
    <row r="81" customFormat="false" ht="15" hidden="false" customHeight="false" outlineLevel="0" collapsed="false">
      <c r="A81" s="4" t="s">
        <v>1012</v>
      </c>
      <c r="B81" s="0" t="s">
        <v>77</v>
      </c>
      <c r="C81" s="23" t="n">
        <f aca="false">Q!J45-C77-C78-C79</f>
        <v>-12.915</v>
      </c>
      <c r="D81" s="23" t="n">
        <f aca="false">Q!K45-D77-D78-D79</f>
        <v>-13.546</v>
      </c>
      <c r="E81" s="23" t="n">
        <f aca="false">Q!L45-E77-E78-E79</f>
        <v>-118.206</v>
      </c>
      <c r="F81" s="25" t="n">
        <v>0</v>
      </c>
      <c r="G81" s="23" t="n">
        <f aca="false">E81+F81</f>
        <v>-118.206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</row>
    <row r="82" customFormat="false" ht="15" hidden="false" customHeight="false" outlineLevel="0" collapsed="false">
      <c r="A82" s="2" t="s">
        <v>763</v>
      </c>
      <c r="B82" s="7" t="s">
        <v>77</v>
      </c>
      <c r="C82" s="23" t="n">
        <f aca="false">C77+C78+C79+C80+C81</f>
        <v>125.299</v>
      </c>
      <c r="D82" s="23" t="n">
        <f aca="false">D77+D78+D79+D80+D81</f>
        <v>164.713</v>
      </c>
      <c r="E82" s="23" t="n">
        <f aca="false">E77+E78+E79+E80+E81</f>
        <v>84.859</v>
      </c>
      <c r="F82" s="23" t="n">
        <f aca="false">F77+F78+F79+F80+F81</f>
        <v>117.744767189887</v>
      </c>
      <c r="G82" s="23" t="n">
        <f aca="false">G77+G78+G79+G80+G81</f>
        <v>202.603767189887</v>
      </c>
      <c r="H82" s="23" t="n">
        <f aca="false">H77+H78+H79+H80+H81</f>
        <v>229.769584921317</v>
      </c>
      <c r="I82" s="23" t="n">
        <f aca="false">I77+I78+I79+I80+I81</f>
        <v>255.049809073841</v>
      </c>
      <c r="J82" s="23" t="n">
        <f aca="false">J77+J78+J79+J80+J81</f>
        <v>279.713986151475</v>
      </c>
      <c r="K82" s="23" t="n">
        <f aca="false">K77+K78+K79+K80+K81</f>
        <v>296.318469053313</v>
      </c>
      <c r="L82" s="23" t="n">
        <f aca="false">L77+L78+L79+L80+L81</f>
        <v>323.613186114797</v>
      </c>
      <c r="M82" s="23" t="n">
        <f aca="false">M77+M78+M79+M80+M81</f>
        <v>351.849607230565</v>
      </c>
    </row>
    <row r="83" customFormat="false" ht="17.15" hidden="false" customHeight="false" outlineLevel="0" collapsed="false">
      <c r="A83" s="4" t="s">
        <v>1013</v>
      </c>
      <c r="B83" s="0" t="s">
        <v>77</v>
      </c>
      <c r="F83" s="23" t="n">
        <f aca="false">Thesis!F52</f>
        <v>98.2828001170933</v>
      </c>
      <c r="G83" s="23" t="n">
        <f aca="false">F83</f>
        <v>98.2828001170933</v>
      </c>
      <c r="H83" s="23" t="n">
        <f aca="false">Thesis!H52</f>
        <v>190.01908325496</v>
      </c>
      <c r="I83" s="23" t="n">
        <f aca="false">Thesis!I52</f>
        <v>201.14438688884</v>
      </c>
      <c r="J83" s="23" t="n">
        <f aca="false">Thesis!J52</f>
        <v>180.859210495126</v>
      </c>
      <c r="K83" s="23" t="n">
        <f aca="false">Thesis!K52</f>
        <v>171.693091090462</v>
      </c>
      <c r="L83" s="23" t="n">
        <f aca="false">Thesis!L52</f>
        <v>177.214484957137</v>
      </c>
      <c r="M83" s="23" t="n">
        <f aca="false">Thesis!M52</f>
        <v>167.876844577705</v>
      </c>
    </row>
    <row r="84" customFormat="false" ht="17.15" hidden="false" customHeight="false" outlineLevel="0" collapsed="false">
      <c r="A84" s="4" t="s">
        <v>1014</v>
      </c>
      <c r="B84" s="0" t="s">
        <v>77</v>
      </c>
      <c r="F84" s="23" t="n">
        <f aca="false">Seg!F106</f>
        <v>21.1191998829067</v>
      </c>
      <c r="G84" s="23" t="n">
        <f aca="false">F84</f>
        <v>21.1191998829067</v>
      </c>
      <c r="H84" s="23" t="n">
        <f aca="false">Seg!H106</f>
        <v>46.6923181203358</v>
      </c>
      <c r="I84" s="23" t="n">
        <f aca="false">Seg!I106</f>
        <v>53.9095860309023</v>
      </c>
      <c r="J84" s="23" t="n">
        <f aca="false">Seg!J106</f>
        <v>59.7086713148169</v>
      </c>
      <c r="K84" s="23" t="n">
        <f aca="false">Seg!K106</f>
        <v>62.8475882832174</v>
      </c>
      <c r="L84" s="23" t="n">
        <f aca="false">Seg!L106</f>
        <v>67.8519129236592</v>
      </c>
      <c r="M84" s="23" t="n">
        <f aca="false">Seg!M106</f>
        <v>73.2666591210633</v>
      </c>
    </row>
    <row r="85" customFormat="false" ht="15" hidden="false" customHeight="false" outlineLevel="0" collapsed="false">
      <c r="A85" s="2" t="s">
        <v>1015</v>
      </c>
      <c r="B85" s="7" t="s">
        <v>77</v>
      </c>
      <c r="C85" s="23" t="n">
        <f aca="false">Q!J46</f>
        <v>52.535</v>
      </c>
      <c r="D85" s="23" t="n">
        <f aca="false">Q!K46</f>
        <v>91.447</v>
      </c>
      <c r="E85" s="23" t="n">
        <f aca="false">Q!L46</f>
        <v>80.598</v>
      </c>
      <c r="F85" s="23" t="n">
        <f aca="false">F83+F84</f>
        <v>119.402</v>
      </c>
      <c r="G85" s="23" t="n">
        <f aca="false">E85+F85</f>
        <v>200</v>
      </c>
      <c r="H85" s="23" t="n">
        <f aca="false">H83+H84</f>
        <v>236.711401375296</v>
      </c>
      <c r="I85" s="23" t="n">
        <f aca="false">I83+I84</f>
        <v>255.053972919742</v>
      </c>
      <c r="J85" s="23" t="n">
        <f aca="false">J83+J84</f>
        <v>240.567881809943</v>
      </c>
      <c r="K85" s="23" t="n">
        <f aca="false">K83+K84</f>
        <v>234.54067937368</v>
      </c>
      <c r="L85" s="23" t="n">
        <f aca="false">L83+L84</f>
        <v>245.066397880796</v>
      </c>
      <c r="M85" s="23" t="n">
        <f aca="false">M83+M84</f>
        <v>241.143503698768</v>
      </c>
    </row>
    <row r="86" customFormat="false" ht="17.15" hidden="false" customHeight="false" outlineLevel="0" collapsed="false">
      <c r="A86" s="4" t="s">
        <v>1016</v>
      </c>
      <c r="B86" s="0" t="s">
        <v>77</v>
      </c>
      <c r="E86" s="23" t="n">
        <f aca="false">lease_1H</f>
        <v>0.84</v>
      </c>
      <c r="F86" s="23" t="n">
        <f aca="false">lease_2H</f>
        <v>0.206</v>
      </c>
      <c r="G86" s="23" t="n">
        <f aca="false">E86+F86</f>
        <v>1.046</v>
      </c>
      <c r="H86" s="23" t="n">
        <f aca="false">lease_27</f>
        <v>0.387</v>
      </c>
      <c r="I86" s="23" t="n">
        <f aca="false">lease_28</f>
        <v>0.377</v>
      </c>
      <c r="J86" s="23" t="n">
        <f aca="false">lease_29</f>
        <v>0.356</v>
      </c>
      <c r="K86" s="23" t="n">
        <f aca="false">lease_30</f>
        <v>0.285</v>
      </c>
      <c r="L86" s="23" t="n">
        <f aca="false">lease_31</f>
        <v>0.25</v>
      </c>
      <c r="M86" s="23" t="n">
        <f aca="false">lease_32</f>
        <v>0.25</v>
      </c>
      <c r="N86" s="7" t="s">
        <v>1017</v>
      </c>
    </row>
    <row r="87" customFormat="false" ht="15" hidden="false" customHeight="false" outlineLevel="0" collapsed="false">
      <c r="A87" s="26" t="s">
        <v>1018</v>
      </c>
      <c r="B87" s="28" t="s">
        <v>77</v>
      </c>
      <c r="C87" s="29" t="n">
        <f aca="false">C82-C85-N(C86)</f>
        <v>72.764</v>
      </c>
      <c r="D87" s="29" t="n">
        <f aca="false">D82-D85-N(D86)</f>
        <v>73.266</v>
      </c>
      <c r="E87" s="29" t="n">
        <f aca="false">E82-E85-N(E86)</f>
        <v>3.42100000000002</v>
      </c>
      <c r="F87" s="29" t="n">
        <f aca="false">F82-F85-N(F86)</f>
        <v>-1.86323281011337</v>
      </c>
      <c r="G87" s="29" t="n">
        <f aca="false">G82-G85-N(G86)</f>
        <v>1.55776718988664</v>
      </c>
      <c r="H87" s="29" t="n">
        <f aca="false">H82-H85-N(H86)</f>
        <v>-7.32881645397896</v>
      </c>
      <c r="I87" s="29" t="n">
        <f aca="false">I82-I85-N(I86)</f>
        <v>-0.381163845901019</v>
      </c>
      <c r="J87" s="29" t="n">
        <f aca="false">J82-J85-N(J86)</f>
        <v>38.7901043415329</v>
      </c>
      <c r="K87" s="29" t="n">
        <f aca="false">K82-K85-N(K86)</f>
        <v>61.4927896796334</v>
      </c>
      <c r="L87" s="29" t="n">
        <f aca="false">L82-L85-N(L86)</f>
        <v>78.2967882340004</v>
      </c>
      <c r="M87" s="29" t="n">
        <f aca="false">M82-M85-N(M86)</f>
        <v>110.456103531797</v>
      </c>
      <c r="N87" s="28"/>
    </row>
    <row r="88" customFormat="false" ht="17.15" hidden="false" customHeight="false" outlineLevel="0" collapsed="false">
      <c r="A88" s="4" t="s">
        <v>768</v>
      </c>
      <c r="B88" s="0" t="s">
        <v>77</v>
      </c>
      <c r="C88" s="23" t="n">
        <f aca="false">Q!J50</f>
        <v>7.363</v>
      </c>
      <c r="D88" s="23" t="n">
        <f aca="false">Q!K50</f>
        <v>10.049</v>
      </c>
      <c r="E88" s="23" t="n">
        <f aca="false">Q!L50</f>
        <v>5.231</v>
      </c>
      <c r="F88" s="23" t="n">
        <f aca="false">dps/2*sh_out</f>
        <v>5.3812</v>
      </c>
      <c r="G88" s="23" t="n">
        <f aca="false">E88+F88</f>
        <v>10.6122</v>
      </c>
      <c r="H88" s="23" t="n">
        <f aca="false">dps*(1+dps_g)^(2027-2026)*PL!F181</f>
        <v>11.50374456</v>
      </c>
      <c r="I88" s="23" t="n">
        <f aca="false">dps*(1+dps_g)^(2028-2026)*PL!H181</f>
        <v>12.151289659305</v>
      </c>
      <c r="J88" s="23" t="n">
        <f aca="false">dps*(1+dps_g)^(2029-2026)*PL!I181</f>
        <v>12.8407305876723</v>
      </c>
      <c r="K88" s="23" t="n">
        <f aca="false">dps*(1+dps_g)^(2030-2026)*PL!J181</f>
        <v>13.6328519997474</v>
      </c>
      <c r="L88" s="23" t="n">
        <f aca="false">dps*(1+dps_g)^(2031-2026)*PL!K181</f>
        <v>14.4169166620373</v>
      </c>
      <c r="M88" s="23" t="n">
        <f aca="false">dps*(1+dps_g)^(2032-2026)*PL!L181</f>
        <v>15.2507037631089</v>
      </c>
      <c r="N88" s="7" t="s">
        <v>1019</v>
      </c>
    </row>
    <row r="89" customFormat="false" ht="15" hidden="false" customHeight="false" outlineLevel="0" collapsed="false">
      <c r="A89" s="4" t="s">
        <v>984</v>
      </c>
      <c r="B89" s="0" t="s">
        <v>77</v>
      </c>
      <c r="E89" s="23" t="n">
        <f aca="false">PL!E179</f>
        <v>0</v>
      </c>
      <c r="F89" s="23" t="n">
        <f aca="false">PL!F179</f>
        <v>0.535</v>
      </c>
      <c r="G89" s="23" t="n">
        <f aca="false">PL!G179</f>
        <v>0.535</v>
      </c>
      <c r="H89" s="23" t="n">
        <f aca="false">PL!H179</f>
        <v>1.203</v>
      </c>
      <c r="I89" s="23" t="n">
        <f aca="false">PL!I179</f>
        <v>1.203</v>
      </c>
      <c r="J89" s="23" t="n">
        <f aca="false">PL!J179</f>
        <v>0.602</v>
      </c>
      <c r="K89" s="23" t="n">
        <f aca="false">PL!K179</f>
        <v>0</v>
      </c>
      <c r="L89" s="23" t="n">
        <f aca="false">PL!L179</f>
        <v>0</v>
      </c>
      <c r="M89" s="23" t="n">
        <f aca="false">PL!M179</f>
        <v>0</v>
      </c>
    </row>
    <row r="90" customFormat="false" ht="15" hidden="false" customHeight="false" outlineLevel="0" collapsed="false">
      <c r="A90" s="2" t="s">
        <v>1020</v>
      </c>
      <c r="B90" s="7" t="s">
        <v>77</v>
      </c>
      <c r="C90" s="23" t="n">
        <f aca="false">C87-C88-N(C89)</f>
        <v>65.401</v>
      </c>
      <c r="D90" s="23" t="n">
        <f aca="false">D87-D88-N(D89)</f>
        <v>63.217</v>
      </c>
      <c r="E90" s="23" t="n">
        <f aca="false">E87-E88-N(E89)</f>
        <v>-1.80999999999998</v>
      </c>
      <c r="F90" s="23" t="n">
        <f aca="false">F87-F88-N(F89)</f>
        <v>-7.77943281011337</v>
      </c>
      <c r="G90" s="23" t="n">
        <f aca="false">G87-G88-N(G89)</f>
        <v>-9.58943281011336</v>
      </c>
      <c r="H90" s="23" t="n">
        <f aca="false">H87-H88-N(H89)</f>
        <v>-20.035561013979</v>
      </c>
      <c r="I90" s="23" t="n">
        <f aca="false">I87-I88-N(I89)</f>
        <v>-13.735453505206</v>
      </c>
      <c r="J90" s="23" t="n">
        <f aca="false">J87-J88-N(J89)</f>
        <v>25.3473737538605</v>
      </c>
      <c r="K90" s="23" t="n">
        <f aca="false">K87-K88-N(K89)</f>
        <v>47.8599376798859</v>
      </c>
      <c r="L90" s="23" t="n">
        <f aca="false">L87-L88-N(L89)</f>
        <v>63.8798715719632</v>
      </c>
      <c r="M90" s="23" t="n">
        <f aca="false">M87-M88-N(M89)</f>
        <v>95.2053997686885</v>
      </c>
    </row>
    <row r="91" customFormat="false" ht="17.15" hidden="false" customHeight="false" outlineLevel="0" collapsed="false">
      <c r="A91" s="4" t="s">
        <v>1021</v>
      </c>
      <c r="B91" s="0" t="s">
        <v>77</v>
      </c>
      <c r="E91" s="23" t="n">
        <f aca="false">anth_1H</f>
        <v>55.44</v>
      </c>
      <c r="F91" s="23" t="n">
        <f aca="false">anth_2H</f>
        <v>2.222</v>
      </c>
      <c r="G91" s="23" t="n">
        <f aca="false">E91+F91</f>
        <v>57.662</v>
      </c>
      <c r="H91" s="23" t="n">
        <f aca="false">anth_27</f>
        <v>4.444</v>
      </c>
      <c r="I91" s="23" t="n">
        <f aca="false">anth_28</f>
        <v>4.444</v>
      </c>
      <c r="J91" s="23" t="n">
        <f aca="false">anth_29</f>
        <v>4.444</v>
      </c>
      <c r="K91" s="23" t="n">
        <f aca="false">anth_30</f>
        <v>4.444</v>
      </c>
      <c r="L91" s="23" t="n">
        <f aca="false">anth_31</f>
        <v>0</v>
      </c>
      <c r="M91" s="23" t="n">
        <f aca="false">anth_32</f>
        <v>0</v>
      </c>
      <c r="N91" s="7" t="s">
        <v>1022</v>
      </c>
    </row>
    <row r="92" customFormat="false" ht="17.15" hidden="false" customHeight="false" outlineLevel="0" collapsed="false">
      <c r="A92" s="4" t="s">
        <v>1023</v>
      </c>
      <c r="B92" s="0" t="s">
        <v>77</v>
      </c>
      <c r="E92" s="23" t="n">
        <f aca="false">mat_1H</f>
        <v>5.253</v>
      </c>
      <c r="F92" s="23" t="n">
        <f aca="false">mat_2H</f>
        <v>2</v>
      </c>
      <c r="G92" s="23" t="n">
        <f aca="false">E92+F92</f>
        <v>7.253</v>
      </c>
      <c r="H92" s="23" t="n">
        <f aca="false">mat_27</f>
        <v>1</v>
      </c>
      <c r="I92" s="23" t="n">
        <f aca="false">mat_28</f>
        <v>2.676</v>
      </c>
      <c r="J92" s="23" t="n">
        <f aca="false">mat_29</f>
        <v>1.764</v>
      </c>
      <c r="K92" s="23" t="n">
        <f aca="false">mat_30</f>
        <v>7.186</v>
      </c>
      <c r="L92" s="23" t="n">
        <f aca="false">mat_31</f>
        <v>5</v>
      </c>
      <c r="M92" s="23" t="n">
        <f aca="false">mat_32</f>
        <v>5</v>
      </c>
      <c r="N92" s="7" t="s">
        <v>1024</v>
      </c>
    </row>
    <row r="93" customFormat="false" ht="17.15" hidden="false" customHeight="false" outlineLevel="0" collapsed="false">
      <c r="A93" s="4" t="s">
        <v>1025</v>
      </c>
      <c r="B93" s="0" t="s">
        <v>77</v>
      </c>
      <c r="E93" s="23" t="n">
        <f aca="false">newd_1H</f>
        <v>56.226</v>
      </c>
      <c r="F93" s="23" t="n">
        <f aca="false">debt_new_2h</f>
        <v>25</v>
      </c>
      <c r="G93" s="23" t="n">
        <f aca="false">E93+F93</f>
        <v>81.226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7" t="s">
        <v>1026</v>
      </c>
    </row>
    <row r="94" customFormat="false" ht="17.15" hidden="false" customHeight="false" outlineLevel="0" collapsed="false">
      <c r="A94" s="4" t="s">
        <v>1027</v>
      </c>
      <c r="B94" s="0" t="s">
        <v>77</v>
      </c>
      <c r="E94" s="23" t="n">
        <f aca="false">eq_1H</f>
        <v>49.562</v>
      </c>
      <c r="F94" s="25" t="n">
        <v>0</v>
      </c>
      <c r="G94" s="23" t="n">
        <f aca="false">E94+F94</f>
        <v>49.562</v>
      </c>
      <c r="H94" s="25" t="n">
        <v>0</v>
      </c>
      <c r="I94" s="25" t="n">
        <v>0</v>
      </c>
      <c r="J94" s="25" t="n">
        <v>0</v>
      </c>
      <c r="K94" s="25" t="n">
        <v>0</v>
      </c>
      <c r="L94" s="25" t="n">
        <v>0</v>
      </c>
      <c r="M94" s="25" t="n">
        <v>0</v>
      </c>
      <c r="N94" s="7" t="s">
        <v>1028</v>
      </c>
    </row>
    <row r="95" customFormat="false" ht="15" hidden="false" customHeight="false" outlineLevel="0" collapsed="false">
      <c r="A95" s="4" t="s">
        <v>1029</v>
      </c>
      <c r="B95" s="0" t="s">
        <v>77</v>
      </c>
      <c r="E95" s="23" t="n">
        <f aca="false">cash_ye25</f>
        <v>120.53</v>
      </c>
      <c r="F95" s="23" t="n">
        <f aca="false">E100</f>
        <v>155.411</v>
      </c>
      <c r="H95" s="23" t="n">
        <f aca="false">F100</f>
        <v>168.409567189887</v>
      </c>
      <c r="I95" s="23" t="n">
        <f aca="false">H100</f>
        <v>125.927006175908</v>
      </c>
      <c r="J95" s="23" t="n">
        <f aca="false">I100</f>
        <v>88.0685526707017</v>
      </c>
      <c r="K95" s="23" t="n">
        <f aca="false">J100</f>
        <v>90.2049264245622</v>
      </c>
      <c r="L95" s="23" t="n">
        <f aca="false">K100</f>
        <v>109.431864104448</v>
      </c>
      <c r="M95" s="23" t="n">
        <f aca="false">L100</f>
        <v>151.308735676411</v>
      </c>
    </row>
    <row r="96" customFormat="false" ht="17.15" hidden="false" customHeight="false" outlineLevel="0" collapsed="false">
      <c r="A96" s="4" t="s">
        <v>1030</v>
      </c>
      <c r="B96" s="0" t="s">
        <v>77</v>
      </c>
      <c r="E96" s="23" t="n">
        <f aca="false">cash_0-(E95+E87-E88-E89-E91-E92+E93+E94)</f>
        <v>-8.40400000000003</v>
      </c>
      <c r="F96" s="25" t="n">
        <v>0</v>
      </c>
      <c r="H96" s="25" t="n">
        <v>0</v>
      </c>
      <c r="I96" s="25" t="n">
        <v>0</v>
      </c>
      <c r="J96" s="25" t="n">
        <v>0</v>
      </c>
      <c r="K96" s="25" t="n">
        <v>0</v>
      </c>
      <c r="L96" s="25" t="n">
        <v>0</v>
      </c>
      <c r="M96" s="25" t="n">
        <v>0</v>
      </c>
    </row>
    <row r="97" customFormat="false" ht="15" hidden="false" customHeight="false" outlineLevel="0" collapsed="false">
      <c r="A97" s="4" t="s">
        <v>1031</v>
      </c>
      <c r="B97" s="0" t="s">
        <v>77</v>
      </c>
      <c r="E97" s="23" t="n">
        <f aca="false">E95+E87-E88-E89-E91-E92+E93+E94+E96</f>
        <v>155.411</v>
      </c>
      <c r="F97" s="23" t="n">
        <f aca="false">F95+F87-F88-F89-F91-F92+F93+F94+F96</f>
        <v>168.409567189887</v>
      </c>
      <c r="H97" s="23" t="n">
        <f aca="false">H95+H87-H88-H89-H91-H92+H93+H94+H96</f>
        <v>142.930006175908</v>
      </c>
      <c r="I97" s="23" t="n">
        <f aca="false">I95+I87-I88-I89-I91-I92+I93+I94+I96</f>
        <v>105.071552670702</v>
      </c>
      <c r="J97" s="23" t="n">
        <f aca="false">J95+J87-J88-J89-J91-J92+J93+J94+J96</f>
        <v>107.207926424562</v>
      </c>
      <c r="K97" s="23" t="n">
        <f aca="false">K95+K87-K88-K89-K91-K92+K93+K94+K96</f>
        <v>126.434864104448</v>
      </c>
      <c r="L97" s="23" t="n">
        <f aca="false">L95+L87-L88-L89-L91-L92+L93+L94+L96</f>
        <v>168.311735676411</v>
      </c>
      <c r="M97" s="23" t="n">
        <f aca="false">M95+M87-M88-M89-M91-M92+M93+M94+M96</f>
        <v>241.5141354451</v>
      </c>
    </row>
    <row r="98" customFormat="false" ht="17.15" hidden="false" customHeight="false" outlineLevel="0" collapsed="false">
      <c r="A98" s="4" t="s">
        <v>767</v>
      </c>
      <c r="B98" s="0" t="s">
        <v>77</v>
      </c>
      <c r="E98" s="23" t="n">
        <f aca="false">Q!L49</f>
        <v>0</v>
      </c>
      <c r="F98" s="25" t="n">
        <v>0</v>
      </c>
      <c r="G98" s="23" t="n">
        <f aca="false">E98+F98</f>
        <v>0</v>
      </c>
      <c r="H98" s="23" t="n">
        <f aca="false">MAX(0,MIN(bb_t,H97-min_cash))</f>
        <v>17.003</v>
      </c>
      <c r="I98" s="23" t="n">
        <f aca="false">MAX(0,MIN(bb_t,I97-min_cash))</f>
        <v>17.003</v>
      </c>
      <c r="J98" s="23" t="n">
        <f aca="false">MAX(0,MIN(bb_t,J97-min_cash))</f>
        <v>17.003</v>
      </c>
      <c r="K98" s="23" t="n">
        <f aca="false">MAX(0,MIN(bb_t,K97-min_cash))</f>
        <v>17.003</v>
      </c>
      <c r="L98" s="23" t="n">
        <f aca="false">MAX(0,MIN(bb_t,L97-min_cash))</f>
        <v>17.003</v>
      </c>
      <c r="M98" s="23" t="n">
        <f aca="false">MAX(0,MIN(bb_t,M97-min_cash))</f>
        <v>17.003</v>
      </c>
      <c r="N98" s="7" t="s">
        <v>1032</v>
      </c>
    </row>
    <row r="99" customFormat="false" ht="15" hidden="false" customHeight="false" outlineLevel="0" collapsed="false">
      <c r="A99" s="4" t="s">
        <v>1033</v>
      </c>
      <c r="B99" s="0" t="s">
        <v>77</v>
      </c>
      <c r="E99" s="25" t="n">
        <v>0</v>
      </c>
      <c r="F99" s="23" t="n">
        <f aca="false">MAX(0,min_cash-(F97-F98))</f>
        <v>0</v>
      </c>
      <c r="G99" s="23" t="n">
        <f aca="false">E99+F99</f>
        <v>0</v>
      </c>
      <c r="H99" s="23" t="n">
        <f aca="false">MAX(0,min_cash-(H97-H98))</f>
        <v>0</v>
      </c>
      <c r="I99" s="23" t="n">
        <f aca="false">MAX(0,min_cash-(I97-I98))</f>
        <v>0</v>
      </c>
      <c r="J99" s="23" t="n">
        <f aca="false">MAX(0,min_cash-(J97-J98))</f>
        <v>0</v>
      </c>
      <c r="K99" s="23" t="n">
        <f aca="false">MAX(0,min_cash-(K97-K98))</f>
        <v>0</v>
      </c>
      <c r="L99" s="23" t="n">
        <f aca="false">MAX(0,min_cash-(L97-L98))</f>
        <v>0</v>
      </c>
      <c r="M99" s="23" t="n">
        <f aca="false">MAX(0,min_cash-(M97-M98))</f>
        <v>0</v>
      </c>
    </row>
    <row r="100" customFormat="false" ht="15" hidden="false" customHeight="false" outlineLevel="0" collapsed="false">
      <c r="A100" s="4" t="s">
        <v>1034</v>
      </c>
      <c r="B100" s="0" t="s">
        <v>77</v>
      </c>
      <c r="E100" s="23" t="n">
        <f aca="false">E97-E98+E99</f>
        <v>155.411</v>
      </c>
      <c r="F100" s="23" t="n">
        <f aca="false">F97-F98+F99</f>
        <v>168.409567189887</v>
      </c>
      <c r="H100" s="23" t="n">
        <f aca="false">H97-H98+H99</f>
        <v>125.927006175908</v>
      </c>
      <c r="I100" s="23" t="n">
        <f aca="false">I97-I98+I99</f>
        <v>88.0685526707017</v>
      </c>
      <c r="J100" s="23" t="n">
        <f aca="false">J97-J98+J99</f>
        <v>90.2049264245622</v>
      </c>
      <c r="K100" s="23" t="n">
        <f aca="false">K97-K98+K99</f>
        <v>109.431864104448</v>
      </c>
      <c r="L100" s="23" t="n">
        <f aca="false">L97-L98+L99</f>
        <v>151.308735676411</v>
      </c>
      <c r="M100" s="23" t="n">
        <f aca="false">M97-M98+M99</f>
        <v>224.5111354451</v>
      </c>
    </row>
    <row r="101" customFormat="false" ht="17.15" hidden="false" customHeight="false" outlineLevel="0" collapsed="false">
      <c r="A101" s="4" t="s">
        <v>1035</v>
      </c>
      <c r="B101" s="0" t="s">
        <v>77</v>
      </c>
      <c r="E101" s="19" t="n">
        <f aca="false">E100-cash_0</f>
        <v>0</v>
      </c>
    </row>
    <row r="102" customFormat="false" ht="17.15" hidden="false" customHeight="false" outlineLevel="0" collapsed="false">
      <c r="A102" s="4" t="s">
        <v>1036</v>
      </c>
      <c r="B102" s="0" t="s">
        <v>77</v>
      </c>
      <c r="E102" s="23" t="n">
        <f aca="false">debt_ye25</f>
        <v>49.085</v>
      </c>
      <c r="F102" s="23" t="n">
        <f aca="false">E103</f>
        <v>101.085</v>
      </c>
      <c r="H102" s="23" t="n">
        <f aca="false">F103</f>
        <v>124.085</v>
      </c>
      <c r="I102" s="23" t="n">
        <f aca="false">H103</f>
        <v>123.085</v>
      </c>
      <c r="J102" s="23" t="n">
        <f aca="false">I103</f>
        <v>120.409</v>
      </c>
      <c r="K102" s="23" t="n">
        <f aca="false">J103</f>
        <v>118.645</v>
      </c>
      <c r="L102" s="23" t="n">
        <f aca="false">K103</f>
        <v>111.459</v>
      </c>
      <c r="M102" s="23" t="n">
        <f aca="false">L103</f>
        <v>106.459</v>
      </c>
      <c r="N102" s="7" t="s">
        <v>1037</v>
      </c>
    </row>
    <row r="103" customFormat="false" ht="17.15" hidden="false" customHeight="false" outlineLevel="0" collapsed="false">
      <c r="A103" s="4" t="s">
        <v>1038</v>
      </c>
      <c r="B103" s="0" t="s">
        <v>77</v>
      </c>
      <c r="E103" s="23" t="n">
        <f aca="false">debt_0</f>
        <v>101.085</v>
      </c>
      <c r="F103" s="23" t="n">
        <f aca="false">F102-F92+F93+F99</f>
        <v>124.085</v>
      </c>
      <c r="H103" s="23" t="n">
        <f aca="false">H102-H92+H93+H99</f>
        <v>123.085</v>
      </c>
      <c r="I103" s="23" t="n">
        <f aca="false">I102-I92+I93+I99</f>
        <v>120.409</v>
      </c>
      <c r="J103" s="23" t="n">
        <f aca="false">J102-J92+J93+J99</f>
        <v>118.645</v>
      </c>
      <c r="K103" s="23" t="n">
        <f aca="false">K102-K92+K93+K99</f>
        <v>111.459</v>
      </c>
      <c r="L103" s="23" t="n">
        <f aca="false">L102-L92+L93+L99</f>
        <v>106.459</v>
      </c>
      <c r="M103" s="23" t="n">
        <f aca="false">M102-M92+M93+M99</f>
        <v>101.459</v>
      </c>
      <c r="N103" s="7" t="s">
        <v>1039</v>
      </c>
    </row>
    <row r="104" customFormat="false" ht="15" hidden="false" customHeight="false" outlineLevel="0" collapsed="false">
      <c r="A104" s="4" t="s">
        <v>1040</v>
      </c>
      <c r="B104" s="0" t="s">
        <v>77</v>
      </c>
      <c r="E104" s="23" t="n">
        <f aca="false">E100-E103</f>
        <v>54.326</v>
      </c>
      <c r="F104" s="23" t="n">
        <f aca="false">F100-F103</f>
        <v>44.3245671898866</v>
      </c>
      <c r="H104" s="23" t="n">
        <f aca="false">H100-H103</f>
        <v>2.84200617590767</v>
      </c>
      <c r="I104" s="23" t="n">
        <f aca="false">I100-I103</f>
        <v>-32.3404473292983</v>
      </c>
      <c r="J104" s="23" t="n">
        <f aca="false">J100-J103</f>
        <v>-28.4400735754378</v>
      </c>
      <c r="K104" s="23" t="n">
        <f aca="false">K100-K103</f>
        <v>-2.02713589555181</v>
      </c>
      <c r="L104" s="23" t="n">
        <f aca="false">L100-L103</f>
        <v>44.8497356764113</v>
      </c>
      <c r="M104" s="23" t="n">
        <f aca="false">M100-M103</f>
        <v>123.0521354451</v>
      </c>
    </row>
    <row r="105" customFormat="false" ht="17.15" hidden="false" customHeight="false" outlineLevel="0" collapsed="false">
      <c r="A105" s="4" t="s">
        <v>1041</v>
      </c>
      <c r="B105" s="0" t="s">
        <v>55</v>
      </c>
      <c r="F105" s="21" t="n">
        <f aca="false">px</f>
        <v>316.8</v>
      </c>
      <c r="H105" s="21" t="n">
        <f aca="false">px*(1+ke)^(2027+mid-t_px0)</f>
        <v>340.611560599256</v>
      </c>
      <c r="I105" s="21" t="n">
        <f aca="false">px*(1+ke)^(2028+mid-t_px0)</f>
        <v>378.917784084798</v>
      </c>
      <c r="J105" s="21" t="n">
        <f aca="false">px*(1+ke)^(2029+mid-t_px0)</f>
        <v>421.53204325516</v>
      </c>
      <c r="K105" s="21" t="n">
        <f aca="false">px*(1+ke)^(2030+mid-t_px0)</f>
        <v>468.938833050668</v>
      </c>
      <c r="L105" s="21" t="n">
        <f aca="false">px*(1+ke)^(2031+mid-t_px0)</f>
        <v>521.677136202458</v>
      </c>
      <c r="M105" s="21" t="n">
        <f aca="false">px*(1+ke)^(2032+mid-t_px0)</f>
        <v>580.34655109698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1042</v>
      </c>
    </row>
    <row r="2" customFormat="false" ht="17.15" hidden="false" customHeight="false" outlineLevel="0" collapsed="false">
      <c r="A2" s="0" t="s">
        <v>1043</v>
      </c>
    </row>
    <row r="4" customFormat="false" ht="17.15" hidden="false" customHeight="false" outlineLevel="0" collapsed="false">
      <c r="A4" s="5" t="s">
        <v>1044</v>
      </c>
    </row>
    <row r="5" customFormat="false" ht="15" hidden="false" customHeight="false" outlineLevel="0" collapsed="false">
      <c r="A5" s="3" t="s">
        <v>44</v>
      </c>
      <c r="B5" s="3" t="s">
        <v>773</v>
      </c>
      <c r="C5" s="3" t="s">
        <v>1045</v>
      </c>
      <c r="D5" s="3" t="s">
        <v>1045</v>
      </c>
      <c r="E5" s="3" t="s">
        <v>51</v>
      </c>
    </row>
    <row r="6" customFormat="false" ht="17.15" hidden="false" customHeight="false" outlineLevel="0" collapsed="false">
      <c r="A6" s="9" t="s">
        <v>1046</v>
      </c>
      <c r="B6" s="31" t="n">
        <f aca="false">tp_wA*B102+tp_wB*C102+tp_wC*D102</f>
        <v>179.63303738065</v>
      </c>
      <c r="C6" s="9"/>
      <c r="D6" s="9"/>
      <c r="E6" s="9"/>
    </row>
    <row r="7" customFormat="false" ht="17.15" hidden="false" customHeight="false" outlineLevel="0" collapsed="false">
      <c r="A7" s="0" t="s">
        <v>1047</v>
      </c>
      <c r="B7" s="23" t="n">
        <f aca="false">tp_wA*B145+tp_wB*C145+tp_wC*D145</f>
        <v>318.240608748662</v>
      </c>
      <c r="E7" s="4" t="s">
        <v>1048</v>
      </c>
    </row>
    <row r="8" customFormat="false" ht="17.15" hidden="false" customHeight="false" outlineLevel="0" collapsed="false">
      <c r="A8" s="32" t="s">
        <v>1049</v>
      </c>
      <c r="B8" s="31" t="n">
        <f aca="false">w_dcf*B6+(1-w_dcf)*B7</f>
        <v>248.936823064656</v>
      </c>
      <c r="C8" s="9"/>
      <c r="D8" s="9"/>
      <c r="E8" s="9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54</v>
      </c>
      <c r="B9" s="23" t="n">
        <f aca="false">px</f>
        <v>316.8</v>
      </c>
      <c r="E9" s="7" t="s">
        <v>1050</v>
      </c>
    </row>
    <row r="10" customFormat="false" ht="17.15" hidden="false" customHeight="false" outlineLevel="0" collapsed="false">
      <c r="A10" s="4" t="s">
        <v>1051</v>
      </c>
      <c r="B10" s="23" t="n">
        <f aca="false">cons_tp</f>
        <v>429.12</v>
      </c>
      <c r="E10" s="7" t="s">
        <v>1052</v>
      </c>
    </row>
    <row r="11" customFormat="false" ht="15" hidden="false" customHeight="false" outlineLevel="0" collapsed="false">
      <c r="A11" s="32" t="s">
        <v>1053</v>
      </c>
      <c r="B11" s="33" t="n">
        <f aca="false">B8/px-1</f>
        <v>-0.214214573659545</v>
      </c>
      <c r="C11" s="9"/>
      <c r="D11" s="9"/>
      <c r="E11" s="9"/>
    </row>
    <row r="12" customFormat="false" ht="17.15" hidden="false" customHeight="false" outlineLevel="0" collapsed="false">
      <c r="A12" s="4" t="s">
        <v>1054</v>
      </c>
      <c r="B12" s="14" t="n">
        <f aca="false">B7/px-1</f>
        <v>0.00454737610057454</v>
      </c>
    </row>
    <row r="13" customFormat="false" ht="17.15" hidden="false" customHeight="false" outlineLevel="0" collapsed="false">
      <c r="A13" s="4" t="s">
        <v>1055</v>
      </c>
      <c r="B13" s="34" t="str">
        <f aca="false">IF(B11&gt;0.5,"大於 50%",IF(B11&gt;0.25,"25%–50%",IF(B11&gt;=0,"0%–25%",IF(B11&gt;=-0.25,"0%～−25%",IF(B11&gt;=-0.5,"−25%～−50%","小於 −50%")))))</f>
        <v>0%～−25%</v>
      </c>
      <c r="E13" s="4" t="s">
        <v>1056</v>
      </c>
    </row>
    <row r="14" customFormat="false" ht="17.15" hidden="false" customHeight="false" outlineLevel="0" collapsed="false">
      <c r="A14" s="32" t="s">
        <v>1057</v>
      </c>
      <c r="B14" s="35" t="str">
        <f aca="false">IF(B11&gt;=0.5,"強力買進",IF(B11&gt;=0.25,"買進",IF(B11&gt;-0.25,"中立",IF(B11&gt;-0.5,"放空","強力放空"))))</f>
        <v>中立</v>
      </c>
      <c r="C14" s="9"/>
      <c r="D14" s="9"/>
      <c r="E14" s="10" t="s">
        <v>1058</v>
      </c>
    </row>
    <row r="15" customFormat="false" ht="17.15" hidden="false" customHeight="false" outlineLevel="0" collapsed="false">
      <c r="A15" s="4" t="s">
        <v>1059</v>
      </c>
      <c r="B15" s="23" t="n">
        <f aca="false">D102</f>
        <v>139.447447307797</v>
      </c>
      <c r="C15" s="23" t="n">
        <f aca="false">B102</f>
        <v>209.656284978196</v>
      </c>
      <c r="E15" s="7" t="s">
        <v>1060</v>
      </c>
    </row>
    <row r="16" customFormat="false" ht="17.15" hidden="false" customHeight="false" outlineLevel="0" collapsed="false">
      <c r="A16" s="4" t="s">
        <v>1061</v>
      </c>
      <c r="B16" s="23" t="n">
        <f aca="false">D102</f>
        <v>139.447447307797</v>
      </c>
      <c r="E16" s="4" t="s">
        <v>1062</v>
      </c>
    </row>
    <row r="17" customFormat="false" ht="17.15" hidden="false" customHeight="false" outlineLevel="0" collapsed="false">
      <c r="A17" s="4" t="s">
        <v>1063</v>
      </c>
      <c r="B17" s="23" t="n">
        <f aca="false">w_dcf*B102+(1-w_dcf)*B145</f>
        <v>273.021021059199</v>
      </c>
      <c r="C17" s="23" t="n">
        <f aca="false">w_dcf*C102+(1-w_dcf)*C145</f>
        <v>253.154994158464</v>
      </c>
      <c r="D17" s="23" t="n">
        <f aca="false">w_dcf*D102+(1-w_dcf)*D145</f>
        <v>216.416282882498</v>
      </c>
    </row>
    <row r="18" customFormat="false" ht="17.15" hidden="false" customHeight="false" outlineLevel="0" collapsed="false">
      <c r="A18" s="4" t="s">
        <v>1064</v>
      </c>
      <c r="B18" s="14" t="n">
        <f aca="false">B17/px-1</f>
        <v>-0.138191221404044</v>
      </c>
      <c r="C18" s="14" t="n">
        <f aca="false">C17/px-1</f>
        <v>-0.200899639651313</v>
      </c>
      <c r="D18" s="14" t="n">
        <f aca="false">D17/px-1</f>
        <v>-0.316867793931509</v>
      </c>
    </row>
    <row r="19" customFormat="false" ht="17.15" hidden="false" customHeight="false" outlineLevel="0" collapsed="false">
      <c r="A19" s="0" t="s">
        <v>1065</v>
      </c>
      <c r="B19" s="14" t="n">
        <f aca="false">B94</f>
        <v>0.731906049665067</v>
      </c>
      <c r="C19" s="14" t="n">
        <f aca="false">C94</f>
        <v>0.741294040264534</v>
      </c>
      <c r="D19" s="14" t="n">
        <f aca="false">D94</f>
        <v>0.769574102462181</v>
      </c>
    </row>
    <row r="20" customFormat="false" ht="17.15" hidden="false" customHeight="false" outlineLevel="0" collapsed="false">
      <c r="A20" s="4" t="s">
        <v>1066</v>
      </c>
      <c r="B20" s="23" t="n">
        <f aca="false">w_dcf*(tp_wA*B101+tp_wB*C101+tp_wC*D101)+(1-w_dcf)*(tp_wA*B144+tp_wB*C144+tp_wC*D144)</f>
        <v>248.936823064656</v>
      </c>
      <c r="C20" s="14" t="n">
        <f aca="false">B20/px-1</f>
        <v>-0.214214573659545</v>
      </c>
      <c r="D20" s="34" t="str">
        <f aca="false">IF(C20&gt;=0.5,"強力買進",IF(C20&gt;=0.25,"買進",IF(C20&gt;-0.25,"中立",IF(C20&gt;-0.5,"放空","強力放空"))))</f>
        <v>中立</v>
      </c>
      <c r="E20" s="4" t="s">
        <v>1067</v>
      </c>
    </row>
    <row r="21" customFormat="false" ht="17.15" hidden="false" customHeight="false" outlineLevel="0" collapsed="false">
      <c r="A21" s="4" t="s">
        <v>1068</v>
      </c>
      <c r="B21" s="23" t="n">
        <f aca="false">w_dcf*(tp_wA*B100+tp_wB*C100+tp_wC*D100)+(1-w_dcf)*(tp_wA*B143+tp_wB*C143+tp_wC*D143)</f>
        <v>180.178615020161</v>
      </c>
      <c r="C21" s="14" t="n">
        <f aca="false">B21/px-1</f>
        <v>-0.431254371779796</v>
      </c>
      <c r="D21" s="34" t="str">
        <f aca="false">IF(C21&gt;=0.5,"強力買進",IF(C21&gt;=0.25,"買進",IF(C21&gt;-0.25,"中立",IF(C21&gt;-0.5,"放空","強力放空"))))</f>
        <v>放空</v>
      </c>
      <c r="E21" s="4" t="s">
        <v>1069</v>
      </c>
    </row>
    <row r="22" customFormat="false" ht="17.15" hidden="false" customHeight="false" outlineLevel="0" collapsed="false">
      <c r="A22" s="4" t="s">
        <v>1070</v>
      </c>
      <c r="B22" s="23" t="n">
        <f aca="false">tp_wA*B100+tp_wB*C100+tp_wC*D100</f>
        <v>94.5522318452605</v>
      </c>
      <c r="C22" s="23" t="n">
        <f aca="false">tp_wA*B101+tp_wB*C101+tp_wC*D101</f>
        <v>179.63303738065</v>
      </c>
    </row>
    <row r="23" customFormat="false" ht="17.15" hidden="false" customHeight="false" outlineLevel="0" collapsed="false">
      <c r="A23" s="4" t="s">
        <v>1071</v>
      </c>
      <c r="B23" s="23" t="n">
        <f aca="false">tp_wA*B143+tp_wB*C143+tp_wC*D143</f>
        <v>265.804998195061</v>
      </c>
      <c r="C23" s="23" t="n">
        <f aca="false">tp_wA*B144+tp_wB*C144+tp_wC*D144</f>
        <v>318.240608748662</v>
      </c>
    </row>
    <row r="24" customFormat="false" ht="17.15" hidden="false" customHeight="false" outlineLevel="0" collapsed="false">
      <c r="A24" s="4" t="s">
        <v>1072</v>
      </c>
      <c r="B24" s="34" t="s">
        <v>1073</v>
      </c>
    </row>
    <row r="25" customFormat="false" ht="17.15" hidden="false" customHeight="false" outlineLevel="0" collapsed="false">
      <c r="A25" s="4" t="s">
        <v>1074</v>
      </c>
      <c r="B25" s="19" t="n">
        <f aca="false">ROUND(tp_wA+tp_wB+tp_wC,6)</f>
        <v>1</v>
      </c>
    </row>
    <row r="26" customFormat="false" ht="17.15" hidden="false" customHeight="false" outlineLevel="0" collapsed="false">
      <c r="A26" s="4" t="s">
        <v>1075</v>
      </c>
      <c r="B26" s="19" t="n">
        <f aca="false">B8-IF(internal_ai_reading=2,B20,B21)</f>
        <v>0</v>
      </c>
    </row>
    <row r="32" customFormat="false" ht="17.15" hidden="false" customHeight="false" outlineLevel="0" collapsed="false">
      <c r="A32" s="5" t="s">
        <v>1076</v>
      </c>
    </row>
    <row r="33" customFormat="false" ht="15" hidden="false" customHeight="false" outlineLevel="0" collapsed="false">
      <c r="A33" s="3" t="s">
        <v>44</v>
      </c>
      <c r="B33" s="3" t="s">
        <v>773</v>
      </c>
      <c r="C33" s="3"/>
      <c r="D33" s="3"/>
      <c r="E33" s="3" t="s">
        <v>51</v>
      </c>
    </row>
    <row r="34" customFormat="false" ht="17.15" hidden="false" customHeight="false" outlineLevel="0" collapsed="false">
      <c r="A34" s="4" t="s">
        <v>1077</v>
      </c>
      <c r="B34" s="22" t="n">
        <f aca="false">px*sh_out</f>
        <v>3874.464</v>
      </c>
    </row>
    <row r="35" customFormat="false" ht="17.15" hidden="false" customHeight="false" outlineLevel="0" collapsed="false">
      <c r="A35" s="4" t="s">
        <v>1078</v>
      </c>
      <c r="B35" s="22" t="n">
        <f aca="false">debt_0+fin_lease</f>
        <v>103.675</v>
      </c>
    </row>
    <row r="36" customFormat="false" ht="17.15" hidden="false" customHeight="false" outlineLevel="0" collapsed="false">
      <c r="A36" s="4" t="s">
        <v>1079</v>
      </c>
      <c r="B36" s="36" t="n">
        <f aca="false">rf+beta*erp</f>
        <v>0.112463075</v>
      </c>
      <c r="E36" s="0" t="str">
        <f aca="false">"β（Blume 調整、兩來源中位數）"&amp;TEXT(beta,"0.000")</f>
        <v>β（Blume 調整、兩來源中位數）1.193</v>
      </c>
    </row>
    <row r="37" customFormat="false" ht="17.15" hidden="false" customHeight="false" outlineLevel="0" collapsed="false">
      <c r="A37" s="4" t="s">
        <v>1080</v>
      </c>
      <c r="B37" s="36" t="n">
        <f aca="false">kd*(1-tax_w)</f>
        <v>0.0489216</v>
      </c>
    </row>
    <row r="38" customFormat="false" ht="17.15" hidden="false" customHeight="false" outlineLevel="0" collapsed="false">
      <c r="A38" s="5" t="s">
        <v>1081</v>
      </c>
      <c r="B38" s="36" t="n">
        <f aca="false">(B34*ke+B35*B37)/(B34+B35)+wacc_adj</f>
        <v>0.110807109127358</v>
      </c>
      <c r="E38" s="4" t="s">
        <v>1082</v>
      </c>
    </row>
    <row r="39" customFormat="false" ht="17.15" hidden="false" customHeight="false" outlineLevel="0" collapsed="false">
      <c r="A39" s="4" t="s">
        <v>1083</v>
      </c>
      <c r="B39" s="36" t="n">
        <f aca="false">wacc+ronic_sp</f>
        <v>0.110807109127358</v>
      </c>
      <c r="E39" s="4" t="s">
        <v>1084</v>
      </c>
    </row>
    <row r="41" customFormat="false" ht="17.15" hidden="false" customHeight="false" outlineLevel="0" collapsed="false">
      <c r="A41" s="5" t="s">
        <v>1085</v>
      </c>
    </row>
    <row r="42" customFormat="false" ht="17.15" hidden="false" customHeight="false" outlineLevel="0" collapsed="false">
      <c r="A42" s="26" t="s">
        <v>907</v>
      </c>
    </row>
    <row r="43" customFormat="false" ht="15" hidden="false" customHeight="false" outlineLevel="0" collapsed="false">
      <c r="A43" s="3" t="s">
        <v>44</v>
      </c>
      <c r="B43" s="3"/>
      <c r="C43" s="3"/>
      <c r="D43" s="3"/>
      <c r="E43" s="3" t="s">
        <v>51</v>
      </c>
      <c r="F43" s="18" t="s">
        <v>832</v>
      </c>
      <c r="G43" s="3"/>
      <c r="H43" s="18" t="s">
        <v>834</v>
      </c>
      <c r="I43" s="18" t="s">
        <v>835</v>
      </c>
      <c r="J43" s="18" t="s">
        <v>836</v>
      </c>
      <c r="K43" s="18" t="s">
        <v>837</v>
      </c>
      <c r="L43" s="18" t="s">
        <v>838</v>
      </c>
      <c r="M43" s="18" t="s">
        <v>839</v>
      </c>
    </row>
    <row r="44" customFormat="false" ht="17.15" hidden="false" customHeight="false" outlineLevel="0" collapsed="false">
      <c r="A44" s="4" t="s">
        <v>1086</v>
      </c>
      <c r="F44" s="23" t="n">
        <f aca="false">PL!F46</f>
        <v>84.2498925897347</v>
      </c>
      <c r="H44" s="23" t="n">
        <f aca="false">PL!H46</f>
        <v>171.88276356987</v>
      </c>
      <c r="I44" s="23" t="n">
        <f aca="false">PL!I46</f>
        <v>187.203577445244</v>
      </c>
      <c r="J44" s="23" t="n">
        <f aca="false">PL!J46</f>
        <v>206.454729570357</v>
      </c>
      <c r="K44" s="23" t="n">
        <f aca="false">PL!K46</f>
        <v>224.780049153402</v>
      </c>
      <c r="L44" s="23" t="n">
        <f aca="false">PL!L46</f>
        <v>232.192426434724</v>
      </c>
      <c r="M44" s="23" t="n">
        <f aca="false">PL!M46</f>
        <v>235.838985069013</v>
      </c>
    </row>
    <row r="45" customFormat="false" ht="17.15" hidden="false" customHeight="false" outlineLevel="0" collapsed="false">
      <c r="A45" s="0" t="s">
        <v>1087</v>
      </c>
      <c r="F45" s="23" t="n">
        <f aca="false">(F44+sbc_add*PL!F68)*(1-tax)</f>
        <v>70.0959106346593</v>
      </c>
      <c r="H45" s="23" t="n">
        <f aca="false">(H44+sbc_add*PL!H68)*(1-tax)</f>
        <v>143.006459290132</v>
      </c>
      <c r="I45" s="23" t="n">
        <f aca="false">(I44+sbc_add*PL!I68)*(1-tax)</f>
        <v>155.753376434443</v>
      </c>
      <c r="J45" s="23" t="n">
        <f aca="false">(J44+sbc_add*PL!J68)*(1-tax)</f>
        <v>171.770335002537</v>
      </c>
      <c r="K45" s="23" t="n">
        <f aca="false">(K44+sbc_add*PL!K68)*(1-tax)</f>
        <v>187.01700089563</v>
      </c>
      <c r="L45" s="23" t="n">
        <f aca="false">(L44+sbc_add*PL!L68)*(1-tax)</f>
        <v>193.18409879369</v>
      </c>
      <c r="M45" s="23" t="n">
        <f aca="false">(M44+sbc_add*PL!M68)*(1-tax)</f>
        <v>196.218035577419</v>
      </c>
    </row>
    <row r="46" customFormat="false" ht="15" hidden="false" customHeight="false" outlineLevel="0" collapsed="false">
      <c r="A46" s="4" t="s">
        <v>1088</v>
      </c>
      <c r="F46" s="23" t="n">
        <f aca="false">PL!F44</f>
        <v>21.8622188301703</v>
      </c>
      <c r="H46" s="23" t="n">
        <f aca="false">PL!H44</f>
        <v>66.8615657466009</v>
      </c>
      <c r="I46" s="23" t="n">
        <f aca="false">PL!I44</f>
        <v>98.8824042375775</v>
      </c>
      <c r="J46" s="23" t="n">
        <f aca="false">PL!J44</f>
        <v>131.228971617438</v>
      </c>
      <c r="K46" s="23" t="n">
        <f aca="false">PL!K44</f>
        <v>159.165282981452</v>
      </c>
      <c r="L46" s="23" t="n">
        <f aca="false">PL!L44</f>
        <v>183.111589548095</v>
      </c>
      <c r="M46" s="23" t="n">
        <f aca="false">PL!M44</f>
        <v>211.373376579907</v>
      </c>
    </row>
    <row r="47" customFormat="false" ht="15" hidden="false" customHeight="false" outlineLevel="0" collapsed="false">
      <c r="A47" s="4" t="s">
        <v>1089</v>
      </c>
      <c r="F47" s="23" t="n">
        <f aca="false">CF!F21</f>
        <v>119.402</v>
      </c>
      <c r="H47" s="23" t="n">
        <f aca="false">CF!H21</f>
        <v>238.732055275981</v>
      </c>
      <c r="I47" s="23" t="n">
        <f aca="false">CF!I21</f>
        <v>259.558257678638</v>
      </c>
      <c r="J47" s="23" t="n">
        <f aca="false">CF!J21</f>
        <v>247.950388483577</v>
      </c>
      <c r="K47" s="23" t="n">
        <f aca="false">CF!K21</f>
        <v>245.080627363115</v>
      </c>
      <c r="L47" s="23" t="n">
        <f aca="false">CF!L21</f>
        <v>256.449541709386</v>
      </c>
      <c r="M47" s="23" t="n">
        <f aca="false">CF!M21</f>
        <v>253.437299033645</v>
      </c>
    </row>
    <row r="48" customFormat="false" ht="15" hidden="false" customHeight="false" outlineLevel="0" collapsed="false">
      <c r="A48" s="4" t="s">
        <v>1090</v>
      </c>
      <c r="F48" s="23" t="n">
        <f aca="false">CF!F16</f>
        <v>8.49</v>
      </c>
      <c r="H48" s="23" t="n">
        <f aca="false">CF!H16</f>
        <v>1.4028549902334</v>
      </c>
      <c r="I48" s="23" t="n">
        <f aca="false">CF!I16</f>
        <v>1.31538453540977</v>
      </c>
      <c r="J48" s="23" t="n">
        <f aca="false">CF!J16</f>
        <v>1.23694002079917</v>
      </c>
      <c r="K48" s="23" t="n">
        <f aca="false">CF!K16</f>
        <v>1.02707673825904</v>
      </c>
      <c r="L48" s="23" t="n">
        <f aca="false">CF!L16</f>
        <v>0.868038034160199</v>
      </c>
      <c r="M48" s="23" t="n">
        <f aca="false">CF!M16</f>
        <v>0.888522099621776</v>
      </c>
    </row>
    <row r="49" customFormat="false" ht="17.15" hidden="false" customHeight="false" outlineLevel="0" collapsed="false">
      <c r="A49" s="4" t="s">
        <v>1091</v>
      </c>
      <c r="E49" s="4" t="s">
        <v>1092</v>
      </c>
      <c r="F49" s="23" t="n">
        <f aca="false">F45+F46-F47+F48</f>
        <v>-18.9538705351705</v>
      </c>
      <c r="H49" s="23" t="n">
        <f aca="false">H45+H46-H47+H48</f>
        <v>-27.4611752490151</v>
      </c>
      <c r="I49" s="23" t="n">
        <f aca="false">I45+I46-I47+I48</f>
        <v>-3.60709247120813</v>
      </c>
      <c r="J49" s="23" t="n">
        <f aca="false">J45+J46-J47+J48</f>
        <v>56.2858581571965</v>
      </c>
      <c r="K49" s="23" t="n">
        <f aca="false">K45+K46-K47+K48</f>
        <v>102.128733252226</v>
      </c>
      <c r="L49" s="23" t="n">
        <f aca="false">L45+L46-L47+L48</f>
        <v>120.714184666559</v>
      </c>
      <c r="M49" s="23" t="n">
        <f aca="false">M45+M46-M47+M48</f>
        <v>155.042635223303</v>
      </c>
    </row>
    <row r="50" customFormat="false" ht="17.15" hidden="false" customHeight="false" outlineLevel="0" collapsed="false">
      <c r="A50" s="4" t="s">
        <v>1093</v>
      </c>
      <c r="F50" s="23" t="n">
        <f aca="false">PL!F48*(1-tax)</f>
        <v>3.29666626402912</v>
      </c>
      <c r="H50" s="23" t="n">
        <f aca="false">PL!H48*(1-tax)</f>
        <v>27.1843290603365</v>
      </c>
      <c r="I50" s="23" t="n">
        <f aca="false">PL!I48*(1-tax)</f>
        <v>55.99065601688</v>
      </c>
      <c r="J50" s="23" t="n">
        <f aca="false">PL!J48*(1-tax)</f>
        <v>82.3526792303093</v>
      </c>
      <c r="K50" s="23" t="n">
        <f aca="false">PL!K48*(1-tax)</f>
        <v>102.37739746522</v>
      </c>
      <c r="L50" s="23" t="n">
        <f aca="false">PL!L48*(1-tax)</f>
        <v>116.342066477981</v>
      </c>
      <c r="M50" s="23" t="n">
        <f aca="false">PL!M48*(1-tax)</f>
        <v>124.388370582607</v>
      </c>
    </row>
    <row r="51" customFormat="false" ht="17.15" hidden="false" customHeight="false" outlineLevel="0" collapsed="false">
      <c r="A51" s="4" t="s">
        <v>1094</v>
      </c>
      <c r="F51" s="21" t="n">
        <f aca="false">t_2h</f>
        <v>0.25</v>
      </c>
      <c r="H51" s="21" t="n">
        <f aca="false">2027-2026</f>
        <v>1</v>
      </c>
      <c r="I51" s="21" t="n">
        <f aca="false">2028-2026</f>
        <v>2</v>
      </c>
      <c r="J51" s="21" t="n">
        <f aca="false">2029-2026</f>
        <v>3</v>
      </c>
      <c r="K51" s="21" t="n">
        <f aca="false">2030-2026</f>
        <v>4</v>
      </c>
      <c r="L51" s="21" t="n">
        <f aca="false">2031-2026</f>
        <v>5</v>
      </c>
      <c r="M51" s="21" t="n">
        <f aca="false">2032-2026</f>
        <v>6</v>
      </c>
    </row>
    <row r="52" customFormat="false" ht="17.15" hidden="false" customHeight="false" outlineLevel="0" collapsed="false">
      <c r="A52" s="4" t="s">
        <v>1095</v>
      </c>
      <c r="F52" s="13" t="n">
        <f aca="false">1/(1+wacc)^F51</f>
        <v>0.974070380111118</v>
      </c>
      <c r="H52" s="13" t="n">
        <f aca="false">1/(1+wacc)^H51</f>
        <v>0.900246308997421</v>
      </c>
      <c r="I52" s="13" t="n">
        <f aca="false">1/(1+wacc)^I51</f>
        <v>0.81044341686348</v>
      </c>
      <c r="J52" s="13" t="n">
        <f aca="false">1/(1+wacc)^J51</f>
        <v>0.729598694682607</v>
      </c>
      <c r="K52" s="13" t="n">
        <f aca="false">1/(1+wacc)^K51</f>
        <v>0.656818531937353</v>
      </c>
      <c r="L52" s="13" t="n">
        <f aca="false">1/(1+wacc)^L51</f>
        <v>0.591298459057707</v>
      </c>
      <c r="M52" s="13" t="n">
        <f aca="false">1/(1+wacc)^M51</f>
        <v>0.532314255282563</v>
      </c>
    </row>
    <row r="53" customFormat="false" ht="15" hidden="false" customHeight="false" outlineLevel="0" collapsed="false">
      <c r="A53" s="4" t="s">
        <v>1096</v>
      </c>
      <c r="F53" s="23" t="n">
        <f aca="false">F49*F52</f>
        <v>-18.4624038767704</v>
      </c>
      <c r="H53" s="23" t="n">
        <f aca="false">H49*H52</f>
        <v>-24.7218216586572</v>
      </c>
      <c r="I53" s="23" t="n">
        <f aca="false">I49*I52</f>
        <v>-2.92334434730845</v>
      </c>
      <c r="J53" s="23" t="n">
        <f aca="false">J49*J52</f>
        <v>41.0660886405809</v>
      </c>
      <c r="K53" s="23" t="n">
        <f aca="false">K49*K52</f>
        <v>67.0800446433485</v>
      </c>
      <c r="L53" s="23" t="n">
        <f aca="false">L49*L52</f>
        <v>71.3781113797441</v>
      </c>
      <c r="M53" s="23" t="n">
        <f aca="false">M49*M52</f>
        <v>82.5314049059384</v>
      </c>
    </row>
    <row r="54" customFormat="false" ht="15" hidden="false" customHeight="false" outlineLevel="0" collapsed="false">
      <c r="A54" s="4" t="s">
        <v>1097</v>
      </c>
      <c r="F54" s="23" t="n">
        <f aca="false">F50*F52</f>
        <v>3.21118496090234</v>
      </c>
      <c r="H54" s="23" t="n">
        <f aca="false">H50*H52</f>
        <v>24.4725918991392</v>
      </c>
      <c r="I54" s="23" t="n">
        <f aca="false">I50*I52</f>
        <v>45.377258574748</v>
      </c>
      <c r="J54" s="23" t="n">
        <f aca="false">J50*J52</f>
        <v>60.0844072700491</v>
      </c>
      <c r="K54" s="23" t="n">
        <f aca="false">K50*K52</f>
        <v>67.2433719066728</v>
      </c>
      <c r="L54" s="23" t="n">
        <f aca="false">L50*L52</f>
        <v>68.7928846320196</v>
      </c>
      <c r="M54" s="23" t="n">
        <f aca="false">M50*M52</f>
        <v>66.2137028524917</v>
      </c>
    </row>
    <row r="56" customFormat="false" ht="17.15" hidden="false" customHeight="false" outlineLevel="0" collapsed="false">
      <c r="A56" s="26" t="s">
        <v>942</v>
      </c>
    </row>
    <row r="57" customFormat="false" ht="15" hidden="false" customHeight="false" outlineLevel="0" collapsed="false">
      <c r="A57" s="3" t="s">
        <v>44</v>
      </c>
      <c r="B57" s="3"/>
      <c r="C57" s="3"/>
      <c r="D57" s="3"/>
      <c r="E57" s="3" t="s">
        <v>51</v>
      </c>
      <c r="F57" s="18" t="s">
        <v>832</v>
      </c>
      <c r="G57" s="3"/>
      <c r="H57" s="18" t="s">
        <v>834</v>
      </c>
      <c r="I57" s="18" t="s">
        <v>835</v>
      </c>
      <c r="J57" s="18" t="s">
        <v>836</v>
      </c>
      <c r="K57" s="18" t="s">
        <v>837</v>
      </c>
      <c r="L57" s="18" t="s">
        <v>838</v>
      </c>
      <c r="M57" s="18" t="s">
        <v>839</v>
      </c>
    </row>
    <row r="58" customFormat="false" ht="17.15" hidden="false" customHeight="false" outlineLevel="0" collapsed="false">
      <c r="A58" s="4" t="s">
        <v>1086</v>
      </c>
      <c r="F58" s="23" t="n">
        <f aca="false">PL!F105</f>
        <v>84.2498925897347</v>
      </c>
      <c r="H58" s="23" t="n">
        <f aca="false">PL!H105</f>
        <v>164.461039521629</v>
      </c>
      <c r="I58" s="23" t="n">
        <f aca="false">PL!I105</f>
        <v>170.450045482744</v>
      </c>
      <c r="J58" s="23" t="n">
        <f aca="false">PL!J105</f>
        <v>178.64364294862</v>
      </c>
      <c r="K58" s="23" t="n">
        <f aca="false">PL!K105</f>
        <v>184.564138671235</v>
      </c>
      <c r="L58" s="23" t="n">
        <f aca="false">PL!L105</f>
        <v>189.096210656171</v>
      </c>
      <c r="M58" s="23" t="n">
        <f aca="false">PL!M105</f>
        <v>189.632039570363</v>
      </c>
    </row>
    <row r="59" customFormat="false" ht="17.15" hidden="false" customHeight="false" outlineLevel="0" collapsed="false">
      <c r="A59" s="0" t="s">
        <v>1087</v>
      </c>
      <c r="F59" s="23" t="n">
        <f aca="false">(F58+sbc_add*PL!F127)*(1-tax)</f>
        <v>70.0959106346593</v>
      </c>
      <c r="H59" s="23" t="n">
        <f aca="false">(H58+sbc_add*PL!H127)*(1-tax)</f>
        <v>136.831584881996</v>
      </c>
      <c r="I59" s="23" t="n">
        <f aca="false">(I58+sbc_add*PL!I127)*(1-tax)</f>
        <v>141.814437841643</v>
      </c>
      <c r="J59" s="23" t="n">
        <f aca="false">(J58+sbc_add*PL!J127)*(1-tax)</f>
        <v>148.631510933252</v>
      </c>
      <c r="K59" s="23" t="n">
        <f aca="false">(K58+sbc_add*PL!K127)*(1-tax)</f>
        <v>153.557363374468</v>
      </c>
      <c r="L59" s="23" t="n">
        <f aca="false">(L58+sbc_add*PL!L127)*(1-tax)</f>
        <v>157.328047265934</v>
      </c>
      <c r="M59" s="23" t="n">
        <f aca="false">(M58+sbc_add*PL!M127)*(1-tax)</f>
        <v>157.773856922542</v>
      </c>
    </row>
    <row r="60" customFormat="false" ht="15" hidden="false" customHeight="false" outlineLevel="0" collapsed="false">
      <c r="A60" s="4" t="s">
        <v>1088</v>
      </c>
      <c r="F60" s="23" t="n">
        <f aca="false">PL!F103</f>
        <v>21.8622188301703</v>
      </c>
      <c r="H60" s="23" t="n">
        <f aca="false">PL!H103</f>
        <v>66.8444439593472</v>
      </c>
      <c r="I60" s="23" t="n">
        <f aca="false">PL!I103</f>
        <v>98.775108985414</v>
      </c>
      <c r="J60" s="23" t="n">
        <f aca="false">PL!J103</f>
        <v>130.9405762495</v>
      </c>
      <c r="K60" s="23" t="n">
        <f aca="false">PL!K103</f>
        <v>158.588969853241</v>
      </c>
      <c r="L60" s="23" t="n">
        <f aca="false">PL!L103</f>
        <v>182.152203827441</v>
      </c>
      <c r="M60" s="23" t="n">
        <f aca="false">PL!M103</f>
        <v>210.000272459415</v>
      </c>
    </row>
    <row r="61" customFormat="false" ht="15" hidden="false" customHeight="false" outlineLevel="0" collapsed="false">
      <c r="A61" s="4" t="s">
        <v>1089</v>
      </c>
      <c r="F61" s="23" t="n">
        <f aca="false">CF!F53</f>
        <v>119.402</v>
      </c>
      <c r="H61" s="23" t="n">
        <f aca="false">CF!H53</f>
        <v>238.047183785833</v>
      </c>
      <c r="I61" s="23" t="n">
        <f aca="false">CF!I53</f>
        <v>258.005933552691</v>
      </c>
      <c r="J61" s="23" t="n">
        <f aca="false">CF!J53</f>
        <v>245.363356230423</v>
      </c>
      <c r="K61" s="23" t="n">
        <f aca="false">CF!K53</f>
        <v>241.325013711707</v>
      </c>
      <c r="L61" s="23" t="n">
        <f aca="false">CF!L53</f>
        <v>252.393478965866</v>
      </c>
      <c r="M61" s="23" t="n">
        <f aca="false">CF!M53</f>
        <v>249.056751270643</v>
      </c>
    </row>
    <row r="62" customFormat="false" ht="15" hidden="false" customHeight="false" outlineLevel="0" collapsed="false">
      <c r="A62" s="4" t="s">
        <v>1090</v>
      </c>
      <c r="F62" s="23" t="n">
        <f aca="false">CF!F48</f>
        <v>8.49</v>
      </c>
      <c r="H62" s="23" t="n">
        <f aca="false">CF!H48</f>
        <v>1.26930504965447</v>
      </c>
      <c r="I62" s="23" t="n">
        <f aca="false">CF!I48</f>
        <v>1.14623127142898</v>
      </c>
      <c r="J62" s="23" t="n">
        <f aca="false">CF!J48</f>
        <v>1.03517193599385</v>
      </c>
      <c r="K62" s="23" t="n">
        <f aca="false">CF!K48</f>
        <v>0.799203365599515</v>
      </c>
      <c r="L62" s="23" t="n">
        <f aca="false">CF!L48</f>
        <v>0.809450461198236</v>
      </c>
      <c r="M62" s="23" t="n">
        <f aca="false">CF!M48</f>
        <v>0.825247520822858</v>
      </c>
    </row>
    <row r="63" customFormat="false" ht="17.15" hidden="false" customHeight="false" outlineLevel="0" collapsed="false">
      <c r="A63" s="4" t="s">
        <v>1091</v>
      </c>
      <c r="E63" s="4" t="s">
        <v>1092</v>
      </c>
      <c r="F63" s="23" t="n">
        <f aca="false">F59+F60-F61+F62</f>
        <v>-18.9538705351705</v>
      </c>
      <c r="H63" s="23" t="n">
        <f aca="false">H59+H60-H61+H62</f>
        <v>-33.1018498948357</v>
      </c>
      <c r="I63" s="23" t="n">
        <f aca="false">I59+I60-I61+I62</f>
        <v>-16.2701554542056</v>
      </c>
      <c r="J63" s="23" t="n">
        <f aca="false">J59+J60-J61+J62</f>
        <v>35.2439028883222</v>
      </c>
      <c r="K63" s="23" t="n">
        <f aca="false">K59+K60-K61+K62</f>
        <v>71.6205228816017</v>
      </c>
      <c r="L63" s="23" t="n">
        <f aca="false">L59+L60-L61+L62</f>
        <v>87.8962225887084</v>
      </c>
      <c r="M63" s="23" t="n">
        <f aca="false">M59+M60-M61+M62</f>
        <v>119.542625632136</v>
      </c>
    </row>
    <row r="64" customFormat="false" ht="17.15" hidden="false" customHeight="false" outlineLevel="0" collapsed="false">
      <c r="A64" s="4" t="s">
        <v>1093</v>
      </c>
      <c r="F64" s="23" t="n">
        <f aca="false">PL!F107*(1-tax)</f>
        <v>3.29666626402912</v>
      </c>
      <c r="H64" s="23" t="n">
        <f aca="false">PL!H107*(1-tax)</f>
        <v>27.1843290603365</v>
      </c>
      <c r="I64" s="23" t="n">
        <f aca="false">PL!I107*(1-tax)</f>
        <v>55.99065601688</v>
      </c>
      <c r="J64" s="23" t="n">
        <f aca="false">PL!J107*(1-tax)</f>
        <v>82.3526792303093</v>
      </c>
      <c r="K64" s="23" t="n">
        <f aca="false">PL!K107*(1-tax)</f>
        <v>102.37739746522</v>
      </c>
      <c r="L64" s="23" t="n">
        <f aca="false">PL!L107*(1-tax)</f>
        <v>116.342066477981</v>
      </c>
      <c r="M64" s="23" t="n">
        <f aca="false">PL!M107*(1-tax)</f>
        <v>124.388370582607</v>
      </c>
    </row>
    <row r="65" customFormat="false" ht="17.15" hidden="false" customHeight="false" outlineLevel="0" collapsed="false">
      <c r="A65" s="4" t="s">
        <v>1094</v>
      </c>
      <c r="F65" s="21" t="n">
        <f aca="false">t_2h</f>
        <v>0.25</v>
      </c>
      <c r="H65" s="21" t="n">
        <f aca="false">2027-2026</f>
        <v>1</v>
      </c>
      <c r="I65" s="21" t="n">
        <f aca="false">2028-2026</f>
        <v>2</v>
      </c>
      <c r="J65" s="21" t="n">
        <f aca="false">2029-2026</f>
        <v>3</v>
      </c>
      <c r="K65" s="21" t="n">
        <f aca="false">2030-2026</f>
        <v>4</v>
      </c>
      <c r="L65" s="21" t="n">
        <f aca="false">2031-2026</f>
        <v>5</v>
      </c>
      <c r="M65" s="21" t="n">
        <f aca="false">2032-2026</f>
        <v>6</v>
      </c>
    </row>
    <row r="66" customFormat="false" ht="17.15" hidden="false" customHeight="false" outlineLevel="0" collapsed="false">
      <c r="A66" s="4" t="s">
        <v>1095</v>
      </c>
      <c r="F66" s="13" t="n">
        <f aca="false">1/(1+wacc)^F65</f>
        <v>0.974070380111118</v>
      </c>
      <c r="H66" s="13" t="n">
        <f aca="false">1/(1+wacc)^H65</f>
        <v>0.900246308997421</v>
      </c>
      <c r="I66" s="13" t="n">
        <f aca="false">1/(1+wacc)^I65</f>
        <v>0.81044341686348</v>
      </c>
      <c r="J66" s="13" t="n">
        <f aca="false">1/(1+wacc)^J65</f>
        <v>0.729598694682607</v>
      </c>
      <c r="K66" s="13" t="n">
        <f aca="false">1/(1+wacc)^K65</f>
        <v>0.656818531937353</v>
      </c>
      <c r="L66" s="13" t="n">
        <f aca="false">1/(1+wacc)^L65</f>
        <v>0.591298459057707</v>
      </c>
      <c r="M66" s="13" t="n">
        <f aca="false">1/(1+wacc)^M65</f>
        <v>0.532314255282563</v>
      </c>
    </row>
    <row r="67" customFormat="false" ht="15" hidden="false" customHeight="false" outlineLevel="0" collapsed="false">
      <c r="A67" s="4" t="s">
        <v>1096</v>
      </c>
      <c r="F67" s="23" t="n">
        <f aca="false">F63*F66</f>
        <v>-18.4624038767704</v>
      </c>
      <c r="H67" s="23" t="n">
        <f aca="false">H63*H66</f>
        <v>-29.7998181888125</v>
      </c>
      <c r="I67" s="23" t="n">
        <f aca="false">I63*I66</f>
        <v>-13.1860403792064</v>
      </c>
      <c r="J67" s="23" t="n">
        <f aca="false">J63*J66</f>
        <v>25.7139055428404</v>
      </c>
      <c r="K67" s="23" t="n">
        <f aca="false">K63*K66</f>
        <v>47.0416866956793</v>
      </c>
      <c r="L67" s="23" t="n">
        <f aca="false">L63*L66</f>
        <v>51.9729009736965</v>
      </c>
      <c r="M67" s="23" t="n">
        <f aca="false">M63*M66</f>
        <v>63.6342437378928</v>
      </c>
    </row>
    <row r="68" customFormat="false" ht="15" hidden="false" customHeight="false" outlineLevel="0" collapsed="false">
      <c r="A68" s="4" t="s">
        <v>1097</v>
      </c>
      <c r="F68" s="23" t="n">
        <f aca="false">F64*F66</f>
        <v>3.21118496090234</v>
      </c>
      <c r="H68" s="23" t="n">
        <f aca="false">H64*H66</f>
        <v>24.4725918991392</v>
      </c>
      <c r="I68" s="23" t="n">
        <f aca="false">I64*I66</f>
        <v>45.377258574748</v>
      </c>
      <c r="J68" s="23" t="n">
        <f aca="false">J64*J66</f>
        <v>60.0844072700491</v>
      </c>
      <c r="K68" s="23" t="n">
        <f aca="false">K64*K66</f>
        <v>67.2433719066728</v>
      </c>
      <c r="L68" s="23" t="n">
        <f aca="false">L64*L66</f>
        <v>68.7928846320196</v>
      </c>
      <c r="M68" s="23" t="n">
        <f aca="false">M64*M66</f>
        <v>66.2137028524917</v>
      </c>
    </row>
    <row r="70" customFormat="false" ht="17.15" hidden="false" customHeight="false" outlineLevel="0" collapsed="false">
      <c r="A70" s="26" t="s">
        <v>944</v>
      </c>
    </row>
    <row r="71" customFormat="false" ht="15" hidden="false" customHeight="false" outlineLevel="0" collapsed="false">
      <c r="A71" s="3" t="s">
        <v>44</v>
      </c>
      <c r="B71" s="3"/>
      <c r="C71" s="3"/>
      <c r="D71" s="3"/>
      <c r="E71" s="3" t="s">
        <v>51</v>
      </c>
      <c r="F71" s="18" t="s">
        <v>832</v>
      </c>
      <c r="G71" s="3"/>
      <c r="H71" s="18" t="s">
        <v>834</v>
      </c>
      <c r="I71" s="18" t="s">
        <v>835</v>
      </c>
      <c r="J71" s="18" t="s">
        <v>836</v>
      </c>
      <c r="K71" s="18" t="s">
        <v>837</v>
      </c>
      <c r="L71" s="18" t="s">
        <v>838</v>
      </c>
      <c r="M71" s="18" t="s">
        <v>839</v>
      </c>
    </row>
    <row r="72" customFormat="false" ht="17.15" hidden="false" customHeight="false" outlineLevel="0" collapsed="false">
      <c r="A72" s="4" t="s">
        <v>1086</v>
      </c>
      <c r="F72" s="23" t="n">
        <f aca="false">PL!F164</f>
        <v>84.2498925897347</v>
      </c>
      <c r="H72" s="23" t="n">
        <f aca="false">PL!H164</f>
        <v>149.985610799441</v>
      </c>
      <c r="I72" s="23" t="n">
        <f aca="false">PL!I164</f>
        <v>138.594210331407</v>
      </c>
      <c r="J72" s="23" t="n">
        <f aca="false">PL!J164</f>
        <v>127.105459449694</v>
      </c>
      <c r="K72" s="23" t="n">
        <f aca="false">PL!K164</f>
        <v>111.952890641209</v>
      </c>
      <c r="L72" s="23" t="n">
        <f aca="false">PL!L164</f>
        <v>111.281830477834</v>
      </c>
      <c r="M72" s="23" t="n">
        <f aca="false">PL!M164</f>
        <v>106.19827667185</v>
      </c>
    </row>
    <row r="73" customFormat="false" ht="17.15" hidden="false" customHeight="false" outlineLevel="0" collapsed="false">
      <c r="A73" s="0" t="s">
        <v>1087</v>
      </c>
      <c r="F73" s="23" t="n">
        <f aca="false">(F72+sbc_add*PL!F186)*(1-tax)</f>
        <v>70.0959106346593</v>
      </c>
      <c r="H73" s="23" t="n">
        <f aca="false">(H72+sbc_add*PL!H186)*(1-tax)</f>
        <v>124.788028185135</v>
      </c>
      <c r="I73" s="23" t="n">
        <f aca="false">(I72+sbc_add*PL!I186)*(1-tax)</f>
        <v>115.310382995731</v>
      </c>
      <c r="J73" s="23" t="n">
        <f aca="false">(J72+sbc_add*PL!J186)*(1-tax)</f>
        <v>105.751742262145</v>
      </c>
      <c r="K73" s="23" t="n">
        <f aca="false">(K72+sbc_add*PL!K186)*(1-tax)</f>
        <v>93.1448050134861</v>
      </c>
      <c r="L73" s="23" t="n">
        <f aca="false">(L72+sbc_add*PL!L186)*(1-tax)</f>
        <v>92.5864829575578</v>
      </c>
      <c r="M73" s="23" t="n">
        <f aca="false">(M72+sbc_add*PL!M186)*(1-tax)</f>
        <v>88.3569661909788</v>
      </c>
    </row>
    <row r="74" customFormat="false" ht="15" hidden="false" customHeight="false" outlineLevel="0" collapsed="false">
      <c r="A74" s="4" t="s">
        <v>1088</v>
      </c>
      <c r="F74" s="23" t="n">
        <f aca="false">PL!F162</f>
        <v>21.8622188301703</v>
      </c>
      <c r="H74" s="23" t="n">
        <f aca="false">PL!H162</f>
        <v>66.8110493990838</v>
      </c>
      <c r="I74" s="23" t="n">
        <f aca="false">PL!I162</f>
        <v>98.5677317285365</v>
      </c>
      <c r="J74" s="23" t="n">
        <f aca="false">PL!J162</f>
        <v>130.391915084639</v>
      </c>
      <c r="K74" s="23" t="n">
        <f aca="false">PL!K162</f>
        <v>157.511039748394</v>
      </c>
      <c r="L74" s="23" t="n">
        <f aca="false">PL!L162</f>
        <v>180.382271620115</v>
      </c>
      <c r="M74" s="23" t="n">
        <f aca="false">PL!M162</f>
        <v>207.482977981411</v>
      </c>
    </row>
    <row r="75" customFormat="false" ht="15" hidden="false" customHeight="false" outlineLevel="0" collapsed="false">
      <c r="A75" s="4" t="s">
        <v>1089</v>
      </c>
      <c r="F75" s="23" t="n">
        <f aca="false">CF!F85</f>
        <v>119.402</v>
      </c>
      <c r="H75" s="23" t="n">
        <f aca="false">CF!H85</f>
        <v>236.711401375296</v>
      </c>
      <c r="I75" s="23" t="n">
        <f aca="false">CF!I85</f>
        <v>255.053972919742</v>
      </c>
      <c r="J75" s="23" t="n">
        <f aca="false">CF!J85</f>
        <v>240.567881809943</v>
      </c>
      <c r="K75" s="23" t="n">
        <f aca="false">CF!K85</f>
        <v>234.54067937368</v>
      </c>
      <c r="L75" s="23" t="n">
        <f aca="false">CF!L85</f>
        <v>245.066397880796</v>
      </c>
      <c r="M75" s="23" t="n">
        <f aca="false">CF!M85</f>
        <v>241.143503698768</v>
      </c>
    </row>
    <row r="76" customFormat="false" ht="15" hidden="false" customHeight="false" outlineLevel="0" collapsed="false">
      <c r="A76" s="4" t="s">
        <v>1090</v>
      </c>
      <c r="F76" s="23" t="n">
        <f aca="false">CF!F80</f>
        <v>8.49</v>
      </c>
      <c r="H76" s="23" t="n">
        <f aca="false">CF!H80</f>
        <v>1.00882747959971</v>
      </c>
      <c r="I76" s="23" t="n">
        <f aca="false">CF!I80</f>
        <v>0.831076518058697</v>
      </c>
      <c r="J76" s="23" t="n">
        <f aca="false">CF!J80</f>
        <v>0.67568674742517</v>
      </c>
      <c r="K76" s="23" t="n">
        <f aca="false">CF!K80</f>
        <v>0.411375681677908</v>
      </c>
      <c r="L76" s="23" t="n">
        <f aca="false">CF!L80</f>
        <v>0.703614845525008</v>
      </c>
      <c r="M76" s="23" t="n">
        <f aca="false">CF!M80</f>
        <v>0.710945055895773</v>
      </c>
    </row>
    <row r="77" customFormat="false" ht="17.15" hidden="false" customHeight="false" outlineLevel="0" collapsed="false">
      <c r="A77" s="4" t="s">
        <v>1091</v>
      </c>
      <c r="E77" s="4" t="s">
        <v>1092</v>
      </c>
      <c r="F77" s="23" t="n">
        <f aca="false">F73+F74-F75+F76</f>
        <v>-18.9538705351705</v>
      </c>
      <c r="H77" s="23" t="n">
        <f aca="false">H73+H74-H75+H76</f>
        <v>-44.1034963114775</v>
      </c>
      <c r="I77" s="23" t="n">
        <f aca="false">I73+I74-I75+I76</f>
        <v>-40.3447816774161</v>
      </c>
      <c r="J77" s="23" t="n">
        <f aca="false">J73+J74-J75+J76</f>
        <v>-3.74853771573323</v>
      </c>
      <c r="K77" s="23" t="n">
        <f aca="false">K73+K74-K75+K76</f>
        <v>16.5265410698783</v>
      </c>
      <c r="L77" s="23" t="n">
        <f aca="false">L73+L74-L75+L76</f>
        <v>28.6059715424019</v>
      </c>
      <c r="M77" s="23" t="n">
        <f aca="false">M73+M74-M75+M76</f>
        <v>55.4073855295179</v>
      </c>
    </row>
    <row r="78" customFormat="false" ht="17.15" hidden="false" customHeight="false" outlineLevel="0" collapsed="false">
      <c r="A78" s="4" t="s">
        <v>1093</v>
      </c>
      <c r="F78" s="23" t="n">
        <f aca="false">PL!F166*(1-tax)</f>
        <v>3.29666626402912</v>
      </c>
      <c r="H78" s="23" t="n">
        <f aca="false">PL!H166*(1-tax)</f>
        <v>27.1843290603365</v>
      </c>
      <c r="I78" s="23" t="n">
        <f aca="false">PL!I166*(1-tax)</f>
        <v>55.99065601688</v>
      </c>
      <c r="J78" s="23" t="n">
        <f aca="false">PL!J166*(1-tax)</f>
        <v>82.3526792303093</v>
      </c>
      <c r="K78" s="23" t="n">
        <f aca="false">PL!K166*(1-tax)</f>
        <v>102.37739746522</v>
      </c>
      <c r="L78" s="23" t="n">
        <f aca="false">PL!L166*(1-tax)</f>
        <v>116.342066477981</v>
      </c>
      <c r="M78" s="23" t="n">
        <f aca="false">PL!M166*(1-tax)</f>
        <v>124.388370582607</v>
      </c>
    </row>
    <row r="79" customFormat="false" ht="17.15" hidden="false" customHeight="false" outlineLevel="0" collapsed="false">
      <c r="A79" s="4" t="s">
        <v>1094</v>
      </c>
      <c r="F79" s="21" t="n">
        <f aca="false">t_2h</f>
        <v>0.25</v>
      </c>
      <c r="H79" s="21" t="n">
        <f aca="false">2027-2026</f>
        <v>1</v>
      </c>
      <c r="I79" s="21" t="n">
        <f aca="false">2028-2026</f>
        <v>2</v>
      </c>
      <c r="J79" s="21" t="n">
        <f aca="false">2029-2026</f>
        <v>3</v>
      </c>
      <c r="K79" s="21" t="n">
        <f aca="false">2030-2026</f>
        <v>4</v>
      </c>
      <c r="L79" s="21" t="n">
        <f aca="false">2031-2026</f>
        <v>5</v>
      </c>
      <c r="M79" s="21" t="n">
        <f aca="false">2032-2026</f>
        <v>6</v>
      </c>
    </row>
    <row r="80" customFormat="false" ht="17.15" hidden="false" customHeight="false" outlineLevel="0" collapsed="false">
      <c r="A80" s="4" t="s">
        <v>1095</v>
      </c>
      <c r="F80" s="13" t="n">
        <f aca="false">1/(1+wacc)^F79</f>
        <v>0.974070380111118</v>
      </c>
      <c r="H80" s="13" t="n">
        <f aca="false">1/(1+wacc)^H79</f>
        <v>0.900246308997421</v>
      </c>
      <c r="I80" s="13" t="n">
        <f aca="false">1/(1+wacc)^I79</f>
        <v>0.81044341686348</v>
      </c>
      <c r="J80" s="13" t="n">
        <f aca="false">1/(1+wacc)^J79</f>
        <v>0.729598694682607</v>
      </c>
      <c r="K80" s="13" t="n">
        <f aca="false">1/(1+wacc)^K79</f>
        <v>0.656818531937353</v>
      </c>
      <c r="L80" s="13" t="n">
        <f aca="false">1/(1+wacc)^L79</f>
        <v>0.591298459057707</v>
      </c>
      <c r="M80" s="13" t="n">
        <f aca="false">1/(1+wacc)^M79</f>
        <v>0.532314255282563</v>
      </c>
    </row>
    <row r="81" customFormat="false" ht="15" hidden="false" customHeight="false" outlineLevel="0" collapsed="false">
      <c r="A81" s="4" t="s">
        <v>1096</v>
      </c>
      <c r="F81" s="23" t="n">
        <f aca="false">F77*F80</f>
        <v>-18.4624038767704</v>
      </c>
      <c r="H81" s="23" t="n">
        <f aca="false">H77*H80</f>
        <v>-39.704009768289</v>
      </c>
      <c r="I81" s="23" t="n">
        <f aca="false">I77*I80</f>
        <v>-32.6971627152562</v>
      </c>
      <c r="J81" s="23" t="n">
        <f aca="false">J77*J80</f>
        <v>-2.73492822436748</v>
      </c>
      <c r="K81" s="23" t="n">
        <f aca="false">K77*K80</f>
        <v>10.8549384435198</v>
      </c>
      <c r="L81" s="23" t="n">
        <f aca="false">L77*L80</f>
        <v>16.9146668928709</v>
      </c>
      <c r="M81" s="23" t="n">
        <f aca="false">M77*M80</f>
        <v>29.4941411652992</v>
      </c>
    </row>
    <row r="82" customFormat="false" ht="15" hidden="false" customHeight="false" outlineLevel="0" collapsed="false">
      <c r="A82" s="4" t="s">
        <v>1097</v>
      </c>
      <c r="F82" s="23" t="n">
        <f aca="false">F78*F80</f>
        <v>3.21118496090234</v>
      </c>
      <c r="H82" s="23" t="n">
        <f aca="false">H78*H80</f>
        <v>24.4725918991392</v>
      </c>
      <c r="I82" s="23" t="n">
        <f aca="false">I78*I80</f>
        <v>45.377258574748</v>
      </c>
      <c r="J82" s="23" t="n">
        <f aca="false">J78*J80</f>
        <v>60.0844072700491</v>
      </c>
      <c r="K82" s="23" t="n">
        <f aca="false">K78*K80</f>
        <v>67.2433719066728</v>
      </c>
      <c r="L82" s="23" t="n">
        <f aca="false">L78*L80</f>
        <v>68.7928846320196</v>
      </c>
      <c r="M82" s="23" t="n">
        <f aca="false">M78*M80</f>
        <v>66.2137028524917</v>
      </c>
    </row>
    <row r="84" customFormat="false" ht="17.15" hidden="false" customHeight="false" outlineLevel="0" collapsed="false">
      <c r="A84" s="5" t="s">
        <v>1098</v>
      </c>
    </row>
    <row r="85" customFormat="false" ht="17.15" hidden="false" customHeight="false" outlineLevel="0" collapsed="false">
      <c r="A85" s="3" t="s">
        <v>44</v>
      </c>
      <c r="B85" s="3" t="s">
        <v>998</v>
      </c>
      <c r="C85" s="3" t="s">
        <v>999</v>
      </c>
      <c r="D85" s="3" t="s">
        <v>1000</v>
      </c>
      <c r="E85" s="3" t="s">
        <v>51</v>
      </c>
    </row>
    <row r="86" customFormat="false" ht="15" hidden="false" customHeight="false" outlineLevel="0" collapsed="false">
      <c r="A86" s="4" t="s">
        <v>1099</v>
      </c>
      <c r="B86" s="23" t="n">
        <f aca="false">SUM(F53:M53)</f>
        <v>215.948079686876</v>
      </c>
      <c r="C86" s="23" t="n">
        <f aca="false">SUM(F67:M67)</f>
        <v>126.91447450532</v>
      </c>
      <c r="D86" s="23" t="n">
        <f aca="false">SUM(F81:M81)</f>
        <v>-36.3347580829932</v>
      </c>
    </row>
    <row r="87" customFormat="false" ht="17.15" hidden="false" customHeight="false" outlineLevel="0" collapsed="false">
      <c r="A87" s="4" t="s">
        <v>1100</v>
      </c>
      <c r="B87" s="23" t="n">
        <f aca="false">IF(tv_alt=1,M49*(1+g_tv)/(wacc-g_tv),M45*(1+g_tv)*(1-g_tv/ronic)/(wacc-g_tv))</f>
        <v>1823.93149894786</v>
      </c>
      <c r="C87" s="23" t="n">
        <f aca="false">IF(tv_alt=1,M63*(1+g_tv)/(wacc-g_tv),M59*(1+g_tv)*(1-g_tv/ronic)/(wacc-g_tv))</f>
        <v>1466.57623242781</v>
      </c>
      <c r="D87" s="23" t="n">
        <f aca="false">IF(tv_alt=1,M77*(1+g_tv)/(wacc-g_tv),M73*(1+g_tv)*(1-g_tv/ronic)/(wacc-g_tv))</f>
        <v>821.316212411126</v>
      </c>
      <c r="E87" s="4" t="s">
        <v>1101</v>
      </c>
    </row>
    <row r="88" customFormat="false" ht="17.15" hidden="false" customHeight="false" outlineLevel="0" collapsed="false">
      <c r="A88" s="4" t="s">
        <v>1102</v>
      </c>
      <c r="B88" s="23" t="n">
        <f aca="false">B87/(1+wacc)^($M$51+mid)</f>
        <v>921.207139090817</v>
      </c>
      <c r="C88" s="23" t="n">
        <f aca="false">C87/(1+wacc)^($M$65+mid)</f>
        <v>740.718879032876</v>
      </c>
      <c r="D88" s="23" t="n">
        <f aca="false">D87/(1+wacc)^($M$79+mid)</f>
        <v>414.819503232774</v>
      </c>
    </row>
    <row r="89" customFormat="false" ht="17.15" hidden="false" customHeight="false" outlineLevel="0" collapsed="false">
      <c r="A89" s="4" t="s">
        <v>1103</v>
      </c>
      <c r="B89" s="23" t="n">
        <f aca="false">B86+B88</f>
        <v>1137.15521877769</v>
      </c>
      <c r="C89" s="23" t="n">
        <f aca="false">C86+C88</f>
        <v>867.633353538196</v>
      </c>
      <c r="D89" s="23" t="n">
        <f aca="false">D86+D88</f>
        <v>378.484745149781</v>
      </c>
    </row>
    <row r="90" customFormat="false" ht="17.15" hidden="false" customHeight="false" outlineLevel="0" collapsed="false">
      <c r="A90" s="4" t="s">
        <v>1104</v>
      </c>
      <c r="B90" s="23" t="n">
        <f aca="false">SUM(F54:M54)</f>
        <v>335.395402096023</v>
      </c>
      <c r="C90" s="23" t="n">
        <f aca="false">SUM(F68:M68)</f>
        <v>335.395402096023</v>
      </c>
      <c r="D90" s="23" t="n">
        <f aca="false">SUM(F82:M82)</f>
        <v>335.395402096023</v>
      </c>
    </row>
    <row r="91" customFormat="false" ht="17.15" hidden="false" customHeight="false" outlineLevel="0" collapsed="false">
      <c r="A91" s="4" t="s">
        <v>1105</v>
      </c>
      <c r="B91" s="23" t="n">
        <f aca="false">IF(tv_alt=1,M50*(1+g_tv)/(wacc-g_tv),M50*(1+g_tv)*(1-g_tv/ronic)/(wacc-g_tv))/(1+wacc)^($M$51+mid)</f>
        <v>583.980237409727</v>
      </c>
      <c r="C91" s="23" t="n">
        <f aca="false">IF(tv_alt=1,M64*(1+g_tv)/(wacc-g_tv),M64*(1+g_tv)*(1-g_tv/ronic)/(wacc-g_tv))/(1+wacc)^($M$65+mid)</f>
        <v>583.980237409727</v>
      </c>
      <c r="D91" s="23" t="n">
        <f aca="false">IF(tv_alt=1,M78*(1+g_tv)/(wacc-g_tv),M78*(1+g_tv)*(1-g_tv/ronic)/(wacc-g_tv))/(1+wacc)^($M$79+mid)</f>
        <v>583.980237409727</v>
      </c>
    </row>
    <row r="92" customFormat="false" ht="17.15" hidden="false" customHeight="false" outlineLevel="0" collapsed="false">
      <c r="A92" s="4" t="s">
        <v>1106</v>
      </c>
      <c r="B92" s="23" t="n">
        <f aca="false">B89+B90+B91</f>
        <v>2056.53085828344</v>
      </c>
      <c r="C92" s="23" t="n">
        <f aca="false">C89+C90+C91</f>
        <v>1787.00899304395</v>
      </c>
      <c r="D92" s="23" t="n">
        <f aca="false">D89+D90+D91</f>
        <v>1297.86038465553</v>
      </c>
    </row>
    <row r="93" customFormat="false" ht="17.15" hidden="false" customHeight="false" outlineLevel="0" collapsed="false">
      <c r="A93" s="2" t="s">
        <v>1107</v>
      </c>
      <c r="B93" s="23" t="n">
        <f aca="false">IF(internal_ai_reading=2,B92,B89)</f>
        <v>2056.53085828344</v>
      </c>
      <c r="C93" s="23" t="n">
        <f aca="false">IF(internal_ai_reading=2,C92,C89)</f>
        <v>1787.00899304395</v>
      </c>
      <c r="D93" s="23" t="n">
        <f aca="false">IF(internal_ai_reading=2,D92,D89)</f>
        <v>1297.86038465553</v>
      </c>
    </row>
    <row r="94" customFormat="false" ht="17.15" hidden="false" customHeight="false" outlineLevel="0" collapsed="false">
      <c r="A94" s="4" t="s">
        <v>1108</v>
      </c>
      <c r="B94" s="14" t="n">
        <f aca="false">(B88+(internal_ai_reading=2)*B91)/B93</f>
        <v>0.731906049665067</v>
      </c>
      <c r="C94" s="14" t="n">
        <f aca="false">(C88+(internal_ai_reading=2)*C91)/C93</f>
        <v>0.741294040264534</v>
      </c>
      <c r="D94" s="14" t="n">
        <f aca="false">(D88+(internal_ai_reading=2)*D91)/D93</f>
        <v>0.769574102462181</v>
      </c>
    </row>
    <row r="95" customFormat="false" ht="15" hidden="false" customHeight="false" outlineLevel="0" collapsed="false">
      <c r="A95" s="4" t="s">
        <v>1109</v>
      </c>
      <c r="B95" s="23" t="n">
        <f aca="false">cash_0-debt_0-fin_lease</f>
        <v>51.736</v>
      </c>
      <c r="C95" s="23" t="n">
        <f aca="false">cash_0-debt_0-fin_lease</f>
        <v>51.736</v>
      </c>
      <c r="D95" s="23" t="n">
        <f aca="false">cash_0-debt_0-fin_lease</f>
        <v>51.736</v>
      </c>
    </row>
    <row r="96" customFormat="false" ht="17.15" hidden="false" customHeight="false" outlineLevel="0" collapsed="false">
      <c r="A96" s="4" t="s">
        <v>1110</v>
      </c>
      <c r="B96" s="23" t="n">
        <f aca="false">ant_val*ant_stake*(1-illiq)+spacex+oth_eq</f>
        <v>197.689</v>
      </c>
      <c r="C96" s="23" t="n">
        <f aca="false">ant_val*ant_stake*(1-illiq)+spacex+oth_eq</f>
        <v>197.689</v>
      </c>
      <c r="D96" s="23" t="n">
        <f aca="false">ant_val*ant_stake*(1-illiq)+spacex+oth_eq</f>
        <v>197.689</v>
      </c>
    </row>
    <row r="97" customFormat="false" ht="15" hidden="false" customHeight="false" outlineLevel="0" collapsed="false">
      <c r="A97" s="4" t="s">
        <v>1111</v>
      </c>
      <c r="B97" s="23" t="n">
        <f aca="false">fines+nci</f>
        <v>24.456</v>
      </c>
      <c r="C97" s="23" t="n">
        <f aca="false">fines+nci</f>
        <v>24.456</v>
      </c>
      <c r="D97" s="23" t="n">
        <f aca="false">fines+nci</f>
        <v>24.456</v>
      </c>
    </row>
    <row r="98" customFormat="false" ht="17.15" hidden="false" customHeight="false" outlineLevel="0" collapsed="false">
      <c r="A98" s="4" t="s">
        <v>1112</v>
      </c>
      <c r="B98" s="23" t="n">
        <f aca="false">pref_2H/(1+ke)^$F$51+pref_27/(1+ke)^$H$51+pref_28/(1+ke)^$I$51+pref_29/(1+ke)^$J$51</f>
        <v>3.0116407572292</v>
      </c>
      <c r="C98" s="23" t="n">
        <f aca="false">pref_2H/(1+ke)^$F$51+pref_27/(1+ke)^$H$51+pref_28/(1+ke)^$I$51+pref_29/(1+ke)^$J$51</f>
        <v>3.0116407572292</v>
      </c>
      <c r="D98" s="23" t="n">
        <f aca="false">pref_2H/(1+ke)^$F$51+pref_27/(1+ke)^$H$51+pref_28/(1+ke)^$I$51+pref_29/(1+ke)^$J$51</f>
        <v>3.0116407572292</v>
      </c>
      <c r="E98" s="4" t="s">
        <v>1113</v>
      </c>
    </row>
    <row r="99" customFormat="false" ht="15" hidden="false" customHeight="false" outlineLevel="0" collapsed="false">
      <c r="A99" s="4" t="s">
        <v>1114</v>
      </c>
      <c r="B99" s="19" t="n">
        <f aca="false">PL!E63+conv_sh</f>
        <v>12.4426</v>
      </c>
      <c r="C99" s="19" t="n">
        <f aca="false">PL!E122+conv_sh</f>
        <v>12.4426</v>
      </c>
      <c r="D99" s="19" t="n">
        <f aca="false">PL!E181+conv_sh</f>
        <v>12.4426</v>
      </c>
    </row>
    <row r="100" customFormat="false" ht="17.15" hidden="false" customHeight="false" outlineLevel="0" collapsed="false">
      <c r="A100" s="0" t="s">
        <v>1115</v>
      </c>
      <c r="B100" s="23" t="n">
        <f aca="false">MAX(0,(B89+B95+B96-B97-B98)/B99*(1+ke)^t_tgt-dps_tgt)</f>
        <v>124.575479442806</v>
      </c>
      <c r="C100" s="23" t="n">
        <f aca="false">MAX(0,(C89+C95+C96-C97-C98)/C99*(1+ke)^t_tgt-dps_tgt)</f>
        <v>99.6334030829141</v>
      </c>
      <c r="D100" s="23" t="n">
        <f aca="false">MAX(0,(D89+D95+D96-D97-D98)/D99*(1+ke)^t_tgt-dps_tgt)</f>
        <v>54.3666417724073</v>
      </c>
      <c r="E100" s="7" t="s">
        <v>1116</v>
      </c>
    </row>
    <row r="101" customFormat="false" ht="17.15" hidden="false" customHeight="false" outlineLevel="0" collapsed="false">
      <c r="A101" s="0" t="s">
        <v>1117</v>
      </c>
      <c r="B101" s="23" t="n">
        <f aca="false">MAX(0,(B92+B95+B96-B97-B98)/B99*(1+ke)^t_tgt-dps_tgt)</f>
        <v>209.656284978196</v>
      </c>
      <c r="C101" s="23" t="n">
        <f aca="false">MAX(0,(C92+C95+C96-C97-C98)/C99*(1+ke)^t_tgt-dps_tgt)</f>
        <v>184.714208618304</v>
      </c>
      <c r="D101" s="23" t="n">
        <f aca="false">MAX(0,(D92+D95+D96-D97-D98)/D99*(1+ke)^t_tgt-dps_tgt)</f>
        <v>139.447447307797</v>
      </c>
    </row>
    <row r="102" customFormat="false" ht="17.15" hidden="false" customHeight="false" outlineLevel="0" collapsed="false">
      <c r="A102" s="37" t="s">
        <v>1118</v>
      </c>
      <c r="B102" s="31" t="n">
        <f aca="false">IF(internal_ai_reading=2,B101,B100)</f>
        <v>209.656284978196</v>
      </c>
      <c r="C102" s="31" t="n">
        <f aca="false">IF(internal_ai_reading=2,C101,C100)</f>
        <v>184.714208618304</v>
      </c>
      <c r="D102" s="31" t="n">
        <f aca="false">IF(internal_ai_reading=2,D101,D100)</f>
        <v>139.447447307797</v>
      </c>
      <c r="E102" s="9"/>
    </row>
    <row r="104" customFormat="false" ht="17.15" hidden="false" customHeight="false" outlineLevel="0" collapsed="false">
      <c r="A104" s="5" t="s">
        <v>1119</v>
      </c>
    </row>
    <row r="105" customFormat="false" ht="15" hidden="false" customHeight="false" outlineLevel="0" collapsed="false">
      <c r="A105" s="3" t="s">
        <v>44</v>
      </c>
      <c r="B105" s="3"/>
      <c r="C105" s="3"/>
      <c r="D105" s="3"/>
      <c r="E105" s="3" t="s">
        <v>51</v>
      </c>
      <c r="F105" s="18" t="s">
        <v>832</v>
      </c>
      <c r="G105" s="3"/>
      <c r="H105" s="18" t="s">
        <v>834</v>
      </c>
      <c r="I105" s="18" t="s">
        <v>835</v>
      </c>
      <c r="J105" s="18" t="s">
        <v>836</v>
      </c>
      <c r="K105" s="18" t="s">
        <v>837</v>
      </c>
      <c r="L105" s="18" t="s">
        <v>838</v>
      </c>
      <c r="M105" s="18" t="s">
        <v>839</v>
      </c>
    </row>
    <row r="106" customFormat="false" ht="17.15" hidden="false" customHeight="false" outlineLevel="0" collapsed="false">
      <c r="A106" s="0" t="s">
        <v>1120</v>
      </c>
      <c r="F106" s="23" t="n">
        <f aca="false">Thesis!F41</f>
        <v>10.9745479354239</v>
      </c>
      <c r="H106" s="23" t="n">
        <f aca="false">Thesis!H41</f>
        <v>32.7972927191406</v>
      </c>
      <c r="I106" s="23" t="n">
        <f aca="false">Thesis!I41</f>
        <v>48.0401040251318</v>
      </c>
      <c r="J106" s="23" t="n">
        <f aca="false">Thesis!J41</f>
        <v>62.023331964104</v>
      </c>
      <c r="K106" s="23" t="n">
        <f aca="false">Thesis!K41</f>
        <v>72.6450584236197</v>
      </c>
      <c r="L106" s="23" t="n">
        <f aca="false">Thesis!L41</f>
        <v>80.0523483845157</v>
      </c>
      <c r="M106" s="23" t="n">
        <f aca="false">Thesis!M41</f>
        <v>84.320355564782</v>
      </c>
    </row>
    <row r="107" customFormat="false" ht="17.15" hidden="false" customHeight="false" outlineLevel="0" collapsed="false">
      <c r="A107" s="4" t="s">
        <v>1121</v>
      </c>
      <c r="F107" s="23" t="n">
        <f aca="false">Thesis!F64</f>
        <v>2.13787164992929</v>
      </c>
      <c r="H107" s="23" t="n">
        <f aca="false">Thesis!H64</f>
        <v>10.5347464373354</v>
      </c>
      <c r="I107" s="23" t="n">
        <f aca="false">Thesis!I64</f>
        <v>18.6068520832319</v>
      </c>
      <c r="J107" s="23" t="n">
        <f aca="false">Thesis!J64</f>
        <v>26.9287583207137</v>
      </c>
      <c r="K107" s="23" t="n">
        <f aca="false">Thesis!K64</f>
        <v>34.7154724074253</v>
      </c>
      <c r="L107" s="23" t="n">
        <f aca="false">Thesis!L64</f>
        <v>42.5510396913593</v>
      </c>
      <c r="M107" s="23" t="n">
        <f aca="false">Thesis!M64</f>
        <v>48.9215951543403</v>
      </c>
    </row>
    <row r="108" customFormat="false" ht="17.15" hidden="false" customHeight="false" outlineLevel="0" collapsed="false">
      <c r="A108" s="0" t="s">
        <v>1122</v>
      </c>
      <c r="F108" s="23" t="n">
        <f aca="false">(F106-F107)*(1-tax)</f>
        <v>7.35211466953148</v>
      </c>
      <c r="H108" s="23" t="n">
        <f aca="false">(H106-H107)*(1-tax)</f>
        <v>18.5224385064619</v>
      </c>
      <c r="I108" s="23" t="n">
        <f aca="false">(I106-I107)*(1-tax)</f>
        <v>24.4884656156607</v>
      </c>
      <c r="J108" s="23" t="n">
        <f aca="false">(J106-J107)*(1-tax)</f>
        <v>29.1986852713008</v>
      </c>
      <c r="K108" s="23" t="n">
        <f aca="false">(K106-K107)*(1-tax)</f>
        <v>31.5574155654738</v>
      </c>
      <c r="L108" s="23" t="n">
        <f aca="false">(L106-L107)*(1-tax)</f>
        <v>31.2010888327061</v>
      </c>
      <c r="M108" s="23" t="n">
        <f aca="false">(M106-M107)*(1-tax)</f>
        <v>29.4517686614875</v>
      </c>
    </row>
    <row r="109" customFormat="false" ht="17.15" hidden="false" customHeight="false" outlineLevel="0" collapsed="false">
      <c r="A109" s="4" t="s">
        <v>1123</v>
      </c>
      <c r="F109" s="23" t="n">
        <f aca="false">Thesis!F52*ext_sh</f>
        <v>29.484840035128</v>
      </c>
      <c r="H109" s="23" t="n">
        <f aca="false">Thesis!H52*ext_sh</f>
        <v>57.005724976488</v>
      </c>
      <c r="I109" s="23" t="n">
        <f aca="false">Thesis!I52*ext_sh</f>
        <v>60.343316066652</v>
      </c>
      <c r="J109" s="23" t="n">
        <f aca="false">Thesis!J52*ext_sh</f>
        <v>54.2577631485377</v>
      </c>
      <c r="K109" s="23" t="n">
        <f aca="false">Thesis!K52*ext_sh</f>
        <v>51.5079273271387</v>
      </c>
      <c r="L109" s="23" t="n">
        <f aca="false">Thesis!L52*ext_sh</f>
        <v>53.1643454871411</v>
      </c>
      <c r="M109" s="23" t="n">
        <f aca="false">Thesis!M52*ext_sh</f>
        <v>50.3630533733114</v>
      </c>
    </row>
    <row r="110" customFormat="false" ht="17.15" hidden="false" customHeight="false" outlineLevel="0" collapsed="false">
      <c r="A110" s="0" t="s">
        <v>1124</v>
      </c>
      <c r="F110" s="23" t="n">
        <f aca="false">F108+F107-F109</f>
        <v>-19.9948537156672</v>
      </c>
      <c r="H110" s="23" t="n">
        <f aca="false">H108+H107-H109</f>
        <v>-27.9485400326907</v>
      </c>
      <c r="I110" s="23" t="n">
        <f aca="false">I108+I107-I109</f>
        <v>-17.2479983677594</v>
      </c>
      <c r="J110" s="23" t="n">
        <f aca="false">J108+J107-J109</f>
        <v>1.86968044347672</v>
      </c>
      <c r="K110" s="23" t="n">
        <f aca="false">K108+K107-K109</f>
        <v>14.7649606457604</v>
      </c>
      <c r="L110" s="23" t="n">
        <f aca="false">L108+L107-L109</f>
        <v>20.5877830369243</v>
      </c>
      <c r="M110" s="23" t="n">
        <f aca="false">M108+M107-M109</f>
        <v>28.0103104425163</v>
      </c>
    </row>
    <row r="111" customFormat="false" ht="15" hidden="false" customHeight="false" outlineLevel="0" collapsed="false">
      <c r="A111" s="4" t="s">
        <v>1125</v>
      </c>
      <c r="F111" s="23" t="n">
        <f aca="false">F110*F52</f>
        <v>-19.4763947590862</v>
      </c>
      <c r="H111" s="23" t="n">
        <f aca="false">H110*H52</f>
        <v>-25.1605700062964</v>
      </c>
      <c r="I111" s="23" t="n">
        <f aca="false">I110*I52</f>
        <v>-13.9785267312226</v>
      </c>
      <c r="J111" s="23" t="n">
        <f aca="false">J110*J52</f>
        <v>1.36411641103421</v>
      </c>
      <c r="K111" s="23" t="n">
        <f aca="false">K110*K52</f>
        <v>9.69789977546111</v>
      </c>
      <c r="L111" s="23" t="n">
        <f aca="false">L110*L52</f>
        <v>12.1735243851477</v>
      </c>
      <c r="M111" s="23" t="n">
        <f aca="false">M110*M52</f>
        <v>14.9102875434415</v>
      </c>
    </row>
    <row r="112" customFormat="false" ht="17.15" hidden="false" customHeight="false" outlineLevel="0" collapsed="false">
      <c r="A112" s="0" t="s">
        <v>1126</v>
      </c>
      <c r="B112" s="23" t="n">
        <f aca="false">SUM(F111:M111)</f>
        <v>-20.4696633815207</v>
      </c>
    </row>
    <row r="113" customFormat="false" ht="17.15" hidden="false" customHeight="false" outlineLevel="0" collapsed="false">
      <c r="A113" s="0" t="s">
        <v>1127</v>
      </c>
      <c r="B113" s="23" t="n">
        <f aca="false">M108*(1+g_tv)*(1-g_tv/ronic)/(wacc-g_tv)/(1+wacc)^($M$51+mid)</f>
        <v>138.27056962411</v>
      </c>
    </row>
    <row r="114" customFormat="false" ht="17.15" hidden="false" customHeight="false" outlineLevel="0" collapsed="false">
      <c r="A114" s="5" t="s">
        <v>1128</v>
      </c>
      <c r="B114" s="23" t="n">
        <f aca="false">(B112+B113)*(1+wacc)^t_tgt</f>
        <v>135.376180815806</v>
      </c>
      <c r="E114" s="4" t="s">
        <v>1129</v>
      </c>
    </row>
    <row r="116" customFormat="false" ht="17.15" hidden="false" customHeight="false" outlineLevel="0" collapsed="false">
      <c r="A116" s="5" t="s">
        <v>1130</v>
      </c>
    </row>
    <row r="117" customFormat="false" ht="15" hidden="false" customHeight="false" outlineLevel="0" collapsed="false">
      <c r="A117" s="3" t="s">
        <v>1131</v>
      </c>
      <c r="B117" s="3" t="s">
        <v>1132</v>
      </c>
      <c r="C117" s="3" t="s">
        <v>1133</v>
      </c>
      <c r="D117" s="3"/>
      <c r="E117" s="3" t="s">
        <v>51</v>
      </c>
    </row>
    <row r="118" customFormat="false" ht="17.15" hidden="false" customHeight="false" outlineLevel="0" collapsed="false">
      <c r="A118" s="4" t="s">
        <v>1134</v>
      </c>
      <c r="B118" s="21" t="n">
        <f aca="false">MEDIAN(pm_ads_meta,pm_ads_pins,pm_ads_ttd,pm_ads_app,pm_ads_rddt,pm_ads_snap)</f>
        <v>9.11</v>
      </c>
      <c r="C118" s="38" t="n">
        <v>6</v>
      </c>
      <c r="E118" s="7" t="s">
        <v>1135</v>
      </c>
    </row>
    <row r="119" customFormat="false" ht="17.15" hidden="false" customHeight="false" outlineLevel="0" collapsed="false">
      <c r="A119" s="4" t="s">
        <v>1136</v>
      </c>
      <c r="B119" s="21" t="n">
        <f aca="false">MEDIAN(pm_subs_nflx,pm_subs_spot,pm_subs_dis)</f>
        <v>15.41</v>
      </c>
      <c r="C119" s="38" t="n">
        <v>3</v>
      </c>
      <c r="E119" s="7" t="s">
        <v>1137</v>
      </c>
    </row>
    <row r="120" customFormat="false" ht="17.15" hidden="false" customHeight="false" outlineLevel="0" collapsed="false">
      <c r="A120" s="4" t="s">
        <v>1138</v>
      </c>
      <c r="B120" s="21" t="n">
        <f aca="false">MEDIAN(pm_cloud_orcl,pm_cloud_ibm,pm_cloud_sap,pm_cloud_crm,pm_cloud_now,pm_cloud_akam,pm_cloud_eqix,pm_cloud_docn)</f>
        <v>13.82</v>
      </c>
      <c r="C120" s="38" t="n">
        <v>8</v>
      </c>
      <c r="E120" s="7" t="s">
        <v>1139</v>
      </c>
    </row>
    <row r="121" customFormat="false" ht="17.15" hidden="false" customHeight="false" outlineLevel="0" collapsed="false">
      <c r="A121" s="0" t="s">
        <v>1140</v>
      </c>
      <c r="B121" s="21" t="n">
        <f aca="false">CHOOSE(ads_mode+1,pm_ads_meta,mult_ads,mult_ads_own)</f>
        <v>10.79</v>
      </c>
      <c r="E121" s="4" t="s">
        <v>1141</v>
      </c>
    </row>
    <row r="123" customFormat="false" ht="17.15" hidden="false" customHeight="false" outlineLevel="0" collapsed="false">
      <c r="A123" s="3" t="s">
        <v>1142</v>
      </c>
      <c r="B123" s="3" t="s">
        <v>998</v>
      </c>
      <c r="C123" s="3" t="s">
        <v>999</v>
      </c>
      <c r="D123" s="3" t="s">
        <v>1000</v>
      </c>
      <c r="E123" s="3" t="s">
        <v>1143</v>
      </c>
      <c r="F123" s="18" t="s">
        <v>1144</v>
      </c>
      <c r="G123" s="18" t="s">
        <v>1145</v>
      </c>
      <c r="H123" s="18" t="s">
        <v>1146</v>
      </c>
    </row>
    <row r="124" customFormat="false" ht="17.15" hidden="false" customHeight="false" outlineLevel="0" collapsed="false">
      <c r="A124" s="0" t="s">
        <v>1147</v>
      </c>
      <c r="B124" s="23" t="n">
        <f aca="false">(w_ntm27*PL!H14+(1-w_ntm27)*PL!I14)*m_yt+sbc_r*(w_ntm27*PL!H14+(1-w_ntm27)*PL!I14)</f>
        <v>25.0226156823134</v>
      </c>
      <c r="C124" s="23" t="n">
        <f aca="false">(w_ntm27*PL!H73+(1-w_ntm27)*PL!I73)*m_yt+sbc_r*(w_ntm27*PL!H73+(1-w_ntm27)*PL!I73)</f>
        <v>25.0226156823134</v>
      </c>
      <c r="D124" s="23" t="n">
        <f aca="false">(w_ntm27*PL!H132+(1-w_ntm27)*PL!I132)*m_yt+sbc_r*(w_ntm27*PL!H132+(1-w_ntm27)*PL!I132)</f>
        <v>25.0226156823134</v>
      </c>
      <c r="E124" s="0" t="str">
        <f aca="false">"搜尋／YouTube 倍數 "&amp;TEXT(mult_adsx,"0.00")&amp;"×"</f>
        <v>搜尋／YouTube 倍數 10.79×</v>
      </c>
      <c r="F124" s="22" t="n">
        <f aca="false">B124*mult_adsx</f>
        <v>269.994023212162</v>
      </c>
      <c r="G124" s="22" t="n">
        <f aca="false">C124*mult_adsx</f>
        <v>269.994023212162</v>
      </c>
      <c r="H124" s="22" t="n">
        <f aca="false">D124*mult_adsx</f>
        <v>269.994023212162</v>
      </c>
    </row>
    <row r="125" customFormat="false" ht="17.15" hidden="false" customHeight="false" outlineLevel="0" collapsed="false">
      <c r="A125" s="0" t="s">
        <v>1148</v>
      </c>
      <c r="B125" s="23" t="n">
        <f aca="false">(w_ntm27*PL!H15+(1-w_ntm27)*PL!I15)*m_net+sbc_r*(w_ntm27*PL!H15+(1-w_ntm27)*PL!I15)</f>
        <v>6.05052457577381</v>
      </c>
      <c r="C125" s="23" t="n">
        <f aca="false">(w_ntm27*PL!H74+(1-w_ntm27)*PL!I74)*m_net+sbc_r*(w_ntm27*PL!H74+(1-w_ntm27)*PL!I74)</f>
        <v>6.05052457577381</v>
      </c>
      <c r="D125" s="23" t="n">
        <f aca="false">(w_ntm27*PL!H133+(1-w_ntm27)*PL!I133)*m_net+sbc_r*(w_ntm27*PL!H133+(1-w_ntm27)*PL!I133)</f>
        <v>6.05052457577381</v>
      </c>
      <c r="E125" s="0" t="str">
        <f aca="false">"六家廣告中位數 "&amp;TEXT(mult_ads,"0.00")&amp;"×"</f>
        <v>六家廣告中位數 9.11×</v>
      </c>
      <c r="F125" s="22" t="n">
        <f aca="false">B125*mult_ads</f>
        <v>55.1202788852994</v>
      </c>
      <c r="G125" s="22" t="n">
        <f aca="false">C125*mult_ads</f>
        <v>55.1202788852994</v>
      </c>
      <c r="H125" s="22" t="n">
        <f aca="false">D125*mult_ads</f>
        <v>55.1202788852994</v>
      </c>
    </row>
    <row r="126" customFormat="false" ht="17.15" hidden="false" customHeight="false" outlineLevel="0" collapsed="false">
      <c r="A126" s="0" t="s">
        <v>1149</v>
      </c>
      <c r="B126" s="23" t="n">
        <f aca="false">(w_ntm27*PL!H16+(1-w_ntm27)*PL!I16)*m_subs+sbc_r*(w_ntm27*PL!H16+(1-w_ntm27)*PL!I16)</f>
        <v>19.2128571209385</v>
      </c>
      <c r="C126" s="23" t="n">
        <f aca="false">(w_ntm27*PL!H75+(1-w_ntm27)*PL!I75)*m_subs+sbc_r*(w_ntm27*PL!H75+(1-w_ntm27)*PL!I75)</f>
        <v>19.2128571209385</v>
      </c>
      <c r="D126" s="23" t="n">
        <f aca="false">(w_ntm27*PL!H134+(1-w_ntm27)*PL!I134)*m_subs+sbc_r*(w_ntm27*PL!H134+(1-w_ntm27)*PL!I134)</f>
        <v>19.2128571209385</v>
      </c>
      <c r="E126" s="0" t="str">
        <f aca="false">"訂閱影音 "&amp;TEXT(mult_subs,"0.00")&amp;"×"</f>
        <v>訂閱影音 15.41×</v>
      </c>
      <c r="F126" s="22" t="n">
        <f aca="false">B126*mult_subs</f>
        <v>296.070128233662</v>
      </c>
      <c r="G126" s="22" t="n">
        <f aca="false">C126*mult_subs</f>
        <v>296.070128233662</v>
      </c>
      <c r="H126" s="22" t="n">
        <f aca="false">D126*mult_subs</f>
        <v>296.070128233662</v>
      </c>
    </row>
    <row r="127" customFormat="false" ht="17.15" hidden="false" customHeight="false" outlineLevel="0" collapsed="false">
      <c r="A127" s="0" t="s">
        <v>1150</v>
      </c>
      <c r="B127" s="23" t="n">
        <f aca="false">(w_ntm27*PL!H30+(1-w_ntm27)*PL!I30)-(w_ntm27*PL!H14+(1-w_ntm27)*PL!I14)*m_yt-(w_ntm27*PL!H15+(1-w_ntm27)*PL!I15)*m_net-(w_ntm27*PL!H16+(1-w_ntm27)*PL!I16)*m_subs+sbc_r*(w_ntm27*PL!H13+(1-w_ntm27)*PL!I13)</f>
        <v>226.409980448187</v>
      </c>
      <c r="C127" s="23" t="n">
        <f aca="false">(w_ntm27*PL!H89+(1-w_ntm27)*PL!I89)-(w_ntm27*PL!H73+(1-w_ntm27)*PL!I73)*m_yt-(w_ntm27*PL!H74+(1-w_ntm27)*PL!I74)*m_net-(w_ntm27*PL!H75+(1-w_ntm27)*PL!I75)*m_subs+sbc_r*(w_ntm27*PL!H72+(1-w_ntm27)*PL!I72)</f>
        <v>208.63190224378</v>
      </c>
      <c r="D127" s="23" t="n">
        <f aca="false">(w_ntm27*PL!H148+(1-w_ntm27)*PL!I148)-(w_ntm27*PL!H132+(1-w_ntm27)*PL!I132)*m_yt-(w_ntm27*PL!H133+(1-w_ntm27)*PL!I133)*m_net-(w_ntm27*PL!H134+(1-w_ntm27)*PL!I134)*m_subs+sbc_r*(w_ntm27*PL!H131+(1-w_ntm27)*PL!I131)</f>
        <v>174.748745054244</v>
      </c>
      <c r="E127" s="0" t="str">
        <f aca="false">"搜尋／YouTube 倍數 "&amp;TEXT(mult_adsx,"0.00")&amp;"×"</f>
        <v>搜尋／YouTube 倍數 10.79×</v>
      </c>
      <c r="F127" s="22" t="n">
        <f aca="false">B127*mult_adsx</f>
        <v>2442.96368903594</v>
      </c>
      <c r="G127" s="22" t="n">
        <f aca="false">C127*mult_adsx</f>
        <v>2251.13822521039</v>
      </c>
      <c r="H127" s="22" t="n">
        <f aca="false">D127*mult_adsx</f>
        <v>1885.53895913529</v>
      </c>
    </row>
    <row r="128" customFormat="false" ht="17.15" hidden="false" customHeight="false" outlineLevel="0" collapsed="false">
      <c r="A128" s="0" t="s">
        <v>1151</v>
      </c>
      <c r="B128" s="23" t="n">
        <f aca="false">(w_ntm27*PL!H19+(1-w_ntm27)*PL!I19)*tpu_m</f>
        <v>3.25</v>
      </c>
      <c r="C128" s="23" t="n">
        <f aca="false">(w_ntm27*PL!H78+(1-w_ntm27)*PL!I78)*tpu_m</f>
        <v>3.25</v>
      </c>
      <c r="D128" s="23" t="n">
        <f aca="false">(w_ntm27*PL!H137+(1-w_ntm27)*PL!I137)*tpu_m</f>
        <v>3.25</v>
      </c>
      <c r="E128" s="0" t="str">
        <f aca="false">"AI 基礎設施 "&amp;TEXT(mult_ai,"0.00")&amp;"×"</f>
        <v>AI 基礎設施 6.00×</v>
      </c>
      <c r="F128" s="22" t="n">
        <f aca="false">B128*mult_ai</f>
        <v>19.5</v>
      </c>
      <c r="G128" s="22" t="n">
        <f aca="false">C128*mult_ai</f>
        <v>19.5</v>
      </c>
      <c r="H128" s="22" t="n">
        <f aca="false">D128*mult_ai</f>
        <v>19.5</v>
      </c>
    </row>
    <row r="129" customFormat="false" ht="17.15" hidden="false" customHeight="false" outlineLevel="0" collapsed="false">
      <c r="A129" s="0" t="s">
        <v>1152</v>
      </c>
      <c r="B129" s="23" t="n">
        <f aca="false">(w_ntm27*PL!H20+(1-w_ntm27)*PL!I20)*m_co+sbc_r*(w_ntm27*PL!H20+(1-w_ntm27)*PL!I20)</f>
        <v>44.698826170866</v>
      </c>
      <c r="C129" s="23" t="n">
        <f aca="false">(w_ntm27*PL!H79+(1-w_ntm27)*PL!I79)*m_co+sbc_r*(w_ntm27*PL!H79+(1-w_ntm27)*PL!I79)</f>
        <v>44.698826170866</v>
      </c>
      <c r="D129" s="23" t="n">
        <f aca="false">(w_ntm27*PL!H138+(1-w_ntm27)*PL!I138)*m_co+sbc_r*(w_ntm27*PL!H138+(1-w_ntm27)*PL!I138)</f>
        <v>44.698826170866</v>
      </c>
      <c r="E129" s="0" t="str">
        <f aca="false">"非 AI 雲端 "&amp;TEXT(mult_cloud,"0.00")&amp;"×"</f>
        <v>非 AI 雲端 13.82×</v>
      </c>
      <c r="F129" s="22" t="n">
        <f aca="false">B129*mult_cloud</f>
        <v>617.737777681368</v>
      </c>
      <c r="G129" s="22" t="n">
        <f aca="false">C129*mult_cloud</f>
        <v>617.737777681368</v>
      </c>
      <c r="H129" s="22" t="n">
        <f aca="false">D129*mult_cloud</f>
        <v>617.737777681368</v>
      </c>
    </row>
    <row r="130" customFormat="false" ht="17.15" hidden="false" customHeight="false" outlineLevel="0" collapsed="false">
      <c r="A130" s="0" t="s">
        <v>1153</v>
      </c>
      <c r="B130" s="23" t="n">
        <f aca="false">(w_ntm27*PL!H41+(1-w_ntm27)*PL!I41)</f>
        <v>-42.9877096882907</v>
      </c>
      <c r="C130" s="23" t="n">
        <f aca="false">(w_ntm27*PL!H100+(1-w_ntm27)*PL!I100)</f>
        <v>-41.862455885024</v>
      </c>
      <c r="D130" s="23" t="n">
        <f aca="false">(w_ntm27*PL!H159+(1-w_ntm27)*PL!I159)</f>
        <v>-39.7178398553364</v>
      </c>
      <c r="E130" s="0" t="str">
        <f aca="false">"搜尋／YouTube 倍數 "&amp;TEXT(mult_adsx,"0.00")&amp;"×"</f>
        <v>搜尋／YouTube 倍數 10.79×</v>
      </c>
      <c r="F130" s="22" t="n">
        <f aca="false">B130*mult_adsx</f>
        <v>-463.837387536657</v>
      </c>
      <c r="G130" s="22" t="n">
        <f aca="false">C130*mult_adsx</f>
        <v>-451.695898999409</v>
      </c>
      <c r="H130" s="22" t="n">
        <f aca="false">D130*mult_adsx</f>
        <v>-428.555492039079</v>
      </c>
    </row>
    <row r="131" customFormat="false" ht="17.15" hidden="false" customHeight="false" outlineLevel="0" collapsed="false">
      <c r="A131" s="0" t="s">
        <v>1154</v>
      </c>
      <c r="B131" s="23" t="n">
        <f aca="false">(w_ntm27*Thesis!H41+(1-w_ntm27)*Thesis!I41)</f>
        <v>45.3253593315348</v>
      </c>
      <c r="C131" s="23" t="n">
        <f aca="false">(w_ntm27*Thesis!H41+(1-w_ntm27)*Thesis!I41)</f>
        <v>45.3253593315348</v>
      </c>
      <c r="D131" s="23" t="n">
        <f aca="false">(w_ntm27*Thesis!H41+(1-w_ntm27)*Thesis!I41)</f>
        <v>45.3253593315348</v>
      </c>
      <c r="E131" s="7" t="s">
        <v>1155</v>
      </c>
      <c r="F131" s="22" t="n">
        <f aca="false">$B$114</f>
        <v>135.376180815806</v>
      </c>
      <c r="G131" s="22" t="n">
        <f aca="false">$B$114</f>
        <v>135.376180815806</v>
      </c>
      <c r="H131" s="22" t="n">
        <f aca="false">$B$114</f>
        <v>135.376180815806</v>
      </c>
    </row>
    <row r="132" customFormat="false" ht="17.15" hidden="false" customHeight="false" outlineLevel="0" collapsed="false">
      <c r="A132" s="0" t="s">
        <v>1156</v>
      </c>
      <c r="B132" s="23" t="n">
        <f aca="false">(w_ntm27*PL!H38+(1-w_ntm27)*PL!I38)</f>
        <v>-8.88899395543819</v>
      </c>
      <c r="C132" s="23" t="n">
        <f aca="false">(w_ntm27*PL!H97+(1-w_ntm27)*PL!I97)</f>
        <v>-8.88899395543819</v>
      </c>
      <c r="D132" s="23" t="n">
        <f aca="false">(w_ntm27*PL!H156+(1-w_ntm27)*PL!I156)</f>
        <v>-8.88899395543819</v>
      </c>
      <c r="E132" s="4" t="s">
        <v>262</v>
      </c>
      <c r="F132" s="22" t="n">
        <f aca="false">ob_val</f>
        <v>0</v>
      </c>
      <c r="G132" s="22" t="n">
        <f aca="false">ob_val</f>
        <v>0</v>
      </c>
      <c r="H132" s="22" t="n">
        <f aca="false">ob_val</f>
        <v>0</v>
      </c>
    </row>
    <row r="133" customFormat="false" ht="17.15" hidden="false" customHeight="false" outlineLevel="0" collapsed="false">
      <c r="A133" s="4" t="s">
        <v>1157</v>
      </c>
      <c r="B133" s="22" t="n">
        <f aca="false">SUM(F124:F132)</f>
        <v>3372.92469032758</v>
      </c>
      <c r="C133" s="22" t="n">
        <f aca="false">SUM(G124:G132)</f>
        <v>3193.24071503928</v>
      </c>
      <c r="D133" s="22" t="n">
        <f aca="false">SUM(H124:H132)</f>
        <v>2850.78185592451</v>
      </c>
    </row>
    <row r="134" customFormat="false" ht="17.15" hidden="false" customHeight="false" outlineLevel="0" collapsed="false">
      <c r="A134" s="4" t="s">
        <v>1158</v>
      </c>
      <c r="B134" s="23" t="n">
        <f aca="false">(w_ntm27*Thesis!H80+(1-w_ntm27)*Thesis!I80)</f>
        <v>61.1301071946149</v>
      </c>
      <c r="C134" s="23" t="n">
        <f aca="false">(w_ntm27*Thesis!H80+(1-w_ntm27)*Thesis!I80)</f>
        <v>61.1301071946149</v>
      </c>
      <c r="D134" s="23" t="n">
        <f aca="false">(w_ntm27*Thesis!H80+(1-w_ntm27)*Thesis!I80)</f>
        <v>61.1301071946149</v>
      </c>
      <c r="E134" s="4" t="s">
        <v>1159</v>
      </c>
      <c r="F134" s="22" t="n">
        <f aca="false">B134*mult_adsx</f>
        <v>659.593856629894</v>
      </c>
      <c r="G134" s="22" t="n">
        <f aca="false">C134*mult_adsx</f>
        <v>659.593856629894</v>
      </c>
      <c r="H134" s="22" t="n">
        <f aca="false">D134*mult_adsx</f>
        <v>659.593856629894</v>
      </c>
    </row>
    <row r="135" customFormat="false" ht="17.15" hidden="false" customHeight="false" outlineLevel="0" collapsed="false">
      <c r="A135" s="4" t="s">
        <v>1160</v>
      </c>
      <c r="B135" s="22" t="n">
        <f aca="false">B133+F134</f>
        <v>4032.51854695748</v>
      </c>
      <c r="C135" s="22" t="n">
        <f aca="false">C133+G134</f>
        <v>3852.83457166917</v>
      </c>
      <c r="D135" s="22" t="n">
        <f aca="false">D133+H134</f>
        <v>3510.3757125544</v>
      </c>
    </row>
    <row r="136" customFormat="false" ht="17.15" hidden="false" customHeight="false" outlineLevel="0" collapsed="false">
      <c r="A136" s="2" t="s">
        <v>1161</v>
      </c>
      <c r="B136" s="22" t="n">
        <f aca="false">IF(internal_ai_reading=2,B135,B133)</f>
        <v>4032.51854695748</v>
      </c>
      <c r="C136" s="22" t="n">
        <f aca="false">IF(internal_ai_reading=2,C135,C133)</f>
        <v>3852.83457166917</v>
      </c>
      <c r="D136" s="22" t="n">
        <f aca="false">IF(internal_ai_reading=2,D135,D133)</f>
        <v>3510.3757125544</v>
      </c>
    </row>
    <row r="137" customFormat="false" ht="17.15" hidden="false" customHeight="false" outlineLevel="0" collapsed="false">
      <c r="A137" s="4" t="s">
        <v>1162</v>
      </c>
      <c r="B137" s="22" t="n">
        <f aca="false">SUM(B124:B132)+(internal_ai_reading=2)*B134</f>
        <v>379.2235668805</v>
      </c>
      <c r="C137" s="22" t="n">
        <f aca="false">SUM(C124:C132)+(internal_ai_reading=2)*C134</f>
        <v>362.57074247936</v>
      </c>
      <c r="D137" s="22" t="n">
        <f aca="false">SUM(D124:D132)+(internal_ai_reading=2)*D134</f>
        <v>330.832201319511</v>
      </c>
    </row>
    <row r="138" customFormat="false" ht="17.15" hidden="false" customHeight="false" outlineLevel="0" collapsed="false">
      <c r="A138" s="4" t="s">
        <v>1163</v>
      </c>
      <c r="B138" s="22" t="n">
        <f aca="false">B131*mult_ai</f>
        <v>271.952155989209</v>
      </c>
      <c r="C138" s="22" t="n">
        <f aca="false">C131*mult_ai</f>
        <v>271.952155989209</v>
      </c>
      <c r="D138" s="22" t="n">
        <f aca="false">D131*mult_ai</f>
        <v>271.952155989209</v>
      </c>
      <c r="E138" s="0" t="str">
        <f aca="false">"AI 模組 DCF − 倍數版＝"&amp;TEXT(F131-B138,"0.0")</f>
        <v>AI 模組 DCF − 倍數版＝-136.6</v>
      </c>
    </row>
    <row r="139" customFormat="false" ht="17.15" hidden="false" customHeight="false" outlineLevel="0" collapsed="false">
      <c r="A139" s="4" t="s">
        <v>1164</v>
      </c>
      <c r="B139" s="23" t="n">
        <f aca="false">CF!H40-fin_lease</f>
        <v>19.019381590591</v>
      </c>
      <c r="C139" s="23" t="n">
        <f aca="false">CF!H72-fin_lease</f>
        <v>12.6584504276311</v>
      </c>
      <c r="D139" s="23" t="n">
        <f aca="false">CF!H104-fin_lease</f>
        <v>0.25200617590767</v>
      </c>
      <c r="E139" s="4" t="s">
        <v>1165</v>
      </c>
    </row>
    <row r="140" customFormat="false" ht="17.15" hidden="false" customHeight="false" outlineLevel="0" collapsed="false">
      <c r="A140" s="4" t="s">
        <v>1166</v>
      </c>
      <c r="B140" s="23" t="n">
        <f aca="false">B96+anth_2H+anth_27</f>
        <v>204.355</v>
      </c>
      <c r="C140" s="23" t="n">
        <f aca="false">B96+anth_2H+anth_27</f>
        <v>204.355</v>
      </c>
      <c r="D140" s="23" t="n">
        <f aca="false">B96+anth_2H+anth_27</f>
        <v>204.355</v>
      </c>
      <c r="E140" s="4" t="s">
        <v>1167</v>
      </c>
    </row>
    <row r="141" customFormat="false" ht="15" hidden="false" customHeight="false" outlineLevel="0" collapsed="false">
      <c r="A141" s="4" t="s">
        <v>1168</v>
      </c>
      <c r="B141" s="23" t="n">
        <f aca="false">B97</f>
        <v>24.456</v>
      </c>
      <c r="C141" s="23" t="n">
        <f aca="false">B97</f>
        <v>24.456</v>
      </c>
      <c r="D141" s="23" t="n">
        <f aca="false">B97</f>
        <v>24.456</v>
      </c>
    </row>
    <row r="142" customFormat="false" ht="17.15" hidden="false" customHeight="false" outlineLevel="0" collapsed="false">
      <c r="A142" s="4" t="s">
        <v>1169</v>
      </c>
      <c r="B142" s="19" t="n">
        <f aca="false">PL!H63+conv_sh</f>
        <v>12.5791203662183</v>
      </c>
      <c r="C142" s="19" t="n">
        <f aca="false">PL!H122+conv_sh</f>
        <v>12.5791203662183</v>
      </c>
      <c r="D142" s="19" t="n">
        <f aca="false">PL!H181+conv_sh</f>
        <v>12.5791203662183</v>
      </c>
    </row>
    <row r="143" customFormat="false" ht="17.15" hidden="false" customHeight="false" outlineLevel="0" collapsed="false">
      <c r="A143" s="4" t="s">
        <v>1170</v>
      </c>
      <c r="B143" s="23" t="n">
        <f aca="false">MAX(0,(B133+B139+B140-B141)/B142)</f>
        <v>283.950146586601</v>
      </c>
      <c r="C143" s="23" t="n">
        <f aca="false">MAX(0,(C133+C139+C140-C141)/C142)</f>
        <v>269.160169145023</v>
      </c>
      <c r="D143" s="23" t="n">
        <f aca="false">MAX(0,(D133+D139+D140-D141)/D142)</f>
        <v>240.949507903598</v>
      </c>
    </row>
    <row r="144" customFormat="false" ht="17.15" hidden="false" customHeight="false" outlineLevel="0" collapsed="false">
      <c r="A144" s="4" t="s">
        <v>1171</v>
      </c>
      <c r="B144" s="23" t="n">
        <f aca="false">MAX(0,(B135+B139+B140-B141)/B142)</f>
        <v>336.385757140202</v>
      </c>
      <c r="C144" s="23" t="n">
        <f aca="false">MAX(0,(C135+C139+C140-C141)/C142)</f>
        <v>321.595779698624</v>
      </c>
      <c r="D144" s="23" t="n">
        <f aca="false">MAX(0,(D135+D139+D140-D141)/D142)</f>
        <v>293.385118457199</v>
      </c>
    </row>
    <row r="145" customFormat="false" ht="15" hidden="false" customHeight="false" outlineLevel="0" collapsed="false">
      <c r="A145" s="32" t="s">
        <v>1172</v>
      </c>
      <c r="B145" s="31" t="n">
        <f aca="false">IF(internal_ai_reading=2,B144,B143)</f>
        <v>336.385757140202</v>
      </c>
      <c r="C145" s="31" t="n">
        <f aca="false">IF(internal_ai_reading=2,C144,C143)</f>
        <v>321.595779698624</v>
      </c>
      <c r="D145" s="31" t="n">
        <f aca="false">IF(internal_ai_reading=2,D144,D143)</f>
        <v>293.385118457199</v>
      </c>
      <c r="E145" s="9"/>
    </row>
    <row r="146" customFormat="false" ht="17.15" hidden="false" customHeight="false" outlineLevel="0" collapsed="false">
      <c r="A146" s="4" t="s">
        <v>1173</v>
      </c>
      <c r="B146" s="21" t="n">
        <f aca="false">B136/B137</f>
        <v>10.6336180004029</v>
      </c>
      <c r="C146" s="21" t="n">
        <f aca="false">C136/C137</f>
        <v>10.6264353966413</v>
      </c>
      <c r="D146" s="21" t="n">
        <f aca="false">D136/D137</f>
        <v>10.6107437503164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1174</v>
      </c>
    </row>
    <row r="3" customFormat="false" ht="17.15" hidden="false" customHeight="false" outlineLevel="0" collapsed="false">
      <c r="A3" s="5" t="s">
        <v>1175</v>
      </c>
    </row>
    <row r="4" customFormat="false" ht="17.15" hidden="false" customHeight="false" outlineLevel="0" collapsed="false">
      <c r="A4" s="3" t="s">
        <v>44</v>
      </c>
      <c r="B4" s="3" t="s">
        <v>1176</v>
      </c>
      <c r="C4" s="3" t="s">
        <v>998</v>
      </c>
      <c r="D4" s="3" t="s">
        <v>999</v>
      </c>
      <c r="E4" s="3" t="s">
        <v>1000</v>
      </c>
      <c r="F4" s="3" t="s">
        <v>1177</v>
      </c>
      <c r="G4" s="18" t="s">
        <v>1178</v>
      </c>
      <c r="H4" s="3" t="s">
        <v>51</v>
      </c>
    </row>
    <row r="5" customFormat="false" ht="15" hidden="false" customHeight="false" outlineLevel="0" collapsed="false">
      <c r="A5" s="4" t="s">
        <v>1179</v>
      </c>
      <c r="B5" s="0" t="s">
        <v>1180</v>
      </c>
      <c r="C5" s="23" t="n">
        <f aca="false">PL!G24</f>
        <v>496.861031966039</v>
      </c>
      <c r="D5" s="23" t="n">
        <f aca="false">PL!G83</f>
        <v>496.861031966039</v>
      </c>
      <c r="E5" s="23" t="n">
        <f aca="false">PL!G142</f>
        <v>496.861031966039</v>
      </c>
      <c r="F5" s="23" t="n">
        <f aca="false">c_rev_26</f>
        <v>500.142</v>
      </c>
      <c r="G5" s="14" t="n">
        <f aca="false">D5/F5-1</f>
        <v>-0.0065600730071872</v>
      </c>
    </row>
    <row r="6" customFormat="false" ht="15" hidden="false" customHeight="false" outlineLevel="0" collapsed="false">
      <c r="A6" s="4" t="s">
        <v>1179</v>
      </c>
      <c r="B6" s="0" t="s">
        <v>1181</v>
      </c>
      <c r="C6" s="23" t="n">
        <f aca="false">PL!H24</f>
        <v>616.763167883424</v>
      </c>
      <c r="D6" s="23" t="n">
        <f aca="false">PL!H83</f>
        <v>605.348643047618</v>
      </c>
      <c r="E6" s="23" t="n">
        <f aca="false">PL!H142</f>
        <v>583.085602871998</v>
      </c>
      <c r="F6" s="23" t="n">
        <f aca="false">c_rev_27</f>
        <v>626.817</v>
      </c>
      <c r="G6" s="14" t="n">
        <f aca="false">D6/F6-1</f>
        <v>-0.0342498001049456</v>
      </c>
    </row>
    <row r="7" customFormat="false" ht="15" hidden="false" customHeight="false" outlineLevel="0" collapsed="false">
      <c r="A7" s="4" t="s">
        <v>1179</v>
      </c>
      <c r="B7" s="0" t="s">
        <v>1182</v>
      </c>
      <c r="C7" s="23" t="n">
        <f aca="false">PL!I24</f>
        <v>729.189196550926</v>
      </c>
      <c r="D7" s="23" t="n">
        <f aca="false">PL!I83</f>
        <v>703.317127785138</v>
      </c>
      <c r="E7" s="23" t="n">
        <f aca="false">PL!I142</f>
        <v>654.117783902656</v>
      </c>
      <c r="F7" s="23" t="n">
        <f aca="false">c_rev_28</f>
        <v>754.762</v>
      </c>
      <c r="G7" s="14" t="n">
        <f aca="false">D7/F7-1</f>
        <v>-0.068160389917434</v>
      </c>
    </row>
    <row r="8" customFormat="false" ht="15" hidden="false" customHeight="false" outlineLevel="0" collapsed="false">
      <c r="A8" s="4" t="s">
        <v>1183</v>
      </c>
      <c r="B8" s="0" t="s">
        <v>1180</v>
      </c>
      <c r="C8" s="23" t="n">
        <f aca="false">PL!G46</f>
        <v>164.715892589735</v>
      </c>
      <c r="D8" s="23" t="n">
        <f aca="false">PL!G105</f>
        <v>164.715892589735</v>
      </c>
      <c r="E8" s="23" t="n">
        <f aca="false">PL!G164</f>
        <v>164.715892589735</v>
      </c>
      <c r="F8" s="23" t="n">
        <f aca="false">c_ebit_26</f>
        <v>172.033</v>
      </c>
      <c r="G8" s="14" t="n">
        <f aca="false">D8/F8-1</f>
        <v>-0.0425331617205147</v>
      </c>
    </row>
    <row r="9" customFormat="false" ht="15" hidden="false" customHeight="false" outlineLevel="0" collapsed="false">
      <c r="A9" s="4" t="s">
        <v>1183</v>
      </c>
      <c r="B9" s="0" t="s">
        <v>1181</v>
      </c>
      <c r="C9" s="23" t="n">
        <f aca="false">PL!H46</f>
        <v>171.88276356987</v>
      </c>
      <c r="D9" s="23" t="n">
        <f aca="false">PL!H105</f>
        <v>164.461039521629</v>
      </c>
      <c r="E9" s="23" t="n">
        <f aca="false">PL!H164</f>
        <v>149.985610799441</v>
      </c>
      <c r="F9" s="23" t="n">
        <f aca="false">c_ebit_27</f>
        <v>220.967</v>
      </c>
      <c r="G9" s="14" t="n">
        <f aca="false">D9/F9-1</f>
        <v>-0.255721263710738</v>
      </c>
    </row>
    <row r="10" customFormat="false" ht="15" hidden="false" customHeight="false" outlineLevel="0" collapsed="false">
      <c r="A10" s="4" t="s">
        <v>1183</v>
      </c>
      <c r="B10" s="0" t="s">
        <v>1182</v>
      </c>
      <c r="C10" s="23" t="n">
        <f aca="false">PL!I46</f>
        <v>187.203577445244</v>
      </c>
      <c r="D10" s="23" t="n">
        <f aca="false">PL!I105</f>
        <v>170.450045482744</v>
      </c>
      <c r="E10" s="23" t="n">
        <f aca="false">PL!I164</f>
        <v>138.594210331407</v>
      </c>
      <c r="F10" s="23" t="n">
        <f aca="false">c_ebit_28</f>
        <v>268.322</v>
      </c>
      <c r="G10" s="14" t="n">
        <f aca="false">D10/F10-1</f>
        <v>-0.364755608996864</v>
      </c>
    </row>
    <row r="11" customFormat="false" ht="17.15" hidden="false" customHeight="false" outlineLevel="0" collapsed="false">
      <c r="A11" s="0" t="s">
        <v>1184</v>
      </c>
      <c r="B11" s="0" t="s">
        <v>1180</v>
      </c>
      <c r="C11" s="23" t="n">
        <f aca="false">PL!G65</f>
        <v>19.825491936826</v>
      </c>
      <c r="D11" s="23" t="n">
        <f aca="false">PL!G124</f>
        <v>19.825491936826</v>
      </c>
      <c r="E11" s="23" t="n">
        <f aca="false">PL!G183</f>
        <v>19.825491936826</v>
      </c>
      <c r="F11" s="23" t="n">
        <f aca="false">c_eps_26</f>
        <v>20.6</v>
      </c>
      <c r="G11" s="14" t="n">
        <f aca="false">D11/F11-1</f>
        <v>-0.037597478794853</v>
      </c>
      <c r="H11" s="4" t="s">
        <v>1185</v>
      </c>
    </row>
    <row r="12" customFormat="false" ht="17.15" hidden="false" customHeight="false" outlineLevel="0" collapsed="false">
      <c r="A12" s="0" t="s">
        <v>1184</v>
      </c>
      <c r="B12" s="0" t="s">
        <v>1181</v>
      </c>
      <c r="C12" s="23" t="n">
        <f aca="false">PL!H65</f>
        <v>11.3854261931294</v>
      </c>
      <c r="D12" s="23" t="n">
        <f aca="false">PL!H124</f>
        <v>10.890931071506</v>
      </c>
      <c r="E12" s="23" t="n">
        <f aca="false">PL!H183</f>
        <v>9.92646124751322</v>
      </c>
      <c r="F12" s="23" t="n">
        <f aca="false">c_eps_27</f>
        <v>15.12</v>
      </c>
      <c r="G12" s="14" t="n">
        <f aca="false">D12/F12-1</f>
        <v>-0.279700325958596</v>
      </c>
    </row>
    <row r="13" customFormat="false" ht="17.15" hidden="false" customHeight="false" outlineLevel="0" collapsed="false">
      <c r="A13" s="0" t="s">
        <v>1184</v>
      </c>
      <c r="B13" s="0" t="s">
        <v>1182</v>
      </c>
      <c r="C13" s="23" t="n">
        <f aca="false">PL!I65</f>
        <v>12.2732281057794</v>
      </c>
      <c r="D13" s="23" t="n">
        <f aca="false">PL!I124</f>
        <v>11.1478500028779</v>
      </c>
      <c r="E13" s="23" t="n">
        <f aca="false">PL!I183</f>
        <v>9.00722725504397</v>
      </c>
      <c r="F13" s="23" t="n">
        <f aca="false">c_eps_28</f>
        <v>18.21</v>
      </c>
      <c r="G13" s="14" t="n">
        <f aca="false">D13/F13-1</f>
        <v>-0.387817133285126</v>
      </c>
    </row>
    <row r="14" customFormat="false" ht="15" hidden="false" customHeight="false" outlineLevel="0" collapsed="false">
      <c r="A14" s="4" t="s">
        <v>1186</v>
      </c>
      <c r="B14" s="0" t="s">
        <v>1180</v>
      </c>
      <c r="C14" s="23" t="n">
        <f aca="false">CF!G21</f>
        <v>200</v>
      </c>
      <c r="D14" s="23" t="n">
        <f aca="false">CF!G53</f>
        <v>200</v>
      </c>
      <c r="E14" s="23" t="n">
        <f aca="false">CF!G85</f>
        <v>200</v>
      </c>
      <c r="F14" s="23" t="n">
        <f aca="false">c_capex_26</f>
        <v>202.078</v>
      </c>
      <c r="G14" s="14" t="n">
        <f aca="false">D14/F14-1</f>
        <v>-0.0102831579884995</v>
      </c>
    </row>
    <row r="15" customFormat="false" ht="15" hidden="false" customHeight="false" outlineLevel="0" collapsed="false">
      <c r="A15" s="4" t="s">
        <v>1186</v>
      </c>
      <c r="B15" s="0" t="s">
        <v>1181</v>
      </c>
      <c r="C15" s="23" t="n">
        <f aca="false">CF!H21</f>
        <v>238.732055275981</v>
      </c>
      <c r="D15" s="23" t="n">
        <f aca="false">CF!H53</f>
        <v>238.047183785833</v>
      </c>
      <c r="E15" s="23" t="n">
        <f aca="false">CF!H85</f>
        <v>236.711401375296</v>
      </c>
      <c r="F15" s="23" t="n">
        <f aca="false">c_capex_27</f>
        <v>308.024</v>
      </c>
      <c r="G15" s="14" t="n">
        <f aca="false">D15/F15-1</f>
        <v>-0.227179752922392</v>
      </c>
    </row>
    <row r="16" customFormat="false" ht="15" hidden="false" customHeight="false" outlineLevel="0" collapsed="false">
      <c r="A16" s="4" t="s">
        <v>1186</v>
      </c>
      <c r="B16" s="0" t="s">
        <v>1182</v>
      </c>
      <c r="C16" s="23" t="n">
        <f aca="false">CF!I21</f>
        <v>259.558257678638</v>
      </c>
      <c r="D16" s="23" t="n">
        <f aca="false">CF!I53</f>
        <v>258.005933552691</v>
      </c>
      <c r="E16" s="23" t="n">
        <f aca="false">CF!I85</f>
        <v>255.053972919742</v>
      </c>
      <c r="F16" s="23" t="n">
        <f aca="false">c_capex_28</f>
        <v>352.387</v>
      </c>
      <c r="G16" s="14" t="n">
        <f aca="false">D16/F16-1</f>
        <v>-0.267833564936586</v>
      </c>
    </row>
    <row r="17" customFormat="false" ht="15" hidden="false" customHeight="false" outlineLevel="0" collapsed="false">
      <c r="A17" s="4" t="s">
        <v>1187</v>
      </c>
      <c r="B17" s="0" t="s">
        <v>1180</v>
      </c>
      <c r="C17" s="23" t="n">
        <f aca="false">CF!G23</f>
        <v>1.55776718988664</v>
      </c>
      <c r="D17" s="23" t="n">
        <f aca="false">CF!G55</f>
        <v>1.55776718988664</v>
      </c>
      <c r="E17" s="23" t="n">
        <f aca="false">CF!G87</f>
        <v>1.55776718988664</v>
      </c>
      <c r="F17" s="23" t="n">
        <f aca="false">c_fcf_26</f>
        <v>7.069</v>
      </c>
      <c r="G17" s="14" t="n">
        <f aca="false">D17/F17-1</f>
        <v>-0.779634009069651</v>
      </c>
      <c r="H17" s="4" t="s">
        <v>1188</v>
      </c>
    </row>
    <row r="18" customFormat="false" ht="15" hidden="false" customHeight="false" outlineLevel="0" collapsed="false">
      <c r="A18" s="4" t="s">
        <v>1187</v>
      </c>
      <c r="B18" s="0" t="s">
        <v>1181</v>
      </c>
      <c r="C18" s="23" t="n">
        <f aca="false">CF!H23</f>
        <v>11.4385589607044</v>
      </c>
      <c r="D18" s="23" t="n">
        <f aca="false">CF!H55</f>
        <v>5.0776277977445</v>
      </c>
      <c r="E18" s="23" t="n">
        <f aca="false">CF!H87</f>
        <v>-7.32881645397896</v>
      </c>
      <c r="F18" s="23" t="n">
        <f aca="false">c_fcf_27</f>
        <v>-37.207</v>
      </c>
      <c r="G18" s="14" t="n">
        <f aca="false">D18/F18-1</f>
        <v>-1.13646969112652</v>
      </c>
      <c r="H18" s="4" t="s">
        <v>1188</v>
      </c>
    </row>
    <row r="19" customFormat="false" ht="15" hidden="false" customHeight="false" outlineLevel="0" collapsed="false">
      <c r="A19" s="4" t="s">
        <v>1187</v>
      </c>
      <c r="B19" s="0" t="s">
        <v>1182</v>
      </c>
      <c r="C19" s="23" t="n">
        <f aca="false">CF!I23</f>
        <v>41.6868808395234</v>
      </c>
      <c r="D19" s="23" t="n">
        <f aca="false">CF!I55</f>
        <v>27.1901831177566</v>
      </c>
      <c r="E19" s="23" t="n">
        <f aca="false">CF!I87</f>
        <v>-0.381163845901019</v>
      </c>
      <c r="F19" s="23" t="n">
        <f aca="false">c_fcf_28</f>
        <v>6.132</v>
      </c>
      <c r="G19" s="14" t="n">
        <f aca="false">D19/F19-1</f>
        <v>3.43414597484615</v>
      </c>
      <c r="H19" s="4" t="s">
        <v>1188</v>
      </c>
    </row>
    <row r="20" customFormat="false" ht="17.15" hidden="false" customHeight="false" outlineLevel="0" collapsed="false">
      <c r="A20" s="0" t="s">
        <v>1189</v>
      </c>
      <c r="B20" s="0" t="s">
        <v>1180</v>
      </c>
      <c r="C20" s="21" t="n">
        <f aca="false">PL!G66</f>
        <v>11.1266991469593</v>
      </c>
      <c r="D20" s="21" t="n">
        <f aca="false">PL!G125</f>
        <v>11.1266991469593</v>
      </c>
      <c r="E20" s="21" t="n">
        <f aca="false">PL!G184</f>
        <v>11.1266991469593</v>
      </c>
      <c r="F20" s="21" t="n">
        <f aca="false">c_eps26_sa</f>
        <v>11.89</v>
      </c>
      <c r="G20" s="14" t="n">
        <f aca="false">D20/F20-1</f>
        <v>-0.0641968757813861</v>
      </c>
    </row>
    <row r="22" customFormat="false" ht="17.15" hidden="false" customHeight="false" outlineLevel="0" collapsed="false">
      <c r="A22" s="5" t="s">
        <v>1190</v>
      </c>
    </row>
    <row r="23" customFormat="false" ht="15" hidden="false" customHeight="false" outlineLevel="0" collapsed="false">
      <c r="A23" s="3" t="s">
        <v>1191</v>
      </c>
      <c r="B23" s="18" t="s">
        <v>833</v>
      </c>
      <c r="C23" s="18" t="s">
        <v>834</v>
      </c>
      <c r="D23" s="18" t="s">
        <v>835</v>
      </c>
      <c r="E23" s="3" t="s">
        <v>1177</v>
      </c>
      <c r="F23" s="3" t="s">
        <v>1192</v>
      </c>
      <c r="G23" s="3" t="s">
        <v>51</v>
      </c>
    </row>
    <row r="24" customFormat="false" ht="17.15" hidden="false" customHeight="false" outlineLevel="0" collapsed="false">
      <c r="A24" s="0" t="s">
        <v>723</v>
      </c>
      <c r="B24" s="23" t="n">
        <f aca="false">PL!G72</f>
        <v>263.411100565981</v>
      </c>
      <c r="C24" s="23" t="n">
        <f aca="false">PL!H72</f>
        <v>301.871731194856</v>
      </c>
      <c r="D24" s="23" t="n">
        <f aca="false">PL!I72</f>
        <v>339.305819879187</v>
      </c>
      <c r="E24" s="4" t="s">
        <v>1193</v>
      </c>
      <c r="F24" s="4" t="s">
        <v>1194</v>
      </c>
      <c r="G24" s="7" t="s">
        <v>1195</v>
      </c>
    </row>
    <row r="25" customFormat="false" ht="15" hidden="false" customHeight="false" outlineLevel="0" collapsed="false">
      <c r="A25" s="0" t="s">
        <v>726</v>
      </c>
      <c r="B25" s="23" t="n">
        <f aca="false">PL!G73</f>
        <v>45.1173637484587</v>
      </c>
      <c r="C25" s="23" t="n">
        <f aca="false">PL!H73</f>
        <v>49.9834744846827</v>
      </c>
      <c r="D25" s="23" t="n">
        <f aca="false">PL!I73</f>
        <v>54.9103289240237</v>
      </c>
      <c r="E25" s="4" t="s">
        <v>1193</v>
      </c>
      <c r="F25" s="4" t="s">
        <v>1194</v>
      </c>
    </row>
    <row r="26" customFormat="false" ht="15" hidden="false" customHeight="false" outlineLevel="0" collapsed="false">
      <c r="A26" s="0" t="s">
        <v>727</v>
      </c>
      <c r="B26" s="23" t="n">
        <f aca="false">PL!G74</f>
        <v>29.1252550478215</v>
      </c>
      <c r="C26" s="23" t="n">
        <f aca="false">PL!H74</f>
        <v>28.6493774746437</v>
      </c>
      <c r="D26" s="23" t="n">
        <f aca="false">PL!I74</f>
        <v>28.3373093353078</v>
      </c>
      <c r="E26" s="4" t="s">
        <v>1193</v>
      </c>
      <c r="F26" s="4" t="s">
        <v>1194</v>
      </c>
    </row>
    <row r="27" customFormat="false" ht="15" hidden="false" customHeight="false" outlineLevel="0" collapsed="false">
      <c r="A27" s="0" t="s">
        <v>728</v>
      </c>
      <c r="B27" s="23" t="n">
        <f aca="false">PL!G75</f>
        <v>56.4887011693374</v>
      </c>
      <c r="C27" s="23" t="n">
        <f aca="false">PL!H75</f>
        <v>65.5029631403152</v>
      </c>
      <c r="D27" s="23" t="n">
        <f aca="false">PL!I75</f>
        <v>74.6548787045084</v>
      </c>
      <c r="E27" s="4" t="s">
        <v>1193</v>
      </c>
      <c r="F27" s="4" t="s">
        <v>1194</v>
      </c>
    </row>
    <row r="28" customFormat="false" ht="15" hidden="false" customHeight="false" outlineLevel="0" collapsed="false">
      <c r="A28" s="0" t="s">
        <v>919</v>
      </c>
      <c r="B28" s="23" t="n">
        <f aca="false">PL!G76</f>
        <v>394.142420531598</v>
      </c>
      <c r="C28" s="23" t="n">
        <f aca="false">PL!H76</f>
        <v>446.007546294497</v>
      </c>
      <c r="D28" s="23" t="n">
        <f aca="false">PL!I76</f>
        <v>497.208336843026</v>
      </c>
      <c r="E28" s="4" t="s">
        <v>1193</v>
      </c>
      <c r="F28" s="4" t="s">
        <v>1194</v>
      </c>
    </row>
    <row r="29" customFormat="false" ht="17.15" hidden="false" customHeight="false" outlineLevel="0" collapsed="false">
      <c r="A29" s="0" t="s">
        <v>928</v>
      </c>
      <c r="B29" s="23" t="n">
        <f aca="false">PL!G80</f>
        <v>101.249611434441</v>
      </c>
      <c r="C29" s="23" t="n">
        <f aca="false">PL!H80</f>
        <v>157.741096753121</v>
      </c>
      <c r="D29" s="23" t="n">
        <f aca="false">PL!I80</f>
        <v>204.308790942111</v>
      </c>
      <c r="E29" s="4" t="s">
        <v>1193</v>
      </c>
      <c r="F29" s="4" t="s">
        <v>1196</v>
      </c>
    </row>
    <row r="30" customFormat="false" ht="17.15" hidden="false" customHeight="false" outlineLevel="0" collapsed="false">
      <c r="A30" s="0" t="s">
        <v>1197</v>
      </c>
      <c r="B30" s="23" t="n">
        <f aca="false">PL!G77</f>
        <v>22.8306110724624</v>
      </c>
      <c r="C30" s="23" t="n">
        <f aca="false">PL!H77</f>
        <v>38.882857987105</v>
      </c>
      <c r="D30" s="23" t="n">
        <f aca="false">PL!I77</f>
        <v>56.7035586757632</v>
      </c>
      <c r="E30" s="4" t="s">
        <v>1193</v>
      </c>
      <c r="F30" s="4" t="s">
        <v>1194</v>
      </c>
    </row>
    <row r="31" customFormat="false" ht="17.15" hidden="false" customHeight="false" outlineLevel="0" collapsed="false">
      <c r="A31" s="0" t="s">
        <v>1198</v>
      </c>
      <c r="B31" s="23" t="n">
        <f aca="false">PL!G78</f>
        <v>1</v>
      </c>
      <c r="C31" s="23" t="n">
        <f aca="false">PL!H78</f>
        <v>13</v>
      </c>
      <c r="D31" s="23" t="n">
        <f aca="false">PL!I78</f>
        <v>13</v>
      </c>
      <c r="E31" s="4" t="s">
        <v>1193</v>
      </c>
      <c r="F31" s="7" t="s">
        <v>1199</v>
      </c>
    </row>
    <row r="32" customFormat="false" ht="17.15" hidden="false" customHeight="false" outlineLevel="0" collapsed="false">
      <c r="A32" s="0" t="s">
        <v>1200</v>
      </c>
      <c r="B32" s="23" t="n">
        <f aca="false">PL!G79</f>
        <v>77.4190003619788</v>
      </c>
      <c r="C32" s="23" t="n">
        <f aca="false">PL!H79</f>
        <v>105.858238766016</v>
      </c>
      <c r="D32" s="23" t="n">
        <f aca="false">PL!I79</f>
        <v>134.605232266348</v>
      </c>
      <c r="E32" s="4" t="s">
        <v>1193</v>
      </c>
      <c r="F32" s="4" t="s">
        <v>1194</v>
      </c>
    </row>
    <row r="33" customFormat="false" ht="15" hidden="false" customHeight="false" outlineLevel="0" collapsed="false">
      <c r="A33" s="0" t="s">
        <v>929</v>
      </c>
      <c r="B33" s="23" t="n">
        <f aca="false">PL!G81</f>
        <v>1.543</v>
      </c>
      <c r="C33" s="23" t="n">
        <f aca="false">PL!H81</f>
        <v>1.6</v>
      </c>
      <c r="D33" s="23" t="n">
        <f aca="false">PL!I81</f>
        <v>1.8</v>
      </c>
      <c r="E33" s="4" t="s">
        <v>1193</v>
      </c>
      <c r="F33" s="4" t="s">
        <v>1194</v>
      </c>
    </row>
    <row r="34" customFormat="false" ht="17.15" hidden="false" customHeight="false" outlineLevel="0" collapsed="false">
      <c r="A34" s="0" t="s">
        <v>1201</v>
      </c>
      <c r="B34" s="22" t="n">
        <f aca="false">rpo_cloud*rpo_24m</f>
        <v>256.95</v>
      </c>
      <c r="G34" s="7" t="s">
        <v>1202</v>
      </c>
    </row>
    <row r="35" customFormat="false" ht="17.15" hidden="false" customHeight="false" outlineLevel="0" collapsed="false">
      <c r="A35" s="4" t="s">
        <v>1203</v>
      </c>
      <c r="B35" s="22" t="n">
        <f aca="false">PL!F80+PL!H80+0.5*PL!I80</f>
        <v>316.349103658618</v>
      </c>
      <c r="C35" s="21" t="n">
        <f aca="false">B35/B34</f>
        <v>1.23116989164669</v>
      </c>
      <c r="G35" s="7" t="s">
        <v>1204</v>
      </c>
    </row>
    <row r="36" customFormat="false" ht="17.15" hidden="false" customHeight="false" outlineLevel="0" collapsed="false">
      <c r="A36" s="0" t="s">
        <v>1205</v>
      </c>
      <c r="B36" s="22" t="n">
        <f aca="false">CF!G53</f>
        <v>200</v>
      </c>
      <c r="C36" s="22" t="n">
        <f aca="false">capex_g</f>
        <v>200</v>
      </c>
      <c r="G36" s="7" t="s">
        <v>1206</v>
      </c>
    </row>
    <row r="37" customFormat="false" ht="17.15" hidden="false" customHeight="false" outlineLevel="0" collapsed="false">
      <c r="A37" s="0" t="s">
        <v>1207</v>
      </c>
      <c r="B37" s="22" t="n">
        <f aca="false">CF!H53</f>
        <v>238.047183785833</v>
      </c>
      <c r="C37" s="22" t="n">
        <f aca="false">c_capex_27</f>
        <v>308.024</v>
      </c>
      <c r="G37" s="4" t="s">
        <v>1208</v>
      </c>
    </row>
    <row r="39" customFormat="false" ht="17.15" hidden="false" customHeight="false" outlineLevel="0" collapsed="false">
      <c r="A39" s="5" t="s">
        <v>1209</v>
      </c>
    </row>
    <row r="40" customFormat="false" ht="15" hidden="false" customHeight="false" outlineLevel="0" collapsed="false">
      <c r="A40" s="3" t="s">
        <v>44</v>
      </c>
      <c r="B40" s="3" t="s">
        <v>773</v>
      </c>
      <c r="C40" s="3" t="s">
        <v>51</v>
      </c>
    </row>
    <row r="41" customFormat="false" ht="17.15" hidden="false" customHeight="false" outlineLevel="0" collapsed="false">
      <c r="A41" s="0" t="s">
        <v>1210</v>
      </c>
      <c r="B41" s="23" t="n">
        <f aca="false">tpw_v022</f>
        <v>147.54</v>
      </c>
      <c r="C41" s="7" t="s">
        <v>1211</v>
      </c>
    </row>
    <row r="42" customFormat="false" ht="17.15" hidden="false" customHeight="false" outlineLevel="0" collapsed="false">
      <c r="A42" s="0" t="s">
        <v>1212</v>
      </c>
      <c r="B42" s="23" t="n">
        <f aca="false">Val!B8</f>
        <v>248.936823064656</v>
      </c>
    </row>
    <row r="43" customFormat="false" ht="15" hidden="false" customHeight="false" outlineLevel="0" collapsed="false">
      <c r="A43" s="4" t="s">
        <v>1213</v>
      </c>
      <c r="B43" s="23" t="n">
        <f aca="false">B42-B41</f>
        <v>101.396823064656</v>
      </c>
    </row>
    <row r="44" customFormat="false" ht="17.15" hidden="false" customHeight="false" outlineLevel="0" collapsed="false">
      <c r="A44" s="2" t="s">
        <v>1214</v>
      </c>
    </row>
    <row r="45" customFormat="false" ht="17.15" hidden="false" customHeight="false" outlineLevel="0" collapsed="false">
      <c r="A45" s="4" t="s">
        <v>1215</v>
      </c>
      <c r="B45" s="23" t="n">
        <f aca="false">Val!B8-255.867201633057</f>
        <v>-6.93037856840078</v>
      </c>
      <c r="C45" s="7" t="s">
        <v>1216</v>
      </c>
    </row>
    <row r="46" customFormat="false" ht="17.15" hidden="false" customHeight="false" outlineLevel="0" collapsed="false">
      <c r="A46" s="4" t="s">
        <v>1217</v>
      </c>
      <c r="B46" s="23" t="n">
        <f aca="false">Val!B8-248.710588733203</f>
        <v>0.226234331453213</v>
      </c>
      <c r="C46" s="7" t="s">
        <v>1218</v>
      </c>
    </row>
    <row r="47" customFormat="false" ht="17.15" hidden="false" customHeight="false" outlineLevel="0" collapsed="false">
      <c r="A47" s="4" t="s">
        <v>1219</v>
      </c>
      <c r="B47" s="23" t="n">
        <f aca="false">B43-N(B45)-N(B46)</f>
        <v>108.100967301604</v>
      </c>
      <c r="C47" s="4" t="s">
        <v>1220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1221</v>
      </c>
    </row>
    <row r="2" customFormat="false" ht="17.15" hidden="false" customHeight="false" outlineLevel="0" collapsed="false">
      <c r="A2" s="4" t="s">
        <v>1222</v>
      </c>
    </row>
    <row r="3" customFormat="false" ht="15" hidden="false" customHeight="false" outlineLevel="0" collapsed="false">
      <c r="A3" s="3" t="s">
        <v>1223</v>
      </c>
      <c r="B3" s="3" t="s">
        <v>1224</v>
      </c>
      <c r="C3" s="3" t="s">
        <v>1225</v>
      </c>
      <c r="D3" s="3" t="s">
        <v>1226</v>
      </c>
      <c r="E3" s="3" t="s">
        <v>1227</v>
      </c>
      <c r="F3" s="3" t="s">
        <v>43</v>
      </c>
      <c r="G3" s="3" t="s">
        <v>51</v>
      </c>
    </row>
    <row r="4" customFormat="false" ht="17.15" hidden="false" customHeight="false" outlineLevel="0" collapsed="false">
      <c r="A4" s="4" t="s">
        <v>1228</v>
      </c>
      <c r="B4" s="4" t="s">
        <v>1229</v>
      </c>
      <c r="C4" s="4" t="s">
        <v>46</v>
      </c>
      <c r="D4" s="25" t="n">
        <v>180.178615020161</v>
      </c>
      <c r="E4" s="39" t="n">
        <f aca="false">D4/Val!$B$8-1</f>
        <v>-0.276207461788956</v>
      </c>
      <c r="F4" s="7" t="s">
        <v>199</v>
      </c>
      <c r="G4" s="4" t="s">
        <v>1230</v>
      </c>
    </row>
    <row r="5" customFormat="false" ht="17.15" hidden="false" customHeight="false" outlineLevel="0" collapsed="false">
      <c r="A5" s="4" t="s">
        <v>1231</v>
      </c>
      <c r="B5" s="0" t="s">
        <v>1232</v>
      </c>
      <c r="C5" s="4" t="s">
        <v>46</v>
      </c>
      <c r="D5" s="25" t="n">
        <v>264.845447714639</v>
      </c>
      <c r="E5" s="39" t="n">
        <f aca="false">D5/Val!$B$8-1</f>
        <v>0.0639062733031299</v>
      </c>
      <c r="F5" s="7" t="s">
        <v>264</v>
      </c>
      <c r="G5" s="4" t="s">
        <v>1230</v>
      </c>
    </row>
    <row r="6" customFormat="false" ht="17.15" hidden="false" customHeight="false" outlineLevel="0" collapsed="false">
      <c r="A6" s="4" t="s">
        <v>1233</v>
      </c>
      <c r="B6" s="0" t="s">
        <v>1232</v>
      </c>
      <c r="C6" s="4" t="s">
        <v>48</v>
      </c>
      <c r="D6" s="25" t="n">
        <v>232.989634813749</v>
      </c>
      <c r="E6" s="39" t="n">
        <f aca="false">D6/Val!$B$8-1</f>
        <v>-0.0640611865074106</v>
      </c>
      <c r="F6" s="7" t="s">
        <v>264</v>
      </c>
      <c r="G6" s="4" t="s">
        <v>1230</v>
      </c>
    </row>
    <row r="7" customFormat="false" ht="17.15" hidden="false" customHeight="false" outlineLevel="0" collapsed="false">
      <c r="A7" s="0" t="s">
        <v>1234</v>
      </c>
      <c r="B7" s="0" t="s">
        <v>1235</v>
      </c>
      <c r="C7" s="4" t="s">
        <v>46</v>
      </c>
      <c r="D7" s="25" t="n">
        <v>240.984740968381</v>
      </c>
      <c r="E7" s="39" t="n">
        <f aca="false">D7/Val!$B$8-1</f>
        <v>-0.0319441776366279</v>
      </c>
      <c r="F7" s="7" t="s">
        <v>283</v>
      </c>
      <c r="G7" s="4" t="s">
        <v>1230</v>
      </c>
    </row>
    <row r="8" customFormat="false" ht="17.15" hidden="false" customHeight="false" outlineLevel="0" collapsed="false">
      <c r="A8" s="0" t="s">
        <v>1236</v>
      </c>
      <c r="B8" s="0" t="s">
        <v>1235</v>
      </c>
      <c r="C8" s="4" t="s">
        <v>48</v>
      </c>
      <c r="D8" s="25" t="n">
        <v>257.114998966441</v>
      </c>
      <c r="E8" s="39" t="n">
        <f aca="false">D8/Val!$B$8-1</f>
        <v>0.032852415328128</v>
      </c>
      <c r="F8" s="7" t="s">
        <v>283</v>
      </c>
      <c r="G8" s="4" t="s">
        <v>1230</v>
      </c>
    </row>
    <row r="9" customFormat="false" ht="17.15" hidden="false" customHeight="false" outlineLevel="0" collapsed="false">
      <c r="A9" s="0" t="s">
        <v>1237</v>
      </c>
      <c r="B9" s="4" t="s">
        <v>1238</v>
      </c>
      <c r="C9" s="4" t="s">
        <v>46</v>
      </c>
      <c r="D9" s="25" t="n">
        <v>247.511645245852</v>
      </c>
      <c r="E9" s="39" t="n">
        <f aca="false">D9/Val!$B$8-1</f>
        <v>-0.00572505827486214</v>
      </c>
      <c r="F9" s="7" t="s">
        <v>325</v>
      </c>
      <c r="G9" s="4" t="s">
        <v>1230</v>
      </c>
    </row>
    <row r="10" customFormat="false" ht="17.15" hidden="false" customHeight="false" outlineLevel="0" collapsed="false">
      <c r="A10" s="0" t="s">
        <v>1239</v>
      </c>
      <c r="B10" s="0" t="s">
        <v>1240</v>
      </c>
      <c r="C10" s="4" t="s">
        <v>48</v>
      </c>
      <c r="D10" s="25" t="n">
        <v>258.131569981674</v>
      </c>
      <c r="E10" s="39" t="n">
        <f aca="false">D10/Val!$B$8-1</f>
        <v>0.0369360659617224</v>
      </c>
      <c r="F10" s="7" t="s">
        <v>330</v>
      </c>
      <c r="G10" s="4" t="s">
        <v>1230</v>
      </c>
    </row>
    <row r="11" customFormat="false" ht="17.15" hidden="false" customHeight="false" outlineLevel="0" collapsed="false">
      <c r="A11" s="0" t="s">
        <v>1241</v>
      </c>
      <c r="B11" s="0" t="s">
        <v>1242</v>
      </c>
      <c r="C11" s="4" t="s">
        <v>46</v>
      </c>
      <c r="D11" s="25" t="n">
        <v>245.842823873871</v>
      </c>
      <c r="E11" s="39" t="n">
        <f aca="false">D11/Val!$B$8-1</f>
        <v>-0.0124288530426919</v>
      </c>
      <c r="F11" s="7" t="s">
        <v>316</v>
      </c>
      <c r="G11" s="4" t="s">
        <v>1230</v>
      </c>
    </row>
    <row r="12" customFormat="false" ht="17.15" hidden="false" customHeight="false" outlineLevel="0" collapsed="false">
      <c r="A12" s="0" t="s">
        <v>1243</v>
      </c>
      <c r="B12" s="0" t="s">
        <v>1244</v>
      </c>
      <c r="C12" s="4" t="s">
        <v>46</v>
      </c>
      <c r="D12" s="25" t="n">
        <v>249.398455454045</v>
      </c>
      <c r="E12" s="39" t="n">
        <f aca="false">D12/Val!$B$8-1</f>
        <v>0.00185441584617996</v>
      </c>
      <c r="F12" s="7" t="s">
        <v>389</v>
      </c>
      <c r="G12" s="4" t="s">
        <v>1230</v>
      </c>
    </row>
    <row r="13" customFormat="false" ht="17.15" hidden="false" customHeight="false" outlineLevel="0" collapsed="false">
      <c r="A13" s="0" t="s">
        <v>1245</v>
      </c>
      <c r="B13" s="0" t="s">
        <v>1244</v>
      </c>
      <c r="C13" s="4" t="s">
        <v>48</v>
      </c>
      <c r="D13" s="25" t="n">
        <v>252.207991660168</v>
      </c>
      <c r="E13" s="39" t="n">
        <f aca="false">D13/Val!$B$8-1</f>
        <v>0.0131405573319388</v>
      </c>
      <c r="F13" s="7" t="s">
        <v>389</v>
      </c>
      <c r="G13" s="4" t="s">
        <v>1230</v>
      </c>
    </row>
    <row r="14" customFormat="false" ht="17.15" hidden="false" customHeight="false" outlineLevel="0" collapsed="false">
      <c r="A14" s="0" t="s">
        <v>1246</v>
      </c>
      <c r="B14" s="0" t="s">
        <v>1247</v>
      </c>
      <c r="C14" s="4" t="s">
        <v>46</v>
      </c>
      <c r="D14" s="25" t="n">
        <v>251.915233934167</v>
      </c>
      <c r="E14" s="39" t="n">
        <f aca="false">D14/Val!$B$8-1</f>
        <v>0.0119645251065859</v>
      </c>
      <c r="F14" s="7" t="s">
        <v>470</v>
      </c>
      <c r="G14" s="4" t="s">
        <v>1230</v>
      </c>
    </row>
    <row r="15" customFormat="false" ht="17.15" hidden="false" customHeight="false" outlineLevel="0" collapsed="false">
      <c r="A15" s="0" t="s">
        <v>1248</v>
      </c>
      <c r="B15" s="0" t="s">
        <v>1247</v>
      </c>
      <c r="C15" s="4" t="s">
        <v>48</v>
      </c>
      <c r="D15" s="25" t="n">
        <v>245.958412195145</v>
      </c>
      <c r="E15" s="39" t="n">
        <f aca="false">D15/Val!$B$8-1</f>
        <v>-0.0119645251065875</v>
      </c>
      <c r="F15" s="7" t="s">
        <v>470</v>
      </c>
      <c r="G15" s="4" t="s">
        <v>1230</v>
      </c>
    </row>
    <row r="16" customFormat="false" ht="17.15" hidden="false" customHeight="false" outlineLevel="0" collapsed="false">
      <c r="A16" s="0" t="s">
        <v>1249</v>
      </c>
      <c r="B16" s="0" t="s">
        <v>1250</v>
      </c>
      <c r="C16" s="4" t="s">
        <v>46</v>
      </c>
      <c r="D16" s="25" t="n">
        <v>242.25546354421</v>
      </c>
      <c r="E16" s="39" t="n">
        <f aca="false">D16/Val!$B$8-1</f>
        <v>-0.0268395789670333</v>
      </c>
      <c r="F16" s="7" t="s">
        <v>446</v>
      </c>
      <c r="G16" s="4" t="s">
        <v>1230</v>
      </c>
    </row>
    <row r="17" customFormat="false" ht="17.15" hidden="false" customHeight="false" outlineLevel="0" collapsed="false">
      <c r="A17" s="0" t="s">
        <v>1251</v>
      </c>
      <c r="B17" s="0" t="s">
        <v>1250</v>
      </c>
      <c r="C17" s="4" t="s">
        <v>48</v>
      </c>
      <c r="D17" s="25" t="n">
        <v>256.154262353867</v>
      </c>
      <c r="E17" s="39" t="n">
        <f aca="false">D17/Val!$B$8-1</f>
        <v>0.0289930561511835</v>
      </c>
      <c r="F17" s="7" t="s">
        <v>446</v>
      </c>
      <c r="G17" s="4" t="s">
        <v>1230</v>
      </c>
    </row>
    <row r="18" customFormat="false" ht="17.15" hidden="false" customHeight="false" outlineLevel="0" collapsed="false">
      <c r="A18" s="0" t="s">
        <v>1252</v>
      </c>
      <c r="B18" s="0" t="s">
        <v>1253</v>
      </c>
      <c r="C18" s="4" t="s">
        <v>46</v>
      </c>
      <c r="D18" s="25" t="n">
        <v>249.584659961183</v>
      </c>
      <c r="E18" s="39" t="n">
        <f aca="false">D18/Val!$B$8-1</f>
        <v>0.00260241489608193</v>
      </c>
      <c r="F18" s="7" t="s">
        <v>477</v>
      </c>
      <c r="G18" s="4" t="s">
        <v>1230</v>
      </c>
    </row>
    <row r="19" customFormat="false" ht="17.15" hidden="false" customHeight="false" outlineLevel="0" collapsed="false">
      <c r="A19" s="0" t="s">
        <v>1254</v>
      </c>
      <c r="B19" s="0" t="s">
        <v>1253</v>
      </c>
      <c r="C19" s="4" t="s">
        <v>48</v>
      </c>
      <c r="D19" s="25" t="n">
        <v>248.288986168129</v>
      </c>
      <c r="E19" s="39" t="n">
        <f aca="false">D19/Val!$B$8-1</f>
        <v>-0.0026024148960837</v>
      </c>
      <c r="F19" s="7" t="s">
        <v>477</v>
      </c>
      <c r="G19" s="4" t="s">
        <v>1230</v>
      </c>
    </row>
    <row r="20" customFormat="false" ht="17.15" hidden="false" customHeight="false" outlineLevel="0" collapsed="false">
      <c r="A20" s="0" t="s">
        <v>1255</v>
      </c>
      <c r="B20" s="0" t="s">
        <v>1256</v>
      </c>
      <c r="C20" s="4" t="s">
        <v>46</v>
      </c>
      <c r="D20" s="25" t="n">
        <v>247.777851133414</v>
      </c>
      <c r="E20" s="39" t="n">
        <f aca="false">D20/Val!$B$8-1</f>
        <v>-0.00465568700111996</v>
      </c>
      <c r="F20" s="7" t="s">
        <v>460</v>
      </c>
      <c r="G20" s="4" t="s">
        <v>1230</v>
      </c>
    </row>
    <row r="21" customFormat="false" ht="17.15" hidden="false" customHeight="false" outlineLevel="0" collapsed="false">
      <c r="A21" s="0" t="s">
        <v>1257</v>
      </c>
      <c r="B21" s="0" t="s">
        <v>1256</v>
      </c>
      <c r="C21" s="4" t="s">
        <v>48</v>
      </c>
      <c r="D21" s="25" t="n">
        <v>250.625023329083</v>
      </c>
      <c r="E21" s="39" t="n">
        <f aca="false">D21/Val!$B$8-1</f>
        <v>0.00678164139657356</v>
      </c>
      <c r="F21" s="7" t="s">
        <v>460</v>
      </c>
      <c r="G21" s="4" t="s">
        <v>1230</v>
      </c>
    </row>
    <row r="22" customFormat="false" ht="17.15" hidden="false" customHeight="false" outlineLevel="0" collapsed="false">
      <c r="A22" s="0" t="s">
        <v>1258</v>
      </c>
      <c r="B22" s="0" t="s">
        <v>1250</v>
      </c>
      <c r="C22" s="4" t="s">
        <v>46</v>
      </c>
      <c r="D22" s="25" t="n">
        <v>247.806506010197</v>
      </c>
      <c r="E22" s="39" t="n">
        <f aca="false">D22/Val!$B$8-1</f>
        <v>-0.00454057796891549</v>
      </c>
      <c r="F22" s="7" t="s">
        <v>450</v>
      </c>
      <c r="G22" s="4" t="s">
        <v>1230</v>
      </c>
    </row>
    <row r="23" customFormat="false" ht="17.15" hidden="false" customHeight="false" outlineLevel="0" collapsed="false">
      <c r="A23" s="0" t="s">
        <v>1259</v>
      </c>
      <c r="B23" s="0" t="s">
        <v>1250</v>
      </c>
      <c r="C23" s="4" t="s">
        <v>48</v>
      </c>
      <c r="D23" s="25" t="n">
        <v>250.158402164793</v>
      </c>
      <c r="E23" s="39" t="n">
        <f aca="false">D23/Val!$B$8-1</f>
        <v>0.00490718522514255</v>
      </c>
      <c r="F23" s="7" t="s">
        <v>450</v>
      </c>
      <c r="G23" s="4" t="s">
        <v>1230</v>
      </c>
    </row>
    <row r="24" customFormat="false" ht="17.15" hidden="false" customHeight="false" outlineLevel="0" collapsed="false">
      <c r="A24" s="0" t="s">
        <v>1260</v>
      </c>
      <c r="B24" s="0" t="s">
        <v>1261</v>
      </c>
      <c r="C24" s="4" t="s">
        <v>46</v>
      </c>
      <c r="D24" s="25" t="n">
        <v>260.733983288005</v>
      </c>
      <c r="E24" s="39" t="n">
        <f aca="false">D24/Val!$B$8-1</f>
        <v>0.0473901774679784</v>
      </c>
      <c r="F24" s="7" t="s">
        <v>147</v>
      </c>
      <c r="G24" s="4" t="s">
        <v>1230</v>
      </c>
    </row>
    <row r="25" customFormat="false" ht="17.15" hidden="false" customHeight="false" outlineLevel="0" collapsed="false">
      <c r="A25" s="0" t="s">
        <v>1262</v>
      </c>
      <c r="B25" s="0" t="s">
        <v>1261</v>
      </c>
      <c r="C25" s="4" t="s">
        <v>48</v>
      </c>
      <c r="D25" s="25" t="n">
        <v>239.213605539224</v>
      </c>
      <c r="E25" s="39" t="n">
        <f aca="false">D25/Val!$B$8-1</f>
        <v>-0.0390589765135181</v>
      </c>
      <c r="F25" s="7" t="s">
        <v>147</v>
      </c>
      <c r="G25" s="4" t="s">
        <v>1230</v>
      </c>
    </row>
    <row r="26" customFormat="false" ht="17.15" hidden="false" customHeight="false" outlineLevel="0" collapsed="false">
      <c r="A26" s="0" t="s">
        <v>1263</v>
      </c>
      <c r="B26" s="0" t="s">
        <v>1264</v>
      </c>
      <c r="C26" s="4" t="s">
        <v>46</v>
      </c>
      <c r="D26" s="25" t="n">
        <v>251.445634097603</v>
      </c>
      <c r="E26" s="39" t="n">
        <f aca="false">D26/Val!$B$8-1</f>
        <v>0.0100781033599644</v>
      </c>
      <c r="F26" s="7" t="s">
        <v>129</v>
      </c>
      <c r="G26" s="4" t="s">
        <v>1230</v>
      </c>
    </row>
    <row r="27" customFormat="false" ht="17.15" hidden="false" customHeight="false" outlineLevel="0" collapsed="false">
      <c r="A27" s="0" t="s">
        <v>1265</v>
      </c>
      <c r="B27" s="0" t="s">
        <v>1264</v>
      </c>
      <c r="C27" s="4" t="s">
        <v>48</v>
      </c>
      <c r="D27" s="25" t="n">
        <v>246.548487207042</v>
      </c>
      <c r="E27" s="39" t="n">
        <f aca="false">D27/Val!$B$8-1</f>
        <v>-0.00959414452314222</v>
      </c>
      <c r="F27" s="7" t="s">
        <v>129</v>
      </c>
      <c r="G27" s="4" t="s">
        <v>1230</v>
      </c>
    </row>
    <row r="28" customFormat="false" ht="17.15" hidden="false" customHeight="false" outlineLevel="0" collapsed="false">
      <c r="A28" s="4" t="s">
        <v>1266</v>
      </c>
      <c r="B28" s="0" t="s">
        <v>1267</v>
      </c>
      <c r="C28" s="4" t="s">
        <v>46</v>
      </c>
      <c r="D28" s="25" t="n">
        <v>261.426660051918</v>
      </c>
      <c r="E28" s="39" t="n">
        <f aca="false">D28/Val!$B$8-1</f>
        <v>0.0501727178546736</v>
      </c>
      <c r="F28" s="7" t="s">
        <v>133</v>
      </c>
      <c r="G28" s="4" t="s">
        <v>1230</v>
      </c>
    </row>
    <row r="29" customFormat="false" ht="17.15" hidden="false" customHeight="false" outlineLevel="0" collapsed="false">
      <c r="A29" s="4" t="s">
        <v>1268</v>
      </c>
      <c r="B29" s="0" t="s">
        <v>1267</v>
      </c>
      <c r="C29" s="4" t="s">
        <v>48</v>
      </c>
      <c r="D29" s="25" t="n">
        <v>238.935973830909</v>
      </c>
      <c r="E29" s="39" t="n">
        <f aca="false">D29/Val!$B$8-1</f>
        <v>-0.0401742462630758</v>
      </c>
      <c r="F29" s="7" t="s">
        <v>133</v>
      </c>
      <c r="G29" s="4" t="s">
        <v>1230</v>
      </c>
    </row>
    <row r="30" customFormat="false" ht="17.15" hidden="false" customHeight="false" outlineLevel="0" collapsed="false">
      <c r="A30" s="4" t="s">
        <v>1269</v>
      </c>
      <c r="B30" s="0" t="s">
        <v>1270</v>
      </c>
      <c r="C30" s="4" t="s">
        <v>46</v>
      </c>
      <c r="D30" s="25" t="n">
        <v>248.446765458178</v>
      </c>
      <c r="E30" s="39" t="n">
        <f aca="false">D30/Val!$B$8-1</f>
        <v>-0.00196860231622276</v>
      </c>
      <c r="F30" s="7" t="s">
        <v>153</v>
      </c>
      <c r="G30" s="4" t="s">
        <v>1230</v>
      </c>
    </row>
    <row r="31" customFormat="false" ht="17.15" hidden="false" customHeight="false" outlineLevel="0" collapsed="false">
      <c r="A31" s="4" t="s">
        <v>1271</v>
      </c>
      <c r="B31" s="0" t="s">
        <v>1270</v>
      </c>
      <c r="C31" s="4" t="s">
        <v>48</v>
      </c>
      <c r="D31" s="25" t="n">
        <v>249.433838239752</v>
      </c>
      <c r="E31" s="39" t="n">
        <f aca="false">D31/Val!$B$8-1</f>
        <v>0.0019965514501914</v>
      </c>
      <c r="F31" s="7" t="s">
        <v>153</v>
      </c>
      <c r="G31" s="4" t="s">
        <v>1230</v>
      </c>
    </row>
    <row r="32" customFormat="false" ht="17.15" hidden="false" customHeight="false" outlineLevel="0" collapsed="false">
      <c r="A32" s="0" t="s">
        <v>1272</v>
      </c>
      <c r="B32" s="0" t="s">
        <v>1273</v>
      </c>
      <c r="C32" s="4" t="s">
        <v>48</v>
      </c>
      <c r="D32" s="25" t="n">
        <v>256.547324242699</v>
      </c>
      <c r="E32" s="39" t="n">
        <f aca="false">D32/Val!$B$8-1</f>
        <v>0.0305720185722227</v>
      </c>
      <c r="F32" s="7" t="s">
        <v>156</v>
      </c>
      <c r="G32" s="4" t="s">
        <v>1230</v>
      </c>
    </row>
    <row r="33" customFormat="false" ht="17.15" hidden="false" customHeight="false" outlineLevel="0" collapsed="false">
      <c r="A33" s="4" t="s">
        <v>1274</v>
      </c>
      <c r="B33" s="4" t="s">
        <v>1275</v>
      </c>
      <c r="C33" s="4" t="s">
        <v>48</v>
      </c>
      <c r="D33" s="25" t="n">
        <v>259.854086296435</v>
      </c>
      <c r="E33" s="39" t="n">
        <f aca="false">D33/Val!$B$8-1</f>
        <v>0.0438555577972619</v>
      </c>
      <c r="F33" s="7" t="s">
        <v>206</v>
      </c>
      <c r="G33" s="4" t="s">
        <v>1230</v>
      </c>
    </row>
    <row r="34" customFormat="false" ht="17.15" hidden="false" customHeight="false" outlineLevel="0" collapsed="false">
      <c r="A34" s="0" t="s">
        <v>1276</v>
      </c>
      <c r="B34" s="0" t="s">
        <v>1277</v>
      </c>
      <c r="C34" s="4" t="s">
        <v>46</v>
      </c>
      <c r="D34" s="25" t="n">
        <v>248.678458417099</v>
      </c>
      <c r="E34" s="39" t="n">
        <f aca="false">D34/Val!$B$8-1</f>
        <v>-0.00103787235804043</v>
      </c>
      <c r="F34" s="7" t="s">
        <v>248</v>
      </c>
      <c r="G34" s="4" t="s">
        <v>1230</v>
      </c>
    </row>
    <row r="35" customFormat="false" ht="17.15" hidden="false" customHeight="false" outlineLevel="0" collapsed="false">
      <c r="A35" s="0" t="s">
        <v>1278</v>
      </c>
      <c r="B35" s="0" t="s">
        <v>1277</v>
      </c>
      <c r="C35" s="4" t="s">
        <v>48</v>
      </c>
      <c r="D35" s="25" t="n">
        <v>249.453552359771</v>
      </c>
      <c r="E35" s="39" t="n">
        <f aca="false">D35/Val!$B$8-1</f>
        <v>0.00207574471608241</v>
      </c>
      <c r="F35" s="7" t="s">
        <v>248</v>
      </c>
      <c r="G35" s="4" t="s">
        <v>1230</v>
      </c>
    </row>
    <row r="36" customFormat="false" ht="17.15" hidden="false" customHeight="false" outlineLevel="0" collapsed="false">
      <c r="A36" s="4" t="s">
        <v>1279</v>
      </c>
      <c r="B36" s="0" t="s">
        <v>1280</v>
      </c>
      <c r="C36" s="4" t="s">
        <v>46</v>
      </c>
      <c r="D36" s="25" t="n">
        <v>232.299203299073</v>
      </c>
      <c r="E36" s="39" t="n">
        <f aca="false">D36/Val!$B$8-1</f>
        <v>-0.0668347075404827</v>
      </c>
      <c r="F36" s="7" t="s">
        <v>255</v>
      </c>
      <c r="G36" s="4" t="s">
        <v>1230</v>
      </c>
    </row>
    <row r="37" customFormat="false" ht="17.15" hidden="false" customHeight="false" outlineLevel="0" collapsed="false">
      <c r="A37" s="4" t="s">
        <v>1281</v>
      </c>
      <c r="B37" s="0" t="s">
        <v>1282</v>
      </c>
      <c r="C37" s="4" t="s">
        <v>48</v>
      </c>
      <c r="D37" s="25" t="n">
        <v>287.460835498061</v>
      </c>
      <c r="E37" s="39" t="n">
        <f aca="false">D37/Val!$B$8-1</f>
        <v>0.154754174007431</v>
      </c>
      <c r="F37" s="7" t="s">
        <v>255</v>
      </c>
      <c r="G37" s="4" t="s">
        <v>1230</v>
      </c>
    </row>
    <row r="38" customFormat="false" ht="17.15" hidden="false" customHeight="false" outlineLevel="0" collapsed="false">
      <c r="A38" s="4" t="s">
        <v>1283</v>
      </c>
      <c r="B38" s="0" t="s">
        <v>1284</v>
      </c>
      <c r="C38" s="4" t="s">
        <v>46</v>
      </c>
      <c r="D38" s="25" t="n">
        <v>251.012040545918</v>
      </c>
      <c r="E38" s="39" t="n">
        <f aca="false">D38/Val!$B$8-1</f>
        <v>0.00833632186557964</v>
      </c>
      <c r="F38" s="7" t="s">
        <v>103</v>
      </c>
      <c r="G38" s="4" t="s">
        <v>1230</v>
      </c>
    </row>
    <row r="39" customFormat="false" ht="17.15" hidden="false" customHeight="false" outlineLevel="0" collapsed="false">
      <c r="A39" s="4" t="s">
        <v>1285</v>
      </c>
      <c r="B39" s="0" t="s">
        <v>1284</v>
      </c>
      <c r="C39" s="4" t="s">
        <v>48</v>
      </c>
      <c r="D39" s="25" t="n">
        <v>246.861605583395</v>
      </c>
      <c r="E39" s="39" t="n">
        <f aca="false">D39/Val!$B$8-1</f>
        <v>-0.0083363218655772</v>
      </c>
      <c r="F39" s="7" t="s">
        <v>103</v>
      </c>
      <c r="G39" s="4" t="s">
        <v>1230</v>
      </c>
    </row>
    <row r="40" customFormat="false" ht="17.15" hidden="false" customHeight="false" outlineLevel="0" collapsed="false">
      <c r="A40" s="0" t="s">
        <v>1286</v>
      </c>
      <c r="B40" s="0" t="s">
        <v>1287</v>
      </c>
      <c r="C40" s="4" t="s">
        <v>46</v>
      </c>
      <c r="D40" s="25" t="n">
        <v>276.658337338259</v>
      </c>
      <c r="E40" s="39" t="n">
        <f aca="false">D40/Val!$B$8-1</f>
        <v>0.11135963708512</v>
      </c>
      <c r="F40" s="7" t="s">
        <v>175</v>
      </c>
      <c r="G40" s="4" t="s">
        <v>1230</v>
      </c>
    </row>
    <row r="41" customFormat="false" ht="17.15" hidden="false" customHeight="false" outlineLevel="0" collapsed="false">
      <c r="A41" s="0" t="s">
        <v>1288</v>
      </c>
      <c r="B41" s="0" t="s">
        <v>1287</v>
      </c>
      <c r="C41" s="4" t="s">
        <v>48</v>
      </c>
      <c r="D41" s="25" t="n">
        <v>221.215308791054</v>
      </c>
      <c r="E41" s="39" t="n">
        <f aca="false">D41/Val!$B$8-1</f>
        <v>-0.111359637085117</v>
      </c>
      <c r="F41" s="7" t="s">
        <v>175</v>
      </c>
      <c r="G41" s="4" t="s">
        <v>1230</v>
      </c>
    </row>
    <row r="42" customFormat="false" ht="17.15" hidden="false" customHeight="false" outlineLevel="0" collapsed="false">
      <c r="A42" s="4" t="s">
        <v>1289</v>
      </c>
      <c r="B42" s="0" t="s">
        <v>1290</v>
      </c>
      <c r="C42" s="4" t="s">
        <v>46</v>
      </c>
      <c r="D42" s="25" t="n">
        <v>248.98103609883</v>
      </c>
      <c r="E42" s="39" t="n">
        <f aca="false">D42/Val!$B$8-1</f>
        <v>0.000177607449269646</v>
      </c>
      <c r="F42" s="7" t="s">
        <v>564</v>
      </c>
      <c r="G42" s="4" t="s">
        <v>1230</v>
      </c>
    </row>
    <row r="43" customFormat="false" ht="17.15" hidden="false" customHeight="false" outlineLevel="0" collapsed="false">
      <c r="A43" s="4" t="s">
        <v>1291</v>
      </c>
      <c r="B43" s="0" t="s">
        <v>1290</v>
      </c>
      <c r="C43" s="4" t="s">
        <v>48</v>
      </c>
      <c r="D43" s="25" t="n">
        <v>248.861376933185</v>
      </c>
      <c r="E43" s="39" t="n">
        <f aca="false">D43/Val!$B$8-1</f>
        <v>-0.000303073408515431</v>
      </c>
      <c r="F43" s="7" t="s">
        <v>564</v>
      </c>
      <c r="G43" s="4" t="s">
        <v>1230</v>
      </c>
    </row>
    <row r="44" customFormat="false" ht="17.15" hidden="false" customHeight="false" outlineLevel="0" collapsed="false">
      <c r="A44" s="4" t="s">
        <v>1292</v>
      </c>
      <c r="B44" s="0" t="s">
        <v>1293</v>
      </c>
      <c r="C44" s="4" t="s">
        <v>48</v>
      </c>
      <c r="D44" s="25" t="n">
        <v>234.703521597195</v>
      </c>
      <c r="E44" s="39" t="n">
        <f aca="false">D44/Val!$B$8-1</f>
        <v>-0.0571763602195743</v>
      </c>
      <c r="F44" s="7" t="s">
        <v>196</v>
      </c>
      <c r="G44" s="4" t="s">
        <v>1230</v>
      </c>
    </row>
    <row r="45" customFormat="false" ht="17.15" hidden="false" customHeight="false" outlineLevel="0" collapsed="false">
      <c r="A45" s="0" t="s">
        <v>1294</v>
      </c>
      <c r="B45" s="4" t="s">
        <v>1295</v>
      </c>
      <c r="C45" s="4" t="s">
        <v>48</v>
      </c>
      <c r="D45" s="25" t="n">
        <v>268.822945395964</v>
      </c>
      <c r="E45" s="39" t="n">
        <f aca="false">D45/Val!$B$8-1</f>
        <v>0.0798842135385602</v>
      </c>
      <c r="F45" s="7" t="s">
        <v>203</v>
      </c>
      <c r="G45" s="4" t="s">
        <v>1230</v>
      </c>
    </row>
    <row r="47" customFormat="false" ht="17.15" hidden="false" customHeight="false" outlineLevel="0" collapsed="false">
      <c r="A47" s="4" t="s">
        <v>1296</v>
      </c>
      <c r="D47" s="23" t="n">
        <f aca="false">Val!B8</f>
        <v>248.936823064656</v>
      </c>
    </row>
    <row r="48" customFormat="false" ht="15" hidden="false" customHeight="false" outlineLevel="0" collapsed="false">
      <c r="A48" s="4" t="s">
        <v>1297</v>
      </c>
      <c r="D48" s="25" t="n">
        <v>248.936823064656</v>
      </c>
      <c r="E48" s="19" t="n">
        <f aca="false">D48-D47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1298</v>
      </c>
    </row>
    <row r="3" customFormat="false" ht="15" hidden="false" customHeight="false" outlineLevel="0" collapsed="false">
      <c r="A3" s="3" t="s">
        <v>1299</v>
      </c>
      <c r="B3" s="3" t="s">
        <v>1300</v>
      </c>
      <c r="C3" s="3" t="s">
        <v>1301</v>
      </c>
      <c r="D3" s="3" t="s">
        <v>1302</v>
      </c>
      <c r="E3" s="3" t="s">
        <v>49</v>
      </c>
      <c r="F3" s="3" t="s">
        <v>1303</v>
      </c>
    </row>
    <row r="4" customFormat="false" ht="17.15" hidden="false" customHeight="false" outlineLevel="0" collapsed="false">
      <c r="A4" s="0" t="s">
        <v>1304</v>
      </c>
      <c r="B4" s="0" t="s">
        <v>1305</v>
      </c>
      <c r="C4" s="0" t="s">
        <v>1306</v>
      </c>
      <c r="D4" s="0" t="s">
        <v>1307</v>
      </c>
      <c r="E4" s="0" t="s">
        <v>56</v>
      </c>
      <c r="F4" s="0" t="s">
        <v>1308</v>
      </c>
    </row>
    <row r="5" customFormat="false" ht="17.15" hidden="false" customHeight="false" outlineLevel="0" collapsed="false">
      <c r="A5" s="0" t="s">
        <v>1309</v>
      </c>
      <c r="B5" s="0" t="s">
        <v>1310</v>
      </c>
      <c r="C5" s="0" t="s">
        <v>1311</v>
      </c>
      <c r="D5" s="0" t="s">
        <v>1312</v>
      </c>
      <c r="E5" s="0" t="s">
        <v>65</v>
      </c>
      <c r="F5" s="0" t="s">
        <v>1313</v>
      </c>
    </row>
    <row r="6" customFormat="false" ht="17.15" hidden="false" customHeight="false" outlineLevel="0" collapsed="false">
      <c r="A6" s="0" t="s">
        <v>1314</v>
      </c>
      <c r="B6" s="0" t="s">
        <v>1315</v>
      </c>
      <c r="C6" s="0" t="s">
        <v>1316</v>
      </c>
      <c r="D6" s="0" t="s">
        <v>1317</v>
      </c>
      <c r="E6" s="0" t="s">
        <v>65</v>
      </c>
      <c r="F6" s="0" t="s">
        <v>715</v>
      </c>
    </row>
    <row r="7" customFormat="false" ht="17.15" hidden="false" customHeight="false" outlineLevel="0" collapsed="false">
      <c r="A7" s="0" t="s">
        <v>1318</v>
      </c>
      <c r="B7" s="0" t="s">
        <v>1319</v>
      </c>
      <c r="C7" s="0" t="s">
        <v>1320</v>
      </c>
      <c r="D7" s="0" t="s">
        <v>1321</v>
      </c>
      <c r="E7" s="0" t="s">
        <v>65</v>
      </c>
      <c r="F7" s="0" t="s">
        <v>1322</v>
      </c>
    </row>
    <row r="8" customFormat="false" ht="15" hidden="false" customHeight="false" outlineLevel="0" collapsed="false">
      <c r="A8" s="0" t="s">
        <v>1323</v>
      </c>
      <c r="B8" s="0" t="s">
        <v>1324</v>
      </c>
      <c r="C8" s="0" t="s">
        <v>1325</v>
      </c>
      <c r="D8" s="0" t="s">
        <v>1326</v>
      </c>
      <c r="E8" s="0" t="s">
        <v>65</v>
      </c>
      <c r="F8" s="4" t="s">
        <v>1327</v>
      </c>
    </row>
    <row r="9" customFormat="false" ht="17.15" hidden="false" customHeight="false" outlineLevel="0" collapsed="false">
      <c r="A9" s="0" t="s">
        <v>1328</v>
      </c>
      <c r="B9" s="0" t="s">
        <v>1329</v>
      </c>
      <c r="C9" s="0" t="s">
        <v>1311</v>
      </c>
      <c r="D9" s="0" t="s">
        <v>1330</v>
      </c>
      <c r="E9" s="0" t="s">
        <v>65</v>
      </c>
      <c r="F9" s="0" t="s">
        <v>1331</v>
      </c>
    </row>
    <row r="10" customFormat="false" ht="17.15" hidden="false" customHeight="false" outlineLevel="0" collapsed="false">
      <c r="A10" s="0" t="s">
        <v>1332</v>
      </c>
      <c r="B10" s="4" t="s">
        <v>1333</v>
      </c>
      <c r="C10" s="0" t="s">
        <v>1334</v>
      </c>
      <c r="D10" s="0" t="s">
        <v>1335</v>
      </c>
      <c r="E10" s="4" t="s">
        <v>1336</v>
      </c>
      <c r="F10" s="0" t="s">
        <v>1337</v>
      </c>
    </row>
    <row r="11" customFormat="false" ht="17.15" hidden="false" customHeight="false" outlineLevel="0" collapsed="false">
      <c r="A11" s="0" t="s">
        <v>1338</v>
      </c>
      <c r="B11" s="0" t="s">
        <v>1339</v>
      </c>
      <c r="C11" s="0" t="s">
        <v>1340</v>
      </c>
      <c r="D11" s="0" t="s">
        <v>1341</v>
      </c>
      <c r="E11" s="0" t="s">
        <v>78</v>
      </c>
      <c r="F11" s="0" t="s">
        <v>1342</v>
      </c>
    </row>
    <row r="12" customFormat="false" ht="17.15" hidden="false" customHeight="false" outlineLevel="0" collapsed="false">
      <c r="A12" s="0" t="s">
        <v>1343</v>
      </c>
      <c r="B12" s="0" t="s">
        <v>1344</v>
      </c>
      <c r="C12" s="0" t="s">
        <v>1345</v>
      </c>
      <c r="D12" s="0" t="s">
        <v>1335</v>
      </c>
      <c r="E12" s="0" t="s">
        <v>1346</v>
      </c>
      <c r="F12" s="0" t="s">
        <v>1347</v>
      </c>
    </row>
    <row r="13" customFormat="false" ht="17.15" hidden="false" customHeight="false" outlineLevel="0" collapsed="false">
      <c r="A13" s="0" t="s">
        <v>1348</v>
      </c>
      <c r="B13" s="0" t="s">
        <v>1349</v>
      </c>
      <c r="C13" s="0" t="s">
        <v>1350</v>
      </c>
      <c r="D13" s="0" t="s">
        <v>1351</v>
      </c>
      <c r="E13" s="0" t="s">
        <v>78</v>
      </c>
      <c r="F13" s="0" t="s">
        <v>1352</v>
      </c>
    </row>
    <row r="14" customFormat="false" ht="17.15" hidden="false" customHeight="false" outlineLevel="0" collapsed="false">
      <c r="A14" s="0" t="s">
        <v>1353</v>
      </c>
      <c r="B14" s="0" t="s">
        <v>1354</v>
      </c>
      <c r="C14" s="0" t="s">
        <v>1355</v>
      </c>
      <c r="D14" s="0" t="s">
        <v>1356</v>
      </c>
      <c r="E14" s="0" t="s">
        <v>56</v>
      </c>
      <c r="F14" s="0" t="s">
        <v>1357</v>
      </c>
    </row>
    <row r="15" customFormat="false" ht="17.15" hidden="false" customHeight="false" outlineLevel="0" collapsed="false">
      <c r="A15" s="0" t="s">
        <v>1358</v>
      </c>
      <c r="B15" s="0" t="s">
        <v>1359</v>
      </c>
      <c r="C15" s="0" t="s">
        <v>1360</v>
      </c>
      <c r="D15" s="0" t="s">
        <v>1361</v>
      </c>
      <c r="E15" s="0" t="s">
        <v>56</v>
      </c>
      <c r="F15" s="4" t="s">
        <v>1362</v>
      </c>
    </row>
    <row r="16" customFormat="false" ht="17.15" hidden="false" customHeight="false" outlineLevel="0" collapsed="false">
      <c r="A16" s="0" t="s">
        <v>1363</v>
      </c>
      <c r="B16" s="0" t="s">
        <v>1364</v>
      </c>
      <c r="C16" s="0" t="s">
        <v>1360</v>
      </c>
      <c r="D16" s="0" t="s">
        <v>1365</v>
      </c>
      <c r="E16" s="0" t="s">
        <v>65</v>
      </c>
      <c r="F16" s="4" t="s">
        <v>1366</v>
      </c>
    </row>
    <row r="17" customFormat="false" ht="17.15" hidden="false" customHeight="false" outlineLevel="0" collapsed="false">
      <c r="A17" s="0" t="s">
        <v>1367</v>
      </c>
      <c r="B17" s="0" t="s">
        <v>1368</v>
      </c>
      <c r="C17" s="0" t="s">
        <v>1360</v>
      </c>
      <c r="D17" s="0" t="s">
        <v>1369</v>
      </c>
      <c r="E17" s="0" t="s">
        <v>65</v>
      </c>
      <c r="F17" s="0" t="s">
        <v>1370</v>
      </c>
    </row>
    <row r="18" customFormat="false" ht="17.15" hidden="false" customHeight="false" outlineLevel="0" collapsed="false">
      <c r="A18" s="0" t="s">
        <v>1371</v>
      </c>
      <c r="B18" s="4" t="s">
        <v>1372</v>
      </c>
      <c r="C18" s="0" t="s">
        <v>1373</v>
      </c>
      <c r="D18" s="0" t="s">
        <v>1374</v>
      </c>
      <c r="E18" s="0" t="s">
        <v>78</v>
      </c>
      <c r="F18" s="0" t="s">
        <v>1375</v>
      </c>
    </row>
    <row r="19" customFormat="false" ht="17.15" hidden="false" customHeight="false" outlineLevel="0" collapsed="false">
      <c r="A19" s="0" t="s">
        <v>1376</v>
      </c>
      <c r="B19" s="4" t="s">
        <v>1377</v>
      </c>
      <c r="C19" s="0" t="s">
        <v>1334</v>
      </c>
      <c r="D19" s="0" t="s">
        <v>1335</v>
      </c>
      <c r="E19" s="0" t="s">
        <v>65</v>
      </c>
      <c r="F19" s="0" t="s">
        <v>1378</v>
      </c>
    </row>
    <row r="20" customFormat="false" ht="17.15" hidden="false" customHeight="false" outlineLevel="0" collapsed="false">
      <c r="A20" s="0" t="s">
        <v>1379</v>
      </c>
      <c r="B20" s="0" t="s">
        <v>1380</v>
      </c>
      <c r="C20" s="0" t="s">
        <v>1340</v>
      </c>
      <c r="D20" s="0" t="s">
        <v>1335</v>
      </c>
      <c r="E20" s="0" t="s">
        <v>78</v>
      </c>
      <c r="F20" s="4" t="s">
        <v>1381</v>
      </c>
    </row>
    <row r="21" customFormat="false" ht="17.15" hidden="false" customHeight="false" outlineLevel="0" collapsed="false">
      <c r="A21" s="0" t="s">
        <v>1382</v>
      </c>
      <c r="B21" s="0" t="s">
        <v>1383</v>
      </c>
      <c r="C21" s="0" t="s">
        <v>1334</v>
      </c>
      <c r="D21" s="0" t="s">
        <v>1384</v>
      </c>
      <c r="E21" s="0" t="s">
        <v>731</v>
      </c>
      <c r="F21" s="4" t="s">
        <v>1385</v>
      </c>
    </row>
    <row r="22" customFormat="false" ht="17.15" hidden="false" customHeight="false" outlineLevel="0" collapsed="false">
      <c r="A22" s="0" t="s">
        <v>1386</v>
      </c>
      <c r="B22" s="0" t="s">
        <v>1387</v>
      </c>
      <c r="C22" s="0" t="s">
        <v>1388</v>
      </c>
      <c r="D22" s="0" t="s">
        <v>1389</v>
      </c>
      <c r="E22" s="0" t="s">
        <v>65</v>
      </c>
      <c r="F22" s="4" t="s">
        <v>1390</v>
      </c>
    </row>
    <row r="23" customFormat="false" ht="17.15" hidden="false" customHeight="false" outlineLevel="0" collapsed="false">
      <c r="A23" s="0" t="s">
        <v>1391</v>
      </c>
      <c r="B23" s="0" t="s">
        <v>1392</v>
      </c>
      <c r="C23" s="0" t="s">
        <v>1393</v>
      </c>
      <c r="D23" s="4" t="s">
        <v>1394</v>
      </c>
      <c r="E23" s="0" t="s">
        <v>65</v>
      </c>
      <c r="F23" s="4" t="s">
        <v>1395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2026-10-27T06:54:39Z</dcterms:created>
  <dc:creator>openpyxl</dc:creator>
  <dc:description/>
  <dc:language>en-US</dc:language>
  <cp:lastModifiedBy/>
  <dcterms:modified xsi:type="dcterms:W3CDTF">2026-10-27T06:54:39Z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