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bc_rate" vbProcedure="false">In!$E$136</definedName>
    <definedName function="false" hidden="false" name="abc_rate_hi" vbProcedure="false">In!$F$136</definedName>
    <definedName function="false" hidden="false" name="abc_rate_lo" vbProcedure="false">In!$D$136</definedName>
    <definedName function="false" hidden="false" name="abc_ttm" vbProcedure="false">Q!$B$78</definedName>
    <definedName function="false" hidden="false" name="ads_own" vbProcedure="false">In!$E$59</definedName>
    <definedName function="false" hidden="false" name="ads_own_hi" vbProcedure="false">In!$F$59</definedName>
    <definedName function="false" hidden="false" name="ai_mw_pttm" vbProcedure="false">In!$E$108</definedName>
    <definedName function="false" hidden="false" name="ai_mw_ttm" vbProcedure="false">In!$E$107</definedName>
    <definedName function="false" hidden="false" name="ai_pttm" vbProcedure="false">Thesis!$C$14</definedName>
    <definedName function="false" hidden="false" name="ai_ttm" vbProcedure="false">Thesis!$C$13</definedName>
    <definedName function="false" hidden="false" name="ai_ttm_e" vbProcedure="false">Thesis!$C$15</definedName>
    <definedName function="false" hidden="false" name="am_27" vbProcedure="false">In!$E$70</definedName>
    <definedName function="false" hidden="false" name="anth_27" vbProcedure="false">In!$E$164</definedName>
    <definedName function="false" hidden="false" name="anth_28" vbProcedure="false">In!$E$165</definedName>
    <definedName function="false" hidden="false" name="anth_29" vbProcedure="false">In!$E$166</definedName>
    <definedName function="false" hidden="false" name="anth_2H" vbProcedure="false">In!$E$163</definedName>
    <definedName function="false" hidden="false" name="anth_30" vbProcedure="false">In!$E$167</definedName>
    <definedName function="false" hidden="false" name="anth_31" vbProcedure="false">In!$E$168</definedName>
    <definedName function="false" hidden="false" name="anth_32" vbProcedure="false">In!$E$169</definedName>
    <definedName function="false" hidden="false" name="ant_stake" vbProcedure="false">In!$E$17</definedName>
    <definedName function="false" hidden="false" name="ant_stake_hi" vbProcedure="false">In!$F$17</definedName>
    <definedName function="false" hidden="false" name="ant_stake_lo" vbProcedure="false">In!$D$17</definedName>
    <definedName function="false" hidden="false" name="ant_val" vbProcedure="false">In!$E$16</definedName>
    <definedName function="false" hidden="false" name="bb_t" vbProcedure="false">In!$E$154</definedName>
    <definedName function="false" hidden="false" name="bb_t_hi" vbProcedure="false">In!$F$154</definedName>
    <definedName function="false" hidden="false" name="bb_t_lo" vbProcedure="false">In!$D$154</definedName>
    <definedName function="false" hidden="false" name="beta" vbProcedure="false">In!$E$23</definedName>
    <definedName function="false" hidden="false" name="beta_hi" vbProcedure="false">In!$F$23</definedName>
    <definedName function="false" hidden="false" name="beta_lo" vbProcedure="false">In!$D$23</definedName>
    <definedName function="false" hidden="false" name="capex_1h" vbProcedure="false">In!$E$105</definedName>
    <definedName function="false" hidden="false" name="capex_g" vbProcedure="false">In!$E$104</definedName>
    <definedName function="false" hidden="false" name="capex_g_hi" vbProcedure="false">In!$F$104</definedName>
    <definedName function="false" hidden="false" name="capex_g_lo" vbProcedure="false">In!$D$104</definedName>
    <definedName function="false" hidden="false" name="cap_b2" vbProcedure="false">In!$E$93</definedName>
    <definedName function="false" hidden="false" name="cap_b3" vbProcedure="false">In!$E$94</definedName>
    <definedName function="false" hidden="false" name="cap_h" vbProcedure="false">In!$E$92</definedName>
    <definedName function="false" hidden="false" name="cap_vr" vbProcedure="false">In!$E$95</definedName>
    <definedName function="false" hidden="false" name="cash_0" vbProcedure="false">In!$E$10</definedName>
    <definedName function="false" hidden="false" name="cash_ye25" vbProcedure="false">In!$E$11</definedName>
    <definedName function="false" hidden="false" name="cfac" vbProcedure="false">In!$E$91</definedName>
    <definedName function="false" hidden="false" name="cip_0" vbProcedure="false">In!$E$102</definedName>
    <definedName function="false" hidden="false" name="cip_it" vbProcedure="false">In!$E$103</definedName>
    <definedName function="false" hidden="false" name="cip_it_hi" vbProcedure="false">In!$F$103</definedName>
    <definedName function="false" hidden="false" name="cip_it_lo" vbProcedure="false">In!$D$103</definedName>
    <definedName function="false" hidden="false" name="cit_b2" vbProcedure="false">In!$E$88</definedName>
    <definedName function="false" hidden="false" name="cit_b3" vbProcedure="false">In!$E$89</definedName>
    <definedName function="false" hidden="false" name="cit_h" vbProcedure="false">In!$E$87</definedName>
    <definedName function="false" hidden="false" name="cit_vr" vbProcedure="false">In!$E$90</definedName>
    <definedName function="false" hidden="false" name="cloud_ebitda_ttm" vbProcedure="false">Q!$B$74</definedName>
    <definedName function="false" hidden="false" name="cloud_pttm" vbProcedure="false">Q!$B$76</definedName>
    <definedName function="false" hidden="false" name="cloud_ttm" vbProcedure="false">Q!$B$75</definedName>
    <definedName function="false" hidden="false" name="cons_tp" vbProcedure="false">In!$E$35</definedName>
    <definedName function="false" hidden="false" name="conv_n" vbProcedure="false">In!$E$114</definedName>
    <definedName function="false" hidden="false" name="conv_sh" vbProcedure="false">In!$E$9</definedName>
    <definedName function="false" hidden="false" name="conv_sh_hi" vbProcedure="false">In!$F$9</definedName>
    <definedName function="false" hidden="false" name="conv_sh_lo" vbProcedure="false">In!$D$9</definedName>
    <definedName function="false" hidden="false" name="cx_co" vbProcedure="false">In!$E$141</definedName>
    <definedName function="false" hidden="false" name="cx_co_hi" vbProcedure="false">In!$F$141</definedName>
    <definedName function="false" hidden="false" name="cx_co_lo" vbProcedure="false">In!$D$141</definedName>
    <definedName function="false" hidden="false" name="cx_ob" vbProcedure="false">In!$E$142</definedName>
    <definedName function="false" hidden="false" name="cx_svc" vbProcedure="false">In!$E$140</definedName>
    <definedName function="false" hidden="false" name="cx_svc_hi" vbProcedure="false">In!$F$140</definedName>
    <definedName function="false" hidden="false" name="cx_svc_lo" vbProcedure="false">In!$D$140</definedName>
    <definedName function="false" hidden="false" name="c_capex_26" vbProcedure="false">In!$E$195</definedName>
    <definedName function="false" hidden="false" name="c_capex_27" vbProcedure="false">In!$E$196</definedName>
    <definedName function="false" hidden="false" name="c_capex_28" vbProcedure="false">In!$E$197</definedName>
    <definedName function="false" hidden="false" name="c_ebitda_26" vbProcedure="false">In!$E$201</definedName>
    <definedName function="false" hidden="false" name="c_ebitda_27" vbProcedure="false">In!$E$202</definedName>
    <definedName function="false" hidden="false" name="c_ebitda_28" vbProcedure="false">In!$E$203</definedName>
    <definedName function="false" hidden="false" name="c_ebit_26" vbProcedure="false">In!$E$189</definedName>
    <definedName function="false" hidden="false" name="c_ebit_27" vbProcedure="false">In!$E$190</definedName>
    <definedName function="false" hidden="false" name="c_ebit_28" vbProcedure="false">In!$E$191</definedName>
    <definedName function="false" hidden="false" name="c_eps26_sa" vbProcedure="false">In!$E$204</definedName>
    <definedName function="false" hidden="false" name="c_eps26_sa_hi" vbProcedure="false">In!$F$204</definedName>
    <definedName function="false" hidden="false" name="c_eps26_sa_lo" vbProcedure="false">In!$D$204</definedName>
    <definedName function="false" hidden="false" name="c_eps_26" vbProcedure="false">In!$E$192</definedName>
    <definedName function="false" hidden="false" name="c_eps_27" vbProcedure="false">In!$E$193</definedName>
    <definedName function="false" hidden="false" name="c_eps_28" vbProcedure="false">In!$E$194</definedName>
    <definedName function="false" hidden="false" name="c_fcf_26" vbProcedure="false">In!$E$198</definedName>
    <definedName function="false" hidden="false" name="c_fcf_27" vbProcedure="false">In!$E$199</definedName>
    <definedName function="false" hidden="false" name="c_fcf_28" vbProcedure="false">In!$E$200</definedName>
    <definedName function="false" hidden="false" name="c_rev_26" vbProcedure="false">In!$E$186</definedName>
    <definedName function="false" hidden="false" name="c_rev_27" vbProcedure="false">In!$E$187</definedName>
    <definedName function="false" hidden="false" name="c_rev_28" vbProcedure="false">In!$E$188</definedName>
    <definedName function="false" hidden="false" name="dA" vbProcedure="false">In!$E$120</definedName>
    <definedName function="false" hidden="false" name="da_base" vbProcedure="false">In!$E$101</definedName>
    <definedName function="false" hidden="false" name="dA_hi" vbProcedure="false">In!$F$120</definedName>
    <definedName function="false" hidden="false" name="dA_lo" vbProcedure="false">In!$D$120</definedName>
    <definedName function="false" hidden="false" name="da_ttm" vbProcedure="false">Q!$B$68</definedName>
    <definedName function="false" hidden="false" name="dC" vbProcedure="false">In!$E$122</definedName>
    <definedName function="false" hidden="false" name="dC_hi" vbProcedure="false">In!$F$122</definedName>
    <definedName function="false" hidden="false" name="dC_lo" vbProcedure="false">In!$D$122</definedName>
    <definedName function="false" hidden="false" name="debt_0" vbProcedure="false">In!$E$12</definedName>
    <definedName function="false" hidden="false" name="debt_new_2h" vbProcedure="false">In!$E$177</definedName>
    <definedName function="false" hidden="false" name="dil" vbProcedure="false">In!$E$149</definedName>
    <definedName function="false" hidden="false" name="dil_hi" vbProcedure="false">In!$F$149</definedName>
    <definedName function="false" hidden="false" name="dil_lo" vbProcedure="false">In!$D$149</definedName>
    <definedName function="false" hidden="false" name="dps" vbProcedure="false">In!$E$152</definedName>
    <definedName function="false" hidden="false" name="dps_g" vbProcedure="false">In!$E$153</definedName>
    <definedName function="false" hidden="false" name="erp" vbProcedure="false">In!$E$24</definedName>
    <definedName function="false" hidden="false" name="erp_hi" vbProcedure="false">In!$F$24</definedName>
    <definedName function="false" hidden="false" name="erp_lo" vbProcedure="false">In!$D$24</definedName>
    <definedName function="false" hidden="false" name="ext_sh" vbProcedure="false">In!$E$61</definedName>
    <definedName function="false" hidden="false" name="ext_sh_hi" vbProcedure="false">In!$F$61</definedName>
    <definedName function="false" hidden="false" name="ext_sh_lo" vbProcedure="false">In!$D$61</definedName>
    <definedName function="false" hidden="false" name="fines" vbProcedure="false">In!$E$13</definedName>
    <definedName function="false" hidden="false" name="g0_cloud" vbProcedure="false">Q!$B$62</definedName>
    <definedName function="false" hidden="false" name="g0_co" vbProcedure="false">Thesis!$C$16</definedName>
    <definedName function="false" hidden="false" name="g0_net" vbProcedure="false">Q!$B$60</definedName>
    <definedName function="false" hidden="false" name="g0_search" vbProcedure="false">Q!$B$58</definedName>
    <definedName function="false" hidden="false" name="g0_subs" vbProcedure="false">Q!$B$61</definedName>
    <definedName function="false" hidden="false" name="g0_yt" vbProcedure="false">Q!$B$59</definedName>
    <definedName function="false" hidden="false" name="gl_co" vbProcedure="false">In!$E$119</definedName>
    <definedName function="false" hidden="false" name="gl_co_hi" vbProcedure="false">In!$F$119</definedName>
    <definedName function="false" hidden="false" name="gl_co_lo" vbProcedure="false">In!$D$119</definedName>
    <definedName function="false" hidden="false" name="gl_net" vbProcedure="false">In!$E$117</definedName>
    <definedName function="false" hidden="false" name="gl_net_hi" vbProcedure="false">In!$F$117</definedName>
    <definedName function="false" hidden="false" name="gl_net_lo" vbProcedure="false">In!$D$117</definedName>
    <definedName function="false" hidden="false" name="gl_search" vbProcedure="false">In!$E$115</definedName>
    <definedName function="false" hidden="false" name="gl_search_hi" vbProcedure="false">In!$F$115</definedName>
    <definedName function="false" hidden="false" name="gl_search_lo" vbProcedure="false">In!$D$115</definedName>
    <definedName function="false" hidden="false" name="gl_subs" vbProcedure="false">In!$E$118</definedName>
    <definedName function="false" hidden="false" name="gl_subs_hi" vbProcedure="false">In!$F$118</definedName>
    <definedName function="false" hidden="false" name="gl_subs_lo" vbProcedure="false">In!$D$118</definedName>
    <definedName function="false" hidden="false" name="gl_yt" vbProcedure="false">In!$E$116</definedName>
    <definedName function="false" hidden="false" name="gl_yt_hi" vbProcedure="false">In!$F$116</definedName>
    <definedName function="false" hidden="false" name="gl_yt_lo" vbProcedure="false">In!$D$116</definedName>
    <definedName function="false" hidden="false" name="gpuhr_h" vbProcedure="false">In!$E$82</definedName>
    <definedName function="false" hidden="false" name="g_tv" vbProcedure="false">In!$E$27</definedName>
    <definedName function="false" hidden="false" name="g_tv_hi" vbProcedure="false">In!$F$27</definedName>
    <definedName function="false" hidden="false" name="g_tv_lo" vbProcedure="false">In!$D$27</definedName>
    <definedName function="false" hidden="false" name="he_b2" vbProcedure="false">In!$E$79</definedName>
    <definedName function="false" hidden="false" name="he_b2_hi" vbProcedure="false">In!$F$79</definedName>
    <definedName function="false" hidden="false" name="he_b2_lo" vbProcedure="false">In!$D$79</definedName>
    <definedName function="false" hidden="false" name="he_b3" vbProcedure="false">In!$E$80</definedName>
    <definedName function="false" hidden="false" name="he_b3_hi" vbProcedure="false">In!$F$80</definedName>
    <definedName function="false" hidden="false" name="he_b3_lo" vbProcedure="false">In!$D$80</definedName>
    <definedName function="false" hidden="false" name="he_h" vbProcedure="false">In!$E$78</definedName>
    <definedName function="false" hidden="false" name="he_h_hi" vbProcedure="false">In!$F$78</definedName>
    <definedName function="false" hidden="false" name="he_h_lo" vbProcedure="false">In!$D$78</definedName>
    <definedName function="false" hidden="false" name="he_vr" vbProcedure="false">In!$E$81</definedName>
    <definedName function="false" hidden="false" name="he_vr_hi" vbProcedure="false">In!$F$81</definedName>
    <definedName function="false" hidden="false" name="he_vr_lo" vbProcedure="false">In!$D$81</definedName>
    <definedName function="false" hidden="false" name="illiq" vbProcedure="false">In!$E$18</definedName>
    <definedName function="false" hidden="false" name="illiq_hi" vbProcedure="false">In!$F$18</definedName>
    <definedName function="false" hidden="false" name="illiq_lo" vbProcedure="false">In!$D$18</definedName>
    <definedName function="false" hidden="false" name="inc_m" vbProcedure="false">In!$E$124</definedName>
    <definedName function="false" hidden="false" name="inc_m_hi" vbProcedure="false">In!$F$124</definedName>
    <definedName function="false" hidden="false" name="inc_m_lo" vbProcedure="false">In!$D$124</definedName>
    <definedName function="false" hidden="false" name="kd" vbProcedure="false">In!$E$25</definedName>
    <definedName function="false" hidden="false" name="ke" vbProcedure="false">Val!$B$28</definedName>
    <definedName function="false" hidden="false" name="kl_px" vbProcedure="false">In!$E$75</definedName>
    <definedName function="false" hidden="false" name="kl_px_lo" vbProcedure="false">In!$D$75</definedName>
    <definedName function="false" hidden="false" name="ks_px" vbProcedure="false">In!$E$76</definedName>
    <definedName function="false" hidden="false" name="ks_px_hi" vbProcedure="false">In!$F$76</definedName>
    <definedName function="false" hidden="false" name="k_blend" vbProcedure="false">Thesis!$C$8</definedName>
    <definedName function="false" hidden="false" name="k_long" vbProcedure="false">Thesis!$C$6</definedName>
    <definedName function="false" hidden="false" name="k_spot" vbProcedure="false">Thesis!$C$7</definedName>
    <definedName function="false" hidden="false" name="lease_27" vbProcedure="false">In!$E$157</definedName>
    <definedName function="false" hidden="false" name="lease_28" vbProcedure="false">In!$E$158</definedName>
    <definedName function="false" hidden="false" name="lease_29" vbProcedure="false">In!$E$159</definedName>
    <definedName function="false" hidden="false" name="lease_2H" vbProcedure="false">In!$E$156</definedName>
    <definedName function="false" hidden="false" name="lease_30" vbProcedure="false">In!$E$160</definedName>
    <definedName function="false" hidden="false" name="lease_31" vbProcedure="false">In!$E$161</definedName>
    <definedName function="false" hidden="false" name="lease_32" vbProcedure="false">In!$E$162</definedName>
    <definedName function="false" hidden="false" name="life_fac" vbProcedure="false">In!$E$98</definedName>
    <definedName function="false" hidden="false" name="life_fac_hi" vbProcedure="false">In!$F$98</definedName>
    <definedName function="false" hidden="false" name="life_fac_lo" vbProcedure="false">In!$D$98</definedName>
    <definedName function="false" hidden="false" name="life_it" vbProcedure="false">In!$E$97</definedName>
    <definedName function="false" hidden="false" name="life_it_hi" vbProcedure="false">In!$F$97</definedName>
    <definedName function="false" hidden="false" name="life_it_lo" vbProcedure="false">In!$D$97</definedName>
    <definedName function="false" hidden="false" name="life_na" vbProcedure="false">In!$E$99</definedName>
    <definedName function="false" hidden="false" name="life_na_hi" vbProcedure="false">In!$F$99</definedName>
    <definedName function="false" hidden="false" name="life_na_lo" vbProcedure="false">In!$D$99</definedName>
    <definedName function="false" hidden="false" name="long_sh" vbProcedure="false">In!$E$77</definedName>
    <definedName function="false" hidden="false" name="long_sh_hi" vbProcedure="false">In!$F$77</definedName>
    <definedName function="false" hidden="false" name="long_sh_lo" vbProcedure="false">In!$D$77</definedName>
    <definedName function="false" hidden="false" name="mA" vbProcedure="false">In!$E$121</definedName>
    <definedName function="false" hidden="false" name="mat_27" vbProcedure="false">In!$E$171</definedName>
    <definedName function="false" hidden="false" name="mat_28" vbProcedure="false">In!$E$172</definedName>
    <definedName function="false" hidden="false" name="mat_29" vbProcedure="false">In!$E$173</definedName>
    <definedName function="false" hidden="false" name="mat_2H" vbProcedure="false">In!$E$170</definedName>
    <definedName function="false" hidden="false" name="mat_30" vbProcedure="false">In!$E$174</definedName>
    <definedName function="false" hidden="false" name="mat_31" vbProcedure="false">In!$E$175</definedName>
    <definedName function="false" hidden="false" name="mat_32" vbProcedure="false">In!$E$176</definedName>
    <definedName function="false" hidden="false" name="mA_hi" vbProcedure="false">In!$F$121</definedName>
    <definedName function="false" hidden="false" name="mA_lo" vbProcedure="false">In!$D$121</definedName>
    <definedName function="false" hidden="false" name="mb_ttm" vbProcedure="false">In!$E$36</definedName>
    <definedName function="false" hidden="false" name="mb_ttm_hi" vbProcedure="false">In!$F$36</definedName>
    <definedName function="false" hidden="false" name="mC" vbProcedure="false">In!$E$123</definedName>
    <definedName function="false" hidden="false" name="mC_hi" vbProcedure="false">In!$F$123</definedName>
    <definedName function="false" hidden="false" name="mC_lo" vbProcedure="false">In!$D$123</definedName>
    <definedName function="false" hidden="false" name="min_cash" vbProcedure="false">In!$E$155</definedName>
    <definedName function="false" hidden="false" name="mix0_b2" vbProcedure="false">In!$E$68</definedName>
    <definedName function="false" hidden="false" name="mix0_b3" vbProcedure="false">In!$E$69</definedName>
    <definedName function="false" hidden="false" name="mix0_h" vbProcedure="false">In!$E$67</definedName>
    <definedName function="false" hidden="false" name="mult_ads" vbProcedure="false">Val!$B$83</definedName>
    <definedName function="false" hidden="false" name="mult_adsx" vbProcedure="false">Val!$B$86</definedName>
    <definedName function="false" hidden="false" name="mult_ads_own" vbProcedure="false">In!$E$58</definedName>
    <definedName function="false" hidden="false" name="mult_ai" vbProcedure="false">In!$E$57</definedName>
    <definedName function="false" hidden="false" name="mult_ai_hi" vbProcedure="false">In!$F$57</definedName>
    <definedName function="false" hidden="false" name="mult_ai_lo" vbProcedure="false">In!$D$57</definedName>
    <definedName function="false" hidden="false" name="mult_cloud" vbProcedure="false">Val!$B$85</definedName>
    <definedName function="false" hidden="false" name="mult_subs" vbProcedure="false">Val!$B$84</definedName>
    <definedName function="false" hidden="false" name="mw_tot0" vbProcedure="false">In!$E$62</definedName>
    <definedName function="false" hidden="false" name="mw_tot0_hi" vbProcedure="false">In!$F$62</definedName>
    <definedName function="false" hidden="false" name="mw_tot0_lo" vbProcedure="false">In!$D$62</definedName>
    <definedName function="false" hidden="false" name="mw_ye23" vbProcedure="false">In!$E$65</definedName>
    <definedName function="false" hidden="false" name="mw_ye24" vbProcedure="false">In!$E$64</definedName>
    <definedName function="false" hidden="false" name="mw_ye25" vbProcedure="false">In!$E$63</definedName>
    <definedName function="false" hidden="false" name="m_co" vbProcedure="false">Thesis!$C$19</definedName>
    <definedName function="false" hidden="false" name="m_co_1h" vbProcedure="false">Thesis!$C$18</definedName>
    <definedName function="false" hidden="false" name="m_co_ttm" vbProcedure="false">Thesis!$C$17</definedName>
    <definedName function="false" hidden="false" name="m_net" vbProcedure="false">In!$E$138</definedName>
    <definedName function="false" hidden="false" name="m_net_hi" vbProcedure="false">In!$F$138</definedName>
    <definedName function="false" hidden="false" name="m_net_lo" vbProcedure="false">In!$D$138</definedName>
    <definedName function="false" hidden="false" name="m_subs" vbProcedure="false">In!$E$139</definedName>
    <definedName function="false" hidden="false" name="m_subs_hi" vbProcedure="false">In!$F$139</definedName>
    <definedName function="false" hidden="false" name="m_subs_lo" vbProcedure="false">In!$D$139</definedName>
    <definedName function="false" hidden="false" name="m_svc" vbProcedure="false">Q!$B$73</definedName>
    <definedName function="false" hidden="false" name="m_svc_1h" vbProcedure="false">Q!$B$72</definedName>
    <definedName function="false" hidden="false" name="m_svc_ttm" vbProcedure="false">Q!$B$69</definedName>
    <definedName function="false" hidden="false" name="m_yt" vbProcedure="false">In!$E$137</definedName>
    <definedName function="false" hidden="false" name="m_yt_hi" vbProcedure="false">In!$F$137</definedName>
    <definedName function="false" hidden="false" name="m_yt_lo" vbProcedure="false">In!$D$137</definedName>
    <definedName function="false" hidden="false" name="nci" vbProcedure="false">In!$E$14</definedName>
    <definedName function="false" hidden="false" name="ob_oi" vbProcedure="false">In!$E$135</definedName>
    <definedName function="false" hidden="false" name="ob_oi_hi" vbProcedure="false">In!$F$135</definedName>
    <definedName function="false" hidden="false" name="ob_oi_lo" vbProcedure="false">In!$D$135</definedName>
    <definedName function="false" hidden="false" name="ob_rev_27" vbProcedure="false">In!$E$129</definedName>
    <definedName function="false" hidden="false" name="ob_rev_28" vbProcedure="false">In!$E$130</definedName>
    <definedName function="false" hidden="false" name="ob_rev_29" vbProcedure="false">In!$E$131</definedName>
    <definedName function="false" hidden="false" name="ob_rev_2H" vbProcedure="false">In!$E$128</definedName>
    <definedName function="false" hidden="false" name="ob_rev_30" vbProcedure="false">In!$E$132</definedName>
    <definedName function="false" hidden="false" name="ob_rev_31" vbProcedure="false">In!$E$133</definedName>
    <definedName function="false" hidden="false" name="ob_rev_32" vbProcedure="false">In!$E$134</definedName>
    <definedName function="false" hidden="false" name="oi_ob_ttm" vbProcedure="false">Q!$B$77</definedName>
    <definedName function="false" hidden="false" name="opex0" vbProcedure="false">Thesis!$C$12</definedName>
    <definedName function="false" hidden="false" name="opx_b2" vbProcedure="false">In!$E$84</definedName>
    <definedName function="false" hidden="false" name="opx_b3" vbProcedure="false">In!$E$85</definedName>
    <definedName function="false" hidden="false" name="opx_h" vbProcedure="false">In!$E$83</definedName>
    <definedName function="false" hidden="false" name="opx_vr" vbProcedure="false">In!$E$86</definedName>
    <definedName function="false" hidden="false" name="oth_eq" vbProcedure="false">In!$E$20</definedName>
    <definedName function="false" hidden="false" name="pace" vbProcedure="false">In!$E$66</definedName>
    <definedName function="false" hidden="false" name="pace_hi" vbProcedure="false">In!$F$66</definedName>
    <definedName function="false" hidden="false" name="pace_lo" vbProcedure="false">In!$D$66</definedName>
    <definedName function="false" hidden="false" name="permw0" vbProcedure="false">Thesis!$C$11</definedName>
    <definedName function="false" hidden="false" name="phi_0" vbProcedure="false">In!$E$100</definedName>
    <definedName function="false" hidden="false" name="phi_0_hi" vbProcedure="false">In!$F$100</definedName>
    <definedName function="false" hidden="false" name="phi_0_lo" vbProcedure="false">In!$D$100</definedName>
    <definedName function="false" hidden="false" name="pm_ads_app" vbProcedure="false">In!$E$43</definedName>
    <definedName function="false" hidden="false" name="pm_ads_meta" vbProcedure="false">In!$E$40</definedName>
    <definedName function="false" hidden="false" name="pm_ads_pins" vbProcedure="false">In!$E$41</definedName>
    <definedName function="false" hidden="false" name="pm_ads_rddt" vbProcedure="false">In!$E$44</definedName>
    <definedName function="false" hidden="false" name="pm_ads_snap" vbProcedure="false">In!$E$45</definedName>
    <definedName function="false" hidden="false" name="pm_ads_ttd" vbProcedure="false">In!$E$42</definedName>
    <definedName function="false" hidden="false" name="pm_cloud_akam" vbProcedure="false">In!$E$54</definedName>
    <definedName function="false" hidden="false" name="pm_cloud_crm" vbProcedure="false">In!$E$52</definedName>
    <definedName function="false" hidden="false" name="pm_cloud_docn" vbProcedure="false">In!$E$56</definedName>
    <definedName function="false" hidden="false" name="pm_cloud_eqix" vbProcedure="false">In!$E$55</definedName>
    <definedName function="false" hidden="false" name="pm_cloud_ibm" vbProcedure="false">In!$E$50</definedName>
    <definedName function="false" hidden="false" name="pm_cloud_now" vbProcedure="false">In!$E$53</definedName>
    <definedName function="false" hidden="false" name="pm_cloud_orcl" vbProcedure="false">In!$E$49</definedName>
    <definedName function="false" hidden="false" name="pm_cloud_sap" vbProcedure="false">In!$E$51</definedName>
    <definedName function="false" hidden="false" name="pm_subs_dis" vbProcedure="false">In!$E$48</definedName>
    <definedName function="false" hidden="false" name="pm_subs_nflx" vbProcedure="false">In!$E$46</definedName>
    <definedName function="false" hidden="false" name="pm_subs_spot" vbProcedure="false">In!$E$47</definedName>
    <definedName function="false" hidden="false" name="pref_27" vbProcedure="false">In!$E$179</definedName>
    <definedName function="false" hidden="false" name="pref_28" vbProcedure="false">In!$E$180</definedName>
    <definedName function="false" hidden="false" name="pref_29" vbProcedure="false">In!$E$181</definedName>
    <definedName function="false" hidden="false" name="pref_2H" vbProcedure="false">In!$E$178</definedName>
    <definedName function="false" hidden="false" name="px" vbProcedure="false">In!$E$5</definedName>
    <definedName function="false" hidden="false" name="px_v022" vbProcedure="false">In!$E$185</definedName>
    <definedName function="false" hidden="false" name="rd2" vbProcedure="false">In!$E$37</definedName>
    <definedName function="false" hidden="false" name="rd2_hi" vbProcedure="false">In!$F$37</definedName>
    <definedName function="false" hidden="false" name="rent_27" vbProcedure="false">In!$E$110</definedName>
    <definedName function="false" hidden="false" name="rent_28" vbProcedure="false">In!$E$111</definedName>
    <definedName function="false" hidden="false" name="rent_29" vbProcedure="false">In!$E$112</definedName>
    <definedName function="false" hidden="false" name="rent_2H" vbProcedure="false">In!$E$109</definedName>
    <definedName function="false" hidden="false" name="rev3_ttm" vbProcedure="false">Q!$B$64</definedName>
    <definedName function="false" hidden="false" name="rf" vbProcedure="false">In!$E$22</definedName>
    <definedName function="false" hidden="false" name="ronic" vbProcedure="false">In!$E$28</definedName>
    <definedName function="false" hidden="false" name="ronic_hi" vbProcedure="false">In!$F$28</definedName>
    <definedName function="false" hidden="false" name="r_cash" vbProcedure="false">In!$E$146</definedName>
    <definedName function="false" hidden="false" name="r_debt" vbProcedure="false">In!$E$147</definedName>
    <definedName function="false" hidden="false" name="sbc_r" vbProcedure="false">In!$E$148</definedName>
    <definedName function="false" hidden="false" name="selfb" vbProcedure="false">In!$E$96</definedName>
    <definedName function="false" hidden="false" name="selfb_hi" vbProcedure="false">In!$F$96</definedName>
    <definedName function="false" hidden="false" name="selfb_lo" vbProcedure="false">In!$D$96</definedName>
    <definedName function="false" hidden="false" name="sh1_cloud" vbProcedure="false">Q!$B$71</definedName>
    <definedName function="false" hidden="false" name="sh1_svc" vbProcedure="false">Q!$B$70</definedName>
    <definedName function="false" hidden="false" name="sh_basic_q2" vbProcedure="false">In!$E$8</definedName>
    <definedName function="false" hidden="false" name="sh_cloud" vbProcedure="false">Q!$B$66</definedName>
    <definedName function="false" hidden="false" name="sh_dil_q2" vbProcedure="false">In!$E$7</definedName>
    <definedName function="false" hidden="false" name="sh_ob" vbProcedure="false">Q!$B$67</definedName>
    <definedName function="false" hidden="false" name="sh_out" vbProcedure="false">In!$E$6</definedName>
    <definedName function="false" hidden="false" name="sh_svc" vbProcedure="false">Q!$B$65</definedName>
    <definedName function="false" hidden="false" name="spacex" vbProcedure="false">In!$E$19</definedName>
    <definedName function="false" hidden="false" name="svc_sh" vbProcedure="false">In!$E$106</definedName>
    <definedName function="false" hidden="false" name="svc_sh_hi" vbProcedure="false">In!$F$106</definedName>
    <definedName function="false" hidden="false" name="svc_sh_lo" vbProcedure="false">In!$D$106</definedName>
    <definedName function="false" hidden="false" name="svc_ttm" vbProcedure="false">Q!$B$63</definedName>
    <definedName function="false" hidden="false" name="tac_sh" vbProcedure="false">Q!$B$79</definedName>
    <definedName function="false" hidden="false" name="tax" vbProcedure="false">In!$E$144</definedName>
    <definedName function="false" hidden="false" name="tax_eq" vbProcedure="false">In!$E$145</definedName>
    <definedName function="false" hidden="false" name="tax_hi" vbProcedure="false">In!$F$144</definedName>
    <definedName function="false" hidden="false" name="tax_lo" vbProcedure="false">In!$D$144</definedName>
    <definedName function="false" hidden="false" name="tax_w" vbProcedure="false">In!$E$26</definedName>
    <definedName function="false" hidden="false" name="tpu_2h" vbProcedure="false">In!$E$125</definedName>
    <definedName function="false" hidden="false" name="tpu_2h_hi" vbProcedure="false">In!$F$125</definedName>
    <definedName function="false" hidden="false" name="tpu_2h_lo" vbProcedure="false">In!$D$125</definedName>
    <definedName function="false" hidden="false" name="tpu_adj" vbProcedure="false">Thesis!$C$9</definedName>
    <definedName function="false" hidden="false" name="tpu_adjc" vbProcedure="false">Thesis!$C$10</definedName>
    <definedName function="false" hidden="false" name="tpu_cf" vbProcedure="false">In!$E$73</definedName>
    <definedName function="false" hidden="false" name="tpu_cf_hi" vbProcedure="false">In!$F$73</definedName>
    <definedName function="false" hidden="false" name="tpu_cf_lo" vbProcedure="false">In!$D$73</definedName>
    <definedName function="false" hidden="false" name="tpu_f" vbProcedure="false">In!$E$72</definedName>
    <definedName function="false" hidden="false" name="tpu_f_hi" vbProcedure="false">In!$F$72</definedName>
    <definedName function="false" hidden="false" name="tpu_f_lo" vbProcedure="false">In!$D$72</definedName>
    <definedName function="false" hidden="false" name="tpu_m" vbProcedure="false">In!$E$127</definedName>
    <definedName function="false" hidden="false" name="tpu_m_hi" vbProcedure="false">In!$F$127</definedName>
    <definedName function="false" hidden="false" name="tpu_m_lo" vbProcedure="false">In!$D$127</definedName>
    <definedName function="false" hidden="false" name="tpu_sh" vbProcedure="false">In!$E$71</definedName>
    <definedName function="false" hidden="false" name="tpu_yr" vbProcedure="false">In!$E$126</definedName>
    <definedName function="false" hidden="false" name="tpu_yr_hi" vbProcedure="false">In!$F$126</definedName>
    <definedName function="false" hidden="false" name="tpu_yr_lo" vbProcedure="false">In!$D$126</definedName>
    <definedName function="false" hidden="false" name="tpw_v022" vbProcedure="false">In!$E$184</definedName>
    <definedName function="false" hidden="false" name="tp_v022" vbProcedure="false">In!$E$183</definedName>
    <definedName function="false" hidden="false" name="tp_wA" vbProcedure="false">In!$E$29</definedName>
    <definedName function="false" hidden="false" name="tp_wB" vbProcedure="false">In!$E$30</definedName>
    <definedName function="false" hidden="false" name="tp_wC" vbProcedure="false">In!$E$31</definedName>
    <definedName function="false" hidden="false" name="tv_alt" vbProcedure="false">In!$E$38</definedName>
    <definedName function="false" hidden="false" name="tv_alt_hi" vbProcedure="false">In!$F$38</definedName>
    <definedName function="false" hidden="false" name="t_tgt" vbProcedure="false">In!$E$33</definedName>
    <definedName function="false" hidden="false" name="wacc" vbProcedure="false">Val!$B$30</definedName>
    <definedName function="false" hidden="false" name="wc_2h" vbProcedure="false">In!$E$150</definedName>
    <definedName function="false" hidden="false" name="wc_k" vbProcedure="false">In!$E$151</definedName>
    <definedName function="false" hidden="false" name="wc_k_hi" vbProcedure="false">In!$F$151</definedName>
    <definedName function="false" hidden="false" name="wc_k_lo" vbProcedure="false">In!$D$151</definedName>
    <definedName function="false" hidden="false" name="w_dcf" vbProcedure="false">In!$E$32</definedName>
    <definedName function="false" hidden="false" name="w_dcf_hi" vbProcedure="false">In!$F$32</definedName>
    <definedName function="false" hidden="false" name="w_dcf_lo" vbProcedure="false">In!$D$32</definedName>
    <definedName function="false" hidden="false" name="w_ntm27" vbProcedure="false">In!$E$34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<sst xmlns="http://schemas.openxmlformats.org/spreadsheetml/2006/main" count="2947" uniqueCount="1251">
  <si>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）— 命題模組＋官方營收分部 → 損益表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</si>
  <si>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改變搜尋之後，</t>
    </r>
    <r>
      <rPr>
        <sz val="11"/>
        <color theme="1"/>
        <rFont val="Calibri"/>
        <family val="2"/>
        <charset val="1"/>
      </rPr>
      <t xml:space="preserve">Google Search </t>
    </r>
    <r>
      <rPr>
        <sz val="11"/>
        <color theme="1"/>
        <rFont val="Noto Sans CJK SC"/>
        <family val="2"/>
      </rPr>
      <t xml:space="preserve">的變現能否守住，同時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）能否把翻倍的資本支出變成營收；資本支出與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年股權發行後的每股價值是否高於現價。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</si>
  <si>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Search &amp; other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助理分流、每次查詢變現下降）下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營收與利益率會掉多少，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營收能否抵銷；加計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折舊與股權發行後的每股價值。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</si>
  <si>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</si>
  <si>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</si>
  <si>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</si>
  <si>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</si>
  <si>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</si>
  <si>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t xml:space="preserve">Thesis</t>
  </si>
  <si>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mw_tot0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kl_px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ks_px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long_sh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CapexIT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</si>
  <si>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</si>
  <si>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資本支出 → 折舊 → 分部營業利益</t>
    </r>
  </si>
  <si>
    <t xml:space="preserve">Seg</t>
  </si>
  <si>
    <r>
      <rPr>
        <sz val="11"/>
        <color theme="1"/>
        <rFont val="Calibri"/>
        <family val="2"/>
        <charset val="1"/>
      </rPr>
      <t xml:space="preserve">g0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頁近四季）、</t>
    </r>
    <r>
      <rPr>
        <sz val="11"/>
        <color theme="1"/>
        <rFont val="Calibri"/>
        <family val="2"/>
        <charset val="1"/>
      </rPr>
      <t xml:space="preserve">gl_*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conv_n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ob_rev_*</t>
    </r>
  </si>
  <si>
    <r>
      <rPr>
        <sz val="11"/>
        <color theme="1"/>
        <rFont val="Noto Sans CJK SC"/>
        <family val="2"/>
      </rPr>
      <t xml:space="preserve">四條產品線、三個分部、合併營收；非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</t>
    </r>
  </si>
  <si>
    <r>
      <rPr>
        <sz val="11"/>
        <color theme="1"/>
        <rFont val="Noto Sans CJK SC"/>
        <family val="2"/>
      </rPr>
      <t xml:space="preserve">近四季年增 → 長期值；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分流</t>
    </r>
    <r>
      <rPr>
        <sz val="11"/>
        <color theme="1"/>
        <rFont val="Calibri"/>
        <family val="2"/>
        <charset val="1"/>
      </rPr>
      <t xml:space="preserve">)×(1</t>
    </r>
    <r>
      <rPr>
        <sz val="11"/>
        <color theme="1"/>
        <rFont val="Noto Sans CJK SC"/>
        <family val="2"/>
      </rPr>
      <t xml:space="preserve">＋變現變動</t>
    </r>
    <r>
      <rPr>
        <sz val="11"/>
        <color theme="1"/>
        <rFont val="Calibri"/>
        <family val="2"/>
        <charset val="1"/>
      </rPr>
      <t xml:space="preserve">)</t>
    </r>
  </si>
  <si>
    <t xml:space="preserve">PL</t>
  </si>
  <si>
    <r>
      <rPr>
        <sz val="11"/>
        <color theme="1"/>
        <rFont val="Calibri"/>
        <family val="2"/>
        <charset val="1"/>
      </rPr>
      <t xml:space="preserve">m_svc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inc_m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tpu_m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abc_rate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svc_sh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da_base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</si>
  <si>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、分部營業利益、合併營業利益、淨利、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</si>
  <si>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分部營收 → 分部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 → 營業利益 → 業外、稅 → </t>
    </r>
    <r>
      <rPr>
        <sz val="11"/>
        <color theme="1"/>
        <rFont val="Calibri"/>
        <family val="2"/>
        <charset val="1"/>
      </rPr>
      <t xml:space="preserve">EPS</t>
    </r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</si>
  <si>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</si>
  <si>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min_cash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anth_*</t>
    </r>
  </si>
  <si>
    <t xml:space="preserve">自由現金流、股利、回購、新債、淨現金、收支關卡</t>
  </si>
  <si>
    <t xml:space="preserve">淨利＋折舊 − 資本支出 → 自由現金流 → 股利 → 回購／舉債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</si>
  <si>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</si>
  <si>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、同業倍數、持股、</t>
    </r>
    <r>
      <rPr>
        <sz val="11"/>
        <color theme="1"/>
        <rFont val="Calibri"/>
        <family val="2"/>
        <charset val="1"/>
      </rPr>
      <t xml:space="preserve">tp_w*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w_dcf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</si>
  <si>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、分部加總、目標價、上檔空間、投資建議</t>
    </r>
  </si>
  <si>
    <r>
      <rPr>
        <sz val="11"/>
        <color theme="1"/>
        <rFont val="Noto Sans CJK SC"/>
        <family val="2"/>
      </rPr>
      <t xml:space="preserve">無槓桿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折現＋分部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 → 情境加權 →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</si>
  <si>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Sens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</si>
  <si>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頁低／高值</t>
    </r>
  </si>
  <si>
    <t xml:space="preserve">加權目標價變動</t>
  </si>
  <si>
    <t xml:space="preserve">一次改一個輸入、整本重算</t>
  </si>
  <si>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的差異</t>
    </r>
  </si>
  <si>
    <r>
      <rPr>
        <sz val="11"/>
        <color theme="1"/>
        <rFont val="Noto Sans CJK SC"/>
        <family val="2"/>
      </rPr>
      <t xml:space="preserve">・營收主軸由「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收入＋其餘成長率線」改為官方分部（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四條產品線、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層級）；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只是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的子列。</t>
    </r>
  </si>
  <si>
    <r>
      <rPr>
        <sz val="11"/>
        <color theme="1"/>
        <rFont val="Noto Sans CJK SC"/>
        <family val="2"/>
      </rPr>
      <t xml:space="preserve">・情境軸由「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容量（保守／基準／積極）」改為 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擴大變現／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近四季成長收斂／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查詢分流）；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容量三情境相同，改列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</si>
  <si>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資本支出接到折舊與分部營業利益（對外 → </t>
    </r>
    <r>
      <rPr>
        <sz val="11"/>
        <color theme="1"/>
        <rFont val="Calibri"/>
        <family val="2"/>
        <charset val="1"/>
      </rPr>
      <t xml:space="preserve">Cloud</t>
    </r>
    <r>
      <rPr>
        <sz val="11"/>
        <color theme="1"/>
        <rFont val="Noto Sans CJK SC"/>
        <family val="2"/>
      </rPr>
      <t xml:space="preserve">、自用 → </t>
    </r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層級），不只接現金。</t>
    </r>
  </si>
  <si>
    <r>
      <rPr>
        <sz val="11"/>
        <color theme="1"/>
        <rFont val="Noto Sans CJK SC"/>
        <family val="2"/>
      </rPr>
      <t xml:space="preserve">・評價由 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（錨定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）改為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（各分部同業倍數）；評等改五級（上檔空間）。</t>
    </r>
  </si>
  <si>
    <r>
      <rPr>
        <sz val="11"/>
        <color theme="1"/>
        <rFont val="Noto Sans CJK SC"/>
        <family val="2"/>
      </rPr>
      <t xml:space="preserve">・融資瀑布、站點、租賃承諾、</t>
    </r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頁面移除（舊引擎保留在 </t>
    </r>
    <r>
      <rPr>
        <sz val="11"/>
        <color theme="1"/>
        <rFont val="Calibri"/>
        <family val="2"/>
        <charset val="1"/>
      </rPr>
      <t xml:space="preserve">legacy_v0.2/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</si>
  <si>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工作表：</t>
    </r>
    <r>
      <rPr>
        <b val="true"/>
        <sz val="11"/>
        <rFont val="Cambria"/>
        <family val="0"/>
        <charset val="1"/>
      </rPr>
      <t xml:space="preserve">README → In → Q → Thesis → Seg → PL → CF → Val → Recon → Sens → Sources</t>
    </r>
    <r>
      <rPr>
        <b val="true"/>
        <sz val="11"/>
        <rFont val="Noto Sans CJK SC"/>
        <family val="2"/>
      </rPr>
      <t xml:space="preserve">。藍字＝輸入、黑字＝公式；黃底＝判斷題。建置：</t>
    </r>
    <r>
      <rPr>
        <b val="true"/>
        <sz val="11"/>
        <rFont val="Cambria"/>
        <family val="0"/>
        <charset val="1"/>
      </rPr>
      <t xml:space="preserve">bash alphabet/make_v03.sh</t>
    </r>
  </si>
  <si>
    <r>
      <rPr>
        <sz val="11"/>
        <color theme="1"/>
        <rFont val="Noto Sans CJK SC"/>
        <family val="2"/>
      </rPr>
      <t xml:space="preserve">數字標記：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（經查核）／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（公司或賣方自述）／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（換算）。本模型是研究整理，不是投資建議以外的保證。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</si>
  <si>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；股數十億股；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一律給低／高區間）</t>
    </r>
  </si>
  <si>
    <r>
      <rPr>
        <sz val="11"/>
        <color theme="1"/>
        <rFont val="Noto Sans CJK SC"/>
        <family val="2"/>
      </rPr>
      <t xml:space="preserve">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MAG v0.2.2 </t>
    </r>
    <r>
      <rPr>
        <sz val="11"/>
        <color theme="1"/>
        <rFont val="Noto Sans CJK SC"/>
        <family val="2"/>
      </rPr>
      <t xml:space="preserve">已核准的參數（原出處：</t>
    </r>
    <r>
      <rPr>
        <sz val="11"/>
        <color theme="1"/>
        <rFont val="Calibri"/>
        <family val="2"/>
        <charset val="1"/>
      </rPr>
      <t xml:space="preserve">alphabet/legacy_v0.2/company.json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data/kevidence_alphabet_20261008.json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data/tokenomics_snapshot_v21.4.json</t>
    </r>
    <r>
      <rPr>
        <sz val="11"/>
        <color theme="1"/>
        <rFont val="Noto Sans CJK SC"/>
        <family val="2"/>
      </rPr>
      <t xml:space="preserve">；對照表 </t>
    </r>
    <r>
      <rPr>
        <sz val="11"/>
        <color theme="1"/>
        <rFont val="Calibri"/>
        <family val="2"/>
        <charset val="1"/>
      </rPr>
      <t xml:space="preserve">r1 C1–C23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。黃底＝判斷題（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</si>
  <si>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</si>
  <si>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</si>
  <si>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</si>
  <si>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</si>
  <si>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</si>
  <si>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</si>
  <si>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</si>
  <si>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</si>
  <si>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</si>
  <si>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現價、股數與資產負債（評價日 </t>
    </r>
    <r>
      <rPr>
        <b val="true"/>
        <sz val="11"/>
        <rFont val="Cambria"/>
        <family val="0"/>
        <charset val="1"/>
      </rPr>
      <t xml:space="preserve">2026-06-30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2026Q2 10-Q</t>
    </r>
    <r>
      <rPr>
        <b val="true"/>
        <sz val="11"/>
        <rFont val="Noto Sans CJK SC"/>
        <family val="2"/>
      </rPr>
      <t xml:space="preserve">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</si>
  <si>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</si>
  <si>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</si>
  <si>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</si>
  <si>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</si>
  <si>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歷史股價頁 </t>
    </r>
    <r>
      <rPr>
        <sz val="11"/>
        <color theme="1"/>
        <rFont val="Calibri"/>
        <family val="2"/>
        <charset val="1"/>
      </rPr>
      <t xml:space="preserve">https://stockanalysis.com/stocks/googl/history/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讀取：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316.80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320.21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</si>
  <si>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markets/invest_map/data/prices.csv 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320.21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）與同頁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值相同。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350.50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</si>
  <si>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</si>
  <si>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</si>
  <si>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</si>
  <si>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Alphabet 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，核閱數）（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sh.out.20260715</t>
    </r>
    <r>
      <rPr>
        <sz val="11"/>
        <color theme="1"/>
        <rFont val="Noto Sans CJK SC"/>
        <family val="2"/>
      </rPr>
      <t xml:space="preserve">）</t>
    </r>
  </si>
  <si>
    <t xml:space="preserve">sh_dil_q2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</si>
  <si>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稀釋加權股數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</si>
  <si>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</si>
  <si>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sh.dilW.2026q2</t>
    </r>
    <r>
      <rPr>
        <sz val="11"/>
        <color theme="1"/>
        <rFont val="Noto Sans CJK SC"/>
        <family val="2"/>
      </rPr>
      <t xml:space="preserve">）</t>
    </r>
  </si>
  <si>
    <t xml:space="preserve">sh_basic_q2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</si>
  <si>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</si>
  <si>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Calibri"/>
        <family val="2"/>
        <charset val="1"/>
      </rPr>
      <t xml:space="preserve">Alphabet 2026Q2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legacy_v0.2/company.json latestQuarter.basicWaso</t>
    </r>
  </si>
  <si>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股權發行（</t>
    </r>
    <r>
      <rPr>
        <sz val="11"/>
        <color theme="1"/>
        <rFont val="Calibri"/>
        <family val="2"/>
        <charset val="1"/>
      </rPr>
      <t xml:space="preserve">6/4</t>
    </r>
    <r>
      <rPr>
        <sz val="11"/>
        <color theme="1"/>
        <rFont val="Noto Sans CJK SC"/>
        <family val="2"/>
      </rPr>
      <t xml:space="preserve">）只在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部分期間加權；期末稀釋股數＝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</si>
  <si>
    <t xml:space="preserve">conv_sh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</si>
  <si>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2029-05-15 </t>
    </r>
    <r>
      <rPr>
        <sz val="11"/>
        <color theme="1"/>
        <rFont val="Noto Sans CJK SC"/>
        <family val="2"/>
      </rPr>
      <t xml:space="preserve">轉換股數（上限）</t>
    </r>
  </si>
  <si>
    <r>
      <rPr>
        <sz val="11"/>
        <color theme="1"/>
        <rFont val="Calibri"/>
        <family val="2"/>
        <charset val="1"/>
      </rPr>
      <t xml:space="preserve">8-K 2026-06-05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系列每股轉 </t>
    </r>
    <r>
      <rPr>
        <sz val="11"/>
        <color theme="1"/>
        <rFont val="Calibri"/>
        <family val="2"/>
        <charset val="1"/>
      </rPr>
      <t xml:space="preserve">2.2520–2.8160 </t>
    </r>
    <r>
      <rPr>
        <sz val="11"/>
        <color theme="1"/>
        <rFont val="Noto Sans CJK SC"/>
        <family val="2"/>
      </rPr>
      <t xml:space="preserve">股、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2.2740–2.8420 </t>
    </r>
    <r>
      <rPr>
        <sz val="11"/>
        <color theme="1"/>
        <rFont val="Noto Sans CJK SC"/>
        <family val="2"/>
      </rPr>
      <t xml:space="preserve">股 → </t>
    </r>
    <r>
      <rPr>
        <sz val="11"/>
        <color theme="1"/>
        <rFont val="Calibri"/>
        <family val="2"/>
        <charset val="1"/>
      </rPr>
      <t xml:space="preserve">43.6–54.6M </t>
    </r>
    <r>
      <rPr>
        <sz val="11"/>
        <color theme="1"/>
        <rFont val="Noto Sans CJK SC"/>
        <family val="2"/>
      </rPr>
      <t xml:space="preserve">股；沿用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debt.convertibles</t>
    </r>
  </si>
  <si>
    <t xml:space="preserve">取稀釋最大（保守）；評價時直接加入股數，特別股股利照付至轉換</t>
  </si>
  <si>
    <t xml:space="preserve">cash_0</t>
  </si>
  <si>
    <r>
      <rPr>
        <sz val="11"/>
        <color theme="1"/>
        <rFont val="Noto Sans CJK SC"/>
        <family val="2"/>
      </rPr>
      <t xml:space="preserve">現金＋債權類有價證券（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</si>
  <si>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</si>
  <si>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</si>
  <si>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：現金 </t>
    </r>
    <r>
      <rPr>
        <sz val="11"/>
        <color theme="1"/>
        <rFont val="Calibri"/>
        <family val="2"/>
        <charset val="1"/>
      </rPr>
      <t xml:space="preserve">55.911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186.563 − </t>
    </r>
    <r>
      <rPr>
        <sz val="11"/>
        <color theme="1"/>
        <rFont val="Noto Sans CJK SC"/>
        <family val="2"/>
      </rPr>
      <t xml:space="preserve">有價權益證券 </t>
    </r>
    <r>
      <rPr>
        <sz val="11"/>
        <color theme="1"/>
        <rFont val="Calibri"/>
        <family val="2"/>
        <charset val="1"/>
      </rPr>
      <t xml:space="preserve">87.063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bs.cash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bs.mktsec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bs.mktEq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</si>
  <si>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defaults.cash</t>
    </r>
    <r>
      <rPr>
        <sz val="11"/>
        <color theme="1"/>
        <rFont val="Noto Sans CJK SC"/>
        <family val="2"/>
      </rPr>
      <t xml:space="preserve">（權益證券改列持股）</t>
    </r>
  </si>
  <si>
    <t xml:space="preserve">cash_ye25</t>
  </si>
  <si>
    <r>
      <rPr>
        <sz val="11"/>
        <color theme="1"/>
        <rFont val="Noto Sans CJK SC"/>
        <family val="2"/>
      </rPr>
      <t xml:space="preserve">現金＋債權類有價證券（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</si>
  <si>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30.708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96.135 − 6.313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ytdActual.cash1231</t>
    </r>
    <r>
      <rPr>
        <sz val="11"/>
        <color theme="1"/>
        <rFont val="Noto Sans CJK SC"/>
        <family val="2"/>
      </rPr>
      <t xml:space="preserve">）</t>
    </r>
  </si>
  <si>
    <t xml:space="preserve">debt_0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</si>
  <si>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</si>
  <si>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debt.face</t>
    </r>
    <r>
      <rPr>
        <sz val="11"/>
        <color theme="1"/>
        <rFont val="Noto Sans CJK SC"/>
        <family val="2"/>
      </rPr>
      <t xml:space="preserve">）</t>
    </r>
  </si>
  <si>
    <t xml:space="preserve">fines</t>
  </si>
  <si>
    <t xml:space="preserve">應計罰款與和解（類債）</t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</si>
  <si>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bs.accruedFines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</si>
  <si>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已付 </t>
    </r>
    <r>
      <rPr>
        <sz val="11"/>
        <color theme="1"/>
        <rFont val="Calibri"/>
        <family val="2"/>
        <charset val="1"/>
      </rPr>
      <t xml:space="preserve">Android </t>
    </r>
    <r>
      <rPr>
        <sz val="11"/>
        <color theme="1"/>
        <rFont val="Noto Sans CJK SC"/>
        <family val="2"/>
      </rPr>
      <t xml:space="preserve">案 </t>
    </r>
    <r>
      <rPr>
        <sz val="11"/>
        <color theme="1"/>
        <rFont val="Calibri"/>
        <family val="2"/>
        <charset val="1"/>
      </rPr>
      <t xml:space="preserve">5.2B</t>
    </r>
    <r>
      <rPr>
        <sz val="11"/>
        <color theme="1"/>
        <rFont val="Noto Sans CJK SC"/>
        <family val="2"/>
      </rPr>
      <t xml:space="preserve">（仍以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餘額扣除，與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同）</t>
    </r>
  </si>
  <si>
    <t xml:space="preserve">nci</t>
  </si>
  <si>
    <t xml:space="preserve">非控制權益（類債）</t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</si>
  <si>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bs.nci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等少數股權）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</si>
  <si>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持股（分部加總與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皆加入；非上市 </t>
    </r>
    <r>
      <rPr>
        <b val="true"/>
        <sz val="11"/>
        <rFont val="Cambria"/>
        <family val="0"/>
        <charset val="1"/>
      </rPr>
      <t xml:space="preserve">× (1 − </t>
    </r>
    <r>
      <rPr>
        <b val="true"/>
        <sz val="11"/>
        <rFont val="Noto Sans CJK SC"/>
        <family val="2"/>
      </rPr>
      <t xml:space="preserve">流動性折價</t>
    </r>
    <r>
      <rPr>
        <b val="true"/>
        <sz val="11"/>
        <rFont val="Cambria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；上市不折價）</t>
    </r>
  </si>
  <si>
    <t xml:space="preserve">ant_val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</si>
  <si>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最近一輪投後估值（</t>
    </r>
    <r>
      <rPr>
        <sz val="11"/>
        <color theme="1"/>
        <rFont val="Calibri"/>
        <family val="2"/>
        <charset val="1"/>
      </rPr>
      <t xml:space="preserve">Series 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</si>
  <si>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TechCrunch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Anthropic raises $65 billion, nears $1T valuation ahead of IPO</t>
    </r>
    <r>
      <rPr>
        <sz val="11"/>
        <color theme="1"/>
        <rFont val="Noto Sans CJK SC"/>
        <family val="2"/>
      </rPr>
      <t xml:space="preserve">〉（經 </t>
    </r>
    <r>
      <rPr>
        <sz val="11"/>
        <color theme="1"/>
        <rFont val="Calibri"/>
        <family val="2"/>
        <charset val="1"/>
      </rPr>
      <t xml:space="preserve">anthropic/ SRC_ANT_299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2026-05-28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rp.anthropic.val.seriesH</t>
    </r>
    <r>
      <rPr>
        <sz val="11"/>
        <color theme="1"/>
        <rFont val="Noto Sans CJK SC"/>
        <family val="2"/>
      </rPr>
      <t xml:space="preserve">）</t>
    </r>
  </si>
  <si>
    <t xml:space="preserve">ant_stake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</si>
  <si>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</si>
  <si>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</si>
  <si>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</si>
  <si>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一手不存在：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法院文件約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；非上市證券帳面 </t>
    </r>
    <r>
      <rPr>
        <sz val="11"/>
        <color theme="1"/>
        <rFont val="Calibri"/>
        <family val="2"/>
        <charset val="1"/>
      </rPr>
      <t xml:space="preserve">124.3B ÷ 965B </t>
    </r>
    <r>
      <rPr>
        <sz val="11"/>
        <color theme="1"/>
        <rFont val="Noto Sans CJK SC"/>
        <family val="2"/>
      </rPr>
      <t xml:space="preserve">隱含上限 </t>
    </r>
    <r>
      <rPr>
        <sz val="11"/>
        <color theme="1"/>
        <rFont val="Calibri"/>
        <family val="2"/>
        <charset val="1"/>
      </rPr>
      <t xml:space="preserve">12.9%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valuation.holdings</t>
    </r>
    <r>
      <rPr>
        <sz val="11"/>
        <color theme="1"/>
        <rFont val="Noto Sans CJK SC"/>
        <family val="2"/>
      </rPr>
      <t xml:space="preserve">）</t>
    </r>
  </si>
  <si>
    <t xml:space="preserve">illiq</t>
  </si>
  <si>
    <t xml:space="preserve">非上市持股流動性折價</t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</si>
  <si>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）；對照表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條</t>
    </r>
  </si>
  <si>
    <t xml:space="preserve">spacex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</si>
  <si>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持股公允價值（上市、限售）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</si>
  <si>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：短期 </t>
    </r>
    <r>
      <rPr>
        <sz val="11"/>
        <color theme="1"/>
        <rFont val="Calibri"/>
        <family val="2"/>
        <charset val="1"/>
      </rPr>
      <t xml:space="preserve">80.0</t>
    </r>
    <r>
      <rPr>
        <sz val="11"/>
        <color theme="1"/>
        <rFont val="Noto Sans CJK SC"/>
        <family val="2"/>
      </rPr>
      <t xml:space="preserve">＋長期限售 </t>
    </r>
    <r>
      <rPr>
        <sz val="11"/>
        <color theme="1"/>
        <rFont val="Calibri"/>
        <family val="2"/>
        <charset val="1"/>
      </rPr>
      <t xml:space="preserve">14.1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rp.spacex.holding</t>
    </r>
    <r>
      <rPr>
        <sz val="11"/>
        <color theme="1"/>
        <rFont val="Noto Sans CJK SC"/>
        <family val="2"/>
      </rPr>
      <t xml:space="preserve">）</t>
    </r>
  </si>
  <si>
    <t xml:space="preserve">評價日公允價值；之後股價變動未更新（資料缺口）</t>
  </si>
  <si>
    <t xml:space="preserve">oth_eq</t>
  </si>
  <si>
    <t xml:space="preserve">其他有價權益證券</t>
  </si>
  <si>
    <r>
      <rPr>
        <sz val="11"/>
        <color theme="1"/>
        <rFont val="Noto Sans CJK SC"/>
        <family val="2"/>
      </rPr>
      <t xml:space="preserve">有價權益證券 </t>
    </r>
    <r>
      <rPr>
        <sz val="11"/>
        <color theme="1"/>
        <rFont val="Calibri"/>
        <family val="2"/>
        <charset val="1"/>
      </rPr>
      <t xml:space="preserve">87.063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14.126 − SpaceX 94.1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</si>
  <si>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折現率與目標價規則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</si>
  <si>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</si>
  <si>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</si>
  <si>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U.S. Treasury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Daily Treasury Par Yield Curve Rates</t>
    </r>
    <r>
      <rPr>
        <sz val="11"/>
        <color theme="1"/>
        <rFont val="Noto Sans CJK SC"/>
        <family val="2"/>
      </rPr>
      <t xml:space="preserve">〉（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val.rf.10y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</si>
  <si>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</si>
  <si>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</si>
  <si>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（獨立來源平均）</t>
    </r>
  </si>
  <si>
    <t xml:space="preserve">x</t>
  </si>
  <si>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 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val.beta.sa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1.3669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val.beta.gurufocus</t>
    </r>
    <r>
      <rPr>
        <sz val="11"/>
        <color theme="1"/>
        <rFont val="Noto Sans CJK SC"/>
        <family val="2"/>
      </rPr>
      <t xml:space="preserve">）平均（</t>
    </r>
    <r>
      <rPr>
        <sz val="11"/>
        <color theme="1"/>
        <rFont val="Calibri"/>
        <family val="2"/>
        <charset val="1"/>
      </rPr>
      <t xml:space="preserve">C13</t>
    </r>
    <r>
      <rPr>
        <sz val="11"/>
        <color theme="1"/>
        <rFont val="Noto Sans CJK SC"/>
        <family val="2"/>
      </rPr>
      <t xml:space="preserve">）</t>
    </r>
  </si>
  <si>
    <t xml:space="preserve">erp</t>
  </si>
  <si>
    <t xml:space="preserve">股權風險溢酬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</si>
  <si>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val.erp</t>
    </r>
    <r>
      <rPr>
        <sz val="11"/>
        <color theme="1"/>
        <rFont val="Noto Sans CJK SC"/>
        <family val="2"/>
      </rPr>
      <t xml:space="preserve">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</si>
  <si>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</si>
  <si>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新發 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票據殖利率）</t>
    </r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</si>
  <si>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定價條款 </t>
    </r>
    <r>
      <rPr>
        <sz val="11"/>
        <color theme="1"/>
        <rFont val="Calibri"/>
        <family val="2"/>
        <charset val="1"/>
      </rPr>
      <t xml:space="preserve">FWP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US$25B </t>
    </r>
    <r>
      <rPr>
        <sz val="11"/>
        <color theme="1"/>
        <rFont val="Noto Sans CJK SC"/>
        <family val="2"/>
      </rPr>
      <t xml:space="preserve">票據）（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val.kd.2066</t>
    </r>
    <r>
      <rPr>
        <sz val="11"/>
        <color theme="1"/>
        <rFont val="Noto Sans CJK SC"/>
        <family val="2"/>
      </rPr>
      <t xml:space="preserve">）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</si>
  <si>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</si>
  <si>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有效稅率）</t>
    </r>
  </si>
  <si>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26.656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158.826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</si>
  <si>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</si>
  <si>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</si>
  <si>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）</t>
    </r>
  </si>
  <si>
    <t xml:space="preserve">ronic</t>
  </si>
  <si>
    <t xml:space="preserve">永續期新投資報酬率（終值價值驅動公式）</t>
  </si>
  <si>
    <r>
      <rPr>
        <sz val="11"/>
        <color theme="1"/>
        <rFont val="Noto Sans CJK SC"/>
        <family val="2"/>
      </rPr>
      <t xml:space="preserve">判斷：終值＝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（略高於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，永續期新投資只賺略高於資金成本）</t>
    </r>
  </si>
  <si>
    <r>
      <rPr>
        <sz val="11"/>
        <color theme="1"/>
        <rFont val="Noto Sans CJK SC"/>
        <family val="2"/>
      </rPr>
      <t xml:space="preserve">替代：以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 </t>
    </r>
    <r>
      <rPr>
        <sz val="11"/>
        <color theme="1"/>
        <rFont val="Noto Sans CJK SC"/>
        <family val="2"/>
      </rPr>
      <t xml:space="preserve">計終值（資本支出仍在擴張期，終值偏低，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列）</t>
    </r>
  </si>
  <si>
    <t xml:space="preserve">tp_wA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</si>
  <si>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</si>
  <si>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</si>
  <si>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</si>
  <si>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</si>
  <si>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同上</t>
  </si>
  <si>
    <t xml:space="preserve">tp_wC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</si>
  <si>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</si>
  <si>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</si>
  <si>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的權重（其餘＝分部加總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</si>
  <si>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各半」一致）</t>
    </r>
  </si>
  <si>
    <t xml:space="preserve">t_tgt</t>
  </si>
  <si>
    <r>
      <rPr>
        <sz val="11"/>
        <color theme="1"/>
        <rFont val="Noto Sans CJK SC"/>
        <family val="2"/>
      </rPr>
      <t xml:space="preserve">目標時點距評價日（</t>
    </r>
    <r>
      <rPr>
        <sz val="11"/>
        <color theme="1"/>
        <rFont val="Calibri"/>
        <family val="2"/>
        <charset val="1"/>
      </rPr>
      <t xml:space="preserve">2026-06-30 → 2027-10-27</t>
    </r>
    <r>
      <rPr>
        <sz val="11"/>
        <color theme="1"/>
        <rFont val="Noto Sans CJK SC"/>
        <family val="2"/>
      </rPr>
      <t xml:space="preserve">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</si>
  <si>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</si>
  <si>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(2027-10-27 − 2026-06-30)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483 </t>
    </r>
    <r>
      <rPr>
        <sz val="11"/>
        <color theme="1"/>
        <rFont val="Noto Sans CJK SC"/>
        <family val="2"/>
      </rPr>
      <t xml:space="preserve">天</t>
    </r>
  </si>
  <si>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個月後（今天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起算）</t>
    </r>
  </si>
  <si>
    <t xml:space="preserve">w_ntm27</t>
  </si>
  <si>
    <r>
      <rPr>
        <sz val="11"/>
        <color theme="1"/>
        <rFont val="Noto Sans CJK SC"/>
        <family val="2"/>
      </rPr>
      <t xml:space="preserve">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的權重</t>
    </r>
  </si>
  <si>
    <r>
      <rPr>
        <sz val="11"/>
        <color theme="1"/>
        <rFont val="Calibri"/>
        <family val="2"/>
        <charset val="1"/>
      </rPr>
      <t xml:space="preserve">(2027-12-31 − 2027-10-27)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天；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權重＝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本值</t>
    </r>
  </si>
  <si>
    <r>
      <rPr>
        <sz val="11"/>
        <color theme="1"/>
        <rFont val="Noto Sans CJK SC"/>
        <family val="2"/>
      </rPr>
      <t xml:space="preserve">分部加總用目標時點的未來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</si>
  <si>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t xml:space="preserve">cons_tp</t>
  </si>
  <si>
    <t xml:space="preserve">市場共識目標價（平均）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</si>
  <si>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 </t>
    </r>
    <r>
      <rPr>
        <sz val="11"/>
        <color theme="1"/>
        <rFont val="Calibri"/>
        <family val="2"/>
        <charset val="1"/>
      </rPr>
      <t xml:space="preserve">https://stockanalysis.com/stocks/googl/forecast/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更新；</t>
    </r>
    <r>
      <rPr>
        <sz val="11"/>
        <color theme="1"/>
        <rFont val="Calibri"/>
        <family val="2"/>
        <charset val="1"/>
      </rPr>
      <t xml:space="preserve">61 </t>
    </r>
    <r>
      <rPr>
        <sz val="11"/>
        <color theme="1"/>
        <rFont val="Noto Sans CJK SC"/>
        <family val="2"/>
      </rPr>
      <t xml:space="preserve">位分析師；中位數 </t>
    </r>
    <r>
      <rPr>
        <sz val="11"/>
        <color theme="1"/>
        <rFont val="Calibri"/>
        <family val="2"/>
        <charset val="1"/>
      </rPr>
      <t xml:space="preserve">430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340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</si>
  <si>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429.47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）；賣方有承銷關係，只作對照</t>
    </r>
  </si>
  <si>
    <t xml:space="preserve">mb_ttm</t>
  </si>
  <si>
    <r>
      <rPr>
        <sz val="11"/>
        <color theme="1"/>
        <rFont val="Noto Sans CJK SC"/>
        <family val="2"/>
      </rPr>
      <t xml:space="preserve">分部利益率起點改用近四季（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</si>
  <si>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判斷：預設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（利潤率擴張中、與評價日機隊同時點）；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的近四季口徑</t>
    </r>
  </si>
  <si>
    <t xml:space="preserve">rd2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</si>
  <si>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增量投資價值中性（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＝評價時排除自用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增量成本與資本支出；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：照計成本）</t>
    </r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</si>
  <si>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C16</t>
    </r>
    <r>
      <rPr>
        <sz val="11"/>
        <color theme="1"/>
        <rFont val="Noto Sans CJK SC"/>
        <family val="2"/>
      </rPr>
      <t xml:space="preserve">：讀法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主值）／讀法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價值中性）；主值待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</t>
    </r>
  </si>
  <si>
    <r>
      <rPr>
        <sz val="11"/>
        <color theme="1"/>
        <rFont val="Noto Sans CJK SC"/>
        <family val="2"/>
      </rPr>
      <t xml:space="preserve">只影響評價（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）；損益表與現金流照實計入自用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</t>
    </r>
  </si>
  <si>
    <t xml:space="preserve">tv_alt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</si>
  <si>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</si>
  <si>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判斷：基準用價值驅動公式（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＝替代口徑</t>
    </r>
  </si>
  <si>
    <r>
      <rPr>
        <b val="true"/>
        <sz val="11"/>
        <rFont val="Cambria"/>
        <family val="0"/>
        <charset val="1"/>
      </rPr>
      <t xml:space="preserve">C2.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）倍數：同業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（沿用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共用同業檔，基準日 </t>
    </r>
    <r>
      <rPr>
        <b val="true"/>
        <sz val="11"/>
        <rFont val="Cambria"/>
        <family val="0"/>
        <charset val="1"/>
      </rPr>
      <t xml:space="preserve">2026-10-07</t>
    </r>
    <r>
      <rPr>
        <b val="true"/>
        <sz val="11"/>
        <rFont val="Noto Sans CJK SC"/>
        <family val="2"/>
      </rPr>
      <t xml:space="preserve">；中位數在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頁計算）</t>
    </r>
  </si>
  <si>
    <t xml:space="preserve">pm_ads_meta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</si>
  <si>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</si>
  <si>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data/peers_ads_20261009.json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</si>
  <si>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NTM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 </t>
    </r>
    <r>
      <rPr>
        <sz val="11"/>
        <color theme="1"/>
        <rFont val="Noto Sans CJK SC"/>
        <family val="2"/>
      </rPr>
      <t xml:space="preserve">時間加權）</t>
    </r>
  </si>
  <si>
    <t xml:space="preserve">pm_ads_pins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</si>
  <si>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Pinterest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</si>
  <si>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pm_ads_ttd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</si>
  <si>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The Trade Desk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</si>
  <si>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pm_ads_app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</si>
  <si>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AppLovin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</si>
  <si>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pm_ads_rddt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</si>
  <si>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Reddit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</si>
  <si>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pm_ads_snap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</si>
  <si>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</si>
  <si>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pm_subs_nflx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</si>
  <si>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Netflix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</si>
  <si>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legacy_v0.2/company.json valuation.segmentMultiples.subs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amazon/data </t>
    </r>
    <r>
      <rPr>
        <sz val="11"/>
        <color theme="1"/>
        <rFont val="Noto Sans CJK SC"/>
        <family val="2"/>
      </rPr>
      <t xml:space="preserve">事實總帳）</t>
    </r>
  </si>
  <si>
    <t xml:space="preserve">pm_subs_spot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</si>
  <si>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Spotify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</si>
  <si>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pm_subs_dis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</si>
  <si>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Disney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</si>
  <si>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pm_cloud_orcl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</si>
  <si>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</si>
  <si>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</t>
    </r>
  </si>
  <si>
    <t xml:space="preserve">pm_cloud_ibm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</si>
  <si>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</si>
  <si>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pm_cloud_sap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</si>
  <si>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</si>
  <si>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pm_cloud_crm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</si>
  <si>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Salesforce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</si>
  <si>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pm_cloud_now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</si>
  <si>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ServiceNow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</si>
  <si>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pm_cloud_akam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</si>
  <si>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Akamai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</si>
  <si>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pm_cloud_eqix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</si>
  <si>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</si>
  <si>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pm_cloud_docn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</si>
  <si>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DigitalOcean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DOCN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</si>
  <si>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mult_ai</t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</si>
  <si>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系統銷售、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EV/EBITDA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</si>
  <si>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valuation.evEbitda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CRWV TTM 25×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NTM 9.5× </t>
    </r>
    <r>
      <rPr>
        <sz val="11"/>
        <color theme="1"/>
        <rFont val="Noto Sans CJK SC"/>
        <family val="2"/>
      </rPr>
      <t xml:space="preserve">為對照，事實總帳 </t>
    </r>
    <r>
      <rPr>
        <sz val="11"/>
        <color theme="1"/>
        <rFont val="Calibri"/>
        <family val="2"/>
        <charset val="1"/>
      </rPr>
      <t xml:space="preserve">val.peer.aiInfra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</si>
  <si>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Other Bets EBITDA </t>
    </r>
    <r>
      <rPr>
        <sz val="11"/>
        <color theme="1"/>
        <rFont val="Noto Sans CJK SC"/>
        <family val="2"/>
      </rPr>
      <t xml:space="preserve">為負 → 虧損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倍數（保守；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估值未找到）</t>
    </r>
  </si>
  <si>
    <t xml:space="preserve">mult_ads_own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</si>
  <si>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用：廣告線改用自身倍數）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</si>
  <si>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val.googl.ownNtm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</si>
  <si>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ads_own</t>
  </si>
  <si>
    <r>
      <rPr>
        <sz val="11"/>
        <color theme="1"/>
        <rFont val="Noto Sans CJK SC"/>
        <family val="2"/>
      </rPr>
      <t xml:space="preserve">廣告線倍數改用自身倍數（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</si>
  <si>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用開關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</si>
  <si>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；總 </t>
    </r>
    <r>
      <rPr>
        <b val="true"/>
        <sz val="11"/>
        <rFont val="Cambria"/>
        <family val="0"/>
        <charset val="1"/>
      </rPr>
      <t xml:space="preserve">AI MW</t>
    </r>
    <r>
      <rPr>
        <b val="true"/>
        <sz val="11"/>
        <rFont val="Noto Sans CJK SC"/>
        <family val="2"/>
      </rPr>
      <t xml:space="preserve">＝對外 </t>
    </r>
    <r>
      <rPr>
        <b val="true"/>
        <sz val="11"/>
        <rFont val="Cambria"/>
        <family val="0"/>
        <charset val="1"/>
      </rPr>
      <t xml:space="preserve">MW ÷ </t>
    </r>
    <r>
      <rPr>
        <b val="true"/>
        <sz val="11"/>
        <rFont val="Noto Sans CJK SC"/>
        <family val="2"/>
      </rPr>
      <t xml:space="preserve">對外比例）</t>
    </r>
  </si>
  <si>
    <t xml:space="preserve">ext_sh</t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</si>
  <si>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MW ÷ 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</si>
  <si>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mw.extShare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25%–40%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</si>
  <si>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capexModel.extShare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：公司未揭露，是最大不確定（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±20pt</t>
    </r>
    <r>
      <rPr>
        <sz val="11"/>
        <color theme="1"/>
        <rFont val="Noto Sans CJK SC"/>
        <family val="2"/>
      </rPr>
      <t xml:space="preserve">）</t>
    </r>
  </si>
  <si>
    <t xml:space="preserve">mw_tot0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</si>
  <si>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，自用＋對外）</t>
    </r>
  </si>
  <si>
    <t xml:space="preserve">MW</t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</si>
  <si>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〉資料集：</t>
    </r>
    <r>
      <rPr>
        <sz val="11"/>
        <color theme="1"/>
        <rFont val="Calibri"/>
        <family val="2"/>
        <charset val="1"/>
      </rPr>
      <t xml:space="preserve">cumulative by designer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2026-05-12 </t>
    </r>
    <r>
      <rPr>
        <sz val="11"/>
        <color theme="1"/>
        <rFont val="Noto Sans CJK SC"/>
        <family val="2"/>
      </rPr>
      <t xml:space="preserve">更新）（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mw.ai.it.2026q2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</si>
  <si>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3,841 MW × IT/TDP 1.65</t>
    </r>
    <r>
      <rPr>
        <sz val="11"/>
        <color theme="1"/>
        <rFont val="Noto Sans CJK SC"/>
        <family val="2"/>
      </rPr>
      <t xml:space="preserve">；對外 </t>
    </r>
    <r>
      <rPr>
        <sz val="11"/>
        <color theme="1"/>
        <rFont val="Calibri"/>
        <family val="2"/>
        <charset val="1"/>
      </rPr>
      <t xml:space="preserve">1,901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6,337 × 30%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defaults.billableOpen</t>
    </r>
    <r>
      <rPr>
        <sz val="11"/>
        <color theme="1"/>
        <rFont val="Noto Sans CJK SC"/>
        <family val="2"/>
      </rPr>
      <t xml:space="preserve">）</t>
    </r>
  </si>
  <si>
    <t xml:space="preserve">mw_ye25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</si>
  <si>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</si>
  <si>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〉資料集：</t>
    </r>
    <r>
      <rPr>
        <sz val="11"/>
        <color theme="1"/>
        <rFont val="Calibri"/>
        <family val="2"/>
        <charset val="1"/>
      </rPr>
      <t xml:space="preserve">cumulative by designer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2026-05-12 </t>
    </r>
    <r>
      <rPr>
        <sz val="11"/>
        <color theme="1"/>
        <rFont val="Noto Sans CJK SC"/>
        <family val="2"/>
      </rPr>
      <t xml:space="preserve">更新）（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mw.ai.it.epoch.2025q4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</si>
  <si>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1,462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30%</t>
    </r>
  </si>
  <si>
    <t xml:space="preserve">mw_ye24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</si>
  <si>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</si>
  <si>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2024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643 ÷ 30%</t>
    </r>
  </si>
  <si>
    <t xml:space="preserve">mw_ye23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</si>
  <si>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</si>
  <si>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2023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191 ÷ 30%</t>
    </r>
  </si>
  <si>
    <t xml:space="preserve">pace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</si>
  <si>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每年新增（三情境相同）</t>
    </r>
  </si>
  <si>
    <r>
      <rPr>
        <sz val="11"/>
        <color theme="1"/>
        <rFont val="Calibri"/>
        <family val="2"/>
        <charset val="1"/>
      </rPr>
      <t xml:space="preserve">MW/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</si>
  <si>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）：對外速度 </t>
    </r>
    <r>
      <rPr>
        <sz val="11"/>
        <color theme="1"/>
        <rFont val="Calibri"/>
        <family val="2"/>
        <charset val="1"/>
      </rPr>
      <t xml:space="preserve">1,247.9 MW</t>
    </r>
    <r>
      <rPr>
        <sz val="11"/>
        <color theme="1"/>
        <rFont val="Noto Sans CJK SC"/>
        <family val="2"/>
      </rPr>
      <t xml:space="preserve">／年（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資本支出指引中點 </t>
    </r>
    <r>
      <rPr>
        <sz val="11"/>
        <color theme="1"/>
        <rFont val="Calibri"/>
        <family val="2"/>
        <charset val="1"/>
      </rPr>
      <t xml:space="preserve">200B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scripts/calib_pace.js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30%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</si>
  <si>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 </t>
    </r>
    <r>
      <rPr>
        <sz val="11"/>
        <color theme="1"/>
        <rFont val="Calibri"/>
        <family val="2"/>
        <charset val="1"/>
      </rPr>
      <t xml:space="preserve">850 ÷ 30%</t>
    </r>
    <r>
      <rPr>
        <sz val="11"/>
        <color theme="1"/>
        <rFont val="Noto Sans CJK SC"/>
        <family val="2"/>
      </rPr>
      <t xml:space="preserve">（已公開在建）、高＝積極 </t>
    </r>
    <r>
      <rPr>
        <sz val="11"/>
        <color theme="1"/>
        <rFont val="Calibri"/>
        <family val="2"/>
        <charset val="1"/>
      </rPr>
      <t xml:space="preserve">1,871.9 ÷ 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 × </t>
    </r>
    <r>
      <rPr>
        <sz val="11"/>
        <color theme="1"/>
        <rFont val="Noto Sans CJK SC"/>
        <family val="2"/>
      </rPr>
      <t xml:space="preserve">基準）；本版不作情境軸（預設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節），只列 </t>
    </r>
    <r>
      <rPr>
        <sz val="11"/>
        <color theme="1"/>
        <rFont val="Calibri"/>
        <family val="2"/>
        <charset val="1"/>
      </rPr>
      <t xml:space="preserve">Sens</t>
    </r>
  </si>
  <si>
    <t xml:space="preserve">mix0_h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</si>
  <si>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TPU v4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</si>
  <si>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pricing.chips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v5 15%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 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</si>
  <si>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以同期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世代代理</t>
    </r>
  </si>
  <si>
    <t xml:space="preserve">mix0_b2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</si>
  <si>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Trillium v6e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</si>
  <si>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Trillium 35%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GB200 10%</t>
    </r>
    <r>
      <rPr>
        <sz val="11"/>
        <color theme="1"/>
        <rFont val="Noto Sans CJK SC"/>
        <family val="2"/>
      </rPr>
      <t xml:space="preserve">）</t>
    </r>
  </si>
  <si>
    <t xml:space="preserve">C2</t>
  </si>
  <si>
    <t xml:space="preserve">mix0_b3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</si>
  <si>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</si>
  <si>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Ironwood 30%</t>
    </r>
    <r>
      <rPr>
        <sz val="11"/>
        <color theme="1"/>
        <rFont val="Noto Sans CJK SC"/>
        <family val="2"/>
      </rPr>
      <t xml:space="preserve">）</t>
    </r>
  </si>
  <si>
    <t xml:space="preserve">am_27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</si>
  <si>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</si>
  <si>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2027 Ironwood 40%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 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</si>
  <si>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新增全為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Ironwood 75%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 25%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起全為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錨（下一代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</si>
  <si>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tpu_sh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</si>
  <si>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</si>
  <si>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年新增功耗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pricing.mixNote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</si>
  <si>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係數不等於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時有作用</t>
    </r>
  </si>
  <si>
    <t xml:space="preserve">tpu_f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</si>
  <si>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收入錨係數（相對同期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</si>
  <si>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：基準 </t>
    </r>
    <r>
      <rPr>
        <sz val="11"/>
        <color theme="1"/>
        <rFont val="Calibri"/>
        <family val="2"/>
        <charset val="1"/>
      </rPr>
      <t xml:space="preserve">× 1.0</t>
    </r>
    <r>
      <rPr>
        <sz val="11"/>
        <color theme="1"/>
        <rFont val="Noto Sans CJK SC"/>
        <family val="2"/>
      </rPr>
      <t xml:space="preserve">、敏感度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pricing.customFactor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</si>
  <si>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v21.4 NonNV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IF_NonNV_Hold_TPU 0.8</t>
    </r>
    <r>
      <rPr>
        <sz val="11"/>
        <color theme="1"/>
        <rFont val="Noto Sans CJK SC"/>
        <family val="2"/>
      </rPr>
      <t xml:space="preserve">）只登錄、不切換（工作單：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本版維持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）</t>
    </r>
  </si>
  <si>
    <t xml:space="preserve">tpu_cf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</si>
  <si>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資本支出係數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</si>
  <si>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pricing.customCapexFactor</t>
    </r>
  </si>
  <si>
    <r>
      <rPr>
        <sz val="11"/>
        <color theme="1"/>
        <rFont val="Noto Sans CJK SC"/>
        <family val="2"/>
      </rPr>
      <t xml:space="preserve">雙邊敏感度時與 </t>
    </r>
    <r>
      <rPr>
        <sz val="11"/>
        <color theme="1"/>
        <rFont val="Calibri"/>
        <family val="2"/>
        <charset val="1"/>
      </rPr>
      <t xml:space="preserve">tpu_f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</si>
  <si>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命題模組：每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價格（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＝證據價格 </t>
    </r>
    <r>
      <rPr>
        <b val="true"/>
        <sz val="11"/>
        <rFont val="Cambria"/>
        <family val="0"/>
        <charset val="1"/>
      </rPr>
      <t xml:space="preserve">÷ Tokenomics </t>
    </r>
    <r>
      <rPr>
        <b val="true"/>
        <sz val="11"/>
        <rFont val="Noto Sans CJK SC"/>
        <family val="2"/>
      </rPr>
      <t xml:space="preserve">同世代成本；沿用 </t>
    </r>
    <r>
      <rPr>
        <b val="true"/>
        <sz val="11"/>
        <rFont val="Cambria"/>
        <family val="0"/>
        <charset val="1"/>
      </rPr>
      <t xml:space="preserve">v0.2.2 kspec.py</t>
    </r>
    <r>
      <rPr>
        <b val="true"/>
        <sz val="11"/>
        <rFont val="Noto Sans CJK SC"/>
        <family val="2"/>
      </rPr>
      <t xml:space="preserve">）</t>
    </r>
  </si>
  <si>
    <t xml:space="preserve">kl_px</t>
  </si>
  <si>
    <r>
      <rPr>
        <sz val="11"/>
        <color theme="1"/>
        <rFont val="Noto Sans CJK SC"/>
        <family val="2"/>
      </rPr>
      <t xml:space="preserve">長約證據價格（判斷倍數 </t>
    </r>
    <r>
      <rPr>
        <sz val="11"/>
        <color theme="1"/>
        <rFont val="Calibri"/>
        <family val="2"/>
        <charset val="1"/>
      </rPr>
      <t xml:space="preserve">0.75 × v5.27 VR200 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</si>
  <si>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</si>
  <si>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legacy_v0.2/company.json pricing.kEvidence long.base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long.low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data/kevidence_alphabet_20261008.json kspecInputs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</si>
  <si>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不是觀察到的市場價格；分母＝</t>
    </r>
    <r>
      <rPr>
        <sz val="11"/>
        <color theme="1"/>
        <rFont val="Calibri"/>
        <family val="2"/>
        <charset val="1"/>
      </rPr>
      <t xml:space="preserve">VR200 IF_HoldEcon</t>
    </r>
  </si>
  <si>
    <t xml:space="preserve">ks_px</t>
  </si>
  <si>
    <r>
      <rPr>
        <sz val="11"/>
        <color theme="1"/>
        <rFont val="Noto Sans CJK SC"/>
        <family val="2"/>
      </rPr>
      <t xml:space="preserve">現貨證據價格（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指數）</t>
    </r>
  </si>
  <si>
    <t xml:space="preserve">US$/GPU-hr</t>
  </si>
  <si>
    <r>
      <rPr>
        <sz val="11"/>
        <color theme="1"/>
        <rFont val="Calibri"/>
        <family val="2"/>
        <charset val="1"/>
      </rPr>
      <t xml:space="preserve">Silicon Data H100 Index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https://www.silicondata.com/products/silicon-index/h100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GCP a3-highgpu-8g 3 </t>
    </r>
    <r>
      <rPr>
        <sz val="11"/>
        <color theme="1"/>
        <rFont val="Noto Sans CJK SC"/>
        <family val="2"/>
      </rPr>
      <t xml:space="preserve">年預留 </t>
    </r>
    <r>
      <rPr>
        <sz val="11"/>
        <color theme="1"/>
        <rFont val="Calibri"/>
        <family val="2"/>
        <charset val="1"/>
      </rPr>
      <t xml:space="preserve">4.858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</si>
  <si>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分母＝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三家一致</t>
    </r>
  </si>
  <si>
    <t xml:space="preserve">long_sh</t>
  </si>
  <si>
    <t xml:space="preserve">長約占比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</si>
  <si>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pricing.longShare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積壓以多年期大客戶為主）</t>
    </r>
  </si>
  <si>
    <t xml:space="preserve">he_h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</si>
  <si>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</si>
  <si>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r>
      <rPr>
        <sz val="11"/>
        <color theme="1"/>
        <rFont val="Calibri"/>
        <family val="2"/>
        <charset val="1"/>
      </rPr>
      <t xml:space="preserve">data/tokenomics_snapshot_v21.4.json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Interface!C13:Q13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</si>
  <si>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WACC 10% </t>
    </r>
    <r>
      <rPr>
        <sz val="11"/>
        <color theme="1"/>
        <rFont val="Noto Sans CJK SC"/>
        <family val="2"/>
      </rPr>
      <t xml:space="preserve">下的打平持有成本；收入端不乘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</t>
    </r>
  </si>
  <si>
    <t xml:space="preserve">he_b2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</si>
  <si>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</si>
  <si>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he_b3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</si>
  <si>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</si>
  <si>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he_vr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</si>
  <si>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</si>
  <si>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gpuhr_h</t>
  </si>
  <si>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</si>
  <si>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t xml:space="preserve">data/tokenomics_snapshot_v21.4.json</t>
  </si>
  <si>
    <t xml:space="preserve">opx_h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</si>
  <si>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</si>
  <si>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opx_b2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</si>
  <si>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</si>
  <si>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opx_b3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</si>
  <si>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</si>
  <si>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opx_vr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</si>
  <si>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</si>
  <si>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cit_h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</si>
  <si>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</si>
  <si>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</si>
  <si>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cit_b2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</si>
  <si>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</si>
  <si>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cit_b3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</si>
  <si>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</si>
  <si>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cit_vr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</si>
  <si>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</si>
  <si>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</si>
  <si>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</si>
  <si>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cap_h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</si>
  <si>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（上限檢查用，不得作預測）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</si>
  <si>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本值 </t>
    </r>
    <r>
      <rPr>
        <sz val="11"/>
        <color theme="1"/>
        <rFont val="Calibri"/>
        <family val="2"/>
        <charset val="1"/>
      </rPr>
      <t xml:space="preserve">&gt; 50% </t>
    </r>
    <r>
      <rPr>
        <sz val="11"/>
        <color theme="1"/>
        <rFont val="Noto Sans CJK SC"/>
        <family val="2"/>
      </rPr>
      <t xml:space="preserve">示警</t>
    </r>
  </si>
  <si>
    <t xml:space="preserve">cap_b2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</si>
  <si>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</si>
  <si>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cap_b3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</si>
  <si>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</si>
  <si>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cap_vr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</si>
  <si>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</si>
  <si>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selfb</t>
  </si>
  <si>
    <t xml:space="preserve">自建機房比例（租用部分不計機房資本支出）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</si>
  <si>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capexModel.selfBuild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</si>
  <si>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</si>
  <si>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</t>
    </r>
  </si>
  <si>
    <r>
      <rPr>
        <sz val="11"/>
        <color theme="1"/>
        <rFont val="Calibri"/>
        <family val="2"/>
        <charset val="1"/>
      </rPr>
      <t xml:space="preserve">Tokenomics IF_DeprLifeIT 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：伺服器與網通設備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年（事實總帳 </t>
    </r>
    <r>
      <rPr>
        <sz val="11"/>
        <color theme="1"/>
        <rFont val="Calibri"/>
        <family val="2"/>
        <charset val="1"/>
      </rPr>
      <t xml:space="preserve">ppe.serverLife</t>
    </r>
    <r>
      <rPr>
        <sz val="11"/>
        <color theme="1"/>
        <rFont val="Noto Sans CJK SC"/>
        <family val="2"/>
      </rPr>
      <t xml:space="preserve">）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</si>
  <si>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</si>
  <si>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</si>
  <si>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IF_CapexFacility 12.67 ÷ IF_DeprFac 0.634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</t>
    </r>
  </si>
  <si>
    <t xml:space="preserve">life_na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</si>
  <si>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資本支出折舊年限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</si>
  <si>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capexModel.nonAiLife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</si>
  <si>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t xml:space="preserve">phi_0</t>
  </si>
  <si>
    <t xml:space="preserve">資本支出當期折舊比例（在役時點與半年慣例）</t>
  </si>
  <si>
    <r>
      <rPr>
        <sz val="11"/>
        <color theme="1"/>
        <rFont val="Noto Sans CJK SC"/>
        <family val="2"/>
      </rPr>
      <t xml:space="preserve">判斷：支出平均於期中、約半年後上線 → 當期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；最後一年補足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</si>
  <si>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折舊進損益的時點（工作單第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</si>
  <si>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t xml:space="preserve">da_base</t>
  </si>
  <si>
    <r>
      <rPr>
        <sz val="11"/>
        <color theme="1"/>
        <rFont val="Noto Sans CJK SC"/>
        <family val="2"/>
      </rPr>
      <t xml:space="preserve">評價日在役資產年折舊（</t>
    </r>
    <r>
      <rPr>
        <sz val="11"/>
        <color theme="1"/>
        <rFont val="Calibri"/>
        <family val="2"/>
        <charset val="1"/>
      </rPr>
      <t xml:space="preserve">2026Q2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</si>
  <si>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</si>
  <si>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現金流量表折舊 </t>
    </r>
    <r>
      <rPr>
        <sz val="11"/>
        <color theme="1"/>
        <rFont val="Calibri"/>
        <family val="2"/>
        <charset val="1"/>
      </rPr>
      <t xml:space="preserve">2026Q2 7.104 × 4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capexModel.segDaRunRate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</si>
  <si>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在役淨額 ≈ </t>
    </r>
    <r>
      <rPr>
        <sz val="11"/>
        <color theme="1"/>
        <rFont val="Calibri"/>
        <family val="2"/>
        <charset val="1"/>
      </rPr>
      <t xml:space="preserve">PP&amp;E 321.2 − </t>
    </r>
    <r>
      <rPr>
        <sz val="11"/>
        <color theme="1"/>
        <rFont val="Noto Sans CJK SC"/>
        <family val="2"/>
      </rPr>
      <t xml:space="preserve">在建 </t>
    </r>
    <r>
      <rPr>
        <sz val="11"/>
        <color theme="1"/>
        <rFont val="Calibri"/>
        <family val="2"/>
        <charset val="1"/>
      </rPr>
      <t xml:space="preserve">122.8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198.4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÷ 28.4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7.0 </t>
    </r>
    <r>
      <rPr>
        <sz val="11"/>
        <color theme="1"/>
        <rFont val="Noto Sans CJK SC"/>
        <family val="2"/>
      </rPr>
      <t xml:space="preserve">年 → 模型期內以直線法每年 </t>
    </r>
    <r>
      <rPr>
        <sz val="11"/>
        <color theme="1"/>
        <rFont val="Calibri"/>
        <family val="2"/>
        <charset val="1"/>
      </rPr>
      <t xml:space="preserve">28.4</t>
    </r>
  </si>
  <si>
    <t xml:space="preserve">cip_0</t>
  </si>
  <si>
    <r>
      <rPr>
        <sz val="11"/>
        <color theme="1"/>
        <rFont val="Noto Sans CJK SC"/>
        <family val="2"/>
      </rPr>
      <t xml:space="preserve">在建工程（尚未在役，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</si>
  <si>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附註（事實總帳 </t>
    </r>
    <r>
      <rPr>
        <sz val="11"/>
        <color theme="1"/>
        <rFont val="Calibri"/>
        <family val="2"/>
        <charset val="1"/>
      </rPr>
      <t xml:space="preserve">bs.ppe.notInService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</si>
  <si>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2026H2 </t>
    </r>
    <r>
      <rPr>
        <sz val="11"/>
        <color theme="1"/>
        <rFont val="Noto Sans CJK SC"/>
        <family val="2"/>
      </rPr>
      <t xml:space="preserve">起轉入在役；依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資本支出結構分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／機房</t>
    </r>
  </si>
  <si>
    <t xml:space="preserve">cip_it</t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</si>
  <si>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（伺服器）占比</t>
    </r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</si>
  <si>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自動轉錄，二手；一手 </t>
    </r>
    <r>
      <rPr>
        <sz val="11"/>
        <color theme="1"/>
        <rFont val="Calibri"/>
        <family val="2"/>
        <charset val="1"/>
      </rPr>
      <t xml:space="preserve">webcast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abc.xyz/investor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capex.mix.2026q2</t>
    </r>
    <r>
      <rPr>
        <sz val="11"/>
        <color theme="1"/>
        <rFont val="Noto Sans CJK SC"/>
        <family val="2"/>
      </rPr>
      <t xml:space="preserve">）</t>
    </r>
  </si>
  <si>
    <t xml:space="preserve">capex_g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</si>
  <si>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資本支出指引中點</t>
    </r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</si>
  <si>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自動轉錄，二手；一手 </t>
    </r>
    <r>
      <rPr>
        <sz val="11"/>
        <color theme="1"/>
        <rFont val="Calibri"/>
        <family val="2"/>
        <charset val="1"/>
      </rPr>
      <t xml:space="preserve">webcast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abc.xyz/investor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guid.capex.2026.jul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</si>
  <si>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首期資本支出下限：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</t>
    </r>
    <r>
      <rPr>
        <sz val="11"/>
        <color theme="1"/>
        <rFont val="Calibri"/>
        <family val="2"/>
        <charset val="1"/>
      </rPr>
      <t xml:space="preserve">) − </t>
    </r>
    <r>
      <rPr>
        <sz val="11"/>
        <color theme="1"/>
        <rFont val="Noto Sans CJK SC"/>
        <family val="2"/>
      </rPr>
      <t xml:space="preserve">上半年實際（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</si>
  <si>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t xml:space="preserve">capex_1h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</si>
  <si>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上半年資本支出（購置不動產與設備）</t>
    </r>
  </si>
  <si>
    <r>
      <rPr>
        <sz val="11"/>
        <color theme="1"/>
        <rFont val="Noto Sans CJK SC"/>
        <family val="2"/>
      </rPr>
      <t xml:space="preserve">財報新聞稿 </t>
    </r>
    <r>
      <rPr>
        <sz val="11"/>
        <color theme="1"/>
        <rFont val="Calibri"/>
        <family val="2"/>
        <charset val="1"/>
      </rPr>
      <t xml:space="preserve">Q1 35.674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44.924</t>
    </r>
  </si>
  <si>
    <t xml:space="preserve">svc_sh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</si>
  <si>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增量成本中歸 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的比例（其餘＝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層級：</t>
    </r>
    <r>
      <rPr>
        <sz val="11"/>
        <color theme="1"/>
        <rFont val="Calibri"/>
        <family val="2"/>
        <charset val="1"/>
      </rPr>
      <t xml:space="preserve">DeepMind </t>
    </r>
    <r>
      <rPr>
        <sz val="11"/>
        <color theme="1"/>
        <rFont val="Noto Sans CJK SC"/>
        <family val="2"/>
      </rPr>
      <t xml:space="preserve">模型開發）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</si>
  <si>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：技術基礎設施依使用量分攤到分部；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Google DeepMind </t>
    </r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模型開發費用列 </t>
    </r>
    <r>
      <rPr>
        <sz val="11"/>
        <color theme="1"/>
        <rFont val="Calibri"/>
        <family val="2"/>
        <charset val="1"/>
      </rPr>
      <t xml:space="preserve">Alphabet-level activities</t>
    </r>
  </si>
  <si>
    <r>
      <rPr>
        <sz val="11"/>
        <color theme="1"/>
        <rFont val="Noto Sans CJK SC"/>
        <family val="2"/>
      </rPr>
      <t xml:space="preserve">服務端推論（搜尋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 app</t>
    </r>
    <r>
      <rPr>
        <sz val="11"/>
        <color theme="1"/>
        <rFont val="Noto Sans CJK SC"/>
        <family val="2"/>
      </rPr>
      <t xml:space="preserve">）歸 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；訓練歸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</t>
    </r>
  </si>
  <si>
    <t xml:space="preserve">ai_mw_ttm</t>
  </si>
  <si>
    <r>
      <rPr>
        <sz val="11"/>
        <color theme="1"/>
        <rFont val="Noto Sans CJK SC"/>
        <family val="2"/>
      </rPr>
      <t xml:space="preserve">近四季平均對外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2025Q3–2026Q2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</si>
  <si>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cloudNonAi.aiMwTTM</t>
    </r>
  </si>
  <si>
    <r>
      <rPr>
        <sz val="11"/>
        <color theme="1"/>
        <rFont val="Noto Sans CJK SC"/>
        <family val="2"/>
      </rPr>
      <t xml:space="preserve">只用於拆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其他的近四季年增（起始成長率）</t>
    </r>
  </si>
  <si>
    <t xml:space="preserve">ai_mw_pttm</t>
  </si>
  <si>
    <r>
      <rPr>
        <sz val="11"/>
        <color theme="1"/>
        <rFont val="Noto Sans CJK SC"/>
        <family val="2"/>
      </rPr>
      <t xml:space="preserve">前四季平均對外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2024Q3–2025Q2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</si>
  <si>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cloudNonAi.aiMwPrevTTM</t>
    </r>
  </si>
  <si>
    <t xml:space="preserve">rent_2H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</si>
  <si>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</si>
  <si>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SpaceX FWP 2026-06-05</t>
    </r>
    <r>
      <rPr>
        <sz val="11"/>
        <color theme="1"/>
        <rFont val="Noto Sans CJK SC"/>
        <family val="2"/>
      </rPr>
      <t xml:space="preserve">：每月 </t>
    </r>
    <r>
      <rPr>
        <sz val="11"/>
        <color theme="1"/>
        <rFont val="Calibri"/>
        <family val="2"/>
        <charset val="1"/>
      </rPr>
      <t xml:space="preserve">9.2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rent.spacex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leases.rentedCompute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</si>
  <si>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列自用、計入營運成本（</t>
    </r>
    <r>
      <rPr>
        <sz val="11"/>
        <color theme="1"/>
        <rFont val="Calibri"/>
        <family val="2"/>
        <charset val="1"/>
      </rPr>
      <t xml:space="preserve">C8 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2026-12-31 </t>
    </r>
    <r>
      <rPr>
        <sz val="11"/>
        <color theme="1"/>
        <rFont val="Noto Sans CJK SC"/>
        <family val="2"/>
      </rPr>
      <t xml:space="preserve">後可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天通知解約</t>
    </r>
  </si>
  <si>
    <t xml:space="preserve">rent_27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</si>
  <si>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FY2027E</t>
    </r>
  </si>
  <si>
    <t xml:space="preserve">rent_28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</si>
  <si>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FY2028E</t>
    </r>
  </si>
  <si>
    <t xml:space="preserve">rent_29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</si>
  <si>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FY2029E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</si>
  <si>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營收分部（</t>
    </r>
    <r>
      <rPr>
        <b val="true"/>
        <sz val="11"/>
        <rFont val="Cambria"/>
        <family val="0"/>
        <charset val="1"/>
      </rPr>
      <t xml:space="preserve">Seg </t>
    </r>
    <r>
      <rPr>
        <b val="true"/>
        <sz val="11"/>
        <rFont val="Noto Sans CJK SC"/>
        <family val="2"/>
      </rPr>
      <t xml:space="preserve">頁）：成長路徑與 </t>
    </r>
    <r>
      <rPr>
        <b val="true"/>
        <sz val="11"/>
        <rFont val="Cambria"/>
        <family val="0"/>
        <charset val="1"/>
      </rPr>
      <t xml:space="preserve">Search </t>
    </r>
    <r>
      <rPr>
        <b val="true"/>
        <sz val="11"/>
        <rFont val="Noto Sans CJK SC"/>
        <family val="2"/>
      </rPr>
      <t xml:space="preserve">情境軸</t>
    </r>
  </si>
  <si>
    <t xml:space="preserve">conv_n</t>
  </si>
  <si>
    <r>
      <rPr>
        <sz val="11"/>
        <color theme="1"/>
        <rFont val="Noto Sans CJK SC"/>
        <family val="2"/>
      </rPr>
      <t xml:space="preserve">成長率收斂年數（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起始 → 長期值）</t>
    </r>
  </si>
  <si>
    <r>
      <rPr>
        <sz val="11"/>
        <color theme="1"/>
        <rFont val="Noto Sans CJK SC"/>
        <family val="2"/>
      </rPr>
      <t xml:space="preserve">判斷：近四季年增在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收斂到長期值（工作單：「近四季年增率 → 長期值」）</t>
    </r>
  </si>
  <si>
    <t xml:space="preserve">gl_search</t>
  </si>
  <si>
    <r>
      <rPr>
        <sz val="11"/>
        <color theme="1"/>
        <rFont val="Calibri"/>
        <family val="2"/>
        <charset val="1"/>
      </rPr>
      <t xml:space="preserve">Google Search &amp; other </t>
    </r>
    <r>
      <rPr>
        <sz val="11"/>
        <color theme="1"/>
        <rFont val="Noto Sans CJK SC"/>
        <family val="2"/>
      </rPr>
      <t xml:space="preserve">長期成長（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基準路徑）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</si>
  <si>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search.gLT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</si>
  <si>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2015–2025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13%</t>
    </r>
  </si>
  <si>
    <t xml:space="preserve">gl_yt</t>
  </si>
  <si>
    <r>
      <rPr>
        <sz val="11"/>
        <color theme="1"/>
        <rFont val="Calibri"/>
        <family val="2"/>
        <charset val="1"/>
      </rPr>
      <t xml:space="preserve">YouTube ads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</si>
  <si>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youtube.gLT</t>
    </r>
  </si>
  <si>
    <t xml:space="preserve">gl_net</t>
  </si>
  <si>
    <r>
      <rPr>
        <sz val="11"/>
        <color theme="1"/>
        <rFont val="Calibri"/>
        <family val="2"/>
        <charset val="1"/>
      </rPr>
      <t xml:space="preserve">Google Network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</si>
  <si>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network.gLT</t>
    </r>
  </si>
  <si>
    <r>
      <rPr>
        <sz val="11"/>
        <color theme="1"/>
        <rFont val="Noto Sans CJK SC"/>
        <family val="2"/>
      </rPr>
      <t xml:space="preserve">近四季 −</t>
    </r>
    <r>
      <rPr>
        <sz val="11"/>
        <color theme="1"/>
        <rFont val="Calibri"/>
        <family val="2"/>
        <charset val="1"/>
      </rPr>
      <t xml:space="preserve">2.2%</t>
    </r>
  </si>
  <si>
    <t xml:space="preserve">gl_subs</t>
  </si>
  <si>
    <r>
      <rPr>
        <sz val="11"/>
        <color theme="1"/>
        <rFont val="Calibri"/>
        <family val="2"/>
        <charset val="1"/>
      </rPr>
      <t xml:space="preserve">Google subscriptions, platforms, and devices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</si>
  <si>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subs.gLT</t>
    </r>
  </si>
  <si>
    <t xml:space="preserve">gl_co</t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</si>
  <si>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Workspace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）長期成長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</si>
  <si>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cloudNonAi.gLT</t>
    </r>
  </si>
  <si>
    <t xml:space="preserve">dA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</si>
  <si>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：查詢分流（負值＝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模式吸引查詢回流）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</si>
  <si>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Overviews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Mode </t>
    </r>
    <r>
      <rPr>
        <sz val="11"/>
        <color theme="1"/>
        <rFont val="Noto Sans CJK SC"/>
        <family val="2"/>
      </rPr>
      <t xml:space="preserve">擴大使用：公司稱 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帶動相關查詢增加（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法說，二手；本次未重新查核）</t>
    </r>
  </si>
  <si>
    <r>
      <rPr>
        <sz val="11"/>
        <color theme="1"/>
        <rFont val="Noto Sans CJK SC"/>
        <family val="2"/>
      </rPr>
      <t xml:space="preserve">線性：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 → FY2030 </t>
    </r>
    <r>
      <rPr>
        <sz val="11"/>
        <color theme="1"/>
        <rFont val="Noto Sans CJK SC"/>
        <family val="2"/>
      </rPr>
      <t xml:space="preserve">全額，之後持平</t>
    </r>
  </si>
  <si>
    <t xml:space="preserve">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</si>
  <si>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：每次查詢變現變動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</si>
  <si>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Mode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廣告：公司稱 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變現率與傳統搜尋約略相同（</t>
    </r>
    <r>
      <rPr>
        <sz val="11"/>
        <color theme="1"/>
        <rFont val="Calibri"/>
        <family val="2"/>
        <charset val="1"/>
      </rPr>
      <t xml:space="preserve">2025Q1 </t>
    </r>
    <r>
      <rPr>
        <sz val="11"/>
        <color theme="1"/>
        <rFont val="Noto Sans CJK SC"/>
        <family val="2"/>
      </rPr>
      <t xml:space="preserve">法說，二手；本次未重新查核）；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假設新廣告格式提高商業意圖查詢單價</t>
    </r>
  </si>
  <si>
    <t xml:space="preserve">dC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</si>
  <si>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：查詢被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助理分流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</si>
  <si>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Gartner 2024-02-19 </t>
    </r>
    <r>
      <rPr>
        <sz val="11"/>
        <color theme="1"/>
        <rFont val="Noto Sans CJK SC"/>
        <family val="2"/>
      </rPr>
      <t xml:space="preserve">預測：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年傳統搜尋引擎查詢量因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聊天機器人減少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（第三方預測）；</t>
    </r>
    <r>
      <rPr>
        <sz val="11"/>
        <color theme="1"/>
        <rFont val="Calibri"/>
        <family val="2"/>
        <charset val="1"/>
      </rPr>
      <t xml:space="preserve">Apple Eddy Cue 2025-05-07 </t>
    </r>
    <r>
      <rPr>
        <sz val="11"/>
        <color theme="1"/>
        <rFont val="Noto Sans CJK SC"/>
        <family val="2"/>
      </rPr>
      <t xml:space="preserve">美國司法部案證詞：</t>
    </r>
    <r>
      <rPr>
        <sz val="11"/>
        <color theme="1"/>
        <rFont val="Calibri"/>
        <family val="2"/>
        <charset val="1"/>
      </rPr>
      <t xml:space="preserve">Safari </t>
    </r>
    <r>
      <rPr>
        <sz val="11"/>
        <color theme="1"/>
        <rFont val="Noto Sans CJK SC"/>
        <family val="2"/>
      </rPr>
      <t xml:space="preserve">搜尋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首次下滑（二手；本次未重新查核）</t>
    </r>
  </si>
  <si>
    <r>
      <rPr>
        <sz val="11"/>
        <color theme="1"/>
        <rFont val="Noto Sans CJK SC"/>
        <family val="2"/>
      </rPr>
      <t xml:space="preserve">反證：</t>
    </r>
    <r>
      <rPr>
        <sz val="11"/>
        <color theme="1"/>
        <rFont val="Calibri"/>
        <family val="2"/>
        <charset val="1"/>
      </rPr>
      <t xml:space="preserve">Google Search &amp; other </t>
    </r>
    <r>
      <rPr>
        <sz val="11"/>
        <color theme="1"/>
        <rFont val="Noto Sans CJK SC"/>
        <family val="2"/>
      </rPr>
      <t xml:space="preserve">近四季仍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頁）→ 分流至今未見於營收；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是壓力情境</t>
    </r>
  </si>
  <si>
    <t xml:space="preserve">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</si>
  <si>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：每次查詢變現變動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</si>
  <si>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答案頁的廣告位少於十條藍色連結、點擊率下降（第三方點擊研究，二手；本次未重新查核）</t>
    </r>
  </si>
  <si>
    <t xml:space="preserve">inc_m</t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</si>
  <si>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情境差額的增量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</si>
  <si>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判斷：搜尋營收增減主要只連動 </t>
    </r>
    <r>
      <rPr>
        <sz val="11"/>
        <color theme="1"/>
        <rFont val="Calibri"/>
        <family val="2"/>
        <charset val="1"/>
      </rPr>
      <t xml:space="preserve">TAC</t>
    </r>
    <r>
      <rPr>
        <sz val="11"/>
        <color theme="1"/>
        <rFont val="Noto Sans CJK SC"/>
        <family val="2"/>
      </rPr>
      <t xml:space="preserve">（約占搜尋營收兩成，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TAC ÷ </t>
    </r>
    <r>
      <rPr>
        <sz val="11"/>
        <color theme="1"/>
        <rFont val="Noto Sans CJK SC"/>
        <family val="2"/>
      </rPr>
      <t xml:space="preserve">搜尋＋聯播網）→ 增量利潤率高於分部平均</t>
    </r>
  </si>
  <si>
    <t xml:space="preserve">營收減少時利潤減少得更多（營運槓桿）</t>
  </si>
  <si>
    <t xml:space="preserve">tpu_2h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</si>
  <si>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2H26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</si>
  <si>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tpuSales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C8 b</t>
    </r>
    <r>
      <rPr>
        <sz val="11"/>
        <color theme="1"/>
        <rFont val="Noto Sans CJK SC"/>
        <family val="2"/>
      </rPr>
      <t xml:space="preserve">）；公司：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認列一小部分、大部分在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guid.tpuRev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</si>
  <si>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子列（命題子列）</t>
    </r>
  </si>
  <si>
    <t xml:space="preserve">tpu_yr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</si>
  <si>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</si>
  <si>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萬顆、約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億（賣方；沿用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</si>
  <si>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±50% [Assumed]</t>
    </r>
  </si>
  <si>
    <t xml:space="preserve">tpu_m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</si>
  <si>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</si>
  <si>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tpuSales.m0</t>
    </r>
  </si>
  <si>
    <t xml:space="preserve">ob_rev_2H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</si>
  <si>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</si>
  <si>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otherBets.rev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FY2031–32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+0.2 </t>
    </r>
    <r>
      <rPr>
        <sz val="11"/>
        <color theme="1"/>
        <rFont val="Noto Sans CJK SC"/>
        <family val="2"/>
      </rPr>
      <t xml:space="preserve">延伸）</t>
    </r>
  </si>
  <si>
    <t xml:space="preserve">ob_rev_27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</si>
  <si>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FY2027E</t>
    </r>
  </si>
  <si>
    <t xml:space="preserve">ob_rev_28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</si>
  <si>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FY2028E</t>
    </r>
  </si>
  <si>
    <t xml:space="preserve">ob_rev_29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</si>
  <si>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FY2029E</t>
    </r>
  </si>
  <si>
    <t xml:space="preserve">ob_rev_30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</si>
  <si>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FY2030E</t>
    </r>
  </si>
  <si>
    <t xml:space="preserve">ob_rev_31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</si>
  <si>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FY2031E</t>
    </r>
  </si>
  <si>
    <t xml:space="preserve">ob_rev_32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</si>
  <si>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FY2032E</t>
    </r>
  </si>
  <si>
    <t xml:space="preserve">ob_oi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</si>
  <si>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營業利益（每年；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為一半）</t>
    </r>
  </si>
  <si>
    <r>
      <rPr>
        <sz val="11"/>
        <color theme="1"/>
        <rFont val="Noto Sans CJK SC"/>
        <family val="2"/>
      </rPr>
      <t xml:space="preserve">近四季 −</t>
    </r>
    <r>
      <rPr>
        <sz val="11"/>
        <color theme="1"/>
        <rFont val="Calibri"/>
        <family val="2"/>
        <charset val="1"/>
      </rPr>
      <t xml:space="preserve">8.942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擴張（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募資 </t>
    </r>
    <r>
      <rPr>
        <sz val="11"/>
        <color theme="1"/>
        <rFont val="Calibri"/>
        <family val="2"/>
        <charset val="1"/>
      </rPr>
      <t xml:space="preserve">16B</t>
    </r>
    <r>
      <rPr>
        <sz val="11"/>
        <color theme="1"/>
        <rFont val="Noto Sans CJK SC"/>
        <family val="2"/>
      </rPr>
      <t xml:space="preserve">，事實總帳 </t>
    </r>
    <r>
      <rPr>
        <sz val="11"/>
        <color theme="1"/>
        <rFont val="Calibri"/>
        <family val="2"/>
        <charset val="1"/>
      </rPr>
      <t xml:space="preserve">ob.waymo.funding</t>
    </r>
    <r>
      <rPr>
        <sz val="11"/>
        <color theme="1"/>
        <rFont val="Noto Sans CJK SC"/>
        <family val="2"/>
      </rPr>
      <t xml:space="preserve">）</t>
    </r>
  </si>
  <si>
    <t xml:space="preserve">abc_rate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</si>
  <si>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層級未分攤費用占營收（不含自用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增量成本）</t>
    </r>
  </si>
  <si>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5.789 ÷ 119.796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legacyBiz.split.corpShareOfRevenue</t>
    </r>
    <r>
      <rPr>
        <sz val="11"/>
        <color theme="1"/>
        <rFont val="Noto Sans CJK SC"/>
        <family val="2"/>
      </rPr>
      <t xml:space="preserve">）</t>
    </r>
  </si>
  <si>
    <t xml:space="preserve">m_yt</t>
  </si>
  <si>
    <r>
      <rPr>
        <sz val="11"/>
        <color theme="1"/>
        <rFont val="Calibri"/>
        <family val="2"/>
        <charset val="1"/>
      </rPr>
      <t xml:space="preserve">YouTube ads EBITDA </t>
    </r>
    <r>
      <rPr>
        <sz val="11"/>
        <color theme="1"/>
        <rFont val="Noto Sans CJK SC"/>
        <family val="2"/>
      </rPr>
      <t xml:space="preserve">率（分部加總拆線用）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</si>
  <si>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legacyBiz.split.youtubeMargin</t>
    </r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</si>
  <si>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分部利益只揭露合計；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＝分部殘差</t>
    </r>
  </si>
  <si>
    <t xml:space="preserve">m_net</t>
  </si>
  <si>
    <r>
      <rPr>
        <sz val="11"/>
        <color theme="1"/>
        <rFont val="Calibri"/>
        <family val="2"/>
        <charset val="1"/>
      </rPr>
      <t xml:space="preserve">Google Network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</si>
  <si>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legacyBiz.split.networkMargin</t>
    </r>
  </si>
  <si>
    <t xml:space="preserve">m_subs</t>
  </si>
  <si>
    <r>
      <rPr>
        <sz val="11"/>
        <color theme="1"/>
        <rFont val="Calibri"/>
        <family val="2"/>
        <charset val="1"/>
      </rPr>
      <t xml:space="preserve">Subscriptions, platforms, and devices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</si>
  <si>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legacyBiz.split.subsMargin</t>
    </r>
  </si>
  <si>
    <t xml:space="preserve">cx_svc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</si>
  <si>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各線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</si>
  <si>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legacyBiz.cxNote</t>
    </r>
  </si>
  <si>
    <t xml:space="preserve">cx_co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</si>
  <si>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</si>
  <si>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legacyBiz.cxNote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</si>
  <si>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cx_ob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</si>
  <si>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Other Bets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</si>
  <si>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損益與現金流</t>
    </r>
  </si>
  <si>
    <t xml:space="preserve">tax</t>
  </si>
  <si>
    <t xml:space="preserve">有效稅率（預測期）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</si>
  <si>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2026H1 19.1% </t>
    </r>
    <r>
      <rPr>
        <sz val="11"/>
        <color theme="1"/>
        <rFont val="Noto Sans CJK SC"/>
        <family val="2"/>
      </rPr>
      <t xml:space="preserve">含權益證券利益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</si>
  <si>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valuation.tax</t>
    </r>
  </si>
  <si>
    <t xml:space="preserve">tax_eq</t>
  </si>
  <si>
    <r>
      <rPr>
        <sz val="11"/>
        <color theme="1"/>
        <rFont val="Noto Sans CJK SC"/>
        <family val="2"/>
      </rPr>
      <t xml:space="preserve">權益證券損益的稅率（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不含權益證券損益用）</t>
    </r>
  </si>
  <si>
    <r>
      <rPr>
        <sz val="11"/>
        <color theme="1"/>
        <rFont val="Noto Sans CJK SC"/>
        <family val="2"/>
      </rPr>
      <t xml:space="preserve">美國聯邦稅率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（未實現利益之遞延所得稅）</t>
    </r>
  </si>
  <si>
    <t xml:space="preserve">r_cash</t>
  </si>
  <si>
    <t xml:space="preserve">現金收益率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</si>
  <si>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平均現金＋債權證券（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4.3–4.6B</t>
    </r>
    <r>
      <rPr>
        <sz val="11"/>
        <color theme="1"/>
        <rFont val="Noto Sans CJK SC"/>
        <family val="2"/>
      </rPr>
      <t xml:space="preserve">／季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110B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3.8–4.0%</t>
    </r>
  </si>
  <si>
    <t xml:space="preserve">r_debt</t>
  </si>
  <si>
    <t xml:space="preserve">債務利率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</si>
  <si>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1.278 × 4 ÷ 101.1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新債加權票面 </t>
    </r>
    <r>
      <rPr>
        <sz val="11"/>
        <color theme="1"/>
        <rFont val="Calibri"/>
        <family val="2"/>
        <charset val="1"/>
      </rPr>
      <t xml:space="preserve">3.9%–5.3% → 4.8%</t>
    </r>
  </si>
  <si>
    <t xml:space="preserve">sbc_r</t>
  </si>
  <si>
    <t xml:space="preserve">股權報酬占營收</t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</si>
  <si>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SBC 28.147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445.866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defaults.sbcRate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</si>
  <si>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營運現金加回；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不加回（視為真實成本）</t>
    </r>
  </si>
  <si>
    <t xml:space="preserve">dil</t>
  </si>
  <si>
    <t xml:space="preserve">股數年稀釋（股權報酬）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</si>
  <si>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）（沿用模板每年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；代扣稅與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不建模）</t>
    </r>
  </si>
  <si>
    <t xml:space="preserve">wc_2h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</si>
  <si>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營運資金變動（流入）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</si>
  <si>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+0.618 − 2025H1 −7.872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defaults.wcStub</t>
    </r>
    <r>
      <rPr>
        <sz val="11"/>
        <color theme="1"/>
        <rFont val="Noto Sans CJK SC"/>
        <family val="2"/>
      </rPr>
      <t xml:space="preserve">）</t>
    </r>
  </si>
  <si>
    <t xml:space="preserve">wc_k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</si>
  <si>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起營運資金變動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營收增量（流入）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</si>
  <si>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+0.618 ÷ </t>
    </r>
    <r>
      <rPr>
        <sz val="11"/>
        <color theme="1"/>
        <rFont val="Noto Sans CJK SC"/>
        <family val="2"/>
      </rPr>
      <t xml:space="preserve">營收增量 </t>
    </r>
    <r>
      <rPr>
        <sz val="11"/>
        <color theme="1"/>
        <rFont val="Calibri"/>
        <family val="2"/>
        <charset val="1"/>
      </rPr>
      <t xml:space="preserve">52.818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</si>
  <si>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dps</t>
  </si>
  <si>
    <r>
      <rPr>
        <sz val="11"/>
        <color theme="1"/>
        <rFont val="Noto Sans CJK SC"/>
        <family val="2"/>
      </rPr>
      <t xml:space="preserve">普通股每股年股利（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／季）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</si>
  <si>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div.dps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起每季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）</t>
    </r>
  </si>
  <si>
    <t xml:space="preserve">dps_g</t>
  </si>
  <si>
    <t xml:space="preserve">每股股利年成長</t>
  </si>
  <si>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0.21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C19</t>
    </r>
    <r>
      <rPr>
        <sz val="11"/>
        <color theme="1"/>
        <rFont val="Noto Sans CJK SC"/>
        <family val="2"/>
      </rPr>
      <t xml:space="preserve">）</t>
    </r>
  </si>
  <si>
    <t xml:space="preserve">bb_t</t>
  </si>
  <si>
    <r>
      <rPr>
        <sz val="11"/>
        <color theme="1"/>
        <rFont val="Noto Sans CJK SC"/>
        <family val="2"/>
      </rPr>
      <t xml:space="preserve">回購目標（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起每年，現金足夠時）</t>
    </r>
  </si>
  <si>
    <r>
      <rPr>
        <sz val="11"/>
        <color theme="1"/>
        <rFont val="Noto Sans CJK SC"/>
        <family val="2"/>
      </rPr>
      <t xml:space="preserve">近四季實際 </t>
    </r>
    <r>
      <rPr>
        <sz val="11"/>
        <color theme="1"/>
        <rFont val="Calibri"/>
        <family val="2"/>
        <charset val="1"/>
      </rPr>
      <t xml:space="preserve">17.003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bb.paid.4q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暫停（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</si>
  <si>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；現金不足時先減回購、再舉債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</si>
  <si>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</si>
  <si>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</si>
  <si>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defaults.minCash</t>
    </r>
  </si>
  <si>
    <t xml:space="preserve">lease_2H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</si>
  <si>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</si>
  <si>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到期表（沿用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leases.financePayments</t>
    </r>
    <r>
      <rPr>
        <sz val="11"/>
        <color theme="1"/>
        <rFont val="Noto Sans CJK SC"/>
        <family val="2"/>
      </rPr>
      <t xml:space="preserve">）</t>
    </r>
  </si>
  <si>
    <t xml:space="preserve">lease_27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</si>
  <si>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FY2027E</t>
    </r>
  </si>
  <si>
    <t xml:space="preserve">lease_28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</si>
  <si>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FY2028E</t>
    </r>
  </si>
  <si>
    <t xml:space="preserve">lease_29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</si>
  <si>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FY2029E</t>
    </r>
  </si>
  <si>
    <t xml:space="preserve">lease_30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</si>
  <si>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FY2030E</t>
    </r>
  </si>
  <si>
    <t xml:space="preserve">lease_31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</si>
  <si>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</si>
  <si>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／年</t>
    </r>
  </si>
  <si>
    <t xml:space="preserve">lease_32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</si>
  <si>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FY2032E</t>
    </r>
  </si>
  <si>
    <t xml:space="preserve">anth_2H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</si>
  <si>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</si>
  <si>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20.0B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defaults.jvCommit</t>
    </r>
    <r>
      <rPr>
        <sz val="11"/>
        <color theme="1"/>
        <rFont val="Noto Sans CJK SC"/>
        <family val="2"/>
      </rPr>
      <t xml:space="preserve">）</t>
    </r>
  </si>
  <si>
    <t xml:space="preserve">投資活動，不在自由現金流；換得持股（評價中性）</t>
  </si>
  <si>
    <t xml:space="preserve">anth_27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</si>
  <si>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FY2027E</t>
    </r>
  </si>
  <si>
    <t xml:space="preserve">anth_28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</si>
  <si>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FY2028E</t>
    </r>
  </si>
  <si>
    <t xml:space="preserve">anth_29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</si>
  <si>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FY2029E</t>
    </r>
  </si>
  <si>
    <t xml:space="preserve">anth_30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</si>
  <si>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FY2030E</t>
    </r>
  </si>
  <si>
    <t xml:space="preserve">anth_31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</si>
  <si>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FY2031E</t>
    </r>
  </si>
  <si>
    <t xml:space="preserve">anth_32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</si>
  <si>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FY2032E</t>
    </r>
  </si>
  <si>
    <t xml:space="preserve">mat_2H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</si>
  <si>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</si>
  <si>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10-K 2025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到期表＋信用額度（沿用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debt.amortization</t>
    </r>
    <r>
      <rPr>
        <sz val="11"/>
        <color theme="1"/>
        <rFont val="Noto Sans CJK SC"/>
        <family val="2"/>
      </rPr>
      <t xml:space="preserve">）</t>
    </r>
  </si>
  <si>
    <t xml:space="preserve">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</si>
  <si>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FY2027E</t>
    </r>
  </si>
  <si>
    <t xml:space="preserve">mat_28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</si>
  <si>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FY2028E</t>
    </r>
  </si>
  <si>
    <t xml:space="preserve">mat_29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</si>
  <si>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FY2029E</t>
    </r>
  </si>
  <si>
    <t xml:space="preserve">mat_30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</si>
  <si>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FY2030E</t>
    </r>
  </si>
  <si>
    <t xml:space="preserve">mat_31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</si>
  <si>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</si>
  <si>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／年（其後 </t>
    </r>
    <r>
      <rPr>
        <sz val="11"/>
        <color theme="1"/>
        <rFont val="Calibri"/>
        <family val="2"/>
        <charset val="1"/>
      </rPr>
      <t xml:space="preserve">86.5 </t>
    </r>
    <r>
      <rPr>
        <sz val="11"/>
        <color theme="1"/>
        <rFont val="Noto Sans CJK SC"/>
        <family val="2"/>
      </rPr>
      <t xml:space="preserve">未分年）</t>
    </r>
  </si>
  <si>
    <t xml:space="preserve">mat_32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</si>
  <si>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FY2032E</t>
    </r>
  </si>
  <si>
    <t xml:space="preserve">debt_new_2h</t>
  </si>
  <si>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新發美元票據</t>
    </r>
  </si>
  <si>
    <r>
      <rPr>
        <sz val="11"/>
        <color theme="1"/>
        <rFont val="Calibri"/>
        <family val="2"/>
        <charset val="1"/>
      </rPr>
      <t xml:space="preserve">Alphabet Form 8-K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US$25B </t>
    </r>
    <r>
      <rPr>
        <sz val="11"/>
        <color theme="1"/>
        <rFont val="Noto Sans CJK SC"/>
        <family val="2"/>
      </rPr>
      <t xml:space="preserve">優先無擔保票據交割）（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debt.iss.202608</t>
    </r>
    <r>
      <rPr>
        <sz val="11"/>
        <color theme="1"/>
        <rFont val="Noto Sans CJK SC"/>
        <family val="2"/>
      </rPr>
      <t xml:space="preserve">）</t>
    </r>
  </si>
  <si>
    <t xml:space="preserve">pref_2H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</si>
  <si>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</si>
  <si>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6.25% × 19.25B</t>
    </r>
    <r>
      <rPr>
        <sz val="11"/>
        <color theme="1"/>
        <rFont val="Noto Sans CJK SC"/>
        <family val="2"/>
      </rPr>
      <t xml:space="preserve">，每季 </t>
    </r>
    <r>
      <rPr>
        <sz val="11"/>
        <color theme="1"/>
        <rFont val="Calibri"/>
        <family val="2"/>
        <charset val="1"/>
      </rPr>
      <t xml:space="preserve">2/15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11/15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2029-05-15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defaults.dividend.preferred</t>
    </r>
    <r>
      <rPr>
        <sz val="11"/>
        <color theme="1"/>
        <rFont val="Noto Sans CJK SC"/>
        <family val="2"/>
      </rPr>
      <t xml:space="preserve">）</t>
    </r>
  </si>
  <si>
    <t xml:space="preserve">pref_27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</si>
  <si>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FY2027E</t>
    </r>
  </si>
  <si>
    <t xml:space="preserve">pref_28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</si>
  <si>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FY2028E</t>
    </r>
  </si>
  <si>
    <t xml:space="preserve">pref_29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</si>
  <si>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FY2029E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</si>
  <si>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</si>
  <si>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tp_v022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</si>
  <si>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</si>
  <si>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docs/reports/20261025_alphabet_v0.2.2.md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v0.2.2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</si>
  <si>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  <r>
      <rPr>
        <sz val="11"/>
        <color theme="1"/>
        <rFont val="Calibri"/>
        <family val="2"/>
        <charset val="1"/>
      </rPr>
      <t xml:space="preserve">218.79</t>
    </r>
    <r>
      <rPr>
        <sz val="11"/>
        <color theme="1"/>
        <rFont val="Noto Sans CJK SC"/>
        <family val="2"/>
      </rPr>
      <t xml:space="preserve">；三情境皆賣出</t>
    </r>
  </si>
  <si>
    <t xml:space="preserve">tpw_v022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</si>
  <si>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加權目標價（讀法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保守 </t>
    </r>
    <r>
      <rPr>
        <sz val="11"/>
        <color theme="1"/>
        <rFont val="Calibri"/>
        <family val="2"/>
        <charset val="1"/>
      </rPr>
      <t xml:space="preserve">175.08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146.09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積極 </t>
    </r>
    <r>
      <rPr>
        <sz val="11"/>
        <color theme="1"/>
        <rFont val="Calibri"/>
        <family val="2"/>
        <charset val="1"/>
      </rPr>
      <t xml:space="preserve">122.89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</si>
  <si>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交接檔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節三情境目標價；本表以本版情境權重換算</t>
    </r>
  </si>
  <si>
    <t xml:space="preserve">px_v022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</si>
  <si>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</si>
  <si>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mkt.price.close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</si>
  <si>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c_rev_26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</si>
  <si>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</si>
  <si>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https://www.marketscreener.com/quote/stock/ALPHABET-INC-24203373/finances/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頁面）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</si>
  <si>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）：營收 </t>
    </r>
    <r>
      <rPr>
        <sz val="11"/>
        <color theme="1"/>
        <rFont val="Calibri"/>
        <family val="2"/>
        <charset val="1"/>
      </rPr>
      <t xml:space="preserve">498.69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615.04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734.20</t>
    </r>
  </si>
  <si>
    <t xml:space="preserve">c_rev_27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</si>
  <si>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FY2027</t>
    </r>
  </si>
  <si>
    <t xml:space="preserve">c_rev_28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</si>
  <si>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</si>
  <si>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c_ebit_26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</si>
  <si>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</si>
  <si>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c_ebit_27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</si>
  <si>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</si>
  <si>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c_ebit_28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</si>
  <si>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</si>
  <si>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c_eps_26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</si>
  <si>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</si>
  <si>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c_eps_27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</si>
  <si>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</si>
  <si>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c_eps_28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</si>
  <si>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</si>
  <si>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c_capex_26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</si>
  <si>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FY2026</t>
    </r>
  </si>
  <si>
    <t xml:space="preserve">c_capex_27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</si>
  <si>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FY2027</t>
    </r>
  </si>
  <si>
    <t xml:space="preserve">c_capex_28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</si>
  <si>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</si>
  <si>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c_fcf_26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</si>
  <si>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FY2026</t>
    </r>
  </si>
  <si>
    <t xml:space="preserve">c_fcf_27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</si>
  <si>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FY2027</t>
    </r>
  </si>
  <si>
    <t xml:space="preserve">c_fcf_28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</si>
  <si>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</si>
  <si>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c_ebitda_26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</si>
  <si>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</si>
  <si>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c_ebitda_27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</si>
  <si>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</si>
  <si>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c_ebitda_28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</si>
  <si>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</si>
  <si>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c_eps26_sa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</si>
  <si>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，排除權益證券利益）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</si>
  <si>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</si>
  <si>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美元；股數十億股）。資料取自 </t>
    </r>
    <r>
      <rPr>
        <sz val="11"/>
        <color theme="1"/>
        <rFont val="Calibri"/>
        <family val="2"/>
        <charset val="1"/>
      </rPr>
      <t xml:space="preserve">data/alphabet_facts_20261008.json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v0.1a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一手資料；季度數＝財報新聞稿 </t>
    </r>
    <r>
      <rPr>
        <sz val="11"/>
        <color theme="1"/>
        <rFont val="Calibri"/>
        <family val="2"/>
        <charset val="1"/>
      </rPr>
      <t xml:space="preserve">[Interested-party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核閱</t>
    </r>
    <r>
      <rPr>
        <sz val="11"/>
        <color theme="1"/>
        <rFont val="Calibri"/>
        <family val="2"/>
        <charset val="1"/>
      </rPr>
      <t xml:space="preserve">]</t>
    </r>
    <r>
      <rPr>
        <sz val="11"/>
        <color theme="1"/>
        <rFont val="Noto Sans CJK SC"/>
        <family val="2"/>
      </rPr>
      <t xml:space="preserve">，年度＝</t>
    </r>
    <r>
      <rPr>
        <sz val="11"/>
        <color theme="1"/>
        <rFont val="Calibri"/>
        <family val="2"/>
        <charset val="1"/>
      </rPr>
      <t xml:space="preserve">10-K [Verified]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</si>
  <si>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核對列（實績必須為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）：產品線合計＝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、分部合計＝合併營收、分部營業利益合計＝合併營業利益（</t>
    </r>
    <r>
      <rPr>
        <sz val="11"/>
        <color theme="1"/>
        <rFont val="Calibri"/>
        <family val="2"/>
        <charset val="1"/>
      </rPr>
      <t xml:space="preserve">Alphabet-level activities </t>
    </r>
    <r>
      <rPr>
        <sz val="11"/>
        <color theme="1"/>
        <rFont val="Noto Sans CJK SC"/>
        <family val="2"/>
      </rPr>
      <t xml:space="preserve">含避險損益營收與未分攤費用）、營收 − 成本費用＝營業利益、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四季合計＝年報</t>
    </r>
  </si>
  <si>
    <t xml:space="preserve">2024Q3</t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</si>
  <si>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</si>
  <si>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</si>
  <si>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</si>
  <si>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</si>
  <si>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</si>
  <si>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</si>
  <si>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</si>
  <si>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FY2024</t>
  </si>
  <si>
    <t xml:space="preserve">FY2025</t>
  </si>
  <si>
    <t xml:space="preserve">1H26</t>
  </si>
  <si>
    <r>
      <rPr>
        <b val="true"/>
        <sz val="11"/>
        <rFont val="Noto Sans CJK SC"/>
        <family val="2"/>
      </rPr>
      <t xml:space="preserve">近四季 </t>
    </r>
    <r>
      <rPr>
        <b val="true"/>
        <sz val="11"/>
        <rFont val="Cambria"/>
        <family val="0"/>
        <charset val="1"/>
      </rPr>
      <t xml:space="preserve">TTM</t>
    </r>
  </si>
  <si>
    <t xml:space="preserve">前四季</t>
  </si>
  <si>
    <t xml:space="preserve">營收（官方分部與產品線）</t>
  </si>
  <si>
    <t xml:space="preserve">Google Search &amp; other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</si>
  <si>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（年）／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（季）</t>
    </r>
  </si>
  <si>
    <r>
      <rPr>
        <sz val="11"/>
        <color theme="1"/>
        <rFont val="Noto Sans CJK SC"/>
        <family val="2"/>
      </rPr>
      <t xml:space="preserve">季：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，各季；事實總帳 </t>
    </r>
    <r>
      <rPr>
        <sz val="11"/>
        <color theme="1"/>
        <rFont val="Calibri"/>
        <family val="2"/>
        <charset val="1"/>
      </rPr>
      <t xml:space="preserve">is.*.2024q3–2026q2</t>
    </r>
    <r>
      <rPr>
        <sz val="11"/>
        <color theme="1"/>
        <rFont val="Noto Sans CJK SC"/>
        <family val="2"/>
      </rPr>
      <t xml:space="preserve">）；年：</t>
    </r>
    <r>
      <rPr>
        <sz val="11"/>
        <color theme="1"/>
        <rFont val="Calibri"/>
        <family val="2"/>
        <charset val="1"/>
      </rPr>
      <t xml:space="preserve">Form 10-K 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（經查核）；例：</t>
    </r>
    <r>
      <rPr>
        <sz val="11"/>
        <color theme="1"/>
        <rFont val="Calibri"/>
        <family val="2"/>
        <charset val="1"/>
      </rPr>
      <t xml:space="preserve">2026Q2 https://www.sec.gov/Archives/edgar/data/1652044/000165204426000066/googexhibit991q22026.htm</t>
    </r>
  </si>
  <si>
    <t xml:space="preserve">YouTube ads</t>
  </si>
  <si>
    <t xml:space="preserve">Google Network</t>
  </si>
  <si>
    <t xml:space="preserve">Google subscriptions, platforms, and devices</t>
  </si>
  <si>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</si>
  <si>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檢查：產品線合計 − </t>
    </r>
    <r>
      <rPr>
        <sz val="11"/>
        <color theme="1"/>
        <rFont val="Calibri"/>
        <family val="2"/>
        <charset val="1"/>
      </rPr>
      <t xml:space="preserve">Google Services</t>
    </r>
  </si>
  <si>
    <t xml:space="preserve">—</t>
  </si>
  <si>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</si>
  <si>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</si>
  <si>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Calibri"/>
        <family val="2"/>
        <charset val="1"/>
      </rPr>
      <t xml:space="preserve">Hedging gains (losses)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Alphabet-level</t>
    </r>
    <r>
      <rPr>
        <sz val="11"/>
        <color theme="1"/>
        <rFont val="Noto Sans CJK SC"/>
        <family val="2"/>
      </rPr>
      <t xml:space="preserve">）</t>
    </r>
  </si>
  <si>
    <t xml:space="preserve">合併營收</t>
  </si>
  <si>
    <t xml:space="preserve">檢查：分部合計＋避險 − 合併營收</t>
  </si>
  <si>
    <t xml:space="preserve">分部營業利益</t>
  </si>
  <si>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</si>
  <si>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</si>
  <si>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</si>
  <si>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（避險營收 − 未分攤費用）</t>
    </r>
  </si>
  <si>
    <t xml:space="preserve">合併營業利益</t>
  </si>
  <si>
    <t xml:space="preserve">檢查：分部營業利益合計 − 合併營業利益</t>
  </si>
  <si>
    <t xml:space="preserve">合併損益</t>
  </si>
  <si>
    <t xml:space="preserve">營業成本</t>
  </si>
  <si>
    <r>
      <rPr>
        <sz val="11"/>
        <color theme="1"/>
        <rFont val="Noto Sans CJK SC"/>
        <family val="2"/>
      </rPr>
      <t xml:space="preserve">  其中：流量獲取成本 </t>
    </r>
    <r>
      <rPr>
        <sz val="11"/>
        <color theme="1"/>
        <rFont val="Calibri"/>
        <family val="2"/>
        <charset val="1"/>
      </rPr>
      <t xml:space="preserve">TAC</t>
    </r>
  </si>
  <si>
    <t xml:space="preserve">研發費用</t>
  </si>
  <si>
    <t xml:space="preserve">行銷費用</t>
  </si>
  <si>
    <t xml:space="preserve">管理費用</t>
  </si>
  <si>
    <t xml:space="preserve">檢查：營收 − 成本費用 − 營業利益</t>
  </si>
  <si>
    <t xml:space="preserve">其他收益淨額（含權益證券損益）</t>
  </si>
  <si>
    <t xml:space="preserve">  其中：權益證券淨損益</t>
  </si>
  <si>
    <t xml:space="preserve">稅前利益</t>
  </si>
  <si>
    <t xml:space="preserve">檢查：營業利益＋其他收益 − 稅前利益</t>
  </si>
  <si>
    <t xml:space="preserve">所得稅</t>
  </si>
  <si>
    <t xml:space="preserve">淨利</t>
  </si>
  <si>
    <t xml:space="preserve">檢查：稅前 − 所得稅 − 淨利</t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</si>
  <si>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</si>
  <si>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稀釋，美元）</t>
    </r>
  </si>
  <si>
    <t xml:space="preserve">現金流、資本支出與股東回饋</t>
  </si>
  <si>
    <t xml:space="preserve">折舊（不動產與設備）</t>
  </si>
  <si>
    <r>
      <rPr>
        <sz val="11"/>
        <color theme="1"/>
        <rFont val="Noto Sans CJK SC"/>
        <family val="2"/>
      </rPr>
      <t xml:space="preserve">股權報酬（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</si>
  <si>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營運現金流</t>
  </si>
  <si>
    <t xml:space="preserve">資本支出（購置不動產與設備）</t>
  </si>
  <si>
    <t xml:space="preserve">自由現金流（公司定義：營運現金流 − 資本支出）</t>
  </si>
  <si>
    <t xml:space="preserve">檢查：營運現金流 − 資本支出 − 自由現金流</t>
  </si>
  <si>
    <t xml:space="preserve">回購</t>
  </si>
  <si>
    <t xml:space="preserve">普通股股利</t>
  </si>
  <si>
    <r>
      <rPr>
        <b val="true"/>
        <sz val="11"/>
        <rFont val="Noto Sans CJK SC"/>
        <family val="2"/>
      </rPr>
      <t xml:space="preserve">核對彙總（實績必須為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</si>
  <si>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檢查：上列核對列絕對值合計（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季＋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</si>
  <si>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年報（分部營收、產品線、分部營業利益、資本支出、營運現金、折舊）</t>
    </r>
  </si>
  <si>
    <r>
      <rPr>
        <b val="true"/>
        <sz val="11"/>
        <rFont val="Noto Sans CJK SC"/>
        <family val="2"/>
      </rPr>
      <t xml:space="preserve">推導量（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頁的起始值；</t>
    </r>
    <r>
      <rPr>
        <b val="true"/>
        <sz val="11"/>
        <rFont val="Cambria"/>
        <family val="0"/>
        <charset val="1"/>
      </rPr>
      <t xml:space="preserve">[Derived]</t>
    </r>
    <r>
      <rPr>
        <b val="true"/>
        <sz val="11"/>
        <rFont val="Noto Sans CJK SC"/>
        <family val="2"/>
      </rPr>
      <t xml:space="preserve">）</t>
    </r>
  </si>
  <si>
    <t xml:space="preserve">數值</t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</si>
  <si>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Search &amp; other</t>
    </r>
  </si>
  <si>
    <r>
      <rPr>
        <sz val="11"/>
        <color theme="1"/>
        <rFont val="Calibri"/>
        <family val="2"/>
        <charset val="1"/>
      </rPr>
      <t xml:space="preserve">(2025Q3–2026Q2) ÷ (2024Q3–2025Q2)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的年增，之後收斂到長期值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</si>
  <si>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YouTube ads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</si>
  <si>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Network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</si>
  <si>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subscriptions, platforms, and devices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</si>
  <si>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</si>
  <si>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營收</t>
    </r>
  </si>
  <si>
    <t xml:space="preserve">近四季三分部營收合計（不含避險）</t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</si>
  <si>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（按近四季營收）</t>
    </r>
  </si>
  <si>
    <r>
      <rPr>
        <sz val="11"/>
        <color theme="1"/>
        <rFont val="Noto Sans CJK SC"/>
        <family val="2"/>
      </rPr>
      <t xml:space="preserve">公司不揭露分部折舊（技術基礎設施依使用量分攤，已含在分部營業利益）→ 按營收分攤（沿用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）；替代＝依使用量，雲端占比更高）</t>
    </r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</si>
  <si>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</si>
  <si>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Other Bets</t>
    </r>
  </si>
  <si>
    <t xml:space="preserve">近四季折舊</t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</si>
  <si>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率（近四季；營業利益＋分攤折舊）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</si>
  <si>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47.55%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mb_ttm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時採用）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</si>
  <si>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Services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</si>
  <si>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</si>
  <si>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；營業利益＋分攤折舊）</t>
    </r>
  </si>
  <si>
    <r>
      <rPr>
        <sz val="11"/>
        <color theme="1"/>
        <rFont val="Noto Sans CJK SC"/>
        <family val="2"/>
      </rPr>
      <t xml:space="preserve">與評價日機隊與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折舊年化（</t>
    </r>
    <r>
      <rPr>
        <sz val="11"/>
        <color theme="1"/>
        <rFont val="Calibri"/>
        <family val="2"/>
        <charset val="1"/>
      </rPr>
      <t xml:space="preserve">da_base</t>
    </r>
    <r>
      <rPr>
        <sz val="11"/>
        <color theme="1"/>
        <rFont val="Noto Sans CJK SC"/>
        <family val="2"/>
      </rPr>
      <t xml:space="preserve">）同一時點</t>
    </r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</si>
  <si>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率（預測期採用）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</si>
  <si>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（最新已申報半年，利潤率仍在擴張；近四季口徑列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增量成本另計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</si>
  <si>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Cloud EBITDA</t>
    </r>
    <r>
      <rPr>
        <sz val="11"/>
        <color theme="1"/>
        <rFont val="Noto Sans CJK SC"/>
        <family val="2"/>
      </rPr>
      <t xml:space="preserve">（營業利益＋分攤折舊）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</si>
  <si>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</si>
  <si>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前四季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</si>
  <si>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</si>
  <si>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Alphabet-level activities</t>
    </r>
  </si>
  <si>
    <r>
      <rPr>
        <sz val="11"/>
        <color theme="1"/>
        <rFont val="Calibri"/>
        <family val="2"/>
        <charset val="1"/>
      </rPr>
      <t xml:space="preserve">TAC ÷ (Search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Network) </t>
    </r>
    <r>
      <rPr>
        <sz val="11"/>
        <color theme="1"/>
        <rFont val="Noto Sans CJK SC"/>
        <family val="2"/>
      </rPr>
      <t xml:space="preserve">近四季</t>
    </r>
  </si>
  <si>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im </t>
    </r>
    <r>
      <rPr>
        <sz val="11"/>
        <color theme="1"/>
        <rFont val="Noto Sans CJK SC"/>
        <family val="2"/>
      </rPr>
      <t xml:space="preserve">的參考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</si>
  <si>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子列；同一套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推出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折舊與營運成本，接到分部營業利益（對外 →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；自用 →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</t>
    </r>
  </si>
  <si>
    <r>
      <rPr>
        <sz val="11"/>
        <color theme="1"/>
        <rFont val="Noto Sans CJK SC"/>
        <family val="2"/>
      </rPr>
      <t xml:space="preserve">三情境共用（本版的情境軸是 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速度、對外比例、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的區間在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頁。沿用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基準速度、對外比例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快照。不以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價格（工作單第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</si>
  <si>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價格與起始值（單一數值，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</si>
  <si>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長約＝長約證據價格 </t>
    </r>
    <r>
      <rPr>
        <sz val="11"/>
        <color theme="1"/>
        <rFont val="Calibri"/>
        <family val="2"/>
        <charset val="1"/>
      </rPr>
      <t xml:space="preserve">÷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</si>
  <si>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）：證據價格不變、分母隨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</si>
  <si>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現貨＝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現貨指數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</si>
  <si>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三家一致</t>
    </r>
  </si>
  <si>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長約＋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長約占比</t>
    </r>
    <r>
      <rPr>
        <sz val="11"/>
        <color theme="1"/>
        <rFont val="Calibri"/>
        <family val="2"/>
        <charset val="1"/>
      </rPr>
      <t xml:space="preserve">) × 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</si>
  <si>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1.201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</si>
  <si>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收入錨調整＝</t>
    </r>
    <r>
      <rPr>
        <sz val="11"/>
        <color theme="1"/>
        <rFont val="Calibri"/>
        <family val="2"/>
        <charset val="1"/>
      </rPr>
      <t xml:space="preserve">1 − TPU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×(1 − TPU </t>
    </r>
    <r>
      <rPr>
        <sz val="11"/>
        <color theme="1"/>
        <rFont val="Noto Sans CJK SC"/>
        <family val="2"/>
      </rPr>
      <t xml:space="preserve">係數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</si>
  <si>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</si>
  <si>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TPU IT </t>
    </r>
    <r>
      <rPr>
        <sz val="11"/>
        <color theme="1"/>
        <rFont val="Noto Sans CJK SC"/>
        <family val="2"/>
      </rPr>
      <t xml:space="preserve">資本支出調整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</si>
  <si>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</si>
  <si>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</t>
    </r>
    <r>
      <rPr>
        <sz val="11"/>
        <color theme="1"/>
        <rFont val="Calibri"/>
        <family val="2"/>
        <charset val="1"/>
      </rPr>
      <t xml:space="preserve">Tokenomics IF_OpexGW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</si>
  <si>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營收估計（近四季平均對外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期初每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收入）</t>
    </r>
  </si>
  <si>
    <r>
      <rPr>
        <sz val="11"/>
        <color theme="1"/>
        <rFont val="Noto Sans CJK SC"/>
        <family val="2"/>
      </rPr>
      <t xml:space="preserve">只用於拆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其他的起始成長率與利潤率</t>
    </r>
  </si>
  <si>
    <r>
      <rPr>
        <sz val="11"/>
        <color theme="1"/>
        <rFont val="Noto Sans CJK SC"/>
        <family val="2"/>
      </rPr>
      <t xml:space="preserve">前四季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營收估計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</si>
  <si>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Cloud AI EBITDA </t>
    </r>
    <r>
      <rPr>
        <sz val="11"/>
        <color theme="1"/>
        <rFont val="Noto Sans CJK SC"/>
        <family val="2"/>
      </rPr>
      <t xml:space="preserve">估計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</si>
  <si>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其他近四季年增（</t>
    </r>
    <r>
      <rPr>
        <sz val="11"/>
        <color theme="1"/>
        <rFont val="Calibri"/>
        <family val="2"/>
        <charset val="1"/>
      </rPr>
      <t xml:space="preserve">Cloud − Cloud AI </t>
    </r>
    <r>
      <rPr>
        <sz val="11"/>
        <color theme="1"/>
        <rFont val="Noto Sans CJK SC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</si>
  <si>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其他＝</t>
    </r>
    <r>
      <rPr>
        <sz val="11"/>
        <color theme="1"/>
        <rFont val="Calibri"/>
        <family val="2"/>
        <charset val="1"/>
      </rPr>
      <t xml:space="preserve">Workspace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雲端、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併入）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</si>
  <si>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率（近四季：</t>
    </r>
    <r>
      <rPr>
        <sz val="11"/>
        <color theme="1"/>
        <rFont val="Calibri"/>
        <family val="2"/>
        <charset val="1"/>
      </rPr>
      <t xml:space="preserve">Cloud EBITDA − Cloud AI EBITDA </t>
    </r>
    <r>
      <rPr>
        <sz val="11"/>
        <color theme="1"/>
        <rFont val="Noto Sans CJK SC"/>
        <family val="2"/>
      </rPr>
      <t xml:space="preserve">估計）</t>
    </r>
    <r>
      <rPr>
        <sz val="11"/>
        <color theme="1"/>
        <rFont val="Calibri"/>
        <family val="2"/>
        <charset val="1"/>
      </rPr>
      <t xml:space="preserve">÷ Cloud </t>
    </r>
    <r>
      <rPr>
        <sz val="11"/>
        <color theme="1"/>
        <rFont val="Noto Sans CJK SC"/>
        <family val="2"/>
      </rPr>
      <t xml:space="preserve">其他營收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</si>
  <si>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mb_ttm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時採用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</si>
  <si>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</si>
  <si>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(1H26 Cloud </t>
    </r>
    <r>
      <rPr>
        <sz val="11"/>
        <color theme="1"/>
        <rFont val="Noto Sans CJK SC"/>
        <family val="2"/>
      </rPr>
      <t xml:space="preserve">營業利益＋分攤折舊 − </t>
    </r>
    <r>
      <rPr>
        <sz val="11"/>
        <color theme="1"/>
        <rFont val="Calibri"/>
        <family val="2"/>
        <charset val="1"/>
      </rPr>
      <t xml:space="preserve">Cloud AI 1H EBITDA) ÷ 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1H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</si>
  <si>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率（預測期採用，固定）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</si>
  <si>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m_svc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</si>
  <si>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總 </t>
    </r>
    <r>
      <rPr>
        <b val="true"/>
        <sz val="11"/>
        <rFont val="Cambria"/>
        <family val="0"/>
        <charset val="1"/>
      </rPr>
      <t xml:space="preserve">IT MW</t>
    </r>
    <r>
      <rPr>
        <b val="true"/>
        <sz val="11"/>
        <rFont val="Noto Sans CJK SC"/>
        <family val="2"/>
      </rPr>
      <t xml:space="preserve">；期末）— 依 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世代錨分桶</t>
    </r>
  </si>
  <si>
    <t xml:space="preserve">FY2024A</t>
  </si>
  <si>
    <t xml:space="preserve">FY2025A</t>
  </si>
  <si>
    <t xml:space="preserve">1H26A</t>
  </si>
  <si>
    <t xml:space="preserve">2H26E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</si>
  <si>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</si>
  <si>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</si>
  <si>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</si>
  <si>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</si>
  <si>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</si>
  <si>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</si>
  <si>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</si>
  <si>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</si>
  <si>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期初（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期初機隊占比；新增依年度世代組合（</t>
    </r>
    <r>
      <rPr>
        <sz val="11"/>
        <color theme="1"/>
        <rFont val="Calibri"/>
        <family val="2"/>
        <charset val="1"/>
      </rPr>
      <t xml:space="preserve">2026 GB300 </t>
    </r>
    <r>
      <rPr>
        <sz val="11"/>
        <color theme="1"/>
        <rFont val="Noto Sans CJK SC"/>
        <family val="2"/>
      </rPr>
      <t xml:space="preserve">錨；</t>
    </r>
    <r>
      <rPr>
        <sz val="11"/>
        <color theme="1"/>
        <rFont val="Calibri"/>
        <family val="2"/>
        <charset val="1"/>
      </rPr>
      <t xml:space="preserve">2027 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各半；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</si>
  <si>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</si>
  <si>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</si>
  <si>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</si>
  <si>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</si>
  <si>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期末對外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（＝總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</si>
  <si>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1,901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defaults.billableOpen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</si>
  <si>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</si>
  <si>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</si>
  <si>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</si>
  <si>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</si>
  <si>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</si>
  <si>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平均在役對外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</si>
  <si>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</t>
    </r>
  </si>
  <si>
    <r>
      <rPr>
        <sz val="11"/>
        <color theme="1"/>
        <rFont val="Noto Sans CJK SC"/>
        <family val="2"/>
      </rPr>
      <t xml:space="preserve">三情境相同（預設，報告第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</si>
  <si>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C. Cloud AI</t>
    </r>
    <r>
      <rPr>
        <b val="true"/>
        <sz val="11"/>
        <rFont val="Noto Sans CJK SC"/>
        <family val="2"/>
      </rPr>
      <t xml:space="preserve">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雲端；</t>
    </r>
    <r>
      <rPr>
        <b val="true"/>
        <sz val="11"/>
        <rFont val="Cambria"/>
        <family val="0"/>
        <charset val="1"/>
      </rPr>
      <t xml:space="preserve">Google Cloud </t>
    </r>
    <r>
      <rPr>
        <b val="true"/>
        <sz val="11"/>
        <rFont val="Noto Sans CJK SC"/>
        <family val="2"/>
      </rPr>
      <t xml:space="preserve">的命題子列）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</si>
  <si>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營收＝對外比例 </t>
    </r>
    <r>
      <rPr>
        <sz val="11"/>
        <color theme="1"/>
        <rFont val="Calibri"/>
        <family val="2"/>
        <charset val="1"/>
      </rPr>
      <t xml:space="preserve">× Σ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MW × IF_HoldEcon × k × TPU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</si>
  <si>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Noto Sans CJK SC"/>
        <family val="2"/>
      </rPr>
      <t xml:space="preserve">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為模型估計（公司未揭露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營收），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其他＝實際 </t>
    </r>
    <r>
      <rPr>
        <sz val="11"/>
        <color theme="1"/>
        <rFont val="Calibri"/>
        <family val="2"/>
        <charset val="1"/>
      </rPr>
      <t xml:space="preserve">Cloud − </t>
    </r>
    <r>
      <rPr>
        <sz val="11"/>
        <color theme="1"/>
        <rFont val="Noto Sans CJK SC"/>
        <family val="2"/>
      </rPr>
      <t xml:space="preserve">本列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</si>
  <si>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</si>
  <si>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營運費用（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，含電費）</t>
    </r>
  </si>
  <si>
    <t xml:space="preserve">Cloud AI EBITDA</t>
  </si>
  <si>
    <r>
      <rPr>
        <sz val="11"/>
        <color theme="1"/>
        <rFont val="Calibri"/>
        <family val="2"/>
        <charset val="1"/>
      </rPr>
      <t xml:space="preserve">  Cloud AI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</si>
  <si>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上限檢查：每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 50% </t>
    </r>
    <r>
      <rPr>
        <sz val="11"/>
        <color theme="1"/>
        <rFont val="Noto Sans CJK SC"/>
        <family val="2"/>
      </rPr>
      <t xml:space="preserve">示警；不得作預測）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</si>
  <si>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基準最高 </t>
    </r>
    <r>
      <rPr>
        <sz val="11"/>
        <color theme="1"/>
        <rFont val="Calibri"/>
        <family val="2"/>
        <charset val="1"/>
      </rPr>
      <t xml:space="preserve">38.0%</t>
    </r>
  </si>
  <si>
    <r>
      <rPr>
        <b val="true"/>
        <sz val="11"/>
        <rFont val="Cambria"/>
        <family val="0"/>
        <charset val="1"/>
      </rPr>
      <t xml:space="preserve">D. AI </t>
    </r>
    <r>
      <rPr>
        <b val="true"/>
        <sz val="11"/>
        <rFont val="Noto Sans CJK SC"/>
        <family val="2"/>
      </rPr>
      <t xml:space="preserve">資本支出（新增 </t>
    </r>
    <r>
      <rPr>
        <b val="true"/>
        <sz val="11"/>
        <rFont val="Cambria"/>
        <family val="0"/>
        <charset val="1"/>
      </rPr>
      <t xml:space="preserve">MW × Tokenomics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成本；汰換只換 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</si>
  <si>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資本支出（成長）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</si>
  <si>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</si>
  <si>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年前上線的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，換成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</si>
  <si>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年底在役 →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汰換，以此類推；汰換後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照常在役（收入不變）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</si>
  <si>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汰換資本支出（只含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</si>
  <si>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資本支出（公式）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</si>
  <si>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指引下限補足（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指引 − 上半年 − 公式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；歸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</si>
  <si>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：首期資本支出＝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公司指引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三情境營收相同（情境爬坡自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起），用情境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</si>
  <si>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資本支出（含指引下限補足）</t>
    </r>
  </si>
  <si>
    <r>
      <rPr>
        <sz val="11"/>
        <color theme="1"/>
        <rFont val="Calibri"/>
        <family val="2"/>
        <charset val="1"/>
      </rPr>
      <t xml:space="preserve">  Cloud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</si>
  <si>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Noto Sans CJK SC"/>
        <family val="2"/>
      </rPr>
      <t xml:space="preserve">折舊（在建工程與新增資本支出依年限直線攤提；評價日在役資產的折舊在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頁「基礎折舊」）</t>
    </r>
  </si>
  <si>
    <r>
      <rPr>
        <sz val="11"/>
        <color theme="1"/>
        <rFont val="Noto Sans CJK SC"/>
        <family val="2"/>
      </rPr>
      <t xml:space="preserve">每個資本支出年度：當期 </t>
    </r>
    <r>
      <rPr>
        <sz val="11"/>
        <color theme="1"/>
        <rFont val="Calibri"/>
        <family val="2"/>
        <charset val="1"/>
      </rPr>
      <t xml:space="preserve">× phi_0</t>
    </r>
    <r>
      <rPr>
        <sz val="11"/>
        <color theme="1"/>
        <rFont val="Noto Sans CJK SC"/>
        <family val="2"/>
      </rPr>
      <t xml:space="preserve">、之後每年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、最後一年 </t>
    </r>
    <r>
      <rPr>
        <sz val="11"/>
        <color theme="1"/>
        <rFont val="Calibri"/>
        <family val="2"/>
        <charset val="1"/>
      </rPr>
      <t xml:space="preserve">1 − phi_0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life_fac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含汰換與指引補足；在建工程 </t>
    </r>
    <r>
      <rPr>
        <sz val="11"/>
        <color theme="1"/>
        <rFont val="Calibri"/>
        <family val="2"/>
        <charset val="1"/>
      </rPr>
      <t xml:space="preserve">2026H2 </t>
    </r>
    <r>
      <rPr>
        <sz val="11"/>
        <color theme="1"/>
        <rFont val="Noto Sans CJK SC"/>
        <family val="2"/>
      </rPr>
      <t xml:space="preserve">起轉入）</t>
    </r>
  </si>
  <si>
    <r>
      <rPr>
        <sz val="11"/>
        <color theme="1"/>
        <rFont val="Noto Sans CJK SC"/>
        <family val="2"/>
      </rPr>
      <t xml:space="preserve">在建工程轉入：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</si>
  <si>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Noto Sans CJK SC"/>
        <family val="2"/>
      </rPr>
      <t xml:space="preserve">在建工程轉入：機房與網通（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</si>
  <si>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批次金額（成長＋汰換＋指引補足）</t>
    </r>
  </si>
  <si>
    <t xml:space="preserve">機房批次金額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</si>
  <si>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</si>
  <si>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折舊：機房</t>
    </r>
  </si>
  <si>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</si>
  <si>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sz val="11"/>
        <color theme="1"/>
        <rFont val="Noto Sans CJK SC"/>
        <family val="2"/>
      </rPr>
      <t xml:space="preserve">  其中：對外（→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）</t>
    </r>
  </si>
  <si>
    <t xml:space="preserve">按對外比例分攤（在建工程同）</t>
  </si>
  <si>
    <r>
      <rPr>
        <sz val="11"/>
        <color theme="1"/>
        <rFont val="Noto Sans CJK SC"/>
        <family val="2"/>
      </rPr>
      <t xml:space="preserve">  其中：自用（→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</si>
  <si>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增量成本（相對評價日機隊；評價日機隊的成本已在近四季分部利益率內）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</si>
  <si>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增量營運費用（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</si>
  <si>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算力租金（自用，營運成本）</t>
    </r>
  </si>
  <si>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增量成本合計（營運＋租金＋自用折舊）</t>
    </r>
  </si>
  <si>
    <r>
      <rPr>
        <sz val="11"/>
        <color theme="1"/>
        <rFont val="Noto Sans CJK SC"/>
        <family val="2"/>
      </rPr>
      <t xml:space="preserve">  歸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svc_sh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</si>
  <si>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歸 </t>
    </r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(1 − svc_sh)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</si>
  <si>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營收分部層：官方分部（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層級避險；產品線為子列。情境差異只在 </t>
    </r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擴大變現／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近四季成長收斂／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查詢分流、變現下降），其餘三情境相同</t>
    </r>
  </si>
  <si>
    <r>
      <rPr>
        <sz val="11"/>
        <color theme="1"/>
        <rFont val="Noto Sans CJK SC"/>
        <family val="2"/>
      </rPr>
      <t xml:space="preserve">成長路徑：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年增＝近四季年增（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頁），之後線性收斂到長期值（</t>
    </r>
    <r>
      <rPr>
        <sz val="11"/>
        <color theme="1"/>
        <rFont val="Calibri"/>
        <family val="2"/>
        <charset val="1"/>
      </rPr>
      <t xml:space="preserve">conv_n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到達）。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情境：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分流</t>
    </r>
    <r>
      <rPr>
        <sz val="11"/>
        <color theme="1"/>
        <rFont val="Calibri"/>
        <family val="2"/>
        <charset val="1"/>
      </rPr>
      <t xml:space="preserve">) ×(1</t>
    </r>
    <r>
      <rPr>
        <sz val="11"/>
        <color theme="1"/>
        <rFont val="Noto Sans CJK SC"/>
        <family val="2"/>
      </rPr>
      <t xml:space="preserve">＋每次查詢變現變動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，分流與變現變動自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線性到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頁值。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頁帶入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</si>
  <si>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搜尋擴大變現）</t>
    </r>
  </si>
  <si>
    <r>
      <rPr>
        <sz val="11"/>
        <color theme="1"/>
        <rFont val="Calibri"/>
        <family val="2"/>
        <charset val="1"/>
      </rPr>
      <t xml:space="preserve">  Search B </t>
    </r>
    <r>
      <rPr>
        <sz val="11"/>
        <color theme="1"/>
        <rFont val="Noto Sans CJK SC"/>
        <family val="2"/>
      </rPr>
      <t xml:space="preserve">路徑年增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</si>
  <si>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年增＝近四季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gl_search</t>
    </r>
  </si>
  <si>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</si>
  <si>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  情境爬坡（</t>
    </r>
    <r>
      <rPr>
        <sz val="11"/>
        <color theme="1"/>
        <rFont val="Calibri"/>
        <family val="2"/>
        <charset val="1"/>
      </rPr>
      <t xml:space="preserve">FY2026 0 → FY2030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</si>
  <si>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查詢分流（相對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</si>
  <si>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（負值＝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模式吸引查詢回流）</t>
    </r>
  </si>
  <si>
    <r>
      <rPr>
        <sz val="11"/>
        <color theme="1"/>
        <rFont val="Noto Sans CJK SC"/>
        <family val="2"/>
      </rPr>
      <t xml:space="preserve">  每次查詢變現變動（相對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</si>
  <si>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  YouTube ads </t>
    </r>
    <r>
      <rPr>
        <sz val="11"/>
        <color theme="1"/>
        <rFont val="Noto Sans CJK SC"/>
        <family val="2"/>
      </rPr>
      <t xml:space="preserve">年增</t>
    </r>
  </si>
  <si>
    <t xml:space="preserve">三情境相同</t>
  </si>
  <si>
    <r>
      <rPr>
        <sz val="11"/>
        <color theme="1"/>
        <rFont val="Calibri"/>
        <family val="2"/>
        <charset val="1"/>
      </rPr>
      <t xml:space="preserve">  Google Network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</si>
  <si>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  Google subscriptions, platforms, and devices </t>
    </r>
    <r>
      <rPr>
        <sz val="11"/>
        <color theme="1"/>
        <rFont val="Noto Sans CJK SC"/>
        <family val="2"/>
      </rPr>
      <t xml:space="preserve">年增</t>
    </r>
  </si>
  <si>
    <t xml:space="preserve">Google Services</t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</si>
  <si>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</si>
  <si>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頁：對外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為模型估計）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</si>
  <si>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系統銷售（命題子列）</t>
    </r>
  </si>
  <si>
    <r>
      <rPr>
        <sz val="11"/>
        <color theme="1"/>
        <rFont val="Calibri"/>
        <family val="2"/>
        <charset val="1"/>
      </rPr>
      <t xml:space="preserve">C8 b</t>
    </r>
    <r>
      <rPr>
        <sz val="11"/>
        <color theme="1"/>
        <rFont val="Noto Sans CJK SC"/>
        <family val="2"/>
      </rPr>
      <t xml:space="preserve">：不走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金額未揭露 →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</si>
  <si>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Cloud </t>
    </r>
    <r>
      <rPr>
        <sz val="11"/>
        <color theme="1"/>
        <rFont val="Noto Sans CJK SC"/>
        <family val="2"/>
      </rPr>
      <t xml:space="preserve">其他年增</t>
    </r>
  </si>
  <si>
    <r>
      <rPr>
        <sz val="11"/>
        <color theme="1"/>
        <rFont val="Noto Sans CJK SC"/>
        <family val="2"/>
      </rPr>
      <t xml:space="preserve">起始＝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其他近四季年增（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g0_co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gl_co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</si>
  <si>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其他（命題子列）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</si>
  <si>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估計 −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)^0.5</t>
    </r>
  </si>
  <si>
    <t xml:space="preserve">Google Cloud</t>
  </si>
  <si>
    <t xml:space="preserve">Other Bets</t>
  </si>
  <si>
    <t xml:space="preserve">Hedging gains (losses)</t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</si>
  <si>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；預測期 </t>
    </r>
    <r>
      <rPr>
        <sz val="11"/>
        <color theme="1"/>
        <rFont val="Calibri"/>
        <family val="2"/>
        <charset val="1"/>
      </rPr>
      <t xml:space="preserve">0 [Assumed]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</si>
  <si>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</si>
  <si>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檢查：實績欄合併營收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</si>
  <si>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cx_svc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</si>
  <si>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其他（營收 </t>
    </r>
    <r>
      <rPr>
        <sz val="11"/>
        <color theme="1"/>
        <rFont val="Calibri"/>
        <family val="2"/>
        <charset val="1"/>
      </rPr>
      <t xml:space="preserve">× cx_co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</si>
  <si>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cx_ob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</si>
  <si>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資本支出合計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</si>
  <si>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</si>
  <si>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</si>
  <si>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</si>
  <si>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新增非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</si>
  <si>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（近四季成長收斂；基準）</t>
    </r>
  </si>
  <si>
    <t xml:space="preserve">基準不設分流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</si>
  <si>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（查詢被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助理分流、每次查詢變現下降）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</si>
  <si>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（壓力情境）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</si>
  <si>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 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（三情境；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美元）。實績欄（</t>
    </r>
    <r>
      <rPr>
        <sz val="11"/>
        <color theme="1"/>
        <rFont val="Calibri"/>
        <family val="2"/>
        <charset val="1"/>
      </rPr>
      <t xml:space="preserve">FY2024A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1H26A</t>
    </r>
    <r>
      <rPr>
        <sz val="11"/>
        <color theme="1"/>
        <rFont val="Noto Sans CJK SC"/>
        <family val="2"/>
      </rPr>
      <t xml:space="preserve">）取自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FY2026E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</si>
  <si>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分部營業利益＝分部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分攤折舊。分部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情境差額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 </t>
    </r>
    <r>
      <rPr>
        <sz val="11"/>
        <color theme="1"/>
        <rFont val="Calibri"/>
        <family val="2"/>
        <charset val="1"/>
      </rPr>
      <t xml:space="preserve">× svc_sh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Cloud AI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TPU × tpu_m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× m_co</t>
    </r>
    <r>
      <rPr>
        <sz val="11"/>
        <color theme="1"/>
        <rFont val="Noto Sans CJK SC"/>
        <family val="2"/>
      </rPr>
      <t xml:space="preserve">。折舊＝評價日在役資產基礎折舊（按近四季營收分攤）＋新增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折舊（對外→</t>
    </r>
    <r>
      <rPr>
        <sz val="11"/>
        <color theme="1"/>
        <rFont val="Calibri"/>
        <family val="2"/>
        <charset val="1"/>
      </rPr>
      <t xml:space="preserve">Cloud</t>
    </r>
    <r>
      <rPr>
        <sz val="11"/>
        <color theme="1"/>
        <rFont val="Noto Sans CJK SC"/>
        <family val="2"/>
      </rPr>
      <t xml:space="preserve">、自用→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層級）＋新增非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折舊。持股評價損益預測期設 </t>
    </r>
    <r>
      <rPr>
        <sz val="11"/>
        <color theme="1"/>
        <rFont val="Calibri"/>
        <family val="2"/>
        <charset val="1"/>
      </rPr>
      <t xml:space="preserve">0</t>
    </r>
  </si>
  <si>
    <r>
      <rPr>
        <b val="true"/>
        <sz val="11"/>
        <rFont val="Noto Sans CJK SC"/>
        <family val="2"/>
      </rPr>
      <t xml:space="preserve">分部對帳彙總（三情境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全部年度取絕對值最大者；實績欄同列）</t>
    </r>
  </si>
  <si>
    <r>
      <rPr>
        <sz val="11"/>
        <color theme="1"/>
        <rFont val="Noto Sans CJK SC"/>
        <family val="2"/>
      </rPr>
      <t xml:space="preserve">三情境各區塊同名核對列的最大絕對值；必須為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讀本列）</t>
    </r>
  </si>
  <si>
    <t xml:space="preserve">  合併營收年增</t>
  </si>
  <si>
    <r>
      <rPr>
        <sz val="11"/>
        <color theme="1"/>
        <rFont val="Calibri"/>
        <family val="2"/>
        <charset val="1"/>
      </rPr>
      <t xml:space="preserve">  Search </t>
    </r>
    <r>
      <rPr>
        <sz val="11"/>
        <color theme="1"/>
        <rFont val="Noto Sans CJK SC"/>
        <family val="2"/>
      </rPr>
      <t xml:space="preserve">情境差額（相對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</si>
  <si>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t xml:space="preserve">Google Services EBITDA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</si>
  <si>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路徑營收 </t>
    </r>
    <r>
      <rPr>
        <sz val="11"/>
        <color theme="1"/>
        <rFont val="Calibri"/>
        <family val="2"/>
        <charset val="1"/>
      </rPr>
      <t xml:space="preserve">× m_svc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頁近四季 </t>
    </r>
    <r>
      <rPr>
        <sz val="11"/>
        <color theme="1"/>
        <rFont val="Calibri"/>
        <family val="2"/>
        <charset val="1"/>
      </rPr>
      <t xml:space="preserve">47.55%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 </t>
    </r>
    <r>
      <rPr>
        <sz val="11"/>
        <color theme="1"/>
        <rFont val="Calibri"/>
        <family val="2"/>
        <charset val="1"/>
      </rPr>
      <t xml:space="preserve">× inc_m −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增量營運與租金 </t>
    </r>
    <r>
      <rPr>
        <sz val="11"/>
        <color theme="1"/>
        <rFont val="Calibri"/>
        <family val="2"/>
        <charset val="1"/>
      </rPr>
      <t xml:space="preserve">× svc_sh</t>
    </r>
  </si>
  <si>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折舊（基礎分攤＋新增非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× svc_sh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</si>
  <si>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Google Services </t>
    </r>
    <r>
      <rPr>
        <b val="true"/>
        <sz val="11"/>
        <rFont val="Noto Sans CJK SC"/>
        <family val="2"/>
      </rPr>
      <t xml:space="preserve">營業利益</t>
    </r>
  </si>
  <si>
    <t xml:space="preserve">Google Cloud EBITDA</t>
  </si>
  <si>
    <r>
      <rPr>
        <sz val="11"/>
        <color theme="1"/>
        <rFont val="Calibri"/>
        <family val="2"/>
        <charset val="1"/>
      </rPr>
      <t xml:space="preserve">Cloud AI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營運成本）＋</t>
    </r>
    <r>
      <rPr>
        <sz val="11"/>
        <color theme="1"/>
        <rFont val="Calibri"/>
        <family val="2"/>
        <charset val="1"/>
      </rPr>
      <t xml:space="preserve">TPU × tpu_m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× m_co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</si>
  <si>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折舊（基礎分攤＋對外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</si>
  <si>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Google Cloud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</si>
  <si>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折舊（基礎分攤＋新增非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</si>
  <si>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Other Bets </t>
    </r>
    <r>
      <rPr>
        <b val="true"/>
        <sz val="11"/>
        <rFont val="Noto Sans CJK SC"/>
        <family val="2"/>
      </rPr>
      <t xml:space="preserve">營業利益</t>
    </r>
  </si>
  <si>
    <t xml:space="preserve">Other Bets EBITDA</t>
  </si>
  <si>
    <r>
      <rPr>
        <sz val="11"/>
        <color theme="1"/>
        <rFont val="Calibri"/>
        <family val="2"/>
        <charset val="1"/>
      </rPr>
      <t xml:space="preserve">Alphabet-level </t>
    </r>
    <r>
      <rPr>
        <sz val="11"/>
        <color theme="1"/>
        <rFont val="Noto Sans CJK SC"/>
        <family val="2"/>
      </rPr>
      <t xml:space="preserve">折舊（自用 </t>
    </r>
    <r>
      <rPr>
        <sz val="11"/>
        <color theme="1"/>
        <rFont val="Calibri"/>
        <family val="2"/>
        <charset val="1"/>
      </rPr>
      <t xml:space="preserve">AI × (1 − svc_sh)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</si>
  <si>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Alphabet-level activities</t>
    </r>
    <r>
      <rPr>
        <b val="true"/>
        <sz val="11"/>
        <rFont val="Noto Sans CJK SC"/>
        <family val="2"/>
      </rPr>
      <t xml:space="preserve">（避險營收 − 未分攤費用 − 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 </t>
    </r>
    <r>
      <rPr>
        <b val="true"/>
        <sz val="11"/>
        <rFont val="Cambria"/>
        <family val="0"/>
        <charset val="1"/>
      </rPr>
      <t xml:space="preserve">× (1 − svc_sh)</t>
    </r>
    <r>
      <rPr>
        <b val="true"/>
        <sz val="11"/>
        <rFont val="Noto Sans CJK SC"/>
        <family val="2"/>
      </rPr>
      <t xml:space="preserve">）</t>
    </r>
  </si>
  <si>
    <t xml:space="preserve">Alphabet-level EBITDA</t>
  </si>
  <si>
    <t xml:space="preserve">分部營業利益合計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</si>
  <si>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（分部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</si>
  <si>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折舊合計（基礎＋新增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</si>
  <si>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與以前為現金流量表實績</t>
    </r>
  </si>
  <si>
    <r>
      <rPr>
        <sz val="11"/>
        <color theme="1"/>
        <rFont val="Noto Sans CJK SC"/>
        <family val="2"/>
      </rPr>
      <t xml:space="preserve">  其中：新增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</si>
  <si>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Noto Sans CJK SC"/>
        <family val="2"/>
      </rPr>
      <t xml:space="preserve">預測期＝合併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折舊合計（與分部營業利益合計獨立計算，下一列核對折舊分攤）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</si>
  <si>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</si>
  <si>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Google Services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</si>
  <si>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  Google Cloud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</si>
  <si>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r_cash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</si>
  <si>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利息費用（期初債務 </t>
    </r>
    <r>
      <rPr>
        <sz val="11"/>
        <color theme="1"/>
        <rFont val="Calibri"/>
        <family val="2"/>
        <charset val="1"/>
      </rPr>
      <t xml:space="preserve">× r_debt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</si>
  <si>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權益證券淨損益（預測期設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</si>
  <si>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2026H1 135.9 </t>
    </r>
    <r>
      <rPr>
        <sz val="11"/>
        <color theme="1"/>
        <rFont val="Noto Sans CJK SC"/>
        <family val="2"/>
      </rPr>
      <t xml:space="preserve">主要為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上市與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重估（非營業）；預測期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PL</t>
    </r>
    <r>
      <rPr>
        <sz val="11"/>
        <color theme="1"/>
        <rFont val="Noto Sans CJK SC"/>
        <family val="2"/>
      </rPr>
      <t xml:space="preserve">）</t>
    </r>
  </si>
  <si>
    <t xml:space="preserve">業外收益合計</t>
  </si>
  <si>
    <r>
      <rPr>
        <sz val="11"/>
        <color theme="1"/>
        <rFont val="Noto Sans CJK SC"/>
        <family val="2"/>
      </rPr>
      <t xml:space="preserve">檢查：實績淨利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</si>
  <si>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特別股股利</t>
  </si>
  <si>
    <t xml:space="preserve">歸屬普通股淨利</t>
  </si>
  <si>
    <t xml:space="preserve">期末稀釋股數（十億股）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</si>
  <si>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期末＝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(7/15 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dil) −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回購均價；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+conv_sh</t>
    </r>
  </si>
  <si>
    <t xml:space="preserve">平均稀釋股數（十億股）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</si>
  <si>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</si>
  <si>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（不含權益證券損益，美元）</t>
    </r>
  </si>
  <si>
    <r>
      <rPr>
        <sz val="11"/>
        <color theme="1"/>
        <rFont val="Noto Sans CJK SC"/>
        <family val="2"/>
      </rPr>
      <t xml:space="preserve">權益證券損益以 </t>
    </r>
    <r>
      <rPr>
        <sz val="11"/>
        <color theme="1"/>
        <rFont val="Calibri"/>
        <family val="2"/>
        <charset val="1"/>
      </rPr>
      <t xml:space="preserve">tax_eq 21% </t>
    </r>
    <r>
      <rPr>
        <sz val="11"/>
        <color theme="1"/>
        <rFont val="Noto Sans CJK SC"/>
        <family val="2"/>
      </rPr>
      <t xml:space="preserve">稅後扣除；可與共識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比較</t>
    </r>
  </si>
  <si>
    <t xml:space="preserve">股權報酬（已含在分部營業利益內）</t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</si>
  <si>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）。營運現金＝淨利＋折舊＋股權報酬＋營運資金；資本支出＝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）；自由現金流＝營運現金 − 資本支出 − 融資租賃本金。融資順序：現金 → 減少回購 → 新債（最低現金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</si>
  <si>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年：上半年發行普通股 </t>
    </r>
    <r>
      <rPr>
        <sz val="11"/>
        <color theme="1"/>
        <rFont val="Calibri"/>
        <family val="2"/>
        <charset val="1"/>
      </rPr>
      <t xml:space="preserve">30.5B</t>
    </r>
    <r>
      <rPr>
        <sz val="11"/>
        <color theme="1"/>
        <rFont val="Noto Sans CJK SC"/>
        <family val="2"/>
      </rPr>
      <t xml:space="preserve">（承銷＋</t>
    </r>
    <r>
      <rPr>
        <sz val="11"/>
        <color theme="1"/>
        <rFont val="Calibri"/>
        <family val="2"/>
        <charset val="1"/>
      </rPr>
      <t xml:space="preserve">Berkshire</t>
    </r>
    <r>
      <rPr>
        <sz val="11"/>
        <color theme="1"/>
        <rFont val="Noto Sans CJK SC"/>
        <family val="2"/>
      </rPr>
      <t xml:space="preserve">）與強制轉換特別股 </t>
    </r>
    <r>
      <rPr>
        <sz val="11"/>
        <color theme="1"/>
        <rFont val="Calibri"/>
        <family val="2"/>
        <charset val="1"/>
      </rPr>
      <t xml:space="preserve">19.1B</t>
    </r>
    <r>
      <rPr>
        <sz val="11"/>
        <color theme="1"/>
        <rFont val="Noto Sans CJK SC"/>
        <family val="2"/>
      </rPr>
      <t xml:space="preserve">、暫停回購（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：現金牛最強，但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已轉向外部融資）；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起回購目標 </t>
    </r>
    <r>
      <rPr>
        <sz val="11"/>
        <color theme="1"/>
        <rFont val="Calibri"/>
        <family val="2"/>
        <charset val="1"/>
      </rPr>
      <t xml:space="preserve">17.0</t>
    </r>
    <r>
      <rPr>
        <sz val="11"/>
        <color theme="1"/>
        <rFont val="Noto Sans CJK SC"/>
        <family val="2"/>
      </rPr>
      <t xml:space="preserve">／年（現金不足時先減回購）</t>
    </r>
  </si>
  <si>
    <r>
      <rPr>
        <b val="true"/>
        <sz val="11"/>
        <rFont val="Noto Sans CJK SC"/>
        <family val="2"/>
      </rPr>
      <t xml:space="preserve">收支關卡（地圖讀這兩列；模型期間 </t>
    </r>
    <r>
      <rPr>
        <b val="true"/>
        <sz val="11"/>
        <rFont val="Cambria"/>
        <family val="0"/>
        <charset val="1"/>
      </rPr>
      <t xml:space="preserve">FY2026–FY2030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含上半年實績）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</si>
  <si>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</si>
  <si>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</si>
  <si>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</si>
  <si>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</si>
  <si>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自由現金流（扣融資租賃本金）− 普通股與特別股股利；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含上半年實績。負值＝入不敷出</t>
    </r>
  </si>
  <si>
    <t xml:space="preserve">  其中：五年新增舉債</t>
  </si>
  <si>
    <r>
      <rPr>
        <sz val="11"/>
        <color theme="1"/>
        <rFont val="Noto Sans CJK SC"/>
        <family val="2"/>
      </rPr>
      <t xml:space="preserve">  其中：五年回購合計（</t>
    </r>
    <r>
      <rPr>
        <sz val="11"/>
        <color theme="1"/>
        <rFont val="Calibri"/>
        <family val="2"/>
        <charset val="1"/>
      </rPr>
      <t xml:space="preserve">FY2027–FY2030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4 × bb_t</t>
    </r>
    <r>
      <rPr>
        <sz val="11"/>
        <color theme="1"/>
        <rFont val="Noto Sans CJK SC"/>
        <family val="2"/>
      </rPr>
      <t xml:space="preserve">）</t>
    </r>
  </si>
  <si>
    <t xml:space="preserve">是否需要舉債或停止回購</t>
  </si>
  <si>
    <r>
      <rPr>
        <sz val="11"/>
        <color theme="1"/>
        <rFont val="Noto Sans CJK SC"/>
        <family val="2"/>
      </rPr>
      <t xml:space="preserve">依現金瀑布：現金 → 減少回購 → 新債（最低現金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上半年已發行股權 </t>
    </r>
    <r>
      <rPr>
        <sz val="11"/>
        <color theme="1"/>
        <rFont val="Calibri"/>
        <family val="2"/>
        <charset val="1"/>
      </rPr>
      <t xml:space="preserve">49.6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起新債 </t>
    </r>
    <r>
      <rPr>
        <sz val="11"/>
        <color theme="1"/>
        <rFont val="Calibri"/>
        <family val="2"/>
        <charset val="1"/>
      </rPr>
      <t xml:space="preserve">25.0 </t>
    </r>
    <r>
      <rPr>
        <sz val="11"/>
        <color theme="1"/>
        <rFont val="Noto Sans CJK SC"/>
        <family val="2"/>
      </rPr>
      <t xml:space="preserve">為已發生事件</t>
    </r>
  </si>
  <si>
    <t xml:space="preserve">折舊</t>
  </si>
  <si>
    <t xml:space="preserve">股權報酬（非現金）</t>
  </si>
  <si>
    <t xml:space="preserve">營運資金變動（流入＋）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</si>
  <si>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＝上一年度同期實際（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）；之後＝營收增量 </t>
    </r>
    <r>
      <rPr>
        <sz val="11"/>
        <color theme="1"/>
        <rFont val="Calibri"/>
        <family val="2"/>
        <charset val="1"/>
      </rPr>
      <t xml:space="preserve">× wc_k</t>
    </r>
  </si>
  <si>
    <t xml:space="preserve">其他非現金調整（實績差額：權益證券利益迴轉、遞延稅等）</t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</si>
  <si>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；首期含指引下限補足）</t>
    </r>
  </si>
  <si>
    <r>
      <rPr>
        <sz val="11"/>
        <color theme="1"/>
        <rFont val="Noto Sans CJK SC"/>
        <family val="2"/>
      </rPr>
      <t xml:space="preserve">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</si>
  <si>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t xml:space="preserve">資本支出合計</t>
  </si>
  <si>
    <t xml:space="preserve">融資租賃本金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</si>
  <si>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補充資訊 </t>
    </r>
    <r>
      <rPr>
        <sz val="11"/>
        <color theme="1"/>
        <rFont val="Calibri"/>
        <family val="2"/>
        <charset val="1"/>
      </rPr>
      <t xml:space="preserve">0.840 [Interested-party]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未列（公司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定義不扣）</t>
    </r>
  </si>
  <si>
    <t xml:space="preserve">自由現金流（營運現金 − 資本支出 − 融資租賃本金）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</si>
  <si>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0.22 × 2 × </t>
    </r>
    <r>
      <rPr>
        <sz val="11"/>
        <color theme="1"/>
        <rFont val="Noto Sans CJK SC"/>
        <family val="2"/>
      </rPr>
      <t xml:space="preserve">流通股；之後每股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／年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期初稀釋股數（避免與回購循環）</t>
    </r>
  </si>
  <si>
    <t xml:space="preserve">自由現金流扣股利</t>
  </si>
  <si>
    <r>
      <rPr>
        <sz val="11"/>
        <color theme="1"/>
        <rFont val="Noto Sans CJK SC"/>
        <family val="2"/>
      </rPr>
      <t xml:space="preserve">策略投資（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出資；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Intersect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</si>
  <si>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：非上市證券 </t>
    </r>
    <r>
      <rPr>
        <sz val="11"/>
        <color theme="1"/>
        <rFont val="Calibri"/>
        <family val="2"/>
        <charset val="1"/>
      </rPr>
      <t xml:space="preserve">22.1</t>
    </r>
    <r>
      <rPr>
        <sz val="11"/>
        <color theme="1"/>
        <rFont val="Noto Sans CJK SC"/>
        <family val="2"/>
      </rPr>
      <t xml:space="preserve">＋收購 </t>
    </r>
    <r>
      <rPr>
        <sz val="11"/>
        <color theme="1"/>
        <rFont val="Calibri"/>
        <family val="2"/>
        <charset val="1"/>
      </rPr>
      <t xml:space="preserve">33.7</t>
    </r>
    <r>
      <rPr>
        <sz val="11"/>
        <color theme="1"/>
        <rFont val="Noto Sans CJK SC"/>
        <family val="2"/>
      </rPr>
      <t xml:space="preserve">＋其他 − 出售（</t>
    </r>
    <r>
      <rPr>
        <sz val="11"/>
        <color theme="1"/>
        <rFont val="Calibri"/>
        <family val="2"/>
        <charset val="1"/>
      </rPr>
      <t xml:space="preserve">legacy_v0.2/company.json ytdActual.jv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；投資活動，不在自由現金流</t>
    </r>
  </si>
  <si>
    <t xml:space="preserve">債務到期償還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</si>
  <si>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償還債務 </t>
    </r>
    <r>
      <rPr>
        <sz val="11"/>
        <color theme="1"/>
        <rFont val="Calibri"/>
        <family val="2"/>
        <charset val="1"/>
      </rPr>
      <t xml:space="preserve">[Interested-party]</t>
    </r>
  </si>
  <si>
    <t xml:space="preserve">已發行新債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</si>
  <si>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：發債淨額（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美元票據 </t>
    </r>
    <r>
      <rPr>
        <sz val="11"/>
        <color theme="1"/>
        <rFont val="Calibri"/>
        <family val="2"/>
        <charset val="1"/>
      </rPr>
      <t xml:space="preserve">25.0</t>
    </r>
  </si>
  <si>
    <t xml:space="preserve">股權發行（普通股＋強制轉換特別股，淨額）</t>
  </si>
  <si>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30.5</t>
    </r>
    <r>
      <rPr>
        <sz val="11"/>
        <color theme="1"/>
        <rFont val="Noto Sans CJK SC"/>
        <family val="2"/>
      </rPr>
      <t xml:space="preserve">（承銷 </t>
    </r>
    <r>
      <rPr>
        <sz val="11"/>
        <color theme="1"/>
        <rFont val="Calibri"/>
        <family val="2"/>
        <charset val="1"/>
      </rPr>
      <t xml:space="preserve">20.5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Berkshire 10.0</t>
    </r>
    <r>
      <rPr>
        <sz val="11"/>
        <color theme="1"/>
        <rFont val="Noto Sans CJK SC"/>
        <family val="2"/>
      </rPr>
      <t xml:space="preserve">）＋特別股 </t>
    </r>
    <r>
      <rPr>
        <sz val="11"/>
        <color theme="1"/>
        <rFont val="Calibri"/>
        <family val="2"/>
        <charset val="1"/>
      </rPr>
      <t xml:space="preserve">19.1 [Interested-party]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ATM 40B </t>
    </r>
    <r>
      <rPr>
        <sz val="11"/>
        <color theme="1"/>
        <rFont val="Noto Sans CJK SC"/>
        <family val="2"/>
      </rPr>
      <t xml:space="preserve">與代扣稅不建模</t>
    </r>
  </si>
  <si>
    <t xml:space="preserve">期初現金（現金＋債權類有價證券）</t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</si>
  <si>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實績差額：代扣稅、</t>
    </r>
    <r>
      <rPr>
        <sz val="11"/>
        <color theme="1"/>
        <rFont val="Calibri"/>
        <family val="2"/>
        <charset val="1"/>
      </rPr>
      <t xml:space="preserve">capped call</t>
    </r>
    <r>
      <rPr>
        <sz val="11"/>
        <color theme="1"/>
        <rFont val="Noto Sans CJK SC"/>
        <family val="2"/>
      </rPr>
      <t xml:space="preserve">、匯率；預測期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</si>
  <si>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回購前現金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</si>
  <si>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（暫停，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）；之後＝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回購目標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回購前現金 − 最低現金</t>
    </r>
    <r>
      <rPr>
        <sz val="11"/>
        <color theme="1"/>
        <rFont val="Calibri"/>
        <family val="2"/>
        <charset val="1"/>
      </rPr>
      <t xml:space="preserve">)</t>
    </r>
  </si>
  <si>
    <t xml:space="preserve">新增舉債（現金低於最低現金時）</t>
  </si>
  <si>
    <t xml:space="preserve">期末現金（現金＋債權類有價證券）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</si>
  <si>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期末現金 −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</si>
  <si>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期初債務</t>
  </si>
  <si>
    <r>
      <rPr>
        <sz val="11"/>
        <color theme="1"/>
        <rFont val="Calibri"/>
        <family val="2"/>
        <charset val="1"/>
      </rPr>
      <t xml:space="preserve">2025-12-31 </t>
    </r>
    <r>
      <rPr>
        <sz val="11"/>
        <color theme="1"/>
        <rFont val="Noto Sans CJK SC"/>
        <family val="2"/>
      </rPr>
      <t xml:space="preserve">面額 </t>
    </r>
    <r>
      <rPr>
        <sz val="11"/>
        <color theme="1"/>
        <rFont val="Calibri"/>
        <family val="2"/>
        <charset val="1"/>
      </rPr>
      <t xml:space="preserve">49.085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debt.face.fy2025</t>
    </r>
    <r>
      <rPr>
        <sz val="11"/>
        <color theme="1"/>
        <rFont val="Noto Sans CJK SC"/>
        <family val="2"/>
      </rPr>
      <t xml:space="preserve">）</t>
    </r>
  </si>
  <si>
    <t xml:space="preserve">期末債務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</si>
  <si>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面額（含匯率變動）</t>
    </r>
  </si>
  <si>
    <t xml:space="preserve">淨現金（現金 − 債務）</t>
  </si>
  <si>
    <r>
      <rPr>
        <sz val="11"/>
        <color theme="1"/>
        <rFont val="Noto Sans CJK SC"/>
        <family val="2"/>
      </rPr>
      <t xml:space="preserve">回購均價（現價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</t>
    </r>
    <r>
      <rPr>
        <sz val="11"/>
        <color theme="1"/>
        <rFont val="Noto Sans CJK SC"/>
        <family val="2"/>
      </rPr>
      <t xml:space="preserve">年數）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</si>
  <si>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頁，黃底＝判斷題）。分部加總即本模型的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（在分部層做）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</si>
  <si>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：無槓桿自由現金流（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資本支出＋營運資金；股權報酬不加回）以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（期中慣例），終值＝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，再以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推到目標時點。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：目標時點 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</si>
  <si>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</si>
  <si>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</si>
  <si>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</si>
  <si>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</si>
  <si>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）情境加權；各分部用各自同業倍數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</si>
  <si>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</si>
  <si>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</si>
  <si>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</si>
  <si>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 61 </t>
    </r>
    <r>
      <rPr>
        <sz val="11"/>
        <color theme="1"/>
        <rFont val="Noto Sans CJK SC"/>
        <family val="2"/>
      </rPr>
      <t xml:space="preserve">位分析師平均（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）；只作對照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</si>
  <si>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</si>
  <si>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</si>
  <si>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</si>
  <si>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</si>
  <si>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</si>
  <si>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</si>
  <si>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</si>
  <si>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</si>
  <si>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</si>
  <si>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地圖「悲觀情境空間」＝本列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</si>
  <si>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與分部加總加權）</t>
    </r>
  </si>
  <si>
    <r>
      <rPr>
        <sz val="11"/>
        <color theme="1"/>
        <rFont val="Noto Sans CJK SC"/>
        <family val="2"/>
      </rPr>
      <t xml:space="preserve">情境上檔空間（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</si>
  <si>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</si>
  <si>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增量投資價值中性，</t>
    </r>
    <r>
      <rPr>
        <sz val="11"/>
        <color theme="1"/>
        <rFont val="Calibri"/>
        <family val="2"/>
        <charset val="1"/>
      </rPr>
      <t xml:space="preserve">C16</t>
    </r>
    <r>
      <rPr>
        <sz val="11"/>
        <color theme="1"/>
        <rFont val="Noto Sans CJK SC"/>
        <family val="2"/>
      </rPr>
      <t xml:space="preserve">）加權目標價與上檔空間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</si>
  <si>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rd2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整本重算的值（</t>
    </r>
    <r>
      <rPr>
        <sz val="11"/>
        <color theme="1"/>
        <rFont val="Calibri"/>
        <family val="2"/>
        <charset val="1"/>
      </rPr>
      <t xml:space="preserve">make_v03.sh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頁同列）；主值取讀法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主值＝讀法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</si>
  <si>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</si>
  <si>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（無槓桿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、終值價值驅動）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＋分部加總（各分部同業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</si>
  <si>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</si>
  <si>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0.0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輸入）</t>
    </r>
  </si>
  <si>
    <r>
      <rPr>
        <sz val="11"/>
        <color theme="1"/>
        <rFont val="Noto Sans CJK SC"/>
        <family val="2"/>
      </rPr>
      <t xml:space="preserve">股權市值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</t>
    </r>
  </si>
  <si>
    <r>
      <rPr>
        <sz val="11"/>
        <color theme="1"/>
        <rFont val="Noto Sans CJK SC"/>
        <family val="2"/>
      </rPr>
      <t xml:space="preserve">債務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（面額）</t>
    </r>
  </si>
  <si>
    <r>
      <rPr>
        <sz val="11"/>
        <color theme="1"/>
        <rFont val="Noto Sans CJK SC"/>
        <family val="2"/>
      </rPr>
      <t xml:space="preserve">股東權益成本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</si>
  <si>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稅後債務成本</t>
  </si>
  <si>
    <t xml:space="preserve">WACC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</si>
  <si>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11.6%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350.50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</si>
  <si>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（無槓桿自由現金流；三情境各一區塊；欄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2H26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FY2027–FY2032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</si>
  <si>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</si>
  <si>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</t>
    </r>
    <r>
      <rPr>
        <sz val="11"/>
        <color theme="1"/>
        <rFont val="Noto Sans CJK SC"/>
        <family val="2"/>
      </rPr>
      <t xml:space="preserve">＋讀法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加回的自用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</si>
  <si>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增量營運、租金與折舊不計入評價</t>
    </r>
  </si>
  <si>
    <r>
      <rPr>
        <sz val="11"/>
        <color theme="1"/>
        <rFont val="Noto Sans CJK SC"/>
        <family val="2"/>
      </rPr>
      <t xml:space="preserve">＋折舊（讀法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扣除自用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折舊）</t>
    </r>
  </si>
  <si>
    <r>
      <rPr>
        <sz val="11"/>
        <color theme="1"/>
        <rFont val="Noto Sans CJK SC"/>
        <family val="2"/>
      </rPr>
      <t xml:space="preserve">− 資本支出（讀法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扣除自用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資本支出）</t>
    </r>
  </si>
  <si>
    <t xml:space="preserve">＋營運資金變動</t>
  </si>
  <si>
    <t xml:space="preserve">無槓桿自由現金流</t>
  </si>
  <si>
    <r>
      <rPr>
        <sz val="11"/>
        <color theme="1"/>
        <rFont val="Noto Sans CJK SC"/>
        <family val="2"/>
      </rPr>
      <t xml:space="preserve">股權報酬不加回（視為真實成本；替代＝加回，見報告第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</si>
  <si>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折現年數（評價日 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起，期中）</t>
    </r>
  </si>
  <si>
    <t xml:space="preserve">現值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</si>
  <si>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彙總</t>
    </r>
  </si>
  <si>
    <r>
      <rPr>
        <sz val="11"/>
        <color theme="1"/>
        <rFont val="Noto Sans CJK SC"/>
        <family val="2"/>
      </rPr>
      <t xml:space="preserve">明確期現值合計（</t>
    </r>
    <r>
      <rPr>
        <sz val="11"/>
        <color theme="1"/>
        <rFont val="Calibri"/>
        <family val="2"/>
        <charset val="1"/>
      </rPr>
      <t xml:space="preserve">2H26–FY2032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</si>
  <si>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終值（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</si>
  <si>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tv_alt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</si>
  <si>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r>
      <rPr>
        <sz val="11"/>
        <color theme="1"/>
        <rFont val="Noto Sans CJK SC"/>
        <family val="2"/>
      </rPr>
      <t xml:space="preserve">終值現值（</t>
    </r>
    <r>
      <rPr>
        <sz val="11"/>
        <color theme="1"/>
        <rFont val="Calibri"/>
        <family val="2"/>
        <charset val="1"/>
      </rPr>
      <t xml:space="preserve">6.5 </t>
    </r>
    <r>
      <rPr>
        <sz val="11"/>
        <color theme="1"/>
        <rFont val="Noto Sans CJK SC"/>
        <family val="2"/>
      </rPr>
      <t xml:space="preserve">年）</t>
    </r>
  </si>
  <si>
    <r>
      <rPr>
        <b val="true"/>
        <sz val="11"/>
        <rFont val="Noto Sans CJK SC"/>
        <family val="2"/>
      </rPr>
      <t xml:space="preserve">企業價值 </t>
    </r>
    <r>
      <rPr>
        <b val="true"/>
        <sz val="11"/>
        <rFont val="Cambria"/>
        <family val="0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</si>
  <si>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  其中：終值占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</si>
  <si>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＋淨現金（評價日：現金 </t>
    </r>
    <r>
      <rPr>
        <sz val="11"/>
        <color theme="1"/>
        <rFont val="Calibri"/>
        <family val="2"/>
        <charset val="1"/>
      </rPr>
      <t xml:space="preserve">155.4 − </t>
    </r>
    <r>
      <rPr>
        <sz val="11"/>
        <color theme="1"/>
        <rFont val="Noto Sans CJK SC"/>
        <family val="2"/>
      </rPr>
      <t xml:space="preserve">債務 </t>
    </r>
    <r>
      <rPr>
        <sz val="11"/>
        <color theme="1"/>
        <rFont val="Calibri"/>
        <family val="2"/>
        <charset val="1"/>
      </rPr>
      <t xml:space="preserve">101.1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</si>
  <si>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＋持股（</t>
    </r>
    <r>
      <rPr>
        <sz val="11"/>
        <color theme="1"/>
        <rFont val="Calibri"/>
        <family val="2"/>
        <charset val="1"/>
      </rPr>
      <t xml:space="preserve">Anthropic ×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折價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＋其他上市權益證券）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</si>
  <si>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相同；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剩餘出資換得持股，評價中性</t>
    </r>
  </si>
  <si>
    <t xml:space="preserve">− 類債（應計罰款＋非控制權益）</t>
  </si>
  <si>
    <t xml:space="preserve">股東權益價值</t>
  </si>
  <si>
    <t xml:space="preserve">股數（評價日期末稀釋＋強制轉換特別股）</t>
  </si>
  <si>
    <t xml:space="preserve">每股價值（評價日）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</si>
  <si>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個月後（</t>
    </r>
    <r>
      <rPr>
        <b val="true"/>
        <sz val="11"/>
        <rFont val="Cambria"/>
        <family val="0"/>
        <charset val="1"/>
      </rPr>
      <t xml:space="preserve">× (1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ke)^t_tgt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</si>
  <si>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；＝本模型的 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</si>
  <si>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同業組／倍數</t>
  </si>
  <si>
    <t xml:space="preserve">中位數</t>
  </si>
  <si>
    <t xml:space="preserve">家數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</si>
  <si>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</si>
  <si>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data/peers_ads_20261009.json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</si>
  <si>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</si>
  <si>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legacy_v0.2/company.json valuation.segmentMultiples.subs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amazon/data </t>
    </r>
    <r>
      <rPr>
        <sz val="11"/>
        <color theme="1"/>
        <rFont val="Noto Sans CJK SC"/>
        <family val="2"/>
      </rPr>
      <t xml:space="preserve">事實總帳）：</t>
    </r>
    <r>
      <rPr>
        <sz val="11"/>
        <color theme="1"/>
        <rFont val="Calibri"/>
        <family val="2"/>
        <charset val="1"/>
      </rPr>
      <t xml:space="preserve">NFLX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</si>
  <si>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</si>
  <si>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三家共用）：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</t>
    </r>
  </si>
  <si>
    <t xml:space="preserve">廣告線實際採用倍數</t>
  </si>
  <si>
    <r>
      <rPr>
        <sz val="11"/>
        <color theme="1"/>
        <rFont val="Calibri"/>
        <family val="2"/>
        <charset val="1"/>
      </rPr>
      <t xml:space="preserve">ads_own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時改用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自身倍數 </t>
    </r>
    <r>
      <rPr>
        <sz val="11"/>
        <color theme="1"/>
        <rFont val="Calibri"/>
        <family val="2"/>
        <charset val="1"/>
      </rPr>
      <t xml:space="preserve">14.68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</si>
  <si>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分部／產品線（</t>
    </r>
    <r>
      <rPr>
        <b val="true"/>
        <sz val="11"/>
        <rFont val="Cambria"/>
        <family val="0"/>
        <charset val="1"/>
      </rPr>
      <t xml:space="preserve">NTM EBITDA</t>
    </r>
    <r>
      <rPr>
        <b val="true"/>
        <sz val="11"/>
        <rFont val="Noto Sans CJK SC"/>
        <family val="2"/>
      </rPr>
      <t xml:space="preserve">）</t>
    </r>
  </si>
  <si>
    <t xml:space="preserve">倍數與說明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</si>
  <si>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</si>
  <si>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</si>
  <si>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</si>
  <si>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YouTube ads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m_yt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</si>
  <si>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Network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m_net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</si>
  <si>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subscriptions, platforms, and devices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m_subs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</si>
  <si>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Services EBITDA − </t>
    </r>
    <r>
      <rPr>
        <sz val="11"/>
        <color theme="1"/>
        <rFont val="Noto Sans CJK SC"/>
        <family val="2"/>
      </rPr>
      <t xml:space="preserve">其他三線）</t>
    </r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</si>
  <si>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</si>
  <si>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系統銷售（營收 </t>
    </r>
    <r>
      <rPr>
        <sz val="11"/>
        <color theme="1"/>
        <rFont val="Calibri"/>
        <family val="2"/>
        <charset val="1"/>
      </rPr>
      <t xml:space="preserve">× tpu_m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</si>
  <si>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其他（營收 </t>
    </r>
    <r>
      <rPr>
        <sz val="11"/>
        <color theme="1"/>
        <rFont val="Calibri"/>
        <family val="2"/>
        <charset val="1"/>
      </rPr>
      <t xml:space="preserve">× m_co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</si>
  <si>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，負值）</t>
    </r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</si>
  <si>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，負值）</t>
    </r>
  </si>
  <si>
    <r>
      <rPr>
        <b val="true"/>
        <sz val="11"/>
        <rFont val="Noto Sans CJK SC"/>
        <family val="2"/>
      </rPr>
      <t xml:space="preserve">分部加總 </t>
    </r>
    <r>
      <rPr>
        <b val="true"/>
        <sz val="11"/>
        <rFont val="Cambria"/>
        <family val="0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</si>
  <si>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  分部 </t>
    </r>
    <r>
      <rPr>
        <sz val="11"/>
        <color theme="1"/>
        <rFont val="Calibri"/>
        <family val="2"/>
        <charset val="1"/>
      </rPr>
      <t xml:space="preserve">NTM EBITDA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</si>
  <si>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</si>
  <si>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目標時點附近的資產負債；含 </t>
    </r>
    <r>
      <rPr>
        <sz val="11"/>
        <color theme="1"/>
        <rFont val="Calibri"/>
        <family val="2"/>
        <charset val="1"/>
      </rPr>
      <t xml:space="preserve">2H26–FY2027 </t>
    </r>
    <r>
      <rPr>
        <sz val="11"/>
        <color theme="1"/>
        <rFont val="Noto Sans CJK SC"/>
        <family val="2"/>
      </rPr>
      <t xml:space="preserve">的自由現金流、股利與回購</t>
    </r>
  </si>
  <si>
    <r>
      <rPr>
        <sz val="11"/>
        <color theme="1"/>
        <rFont val="Noto Sans CJK SC"/>
        <family val="2"/>
      </rPr>
      <t xml:space="preserve">＋持股（同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</si>
  <si>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t xml:space="preserve">− 類債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</si>
  <si>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年底稀釋＋強制轉換特別股）</t>
    </r>
  </si>
  <si>
    <t xml:space="preserve">分部加總每股價值（目標時點）</t>
  </si>
  <si>
    <r>
      <rPr>
        <sz val="11"/>
        <color theme="1"/>
        <rFont val="Noto Sans CJK SC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EV ÷ NTM EBITDA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</si>
  <si>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口徑對照：合併層對市場共識（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）、逐分部對共識與公司指引、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。只作對照，不作校準（工作單第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</si>
  <si>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合併層：本模型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市場共識</t>
    </r>
  </si>
  <si>
    <t xml:space="preserve">年度</t>
  </si>
  <si>
    <t xml:space="preserve">共識</t>
  </si>
  <si>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共識 − </t>
    </r>
    <r>
      <rPr>
        <b val="true"/>
        <sz val="11"/>
        <rFont val="Cambria"/>
        <family val="0"/>
        <charset val="1"/>
      </rPr>
      <t xml:space="preserve">1</t>
    </r>
  </si>
  <si>
    <t xml:space="preserve">營收</t>
  </si>
  <si>
    <t xml:space="preserve">FY2026</t>
  </si>
  <si>
    <t xml:space="preserve">FY2027</t>
  </si>
  <si>
    <t xml:space="preserve">FY2028</t>
  </si>
  <si>
    <t xml:space="preserve">營業利益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</si>
  <si>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，含權益證券損益）</t>
    </r>
  </si>
  <si>
    <r>
      <rPr>
        <sz val="11"/>
        <color theme="1"/>
        <rFont val="Noto Sans CJK SC"/>
        <family val="2"/>
      </rPr>
      <t xml:space="preserve">含上半年權益證券利益 </t>
    </r>
    <r>
      <rPr>
        <sz val="11"/>
        <color theme="1"/>
        <rFont val="Calibri"/>
        <family val="2"/>
        <charset val="1"/>
      </rPr>
      <t xml:space="preserve">135.9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排除後的共識 </t>
    </r>
    <r>
      <rPr>
        <sz val="11"/>
        <color theme="1"/>
        <rFont val="Calibri"/>
        <family val="2"/>
        <charset val="1"/>
      </rPr>
      <t xml:space="preserve">11.89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c_eps26_sa</t>
    </r>
    <r>
      <rPr>
        <sz val="11"/>
        <color theme="1"/>
        <rFont val="Noto Sans CJK SC"/>
        <family val="2"/>
      </rPr>
      <t xml:space="preserve">）</t>
    </r>
  </si>
  <si>
    <t xml:space="preserve">資本支出</t>
  </si>
  <si>
    <t xml:space="preserve">自由現金流</t>
  </si>
  <si>
    <t xml:space="preserve">本模型扣融資租賃本金；共識＝營運現金 − 資本支出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</si>
  <si>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</t>
    </r>
    <r>
      <rPr>
        <sz val="11"/>
        <color theme="1"/>
        <rFont val="Calibri"/>
        <family val="2"/>
        <charset val="1"/>
      </rPr>
      <t xml:space="preserve">FY2026 vs StockAnalysis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</si>
  <si>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逐分部、逐產品線：本模型（情境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共識與公司指引</t>
    </r>
  </si>
  <si>
    <t xml:space="preserve">分部／產品線</t>
  </si>
  <si>
    <t xml:space="preserve">公司指引</t>
  </si>
  <si>
    <t xml:space="preserve">未找到</t>
  </si>
  <si>
    <t xml:space="preserve">無（公司不給營收指引）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</si>
  <si>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免費頁只有合併層；分部共識需付費資料，本次網路搜尋額度用盡，未能補（資料缺口：未找到）</t>
    </r>
  </si>
  <si>
    <r>
      <rPr>
        <sz val="11"/>
        <color theme="1"/>
        <rFont val="Noto Sans CJK SC"/>
        <family val="2"/>
      </rPr>
      <t xml:space="preserve">仍供不應求（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）；無營收指引</t>
    </r>
  </si>
  <si>
    <r>
      <rPr>
        <sz val="11"/>
        <color theme="1"/>
        <rFont val="Calibri"/>
        <family val="2"/>
        <charset val="1"/>
      </rPr>
      <t xml:space="preserve">  Cloud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</si>
  <si>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  TPU </t>
    </r>
    <r>
      <rPr>
        <sz val="11"/>
        <color theme="1"/>
        <rFont val="Noto Sans CJK SC"/>
        <family val="2"/>
      </rPr>
      <t xml:space="preserve">系統銷售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</si>
  <si>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認列一小部分、大部分在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法說，事實總帳 </t>
    </r>
    <r>
      <rPr>
        <sz val="11"/>
        <color theme="1"/>
        <rFont val="Calibri"/>
        <family val="2"/>
        <charset val="1"/>
      </rPr>
      <t xml:space="preserve">guid.tpuRev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</si>
  <si>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Cloud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</si>
  <si>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積壓（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 → </t>
    </r>
    <r>
      <rPr>
        <sz val="11"/>
        <color theme="1"/>
        <rFont val="Calibri"/>
        <family val="2"/>
        <charset val="1"/>
      </rPr>
      <t xml:space="preserve">2026H2–2028H1 </t>
    </r>
    <r>
      <rPr>
        <sz val="11"/>
        <color theme="1"/>
        <rFont val="Noto Sans CJK SC"/>
        <family val="2"/>
      </rPr>
      <t xml:space="preserve">至少可認列</t>
    </r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</si>
  <si>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Cloud RPO 513.9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個月內（事實總帳 </t>
    </r>
    <r>
      <rPr>
        <sz val="11"/>
        <color theme="1"/>
        <rFont val="Calibri"/>
        <family val="2"/>
        <charset val="1"/>
      </rPr>
      <t xml:space="preserve">rpo.cloud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rpo.share24m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；只作驗證列，不反推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</si>
  <si>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2026H2–2028H1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</si>
  <si>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欄＝本模型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積壓可認列（</t>
    </r>
    <r>
      <rPr>
        <sz val="11"/>
        <color theme="1"/>
        <rFont val="Calibri"/>
        <family val="2"/>
        <charset val="1"/>
      </rPr>
      <t xml:space="preserve">&gt; 1 </t>
    </r>
    <r>
      <rPr>
        <sz val="11"/>
        <color theme="1"/>
        <rFont val="Noto Sans CJK SC"/>
        <family val="2"/>
      </rPr>
      <t xml:space="preserve">表示模型營收高於積壓可支撐的下限，差額需新簽約）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</si>
  <si>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195–205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</si>
  <si>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：首期＝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</si>
  <si>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公司「顯著增加」（無數字）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</si>
  <si>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路徑推導（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 </t>
    </r>
    <r>
      <rPr>
        <sz val="11"/>
        <color theme="1"/>
        <rFont val="Calibri"/>
        <family val="2"/>
        <charset val="1"/>
      </rPr>
      <t xml:space="preserve">= 2026 </t>
    </r>
    <r>
      <rPr>
        <sz val="11"/>
        <color theme="1"/>
        <rFont val="Noto Sans CJK SC"/>
        <family val="2"/>
      </rPr>
      <t xml:space="preserve">指引隱含量延續）；低於共識是已知差異（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同）</t>
    </r>
  </si>
  <si>
    <r>
      <rPr>
        <b val="true"/>
        <sz val="11"/>
        <rFont val="Cambria"/>
        <family val="0"/>
        <charset val="1"/>
      </rPr>
      <t xml:space="preserve">3. v0.3 vs v0.2.2</t>
    </r>
    <r>
      <rPr>
        <b val="true"/>
        <sz val="11"/>
        <rFont val="Noto Sans CJK SC"/>
        <family val="2"/>
      </rPr>
      <t xml:space="preserve">：目標價與主要差異來源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</si>
  <si>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加權目標價（讀法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</si>
  <si>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：保守 </t>
    </r>
    <r>
      <rPr>
        <sz val="11"/>
        <color theme="1"/>
        <rFont val="Calibri"/>
        <family val="2"/>
        <charset val="1"/>
      </rPr>
      <t xml:space="preserve">175.08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146.09</t>
    </r>
    <r>
      <rPr>
        <sz val="11"/>
        <color theme="1"/>
        <rFont val="Noto Sans CJK SC"/>
        <family val="2"/>
      </rPr>
      <t xml:space="preserve">／積極 </t>
    </r>
    <r>
      <rPr>
        <sz val="11"/>
        <color theme="1"/>
        <rFont val="Calibri"/>
        <family val="2"/>
        <charset val="1"/>
      </rPr>
      <t xml:space="preserve">122.89</t>
    </r>
    <r>
      <rPr>
        <sz val="11"/>
        <color theme="1"/>
        <rFont val="Noto Sans CJK SC"/>
        <family val="2"/>
      </rPr>
      <t xml:space="preserve">（容量情境；讀法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218.79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</si>
  <si>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</t>
    </r>
  </si>
  <si>
    <t xml:space="preserve">差額</t>
  </si>
  <si>
    <r>
      <rPr>
        <b val="true"/>
        <sz val="11"/>
        <rFont val="Noto Sans CJK SC"/>
        <family val="2"/>
      </rPr>
      <t xml:space="preserve">拆解（以改輸入重算；</t>
    </r>
    <r>
      <rPr>
        <b val="true"/>
        <sz val="11"/>
        <rFont val="Cambria"/>
        <family val="0"/>
        <charset val="1"/>
      </rPr>
      <t xml:space="preserve">make_v03.sh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</si>
  <si>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評價法權重：</t>
    </r>
    <r>
      <rPr>
        <sz val="11"/>
        <color theme="1"/>
        <rFont val="Calibri"/>
        <family val="2"/>
        <charset val="1"/>
      </rPr>
      <t xml:space="preserve">DCF 50% → v0.2.2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（其餘不變）</t>
    </r>
  </si>
  <si>
    <r>
      <rPr>
        <sz val="11"/>
        <color theme="1"/>
        <rFont val="Calibri"/>
        <family val="2"/>
        <charset val="1"/>
      </rPr>
      <t xml:space="preserve">v0.3 − </t>
    </r>
    <r>
      <rPr>
        <sz val="11"/>
        <color theme="1"/>
        <rFont val="Noto Sans CJK SC"/>
        <family val="2"/>
      </rPr>
      <t xml:space="preserve">改成 </t>
    </r>
    <r>
      <rPr>
        <sz val="11"/>
        <color theme="1"/>
        <rFont val="Calibri"/>
        <family val="2"/>
        <charset val="1"/>
      </rPr>
      <t xml:space="preserve">w_dcf=0.45 </t>
    </r>
    <r>
      <rPr>
        <sz val="11"/>
        <color theme="1"/>
        <rFont val="Noto Sans CJK SC"/>
        <family val="2"/>
      </rPr>
      <t xml:space="preserve">後的目標價（正值＝本版設定使目標價較高）</t>
    </r>
  </si>
  <si>
    <r>
      <rPr>
        <sz val="11"/>
        <color theme="1"/>
        <rFont val="Noto Sans CJK SC"/>
        <family val="2"/>
      </rPr>
      <t xml:space="preserve">現價回到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350.50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的權益權重與回購價）</t>
    </r>
  </si>
  <si>
    <r>
      <rPr>
        <sz val="11"/>
        <color theme="1"/>
        <rFont val="Calibri"/>
        <family val="2"/>
        <charset val="1"/>
      </rPr>
      <t xml:space="preserve">v0.3 − </t>
    </r>
    <r>
      <rPr>
        <sz val="11"/>
        <color theme="1"/>
        <rFont val="Noto Sans CJK SC"/>
        <family val="2"/>
      </rPr>
      <t xml:space="preserve">改成 </t>
    </r>
    <r>
      <rPr>
        <sz val="11"/>
        <color theme="1"/>
        <rFont val="Calibri"/>
        <family val="2"/>
        <charset val="1"/>
      </rPr>
      <t xml:space="preserve">px=350.5 </t>
    </r>
    <r>
      <rPr>
        <sz val="11"/>
        <color theme="1"/>
        <rFont val="Noto Sans CJK SC"/>
        <family val="2"/>
      </rPr>
      <t xml:space="preserve">後的目標價（正值＝本版設定使目標價較高）</t>
    </r>
  </si>
  <si>
    <r>
      <rPr>
        <sz val="11"/>
        <color theme="1"/>
        <rFont val="Noto Sans CJK SC"/>
        <family val="2"/>
      </rPr>
      <t xml:space="preserve">其餘：營收結構（分部＋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情境軸）、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成本進分部損益、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終值口徑（價值驅動）、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以各分部同業倍數取代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錨定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、情境定義改為 </t>
    </r>
    <r>
      <rPr>
        <sz val="11"/>
        <color theme="1"/>
        <rFont val="Calibri"/>
        <family val="2"/>
        <charset val="1"/>
      </rPr>
      <t xml:space="preserve">Search</t>
    </r>
  </si>
  <si>
    <r>
      <rPr>
        <sz val="11"/>
        <color theme="1"/>
        <rFont val="Noto Sans CJK SC"/>
        <family val="2"/>
      </rPr>
      <t xml:space="preserve">兩版引擎不同，無法逐項以同一引擎重算；本列為殘差（報告第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節逐項說明方向）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</si>
  <si>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一次改一個輸入（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頁低／高值），整本活頁簿以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重算後的加權目標價（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加權）」）；由 </t>
    </r>
    <r>
      <rPr>
        <sz val="11"/>
        <color theme="1"/>
        <rFont val="Calibri"/>
        <family val="2"/>
        <charset val="1"/>
      </rPr>
      <t xml:space="preserve">alphabet/make_v03.sh </t>
    </r>
    <r>
      <rPr>
        <sz val="11"/>
        <color theme="1"/>
        <rFont val="Noto Sans CJK SC"/>
        <family val="2"/>
      </rPr>
      <t xml:space="preserve">產生，建置時寫入（數值）</t>
    </r>
  </si>
  <si>
    <r>
      <rPr>
        <sz val="11"/>
        <color theme="1"/>
        <rFont val="Noto Sans CJK SC"/>
        <family val="2"/>
      </rPr>
      <t xml:space="preserve">相對基準＝情境目標價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基準加權目標價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；龍捲風依絕對值排序（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）。基準與各案例的其他輸入相同</t>
    </r>
  </si>
  <si>
    <t xml:space="preserve">驅動</t>
  </si>
  <si>
    <t xml:space="preserve">設定</t>
  </si>
  <si>
    <t xml:space="preserve">方向</t>
  </si>
  <si>
    <t xml:space="preserve">加權目標價</t>
  </si>
  <si>
    <t xml:space="preserve">相對基準</t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</si>
  <si>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</si>
  <si>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±20pt</t>
    </r>
    <r>
      <rPr>
        <sz val="11"/>
        <color theme="1"/>
        <rFont val="Noto Sans CJK SC"/>
        <family val="2"/>
      </rPr>
      <t xml:space="preserve">；總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</si>
  <si>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重算值（</t>
    </r>
    <r>
      <rPr>
        <sz val="11"/>
        <color theme="1"/>
        <rFont val="Calibri"/>
        <family val="2"/>
        <charset val="1"/>
      </rPr>
      <t xml:space="preserve">make_v03.sh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</si>
  <si>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</si>
  <si>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新增速度：低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</si>
  <si>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保守／積極速度</t>
    </r>
  </si>
  <si>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新增速度：高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</si>
  <si>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：長約價格（低＝判斷倍數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</si>
  <si>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0.75 → 0.60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</si>
  <si>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：現貨價格（高＝</t>
    </r>
    <r>
      <rPr>
        <sz val="11"/>
        <color theme="1"/>
        <rFont val="Calibri"/>
        <family val="2"/>
        <charset val="1"/>
      </rPr>
      <t xml:space="preserve">GCP </t>
    </r>
    <r>
      <rPr>
        <sz val="11"/>
        <color theme="1"/>
        <rFont val="Noto Sans CJK SC"/>
        <family val="2"/>
      </rPr>
      <t xml:space="preserve">牌價）：高</t>
    </r>
  </si>
  <si>
    <t xml:space="preserve">2.82 → 4.858 US$/GPU-hr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</si>
  <si>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係數（收入與資本支出雙邊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</si>
  <si>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敏感度；同時改 </t>
    </r>
    <r>
      <rPr>
        <sz val="11"/>
        <color theme="1"/>
        <rFont val="Calibri"/>
        <family val="2"/>
        <charset val="1"/>
      </rPr>
      <t xml:space="preserve">tpu_cf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</si>
  <si>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</si>
  <si>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</si>
  <si>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</si>
  <si>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分流幅度：低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</si>
  <si>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情境）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</si>
  <si>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</si>
  <si>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</si>
  <si>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</si>
  <si>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</si>
  <si>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</si>
  <si>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</si>
  <si>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</si>
  <si>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其他長期成長：低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</si>
  <si>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</si>
  <si>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其他長期成長：高</t>
    </r>
  </si>
  <si>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</si>
  <si>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</si>
  <si>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</si>
  <si>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1.367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</si>
  <si>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</si>
  <si>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</si>
  <si>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</si>
  <si>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</si>
  <si>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Noto Sans CJK SC"/>
        <family val="2"/>
      </rPr>
      <t xml:space="preserve">永續期新投資報酬（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）：高</t>
    </r>
  </si>
  <si>
    <t xml:space="preserve">12% → 20%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</si>
  <si>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自由現金流：高</t>
    </r>
  </si>
  <si>
    <r>
      <rPr>
        <sz val="11"/>
        <color theme="1"/>
        <rFont val="Noto Sans CJK SC"/>
        <family val="2"/>
      </rPr>
      <t xml:space="preserve">價值驅動 → </t>
    </r>
    <r>
      <rPr>
        <sz val="11"/>
        <color theme="1"/>
        <rFont val="Calibri"/>
        <family val="2"/>
        <charset val="1"/>
      </rPr>
      <t xml:space="preserve">UFCF 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</si>
  <si>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倍數：低</t>
    </r>
  </si>
  <si>
    <r>
      <rPr>
        <sz val="11"/>
        <color theme="1"/>
        <rFont val="Calibri"/>
        <family val="2"/>
        <charset val="1"/>
      </rPr>
      <t xml:space="preserve">4×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10×</t>
    </r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</si>
  <si>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倍數：高</t>
    </r>
  </si>
  <si>
    <r>
      <rPr>
        <sz val="11"/>
        <color theme="1"/>
        <rFont val="Noto Sans CJK SC"/>
        <family val="2"/>
      </rPr>
      <t xml:space="preserve">廣告線改用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自身倍數 </t>
    </r>
    <r>
      <rPr>
        <sz val="11"/>
        <color theme="1"/>
        <rFont val="Calibri"/>
        <family val="2"/>
        <charset val="1"/>
      </rPr>
      <t xml:space="preserve">14.68×</t>
    </r>
    <r>
      <rPr>
        <sz val="11"/>
        <color theme="1"/>
        <rFont val="Noto Sans CJK SC"/>
        <family val="2"/>
      </rPr>
      <t xml:space="preserve">：高</t>
    </r>
  </si>
  <si>
    <t xml:space="preserve">9.11× → 14.68×</t>
  </si>
  <si>
    <t xml:space="preserve">非上市持股折價：低</t>
  </si>
  <si>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</si>
  <si>
    <t xml:space="preserve">非上市持股折價：高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</si>
  <si>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權重：低</t>
    </r>
  </si>
  <si>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</si>
  <si>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權重：高</t>
    </r>
  </si>
  <si>
    <t xml:space="preserve">回購目標：低</t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</si>
  <si>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全年）</t>
    </r>
  </si>
  <si>
    <t xml:space="preserve">回購目標：高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</si>
  <si>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增量投資價值中性（</t>
    </r>
    <r>
      <rPr>
        <sz val="11"/>
        <color theme="1"/>
        <rFont val="Calibri"/>
        <family val="2"/>
        <charset val="1"/>
      </rPr>
      <t xml:space="preserve">C16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</si>
  <si>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</si>
  <si>
    <t xml:space="preserve">分部利益率起點改用近四季：高</t>
  </si>
  <si>
    <r>
      <rPr>
        <sz val="11"/>
        <color theme="1"/>
        <rFont val="Calibri"/>
        <family val="2"/>
        <charset val="1"/>
      </rPr>
      <t xml:space="preserve">1H26 → </t>
    </r>
    <r>
      <rPr>
        <sz val="11"/>
        <color theme="1"/>
        <rFont val="Noto Sans CJK SC"/>
        <family val="2"/>
      </rPr>
      <t xml:space="preserve">近四季（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</si>
  <si>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基準加權目標價（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</si>
  <si>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敏感度重算時的基準值（應與上一列相同；不同表示敏感度已過期）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</si>
  <si>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來源（編號、文件、日期、網址、標記）</t>
    </r>
  </si>
  <si>
    <t xml:space="preserve">編號</t>
  </si>
  <si>
    <t xml:space="preserve">文件</t>
  </si>
  <si>
    <t xml:space="preserve">日期</t>
  </si>
  <si>
    <t xml:space="preserve">網址</t>
  </si>
  <si>
    <t xml:space="preserve">用途</t>
  </si>
  <si>
    <t xml:space="preserve">S01</t>
  </si>
  <si>
    <r>
      <rPr>
        <sz val="11"/>
        <color theme="1"/>
        <rFont val="Calibri"/>
        <family val="2"/>
        <charset val="1"/>
      </rPr>
      <t xml:space="preserve">Alphabet Form 10-K FY2025</t>
    </r>
    <r>
      <rPr>
        <sz val="11"/>
        <color theme="1"/>
        <rFont val="Noto Sans CJK SC"/>
        <family val="2"/>
      </rPr>
      <t xml:space="preserve">（經查核）</t>
    </r>
  </si>
  <si>
    <t xml:space="preserve">2026-02-05</t>
  </si>
  <si>
    <t xml:space="preserve">https://www.sec.gov/Archives/edgar/data/1652044/000165204426000018/goog-20251231.htm</t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</si>
  <si>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分部與產品線、合併損益、現金流（經事實總帳）</t>
    </r>
  </si>
  <si>
    <t xml:space="preserve">S02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</si>
  <si>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</si>
  <si>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2026-07-22</t>
  </si>
  <si>
    <t xml:space="preserve">https://www.sec.gov/Archives/edgar/data/1652044/000165204426000066/googexhibit991q22026.htm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</si>
  <si>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與比較季</t>
    </r>
  </si>
  <si>
    <t xml:space="preserve">S03</t>
  </si>
  <si>
    <r>
      <rPr>
        <sz val="11"/>
        <color theme="1"/>
        <rFont val="Calibri"/>
        <family val="2"/>
        <charset val="1"/>
      </rPr>
      <t xml:space="preserve">Alphabet 2026Q1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</si>
  <si>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2026-04</t>
  </si>
  <si>
    <t xml:space="preserve">https://www.sec.gov/Archives/edgar/data/1652044/000165204426000043/googexhibit991q12026.htm</t>
  </si>
  <si>
    <t xml:space="preserve">S04</t>
  </si>
  <si>
    <r>
      <rPr>
        <sz val="11"/>
        <color theme="1"/>
        <rFont val="Calibri"/>
        <family val="2"/>
        <charset val="1"/>
      </rPr>
      <t xml:space="preserve">Alphabet 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</si>
  <si>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2025-10-29</t>
  </si>
  <si>
    <t xml:space="preserve">https://www.sec.gov/Archives/edgar/data/1652044/000165204425000087/googexhibit991q32025.htm</t>
  </si>
  <si>
    <r>
      <rPr>
        <sz val="11"/>
        <color theme="1"/>
        <rFont val="Calibri"/>
        <family val="2"/>
        <charset val="1"/>
      </rPr>
      <t xml:space="preserve">2024Q3 </t>
    </r>
    <r>
      <rPr>
        <sz val="11"/>
        <color theme="1"/>
        <rFont val="Noto Sans CJK SC"/>
        <family val="2"/>
      </rPr>
      <t xml:space="preserve">比較季</t>
    </r>
  </si>
  <si>
    <t xml:space="preserve">S05</t>
  </si>
  <si>
    <t xml:space="preserve">Alphabet 2026Q2 10-Q</t>
  </si>
  <si>
    <t xml:space="preserve">2026-07-23</t>
  </si>
  <si>
    <t xml:space="preserve">https://www.sec.gov/cgi-bin/browse-edgar?action=getcompany&amp;CIK=1652044&amp;type=10-Q</t>
  </si>
  <si>
    <t xml:space="preserve">資產負債、在建工程、租賃、債務、股數</t>
  </si>
  <si>
    <t xml:space="preserve">S06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</si>
  <si>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轉錄，二手）</t>
    </r>
  </si>
  <si>
    <t xml:space="preserve">https://www.benzinga.com/news/26/09/61834150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</si>
  <si>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195–205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營收時點、供不應求</t>
    </r>
  </si>
  <si>
    <t xml:space="preserve">S07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</si>
  <si>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alphabet/data/alphabet_facts_20261008.json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v0.1a</t>
    </r>
    <r>
      <rPr>
        <sz val="11"/>
        <color theme="1"/>
        <rFont val="Noto Sans CJK SC"/>
        <family val="2"/>
      </rPr>
      <t xml:space="preserve">）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</si>
  <si>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</si>
  <si>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</t>
    </r>
  </si>
  <si>
    <t xml:space="preserve">各筆標記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</si>
  <si>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頁全部實績與多數輸入</t>
    </r>
  </si>
  <si>
    <t xml:space="preserve">S08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</si>
  <si>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alphabet/data/tokenomics_snapshot_v21.4.json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</si>
  <si>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</si>
  <si>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YinchenChang/Tokenomics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</si>
  <si>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、上限檢查</t>
    </r>
  </si>
  <si>
    <t xml:space="preserve">S09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</si>
  <si>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 </t>
    </r>
    <r>
      <rPr>
        <sz val="11"/>
        <color theme="1"/>
        <rFont val="Calibri"/>
        <family val="2"/>
        <charset val="1"/>
      </rPr>
      <t xml:space="preserve">alphabet/data/kevidence_alphabet_20261008.json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legacy_v0.2/kspec.py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</si>
  <si>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</si>
  <si>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</si>
  <si>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長約、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</si>
  <si>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t xml:space="preserve">S10</t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</si>
  <si>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</t>
    </r>
    <r>
      <rPr>
        <sz val="11"/>
        <color theme="1"/>
        <rFont val="Calibri"/>
        <family val="2"/>
        <charset val="1"/>
      </rPr>
      <t xml:space="preserve">cumulative by designer</t>
    </r>
  </si>
  <si>
    <t xml:space="preserve">2026-05-12</t>
  </si>
  <si>
    <t xml:space="preserve">https://epoch.ai/data/ai_chip_owners_cumulative_by_designer.csv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</si>
  <si>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（期初、歷史）</t>
    </r>
  </si>
  <si>
    <t xml:space="preserve">S11</t>
  </si>
  <si>
    <t xml:space="preserve">Silicon Data H100 Index</t>
  </si>
  <si>
    <t xml:space="preserve">2026-10-06</t>
  </si>
  <si>
    <t xml:space="preserve">https://www.silicondata.com/products/silicon-index/h100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</si>
  <si>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</si>
  <si>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t xml:space="preserve">S12</t>
  </si>
  <si>
    <r>
      <rPr>
        <sz val="11"/>
        <color theme="1"/>
        <rFont val="Calibri"/>
        <family val="2"/>
        <charset val="1"/>
      </rPr>
      <t xml:space="preserve">StockAnalysis GOOGL </t>
    </r>
    <r>
      <rPr>
        <sz val="11"/>
        <color theme="1"/>
        <rFont val="Noto Sans CJK SC"/>
        <family val="2"/>
      </rPr>
      <t xml:space="preserve">歷史股價</t>
    </r>
  </si>
  <si>
    <t xml:space="preserve">2026-10-26</t>
  </si>
  <si>
    <t xml:space="preserve">https://stockanalysis.com/stocks/googl/history/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</si>
  <si>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316.80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</si>
  <si>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S13</t>
  </si>
  <si>
    <r>
      <rPr>
        <sz val="11"/>
        <color theme="1"/>
        <rFont val="Calibri"/>
        <family val="2"/>
        <charset val="1"/>
      </rPr>
      <t xml:space="preserve">StockAnalysis GOOGL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</si>
  <si>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https://stockanalysis.com/stocks/googl/forecast/</t>
  </si>
  <si>
    <r>
      <rPr>
        <sz val="11"/>
        <color theme="1"/>
        <rFont val="Noto Sans CJK SC"/>
        <family val="2"/>
      </rPr>
      <t xml:space="preserve">共識目標價 </t>
    </r>
    <r>
      <rPr>
        <sz val="11"/>
        <color theme="1"/>
        <rFont val="Calibri"/>
        <family val="2"/>
        <charset val="1"/>
      </rPr>
      <t xml:space="preserve">429.12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non-GAAP EPS 11.89</t>
    </r>
  </si>
  <si>
    <t xml:space="preserve">S14</t>
  </si>
  <si>
    <r>
      <rPr>
        <sz val="11"/>
        <color theme="1"/>
        <rFont val="Calibri"/>
        <family val="2"/>
        <charset val="1"/>
      </rPr>
      <t xml:space="preserve">MarketScreener Alphabet </t>
    </r>
    <r>
      <rPr>
        <sz val="11"/>
        <color theme="1"/>
        <rFont val="Noto Sans CJK SC"/>
        <family val="2"/>
      </rPr>
      <t xml:space="preserve">財務預估（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系）</t>
    </r>
  </si>
  <si>
    <t xml:space="preserve">https://www.marketscreener.com/quote/stock/ALPHABET-INC-24203373/finances/</t>
  </si>
  <si>
    <r>
      <rPr>
        <sz val="11"/>
        <color theme="1"/>
        <rFont val="Calibri"/>
        <family val="2"/>
        <charset val="1"/>
      </rPr>
      <t xml:space="preserve">FY2026–2028 </t>
    </r>
    <r>
      <rPr>
        <sz val="11"/>
        <color theme="1"/>
        <rFont val="Noto Sans CJK SC"/>
        <family val="2"/>
      </rPr>
      <t xml:space="preserve">合併共識</t>
    </r>
  </si>
  <si>
    <t xml:space="preserve">S15</t>
  </si>
  <si>
    <r>
      <rPr>
        <sz val="11"/>
        <color theme="1"/>
        <rFont val="Noto Sans CJK SC"/>
        <family val="2"/>
      </rPr>
      <t xml:space="preserve">共用同業檔 </t>
    </r>
    <r>
      <rPr>
        <sz val="11"/>
        <color theme="1"/>
        <rFont val="Calibri"/>
        <family val="2"/>
        <charset val="1"/>
      </rPr>
      <t xml:space="preserve">alphabet/data/peers_ads_20261009.json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peers_cloud_20261008.json</t>
    </r>
  </si>
  <si>
    <t xml:space="preserve">2026-10-07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</si>
  <si>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StockAnalysis EV ÷ MarketScreener NTM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</si>
  <si>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</t>
    </r>
  </si>
  <si>
    <t xml:space="preserve">S16</t>
  </si>
  <si>
    <r>
      <rPr>
        <sz val="11"/>
        <color theme="1"/>
        <rFont val="Noto Sans CJK SC"/>
        <family val="2"/>
      </rPr>
      <t xml:space="preserve">共識檔 </t>
    </r>
    <r>
      <rPr>
        <sz val="11"/>
        <color theme="1"/>
        <rFont val="Calibri"/>
        <family val="2"/>
        <charset val="1"/>
      </rPr>
      <t xml:space="preserve">alphabet/data/consensus_googl_20261008.json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</si>
  <si>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時的共識（對照）</t>
    </r>
  </si>
  <si>
    <t xml:space="preserve">S17</t>
  </si>
  <si>
    <r>
      <rPr>
        <sz val="11"/>
        <color theme="1"/>
        <rFont val="Calibri"/>
        <family val="2"/>
        <charset val="1"/>
      </rPr>
      <t xml:space="preserve">MAG v0.2.2 </t>
    </r>
    <r>
      <rPr>
        <sz val="11"/>
        <color theme="1"/>
        <rFont val="Noto Sans CJK SC"/>
        <family val="2"/>
      </rPr>
      <t xml:space="preserve">成品與交接檔（</t>
    </r>
    <r>
      <rPr>
        <sz val="11"/>
        <color theme="1"/>
        <rFont val="Calibri"/>
        <family val="2"/>
        <charset val="1"/>
      </rPr>
      <t xml:space="preserve">legacy_v0.2/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docs/handoff/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</si>
  <si>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沿用參數與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目標價</t>
    </r>
  </si>
  <si>
    <t xml:space="preserve">S18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</si>
  <si>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命題與驅動對照表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C1–C23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</si>
  <si>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mag/docs/plan/20261008_MAG_</t>
    </r>
    <r>
      <rPr>
        <sz val="11"/>
        <color theme="1"/>
        <rFont val="Noto Sans CJK SC"/>
        <family val="2"/>
      </rPr>
      <t xml:space="preserve">命題與驅動對照表</t>
    </r>
    <r>
      <rPr>
        <sz val="11"/>
        <color theme="1"/>
        <rFont val="Calibri"/>
        <family val="2"/>
        <charset val="1"/>
      </rPr>
      <t xml:space="preserve">_r1.md</t>
    </r>
  </si>
  <si>
    <t xml:space="preserve">已決定的口徑</t>
  </si>
  <si>
    <t xml:space="preserve">S19</t>
  </si>
  <si>
    <r>
      <rPr>
        <sz val="11"/>
        <color theme="1"/>
        <rFont val="Calibri"/>
        <family val="2"/>
        <charset val="1"/>
      </rPr>
      <t xml:space="preserve">Gartner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年搜尋引擎查詢量因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聊天機器人減少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（預測）</t>
    </r>
  </si>
  <si>
    <t xml:space="preserve">2024-02-19</t>
  </si>
  <si>
    <r>
      <rPr>
        <sz val="11"/>
        <color theme="1"/>
        <rFont val="Calibri"/>
        <family val="2"/>
        <charset val="1"/>
      </rPr>
      <t xml:space="preserve">https://www.gartner.com/en/newsroom</t>
    </r>
    <r>
      <rPr>
        <sz val="11"/>
        <color theme="1"/>
        <rFont val="Noto Sans CJK SC"/>
        <family val="2"/>
      </rPr>
      <t xml:space="preserve">（本次未重新查核）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</si>
  <si>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分流幅度的參考（第三方預測）</t>
    </r>
  </si>
  <si>
    <t xml:space="preserve">S20</t>
  </si>
  <si>
    <r>
      <rPr>
        <sz val="11"/>
        <color theme="1"/>
        <rFont val="Calibri"/>
        <family val="2"/>
        <charset val="1"/>
      </rPr>
      <t xml:space="preserve">Apple Eddy Cue </t>
    </r>
    <r>
      <rPr>
        <sz val="11"/>
        <color theme="1"/>
        <rFont val="Noto Sans CJK SC"/>
        <family val="2"/>
      </rPr>
      <t xml:space="preserve">美國司法部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案證詞（媒體轉述）</t>
    </r>
  </si>
  <si>
    <t xml:space="preserve">2025-05-07</t>
  </si>
  <si>
    <t xml:space="preserve">（媒體轉述；本次未重新查核）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</si>
  <si>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Safari </t>
    </r>
    <r>
      <rPr>
        <sz val="11"/>
        <color theme="1"/>
        <rFont val="Noto Sans CJK SC"/>
        <family val="2"/>
      </rPr>
      <t xml:space="preserve">搜尋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首次下滑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</si>
</sst>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0"/>
    <numFmt numFmtId="168" formatCode="0.000"/>
    <numFmt numFmtId="169" formatCode="0.00"/>
    <numFmt numFmtId="170" formatCode="#,##0.0"/>
    <numFmt numFmtId="171" formatCode="#,##0.00"/>
    <numFmt numFmtId="172" formatCode="@"/>
    <numFmt numFmtId="173" formatCode="0.00%"/>
    <numFmt numFmtId="174" formatCode="0"/>
    <numFmt numFmtId="175" formatCode="\+0.0%;\-0.0%;0.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4" min="2" style="0" width="60"/>
  </cols>
  <sheetData>
    <row r="1" customFormat="false" ht="17.15" hidden="false" customHeight="false" outlineLevel="0" collapsed="false">
      <c r="A1" s="0" t="s">
        <v>0</v>
      </c>
    </row>
    <row r="3" customFormat="false" ht="32.8" hidden="false" customHeight="false" outlineLevel="0" collapsed="false">
      <c r="A3" s="1" t="s">
        <v>1</v>
      </c>
    </row>
    <row r="4" customFormat="false" ht="32.8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1" t="str">
        <f aca="false">"投資建議："&amp;Val!B14&amp;"（加權目標價 US$"&amp;TEXT(Val!B8,"0.00")&amp;"，上檔空間 "&amp;TEXT(Val!B11,"+0.0%;-0.0%")&amp;"；現價 "&amp;TEXT(px,"0.00")&amp;"，2026-10-26）"</f>
        <v>投資建議：強力放空（加權目標價 US$135.28，上檔空間 -57.3%；現價 316.80，2026-10-26）</v>
      </c>
    </row>
    <row r="6" customFormat="false" ht="32.8" hidden="false" customHeight="false" outlineLevel="0" collapsed="false">
      <c r="A6" s="1" t="str">
        <f aca="false">"重點觀察 1：目標價 "&amp;TEXT(Val!B8,"0")&amp;"＝DCF "&amp;TEXT(Val!B6,"0")&amp;"、分部加總 "&amp;TEXT(Val!B7,"0")&amp;" 各半；情境 A／B／C 為 "&amp;TEXT(Val!B17,"0")&amp;"／"&amp;TEXT(Val!C17,"0")&amp;"／"&amp;TEXT(Val!D17,"0")&amp;"，DCF 終值占 EV "&amp;TEXT(Val!C19,"0%")&amp;"（B）。市場共識目標價 "&amp;TEXT(cons_tp,"0")&amp;"。"</f>
        <v>重點觀察 1：目標價 135＝DCF 57、分部加總 214 各半；情境 A／B／C 為 157／139／106，DCF 終值占 EV 123%（B）。市場共識目標價 429。</v>
      </c>
    </row>
    <row r="7" customFormat="false" ht="32.8" hidden="false" customHeight="false" outlineLevel="0" collapsed="false">
      <c r="A7" s="1" t="str">
        <f aca="false">"重點觀察 2：C 情境 FY2028 Search &amp; other "&amp;TEXT(PL!I125,"0.0")&amp;"（比 B 少 "&amp;TEXT(1-PL!I125/PL!I69,"0.0%")&amp;"），Google Services 營業利益率 "&amp;TEXT(PL!I161,"0.0%")&amp;"（B "&amp;TEXT(PL!I105,"0.0%")&amp;"）；同年 Cloud AI 營收 "&amp;TEXT(PL!I74,"0.0")&amp;"、Google Cloud 營業利益 "&amp;TEXT(PL!I91,"0.0")&amp;"，Cloud 營業利益比 FY2025 增加 "&amp;TEXT(PL!I91-PL!D91,"0.0")&amp;"，抵銷 C 情境 Services 營業利益損失 "&amp;TEXT(PL!I88-PL!I144,"0.0")&amp;" 的 "&amp;TEXT((PL!I91-PL!D91)/(PL!I88-PL!I144),"0%")&amp;"。"</f>
        <v>重點觀察 2：C 情境 FY2028 Search &amp; other 290.1（比 B 少 14.5%），Google Services 營業利益率 32.1%（B 35.8%）；同年 Cloud AI 營收 56.7、Google Cloud 營業利益 62.1，Cloud 營業利益比 FY2025 增加 48.2，抵銷 C 情境 Services 營業利益損失 34.2 的 141%。</v>
      </c>
    </row>
    <row r="8" customFormat="false" ht="32.8" hidden="false" customHeight="false" outlineLevel="0" collapsed="false">
      <c r="A8" s="1" t="str">
        <f aca="false">"重點觀察 3：AI 折舊進損益——情境 B 新增 AI 折舊 FY2028 "&amp;TEXT(PL!I101,"0.0")&amp;"，合併營業利益率由 FY2025 "&amp;TEXT(PL!D104,"0.0%")&amp;" 變為 FY2028 "&amp;TEXT(PL!I104,"0.0%")&amp;"；收支關卡（FY2026–2030 自由現金流扣股利合計）B "&amp;TEXT(CF!C6,"0.0")&amp;"，"&amp;CF!C9&amp;"。"</f>
        <v>重點觀察 3：AI 折舊進損益——情境 B 新增 AI 折舊 FY2028 62.0，合併營業利益率由 FY2025 32.0% 變為 FY2028 24.2%；收支關卡（FY2026–2030 自由現金流扣股利合計）B 56.2，不需舉債，回購照目標。</v>
      </c>
    </row>
    <row r="10" customFormat="false" ht="15" hidden="false" customHeight="false" outlineLevel="0" collapsed="false">
      <c r="A10" s="2" t="s">
        <v>3</v>
      </c>
    </row>
    <row r="11" customFormat="false" ht="17.15" hidden="false" customHeight="false" outlineLevel="0" collapsed="false">
      <c r="A11" s="3" t="s">
        <v>4</v>
      </c>
      <c r="B11" s="3" t="s">
        <v>5</v>
      </c>
      <c r="C11" s="3" t="s">
        <v>6</v>
      </c>
      <c r="D11" s="3" t="s">
        <v>7</v>
      </c>
    </row>
    <row r="12" customFormat="false" ht="17.15" hidden="false" customHeight="false" outlineLevel="0" collapsed="false">
      <c r="A12" s="0" t="s">
        <v>8</v>
      </c>
      <c r="B12" s="0" t="s">
        <v>9</v>
      </c>
      <c r="C12" s="0" t="s">
        <v>10</v>
      </c>
      <c r="D12" s="0" t="s">
        <v>11</v>
      </c>
    </row>
    <row r="13" customFormat="false" ht="17.15" hidden="false" customHeight="false" outlineLevel="0" collapsed="false">
      <c r="A13" s="0" t="s">
        <v>12</v>
      </c>
      <c r="B13" s="0" t="s">
        <v>13</v>
      </c>
      <c r="C13" s="4" t="s">
        <v>14</v>
      </c>
      <c r="D13" s="4" t="s">
        <v>15</v>
      </c>
    </row>
    <row r="14" customFormat="false" ht="17.15" hidden="false" customHeight="false" outlineLevel="0" collapsed="false">
      <c r="A14" s="0" t="s">
        <v>16</v>
      </c>
      <c r="B14" s="0" t="s">
        <v>17</v>
      </c>
      <c r="C14" s="4" t="s">
        <v>18</v>
      </c>
      <c r="D14" s="4" t="s">
        <v>19</v>
      </c>
    </row>
    <row r="15" customFormat="false" ht="17.15" hidden="false" customHeight="false" outlineLevel="0" collapsed="false">
      <c r="A15" s="0" t="s">
        <v>20</v>
      </c>
      <c r="B15" s="0" t="s">
        <v>21</v>
      </c>
      <c r="C15" s="4" t="s">
        <v>22</v>
      </c>
      <c r="D15" s="4" t="s">
        <v>23</v>
      </c>
    </row>
    <row r="16" customFormat="false" ht="17.15" hidden="false" customHeight="false" outlineLevel="0" collapsed="false">
      <c r="A16" s="0" t="s">
        <v>24</v>
      </c>
      <c r="B16" s="0" t="s">
        <v>25</v>
      </c>
      <c r="C16" s="0" t="s">
        <v>26</v>
      </c>
      <c r="D16" s="4" t="s">
        <v>27</v>
      </c>
    </row>
    <row r="17" customFormat="false" ht="17.15" hidden="false" customHeight="false" outlineLevel="0" collapsed="false">
      <c r="A17" s="0" t="s">
        <v>28</v>
      </c>
      <c r="B17" s="0" t="s">
        <v>29</v>
      </c>
      <c r="C17" s="4" t="s">
        <v>30</v>
      </c>
      <c r="D17" s="4" t="s">
        <v>31</v>
      </c>
    </row>
    <row r="19" customFormat="false" ht="17.15" hidden="false" customHeight="false" outlineLevel="0" collapsed="false">
      <c r="A19" s="2" t="s">
        <v>32</v>
      </c>
    </row>
    <row r="20" customFormat="false" ht="17.15" hidden="false" customHeight="false" outlineLevel="0" collapsed="false">
      <c r="A20" s="4" t="s">
        <v>33</v>
      </c>
    </row>
    <row r="21" customFormat="false" ht="17.15" hidden="false" customHeight="false" outlineLevel="0" collapsed="false">
      <c r="A21" s="4" t="s">
        <v>34</v>
      </c>
    </row>
    <row r="22" customFormat="false" ht="17.15" hidden="false" customHeight="false" outlineLevel="0" collapsed="false">
      <c r="A22" s="4" t="s">
        <v>35</v>
      </c>
    </row>
    <row r="23" customFormat="false" ht="17.15" hidden="false" customHeight="false" outlineLevel="0" collapsed="false">
      <c r="A23" s="4" t="s">
        <v>36</v>
      </c>
    </row>
    <row r="24" customFormat="false" ht="17.15" hidden="false" customHeight="false" outlineLevel="0" collapsed="false">
      <c r="A24" s="4" t="s">
        <v>37</v>
      </c>
    </row>
    <row r="26" customFormat="false" ht="17.15" hidden="false" customHeight="false" outlineLevel="0" collapsed="false">
      <c r="A26" s="2" t="s">
        <v>38</v>
      </c>
    </row>
    <row r="27" customFormat="false" ht="17.15" hidden="false" customHeight="false" outlineLevel="0" collapsed="false">
      <c r="A27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9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40</v>
      </c>
    </row>
    <row r="2" customFormat="false" ht="17.15" hidden="false" customHeight="false" outlineLevel="0" collapsed="false">
      <c r="A2" s="4" t="s">
        <v>41</v>
      </c>
    </row>
    <row r="3" customFormat="false" ht="15" hidden="false" customHeight="false" outlineLevel="0" collapsed="false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  <c r="I3" s="3" t="s">
        <v>50</v>
      </c>
    </row>
    <row r="4" customFormat="false" ht="17.15" hidden="false" customHeight="false" outlineLevel="0" collapsed="false">
      <c r="A4" s="5" t="s">
        <v>51</v>
      </c>
    </row>
    <row r="5" customFormat="false" ht="17.15" hidden="false" customHeight="false" outlineLevel="0" collapsed="false">
      <c r="A5" s="0" t="s">
        <v>52</v>
      </c>
      <c r="B5" s="4" t="s">
        <v>53</v>
      </c>
      <c r="C5" s="0" t="s">
        <v>54</v>
      </c>
      <c r="E5" s="6" t="n">
        <v>316.8</v>
      </c>
      <c r="G5" s="7" t="s">
        <v>55</v>
      </c>
      <c r="H5" s="7" t="s">
        <v>56</v>
      </c>
      <c r="I5" s="4" t="s">
        <v>57</v>
      </c>
    </row>
    <row r="6" customFormat="false" ht="17.15" hidden="false" customHeight="false" outlineLevel="0" collapsed="false">
      <c r="A6" s="0" t="s">
        <v>58</v>
      </c>
      <c r="B6" s="4" t="s">
        <v>59</v>
      </c>
      <c r="C6" s="4" t="s">
        <v>60</v>
      </c>
      <c r="E6" s="6" t="n">
        <v>12.23</v>
      </c>
      <c r="G6" s="7" t="s">
        <v>55</v>
      </c>
      <c r="H6" s="7" t="s">
        <v>61</v>
      </c>
    </row>
    <row r="7" customFormat="false" ht="17.15" hidden="false" customHeight="false" outlineLevel="0" collapsed="false">
      <c r="A7" s="0" t="s">
        <v>62</v>
      </c>
      <c r="B7" s="0" t="s">
        <v>63</v>
      </c>
      <c r="C7" s="4" t="s">
        <v>60</v>
      </c>
      <c r="E7" s="6" t="n">
        <v>12.309</v>
      </c>
      <c r="G7" s="7" t="s">
        <v>64</v>
      </c>
      <c r="H7" s="7" t="s">
        <v>65</v>
      </c>
    </row>
    <row r="8" customFormat="false" ht="17.15" hidden="false" customHeight="false" outlineLevel="0" collapsed="false">
      <c r="A8" s="0" t="s">
        <v>66</v>
      </c>
      <c r="B8" s="0" t="s">
        <v>67</v>
      </c>
      <c r="C8" s="4" t="s">
        <v>60</v>
      </c>
      <c r="E8" s="6" t="n">
        <v>12.151</v>
      </c>
      <c r="G8" s="7" t="s">
        <v>64</v>
      </c>
      <c r="H8" s="7" t="s">
        <v>68</v>
      </c>
      <c r="I8" s="7" t="s">
        <v>69</v>
      </c>
    </row>
    <row r="9" customFormat="false" ht="17.15" hidden="false" customHeight="false" outlineLevel="0" collapsed="false">
      <c r="A9" s="0" t="s">
        <v>70</v>
      </c>
      <c r="B9" s="4" t="s">
        <v>71</v>
      </c>
      <c r="C9" s="4" t="s">
        <v>60</v>
      </c>
      <c r="D9" s="6" t="n">
        <v>0.0436</v>
      </c>
      <c r="E9" s="6" t="n">
        <v>0.0546</v>
      </c>
      <c r="F9" s="6" t="n">
        <v>0.0546</v>
      </c>
      <c r="G9" s="7" t="s">
        <v>64</v>
      </c>
      <c r="H9" s="7" t="s">
        <v>72</v>
      </c>
      <c r="I9" s="4" t="s">
        <v>73</v>
      </c>
    </row>
    <row r="10" customFormat="false" ht="17.15" hidden="false" customHeight="false" outlineLevel="0" collapsed="false">
      <c r="A10" s="0" t="s">
        <v>74</v>
      </c>
      <c r="B10" s="4" t="s">
        <v>75</v>
      </c>
      <c r="C10" s="0" t="s">
        <v>76</v>
      </c>
      <c r="E10" s="6" t="n">
        <v>155.411</v>
      </c>
      <c r="G10" s="7" t="s">
        <v>77</v>
      </c>
      <c r="H10" s="7" t="s">
        <v>78</v>
      </c>
      <c r="I10" s="4" t="s">
        <v>79</v>
      </c>
    </row>
    <row r="11" customFormat="false" ht="17.15" hidden="false" customHeight="false" outlineLevel="0" collapsed="false">
      <c r="A11" s="0" t="s">
        <v>80</v>
      </c>
      <c r="B11" s="4" t="s">
        <v>81</v>
      </c>
      <c r="C11" s="0" t="s">
        <v>76</v>
      </c>
      <c r="E11" s="6" t="n">
        <v>120.53</v>
      </c>
      <c r="G11" s="7" t="s">
        <v>77</v>
      </c>
      <c r="H11" s="7" t="s">
        <v>82</v>
      </c>
    </row>
    <row r="12" customFormat="false" ht="17.15" hidden="false" customHeight="false" outlineLevel="0" collapsed="false">
      <c r="A12" s="0" t="s">
        <v>83</v>
      </c>
      <c r="B12" s="4" t="s">
        <v>84</v>
      </c>
      <c r="C12" s="0" t="s">
        <v>76</v>
      </c>
      <c r="E12" s="6" t="n">
        <v>101.085</v>
      </c>
      <c r="G12" s="7" t="s">
        <v>64</v>
      </c>
      <c r="H12" s="7" t="s">
        <v>85</v>
      </c>
    </row>
    <row r="13" customFormat="false" ht="17.15" hidden="false" customHeight="false" outlineLevel="0" collapsed="false">
      <c r="A13" s="0" t="s">
        <v>86</v>
      </c>
      <c r="B13" s="4" t="s">
        <v>87</v>
      </c>
      <c r="C13" s="0" t="s">
        <v>76</v>
      </c>
      <c r="E13" s="6" t="n">
        <v>17.356</v>
      </c>
      <c r="G13" s="7" t="s">
        <v>64</v>
      </c>
      <c r="H13" s="7" t="s">
        <v>88</v>
      </c>
      <c r="I13" s="7" t="s">
        <v>89</v>
      </c>
    </row>
    <row r="14" customFormat="false" ht="17.15" hidden="false" customHeight="false" outlineLevel="0" collapsed="false">
      <c r="A14" s="0" t="s">
        <v>90</v>
      </c>
      <c r="B14" s="4" t="s">
        <v>91</v>
      </c>
      <c r="C14" s="0" t="s">
        <v>76</v>
      </c>
      <c r="E14" s="6" t="n">
        <v>7.1</v>
      </c>
      <c r="G14" s="7" t="s">
        <v>64</v>
      </c>
      <c r="H14" s="7" t="s">
        <v>92</v>
      </c>
    </row>
    <row r="15" customFormat="false" ht="17.15" hidden="false" customHeight="false" outlineLevel="0" collapsed="false">
      <c r="A15" s="5" t="s">
        <v>93</v>
      </c>
    </row>
    <row r="16" customFormat="false" ht="17.15" hidden="false" customHeight="false" outlineLevel="0" collapsed="false">
      <c r="A16" s="0" t="s">
        <v>94</v>
      </c>
      <c r="B16" s="0" t="s">
        <v>95</v>
      </c>
      <c r="C16" s="0" t="s">
        <v>76</v>
      </c>
      <c r="E16" s="6" t="n">
        <v>965</v>
      </c>
      <c r="G16" s="7" t="s">
        <v>64</v>
      </c>
      <c r="H16" s="7" t="s">
        <v>96</v>
      </c>
    </row>
    <row r="17" customFormat="false" ht="17.15" hidden="false" customHeight="false" outlineLevel="0" collapsed="false">
      <c r="A17" s="0" t="s">
        <v>97</v>
      </c>
      <c r="B17" s="0" t="s">
        <v>98</v>
      </c>
      <c r="C17" s="0" t="s">
        <v>99</v>
      </c>
      <c r="D17" s="8" t="n">
        <v>0.11</v>
      </c>
      <c r="E17" s="8" t="n">
        <v>0.125</v>
      </c>
      <c r="F17" s="8" t="n">
        <v>0.14</v>
      </c>
      <c r="G17" s="7" t="s">
        <v>100</v>
      </c>
      <c r="H17" s="4" t="s">
        <v>101</v>
      </c>
    </row>
    <row r="18" customFormat="false" ht="17.15" hidden="false" customHeight="false" outlineLevel="0" collapsed="false">
      <c r="A18" s="9" t="s">
        <v>102</v>
      </c>
      <c r="B18" s="10" t="s">
        <v>103</v>
      </c>
      <c r="C18" s="9" t="s">
        <v>99</v>
      </c>
      <c r="D18" s="11" t="n">
        <v>0</v>
      </c>
      <c r="E18" s="11" t="n">
        <v>0.2</v>
      </c>
      <c r="F18" s="11" t="n">
        <v>0.4</v>
      </c>
      <c r="G18" s="9" t="s">
        <v>100</v>
      </c>
      <c r="H18" s="10" t="s">
        <v>104</v>
      </c>
      <c r="I18" s="9"/>
    </row>
    <row r="19" customFormat="false" ht="17.15" hidden="false" customHeight="false" outlineLevel="0" collapsed="false">
      <c r="A19" s="0" t="s">
        <v>105</v>
      </c>
      <c r="B19" s="0" t="s">
        <v>106</v>
      </c>
      <c r="C19" s="0" t="s">
        <v>76</v>
      </c>
      <c r="E19" s="6" t="n">
        <v>94.1</v>
      </c>
      <c r="G19" s="7" t="s">
        <v>64</v>
      </c>
      <c r="H19" s="7" t="s">
        <v>107</v>
      </c>
      <c r="I19" s="4" t="s">
        <v>108</v>
      </c>
    </row>
    <row r="20" customFormat="false" ht="17.15" hidden="false" customHeight="false" outlineLevel="0" collapsed="false">
      <c r="A20" s="0" t="s">
        <v>109</v>
      </c>
      <c r="B20" s="4" t="s">
        <v>110</v>
      </c>
      <c r="C20" s="0" t="s">
        <v>76</v>
      </c>
      <c r="E20" s="6" t="n">
        <v>7.089</v>
      </c>
      <c r="G20" s="7" t="s">
        <v>77</v>
      </c>
      <c r="H20" s="4" t="s">
        <v>111</v>
      </c>
    </row>
    <row r="21" customFormat="false" ht="17.15" hidden="false" customHeight="false" outlineLevel="0" collapsed="false">
      <c r="A21" s="5" t="s">
        <v>112</v>
      </c>
    </row>
    <row r="22" customFormat="false" ht="17.15" hidden="false" customHeight="false" outlineLevel="0" collapsed="false">
      <c r="A22" s="0" t="s">
        <v>113</v>
      </c>
      <c r="B22" s="4" t="s">
        <v>114</v>
      </c>
      <c r="C22" s="0" t="s">
        <v>99</v>
      </c>
      <c r="E22" s="8" t="n">
        <v>0.0528</v>
      </c>
      <c r="G22" s="7" t="s">
        <v>55</v>
      </c>
      <c r="H22" s="7" t="s">
        <v>115</v>
      </c>
      <c r="I22" s="4" t="s">
        <v>116</v>
      </c>
    </row>
    <row r="23" customFormat="false" ht="17.15" hidden="false" customHeight="false" outlineLevel="0" collapsed="false">
      <c r="A23" s="0" t="s">
        <v>117</v>
      </c>
      <c r="B23" s="0" t="s">
        <v>118</v>
      </c>
      <c r="C23" s="0" t="s">
        <v>119</v>
      </c>
      <c r="D23" s="12" t="n">
        <v>1.21</v>
      </c>
      <c r="E23" s="12" t="n">
        <v>1.28845</v>
      </c>
      <c r="F23" s="12" t="n">
        <v>1.3669</v>
      </c>
      <c r="G23" s="7" t="s">
        <v>77</v>
      </c>
      <c r="H23" s="7" t="s">
        <v>120</v>
      </c>
      <c r="I23" s="4" t="s">
        <v>116</v>
      </c>
    </row>
    <row r="24" customFormat="false" ht="17.15" hidden="false" customHeight="false" outlineLevel="0" collapsed="false">
      <c r="A24" s="0" t="s">
        <v>121</v>
      </c>
      <c r="B24" s="4" t="s">
        <v>122</v>
      </c>
      <c r="C24" s="0" t="s">
        <v>99</v>
      </c>
      <c r="D24" s="8" t="n">
        <v>0.04</v>
      </c>
      <c r="E24" s="8" t="n">
        <v>0.05</v>
      </c>
      <c r="F24" s="8" t="n">
        <v>0.06</v>
      </c>
      <c r="G24" s="7" t="s">
        <v>100</v>
      </c>
      <c r="H24" s="4" t="s">
        <v>123</v>
      </c>
    </row>
    <row r="25" customFormat="false" ht="17.15" hidden="false" customHeight="false" outlineLevel="0" collapsed="false">
      <c r="A25" s="0" t="s">
        <v>124</v>
      </c>
      <c r="B25" s="4" t="s">
        <v>125</v>
      </c>
      <c r="C25" s="0" t="s">
        <v>99</v>
      </c>
      <c r="E25" s="8" t="n">
        <v>0.06527</v>
      </c>
      <c r="G25" s="7" t="s">
        <v>55</v>
      </c>
      <c r="H25" s="7" t="s">
        <v>126</v>
      </c>
      <c r="I25" s="4" t="s">
        <v>116</v>
      </c>
    </row>
    <row r="26" customFormat="false" ht="17.15" hidden="false" customHeight="false" outlineLevel="0" collapsed="false">
      <c r="A26" s="0" t="s">
        <v>127</v>
      </c>
      <c r="B26" s="0" t="s">
        <v>128</v>
      </c>
      <c r="C26" s="0" t="s">
        <v>99</v>
      </c>
      <c r="E26" s="8" t="n">
        <v>0.168</v>
      </c>
      <c r="G26" s="7" t="s">
        <v>77</v>
      </c>
      <c r="H26" s="7" t="s">
        <v>129</v>
      </c>
      <c r="I26" s="4" t="s">
        <v>116</v>
      </c>
    </row>
    <row r="27" customFormat="false" ht="17.15" hidden="false" customHeight="false" outlineLevel="0" collapsed="false">
      <c r="A27" s="9" t="s">
        <v>130</v>
      </c>
      <c r="B27" s="10" t="s">
        <v>131</v>
      </c>
      <c r="C27" s="9" t="s">
        <v>99</v>
      </c>
      <c r="D27" s="11" t="n">
        <v>0.02</v>
      </c>
      <c r="E27" s="11" t="n">
        <v>0.03</v>
      </c>
      <c r="F27" s="11" t="n">
        <v>0.04</v>
      </c>
      <c r="G27" s="9" t="s">
        <v>100</v>
      </c>
      <c r="H27" s="10" t="s">
        <v>132</v>
      </c>
      <c r="I27" s="9"/>
    </row>
    <row r="28" customFormat="false" ht="17.15" hidden="false" customHeight="false" outlineLevel="0" collapsed="false">
      <c r="A28" s="9" t="s">
        <v>133</v>
      </c>
      <c r="B28" s="10" t="s">
        <v>134</v>
      </c>
      <c r="C28" s="9" t="s">
        <v>99</v>
      </c>
      <c r="D28" s="9"/>
      <c r="E28" s="11" t="n">
        <v>0.12</v>
      </c>
      <c r="F28" s="11" t="n">
        <v>0.2</v>
      </c>
      <c r="G28" s="9" t="s">
        <v>100</v>
      </c>
      <c r="H28" s="10" t="s">
        <v>135</v>
      </c>
      <c r="I28" s="10" t="s">
        <v>136</v>
      </c>
    </row>
    <row r="29" customFormat="false" ht="17.15" hidden="false" customHeight="false" outlineLevel="0" collapsed="false">
      <c r="A29" s="9" t="s">
        <v>137</v>
      </c>
      <c r="B29" s="10" t="s">
        <v>138</v>
      </c>
      <c r="C29" s="9" t="s">
        <v>99</v>
      </c>
      <c r="D29" s="9"/>
      <c r="E29" s="11" t="n">
        <v>0.25</v>
      </c>
      <c r="F29" s="9"/>
      <c r="G29" s="9" t="s">
        <v>100</v>
      </c>
      <c r="H29" s="10" t="s">
        <v>139</v>
      </c>
      <c r="I29" s="9"/>
    </row>
    <row r="30" customFormat="false" ht="17.15" hidden="false" customHeight="false" outlineLevel="0" collapsed="false">
      <c r="A30" s="9" t="s">
        <v>140</v>
      </c>
      <c r="B30" s="10" t="s">
        <v>141</v>
      </c>
      <c r="C30" s="9" t="s">
        <v>99</v>
      </c>
      <c r="D30" s="9"/>
      <c r="E30" s="11" t="n">
        <v>0.5</v>
      </c>
      <c r="F30" s="9"/>
      <c r="G30" s="9" t="s">
        <v>100</v>
      </c>
      <c r="H30" s="10" t="s">
        <v>142</v>
      </c>
      <c r="I30" s="9"/>
    </row>
    <row r="31" customFormat="false" ht="17.15" hidden="false" customHeight="false" outlineLevel="0" collapsed="false">
      <c r="A31" s="9" t="s">
        <v>143</v>
      </c>
      <c r="B31" s="10" t="s">
        <v>144</v>
      </c>
      <c r="C31" s="9" t="s">
        <v>99</v>
      </c>
      <c r="D31" s="9"/>
      <c r="E31" s="11" t="n">
        <v>0.25</v>
      </c>
      <c r="F31" s="9"/>
      <c r="G31" s="9" t="s">
        <v>100</v>
      </c>
      <c r="H31" s="10" t="s">
        <v>142</v>
      </c>
      <c r="I31" s="9"/>
    </row>
    <row r="32" customFormat="false" ht="17.15" hidden="false" customHeight="false" outlineLevel="0" collapsed="false">
      <c r="A32" s="9" t="s">
        <v>145</v>
      </c>
      <c r="B32" s="10" t="s">
        <v>146</v>
      </c>
      <c r="C32" s="9" t="s">
        <v>99</v>
      </c>
      <c r="D32" s="11" t="n">
        <v>0.3</v>
      </c>
      <c r="E32" s="11" t="n">
        <v>0.5</v>
      </c>
      <c r="F32" s="11" t="n">
        <v>0.7</v>
      </c>
      <c r="G32" s="9" t="s">
        <v>100</v>
      </c>
      <c r="H32" s="10" t="s">
        <v>147</v>
      </c>
      <c r="I32" s="9"/>
    </row>
    <row r="33" customFormat="false" ht="17.15" hidden="false" customHeight="false" outlineLevel="0" collapsed="false">
      <c r="A33" s="0" t="s">
        <v>148</v>
      </c>
      <c r="B33" s="4" t="s">
        <v>149</v>
      </c>
      <c r="C33" s="4" t="s">
        <v>150</v>
      </c>
      <c r="E33" s="6" t="n">
        <v>1.3233</v>
      </c>
      <c r="G33" s="7" t="s">
        <v>77</v>
      </c>
      <c r="H33" s="7" t="s">
        <v>151</v>
      </c>
      <c r="I33" s="4" t="s">
        <v>152</v>
      </c>
    </row>
    <row r="34" customFormat="false" ht="17.15" hidden="false" customHeight="false" outlineLevel="0" collapsed="false">
      <c r="A34" s="0" t="s">
        <v>153</v>
      </c>
      <c r="B34" s="4" t="s">
        <v>154</v>
      </c>
      <c r="C34" s="0" t="s">
        <v>99</v>
      </c>
      <c r="E34" s="8" t="n">
        <v>0.1781</v>
      </c>
      <c r="G34" s="7" t="s">
        <v>77</v>
      </c>
      <c r="H34" s="7" t="s">
        <v>155</v>
      </c>
      <c r="I34" s="4" t="s">
        <v>156</v>
      </c>
    </row>
    <row r="35" customFormat="false" ht="17.15" hidden="false" customHeight="false" outlineLevel="0" collapsed="false">
      <c r="A35" s="0" t="s">
        <v>157</v>
      </c>
      <c r="B35" s="4" t="s">
        <v>158</v>
      </c>
      <c r="C35" s="0" t="s">
        <v>54</v>
      </c>
      <c r="E35" s="6" t="n">
        <v>429.12</v>
      </c>
      <c r="G35" s="7" t="s">
        <v>64</v>
      </c>
      <c r="H35" s="7" t="s">
        <v>159</v>
      </c>
      <c r="I35" s="7" t="s">
        <v>160</v>
      </c>
    </row>
    <row r="36" customFormat="false" ht="17.15" hidden="false" customHeight="false" outlineLevel="0" collapsed="false">
      <c r="A36" s="9" t="s">
        <v>161</v>
      </c>
      <c r="B36" s="10" t="s">
        <v>162</v>
      </c>
      <c r="C36" s="9" t="s">
        <v>119</v>
      </c>
      <c r="D36" s="9"/>
      <c r="E36" s="13" t="n">
        <v>0</v>
      </c>
      <c r="F36" s="13" t="n">
        <v>1</v>
      </c>
      <c r="G36" s="9" t="s">
        <v>100</v>
      </c>
      <c r="H36" s="10" t="s">
        <v>163</v>
      </c>
      <c r="I36" s="9"/>
    </row>
    <row r="37" customFormat="false" ht="17.15" hidden="false" customHeight="false" outlineLevel="0" collapsed="false">
      <c r="A37" s="9" t="s">
        <v>164</v>
      </c>
      <c r="B37" s="10" t="s">
        <v>165</v>
      </c>
      <c r="C37" s="9" t="s">
        <v>119</v>
      </c>
      <c r="D37" s="9"/>
      <c r="E37" s="13" t="n">
        <v>0</v>
      </c>
      <c r="F37" s="13" t="n">
        <v>1</v>
      </c>
      <c r="G37" s="9" t="s">
        <v>100</v>
      </c>
      <c r="H37" s="10" t="s">
        <v>166</v>
      </c>
      <c r="I37" s="10" t="s">
        <v>167</v>
      </c>
    </row>
    <row r="38" customFormat="false" ht="17.15" hidden="false" customHeight="false" outlineLevel="0" collapsed="false">
      <c r="A38" s="9" t="s">
        <v>168</v>
      </c>
      <c r="B38" s="10" t="s">
        <v>169</v>
      </c>
      <c r="C38" s="9" t="s">
        <v>119</v>
      </c>
      <c r="D38" s="9"/>
      <c r="E38" s="13" t="n">
        <v>0</v>
      </c>
      <c r="F38" s="13" t="n">
        <v>1</v>
      </c>
      <c r="G38" s="9" t="s">
        <v>100</v>
      </c>
      <c r="H38" s="10" t="s">
        <v>170</v>
      </c>
      <c r="I38" s="9"/>
    </row>
    <row r="39" customFormat="false" ht="17.15" hidden="false" customHeight="false" outlineLevel="0" collapsed="false">
      <c r="A39" s="5" t="s">
        <v>171</v>
      </c>
    </row>
    <row r="40" customFormat="false" ht="17.15" hidden="false" customHeight="false" outlineLevel="0" collapsed="false">
      <c r="A40" s="0" t="s">
        <v>172</v>
      </c>
      <c r="B40" s="4" t="s">
        <v>173</v>
      </c>
      <c r="C40" s="0" t="s">
        <v>119</v>
      </c>
      <c r="E40" s="12" t="n">
        <v>10.79</v>
      </c>
      <c r="G40" s="7" t="s">
        <v>77</v>
      </c>
      <c r="H40" s="7" t="s">
        <v>174</v>
      </c>
      <c r="I40" s="7" t="s">
        <v>175</v>
      </c>
    </row>
    <row r="41" customFormat="false" ht="17.15" hidden="false" customHeight="false" outlineLevel="0" collapsed="false">
      <c r="A41" s="0" t="s">
        <v>176</v>
      </c>
      <c r="B41" s="4" t="s">
        <v>177</v>
      </c>
      <c r="C41" s="0" t="s">
        <v>119</v>
      </c>
      <c r="E41" s="12" t="n">
        <v>6.91</v>
      </c>
      <c r="G41" s="7" t="s">
        <v>77</v>
      </c>
      <c r="H41" s="7" t="s">
        <v>174</v>
      </c>
      <c r="I41" s="7" t="s">
        <v>175</v>
      </c>
    </row>
    <row r="42" customFormat="false" ht="17.15" hidden="false" customHeight="false" outlineLevel="0" collapsed="false">
      <c r="A42" s="0" t="s">
        <v>178</v>
      </c>
      <c r="B42" s="4" t="s">
        <v>179</v>
      </c>
      <c r="C42" s="0" t="s">
        <v>119</v>
      </c>
      <c r="E42" s="12" t="n">
        <v>6.53</v>
      </c>
      <c r="G42" s="7" t="s">
        <v>77</v>
      </c>
      <c r="H42" s="7" t="s">
        <v>174</v>
      </c>
      <c r="I42" s="7" t="s">
        <v>175</v>
      </c>
    </row>
    <row r="43" customFormat="false" ht="17.15" hidden="false" customHeight="false" outlineLevel="0" collapsed="false">
      <c r="A43" s="0" t="s">
        <v>180</v>
      </c>
      <c r="B43" s="4" t="s">
        <v>181</v>
      </c>
      <c r="C43" s="0" t="s">
        <v>119</v>
      </c>
      <c r="E43" s="12" t="n">
        <v>11.38</v>
      </c>
      <c r="G43" s="7" t="s">
        <v>77</v>
      </c>
      <c r="H43" s="7" t="s">
        <v>174</v>
      </c>
      <c r="I43" s="7" t="s">
        <v>175</v>
      </c>
    </row>
    <row r="44" customFormat="false" ht="17.15" hidden="false" customHeight="false" outlineLevel="0" collapsed="false">
      <c r="A44" s="0" t="s">
        <v>182</v>
      </c>
      <c r="B44" s="4" t="s">
        <v>183</v>
      </c>
      <c r="C44" s="0" t="s">
        <v>119</v>
      </c>
      <c r="E44" s="12" t="n">
        <v>13.63</v>
      </c>
      <c r="G44" s="7" t="s">
        <v>77</v>
      </c>
      <c r="H44" s="7" t="s">
        <v>174</v>
      </c>
      <c r="I44" s="7" t="s">
        <v>175</v>
      </c>
    </row>
    <row r="45" customFormat="false" ht="17.15" hidden="false" customHeight="false" outlineLevel="0" collapsed="false">
      <c r="A45" s="0" t="s">
        <v>184</v>
      </c>
      <c r="B45" s="4" t="s">
        <v>185</v>
      </c>
      <c r="C45" s="0" t="s">
        <v>119</v>
      </c>
      <c r="E45" s="12" t="n">
        <v>7.43</v>
      </c>
      <c r="G45" s="7" t="s">
        <v>77</v>
      </c>
      <c r="H45" s="7" t="s">
        <v>174</v>
      </c>
      <c r="I45" s="7" t="s">
        <v>175</v>
      </c>
    </row>
    <row r="46" customFormat="false" ht="17.15" hidden="false" customHeight="false" outlineLevel="0" collapsed="false">
      <c r="A46" s="0" t="s">
        <v>186</v>
      </c>
      <c r="B46" s="4" t="s">
        <v>187</v>
      </c>
      <c r="C46" s="0" t="s">
        <v>119</v>
      </c>
      <c r="E46" s="12" t="n">
        <v>15.41</v>
      </c>
      <c r="G46" s="7" t="s">
        <v>77</v>
      </c>
      <c r="H46" s="7" t="s">
        <v>188</v>
      </c>
      <c r="I46" s="7" t="s">
        <v>175</v>
      </c>
    </row>
    <row r="47" customFormat="false" ht="17.15" hidden="false" customHeight="false" outlineLevel="0" collapsed="false">
      <c r="A47" s="0" t="s">
        <v>189</v>
      </c>
      <c r="B47" s="4" t="s">
        <v>190</v>
      </c>
      <c r="C47" s="0" t="s">
        <v>119</v>
      </c>
      <c r="E47" s="12" t="n">
        <v>31.97</v>
      </c>
      <c r="G47" s="7" t="s">
        <v>77</v>
      </c>
      <c r="H47" s="7" t="s">
        <v>188</v>
      </c>
      <c r="I47" s="7" t="s">
        <v>175</v>
      </c>
    </row>
    <row r="48" customFormat="false" ht="17.15" hidden="false" customHeight="false" outlineLevel="0" collapsed="false">
      <c r="A48" s="0" t="s">
        <v>191</v>
      </c>
      <c r="B48" s="4" t="s">
        <v>192</v>
      </c>
      <c r="C48" s="0" t="s">
        <v>119</v>
      </c>
      <c r="E48" s="12" t="n">
        <v>10.58</v>
      </c>
      <c r="G48" s="7" t="s">
        <v>77</v>
      </c>
      <c r="H48" s="7" t="s">
        <v>188</v>
      </c>
      <c r="I48" s="7" t="s">
        <v>175</v>
      </c>
    </row>
    <row r="49" customFormat="false" ht="17.15" hidden="false" customHeight="false" outlineLevel="0" collapsed="false">
      <c r="A49" s="0" t="s">
        <v>193</v>
      </c>
      <c r="B49" s="4" t="s">
        <v>194</v>
      </c>
      <c r="C49" s="0" t="s">
        <v>119</v>
      </c>
      <c r="E49" s="12" t="n">
        <v>9.49</v>
      </c>
      <c r="G49" s="7" t="s">
        <v>77</v>
      </c>
      <c r="H49" s="7" t="s">
        <v>195</v>
      </c>
      <c r="I49" s="7" t="s">
        <v>175</v>
      </c>
    </row>
    <row r="50" customFormat="false" ht="17.15" hidden="false" customHeight="false" outlineLevel="0" collapsed="false">
      <c r="A50" s="0" t="s">
        <v>196</v>
      </c>
      <c r="B50" s="4" t="s">
        <v>197</v>
      </c>
      <c r="C50" s="0" t="s">
        <v>119</v>
      </c>
      <c r="E50" s="12" t="n">
        <v>12.51</v>
      </c>
      <c r="G50" s="7" t="s">
        <v>77</v>
      </c>
      <c r="H50" s="7" t="s">
        <v>195</v>
      </c>
      <c r="I50" s="7" t="s">
        <v>175</v>
      </c>
    </row>
    <row r="51" customFormat="false" ht="17.15" hidden="false" customHeight="false" outlineLevel="0" collapsed="false">
      <c r="A51" s="0" t="s">
        <v>198</v>
      </c>
      <c r="B51" s="4" t="s">
        <v>199</v>
      </c>
      <c r="C51" s="0" t="s">
        <v>119</v>
      </c>
      <c r="E51" s="12" t="n">
        <v>15.13</v>
      </c>
      <c r="G51" s="7" t="s">
        <v>77</v>
      </c>
      <c r="H51" s="7" t="s">
        <v>195</v>
      </c>
      <c r="I51" s="7" t="s">
        <v>175</v>
      </c>
    </row>
    <row r="52" customFormat="false" ht="17.15" hidden="false" customHeight="false" outlineLevel="0" collapsed="false">
      <c r="A52" s="0" t="s">
        <v>200</v>
      </c>
      <c r="B52" s="4" t="s">
        <v>201</v>
      </c>
      <c r="C52" s="0" t="s">
        <v>119</v>
      </c>
      <c r="E52" s="12" t="n">
        <v>10.81</v>
      </c>
      <c r="G52" s="7" t="s">
        <v>77</v>
      </c>
      <c r="H52" s="7" t="s">
        <v>195</v>
      </c>
      <c r="I52" s="7" t="s">
        <v>175</v>
      </c>
    </row>
    <row r="53" customFormat="false" ht="17.15" hidden="false" customHeight="false" outlineLevel="0" collapsed="false">
      <c r="A53" s="0" t="s">
        <v>202</v>
      </c>
      <c r="B53" s="4" t="s">
        <v>203</v>
      </c>
      <c r="C53" s="0" t="s">
        <v>119</v>
      </c>
      <c r="E53" s="12" t="n">
        <v>20.63</v>
      </c>
      <c r="G53" s="7" t="s">
        <v>77</v>
      </c>
      <c r="H53" s="7" t="s">
        <v>195</v>
      </c>
      <c r="I53" s="7" t="s">
        <v>175</v>
      </c>
    </row>
    <row r="54" customFormat="false" ht="17.15" hidden="false" customHeight="false" outlineLevel="0" collapsed="false">
      <c r="A54" s="0" t="s">
        <v>204</v>
      </c>
      <c r="B54" s="4" t="s">
        <v>205</v>
      </c>
      <c r="C54" s="0" t="s">
        <v>119</v>
      </c>
      <c r="E54" s="12" t="n">
        <v>9.7</v>
      </c>
      <c r="G54" s="7" t="s">
        <v>77</v>
      </c>
      <c r="H54" s="7" t="s">
        <v>195</v>
      </c>
      <c r="I54" s="7" t="s">
        <v>175</v>
      </c>
    </row>
    <row r="55" customFormat="false" ht="17.15" hidden="false" customHeight="false" outlineLevel="0" collapsed="false">
      <c r="A55" s="0" t="s">
        <v>206</v>
      </c>
      <c r="B55" s="4" t="s">
        <v>207</v>
      </c>
      <c r="C55" s="0" t="s">
        <v>119</v>
      </c>
      <c r="E55" s="12" t="n">
        <v>21.2</v>
      </c>
      <c r="G55" s="7" t="s">
        <v>77</v>
      </c>
      <c r="H55" s="7" t="s">
        <v>195</v>
      </c>
      <c r="I55" s="7" t="s">
        <v>175</v>
      </c>
    </row>
    <row r="56" customFormat="false" ht="17.15" hidden="false" customHeight="false" outlineLevel="0" collapsed="false">
      <c r="A56" s="0" t="s">
        <v>208</v>
      </c>
      <c r="B56" s="4" t="s">
        <v>209</v>
      </c>
      <c r="C56" s="0" t="s">
        <v>119</v>
      </c>
      <c r="E56" s="12" t="n">
        <v>24.49</v>
      </c>
      <c r="G56" s="7" t="s">
        <v>77</v>
      </c>
      <c r="H56" s="7" t="s">
        <v>195</v>
      </c>
      <c r="I56" s="7" t="s">
        <v>175</v>
      </c>
    </row>
    <row r="57" customFormat="false" ht="17.15" hidden="false" customHeight="false" outlineLevel="0" collapsed="false">
      <c r="A57" s="9" t="s">
        <v>210</v>
      </c>
      <c r="B57" s="9" t="s">
        <v>211</v>
      </c>
      <c r="C57" s="9" t="s">
        <v>119</v>
      </c>
      <c r="D57" s="13" t="n">
        <v>4</v>
      </c>
      <c r="E57" s="13" t="n">
        <v>6</v>
      </c>
      <c r="F57" s="13" t="n">
        <v>10</v>
      </c>
      <c r="G57" s="9" t="s">
        <v>100</v>
      </c>
      <c r="H57" s="10" t="s">
        <v>212</v>
      </c>
      <c r="I57" s="9" t="s">
        <v>213</v>
      </c>
    </row>
    <row r="58" customFormat="false" ht="17.15" hidden="false" customHeight="false" outlineLevel="0" collapsed="false">
      <c r="A58" s="0" t="s">
        <v>214</v>
      </c>
      <c r="B58" s="0" t="s">
        <v>215</v>
      </c>
      <c r="C58" s="0" t="s">
        <v>119</v>
      </c>
      <c r="E58" s="12" t="n">
        <v>14.68</v>
      </c>
      <c r="G58" s="7" t="s">
        <v>77</v>
      </c>
      <c r="H58" s="4" t="s">
        <v>216</v>
      </c>
    </row>
    <row r="59" customFormat="false" ht="17.15" hidden="false" customHeight="false" outlineLevel="0" collapsed="false">
      <c r="A59" s="0" t="s">
        <v>217</v>
      </c>
      <c r="B59" s="4" t="s">
        <v>218</v>
      </c>
      <c r="C59" s="0" t="s">
        <v>119</v>
      </c>
      <c r="E59" s="12" t="n">
        <v>0</v>
      </c>
      <c r="F59" s="12" t="n">
        <v>1</v>
      </c>
      <c r="G59" s="7" t="s">
        <v>100</v>
      </c>
      <c r="H59" s="7" t="s">
        <v>219</v>
      </c>
    </row>
    <row r="60" customFormat="false" ht="17.15" hidden="false" customHeight="false" outlineLevel="0" collapsed="false">
      <c r="A60" s="5" t="s">
        <v>220</v>
      </c>
    </row>
    <row r="61" customFormat="false" ht="17.15" hidden="false" customHeight="false" outlineLevel="0" collapsed="false">
      <c r="A61" s="0" t="s">
        <v>221</v>
      </c>
      <c r="B61" s="4" t="s">
        <v>222</v>
      </c>
      <c r="C61" s="0" t="s">
        <v>99</v>
      </c>
      <c r="D61" s="8" t="n">
        <v>0.25</v>
      </c>
      <c r="E61" s="8" t="n">
        <v>0.3</v>
      </c>
      <c r="F61" s="8" t="n">
        <v>0.4</v>
      </c>
      <c r="G61" s="7" t="s">
        <v>100</v>
      </c>
      <c r="H61" s="4" t="s">
        <v>223</v>
      </c>
      <c r="I61" s="4" t="s">
        <v>224</v>
      </c>
    </row>
    <row r="62" customFormat="false" ht="17.15" hidden="false" customHeight="false" outlineLevel="0" collapsed="false">
      <c r="A62" s="0" t="s">
        <v>225</v>
      </c>
      <c r="B62" s="0" t="s">
        <v>226</v>
      </c>
      <c r="C62" s="0" t="s">
        <v>227</v>
      </c>
      <c r="D62" s="6" t="n">
        <v>5012</v>
      </c>
      <c r="E62" s="6" t="n">
        <v>6337</v>
      </c>
      <c r="F62" s="6" t="n">
        <v>7891</v>
      </c>
      <c r="G62" s="7" t="s">
        <v>77</v>
      </c>
      <c r="H62" s="7" t="s">
        <v>228</v>
      </c>
      <c r="I62" s="7" t="s">
        <v>229</v>
      </c>
    </row>
    <row r="63" customFormat="false" ht="17.15" hidden="false" customHeight="false" outlineLevel="0" collapsed="false">
      <c r="A63" s="0" t="s">
        <v>230</v>
      </c>
      <c r="B63" s="0" t="s">
        <v>231</v>
      </c>
      <c r="C63" s="0" t="s">
        <v>227</v>
      </c>
      <c r="E63" s="6" t="n">
        <v>4873</v>
      </c>
      <c r="G63" s="7" t="s">
        <v>77</v>
      </c>
      <c r="H63" s="7" t="s">
        <v>232</v>
      </c>
      <c r="I63" s="4" t="s">
        <v>233</v>
      </c>
    </row>
    <row r="64" customFormat="false" ht="17.15" hidden="false" customHeight="false" outlineLevel="0" collapsed="false">
      <c r="A64" s="0" t="s">
        <v>234</v>
      </c>
      <c r="B64" s="0" t="s">
        <v>235</v>
      </c>
      <c r="C64" s="0" t="s">
        <v>227</v>
      </c>
      <c r="E64" s="6" t="n">
        <v>2143.3</v>
      </c>
      <c r="G64" s="7" t="s">
        <v>77</v>
      </c>
      <c r="H64" s="4" t="s">
        <v>236</v>
      </c>
    </row>
    <row r="65" customFormat="false" ht="17.15" hidden="false" customHeight="false" outlineLevel="0" collapsed="false">
      <c r="A65" s="0" t="s">
        <v>237</v>
      </c>
      <c r="B65" s="0" t="s">
        <v>238</v>
      </c>
      <c r="C65" s="0" t="s">
        <v>227</v>
      </c>
      <c r="E65" s="6" t="n">
        <v>636.7</v>
      </c>
      <c r="G65" s="7" t="s">
        <v>77</v>
      </c>
      <c r="H65" s="4" t="s">
        <v>239</v>
      </c>
    </row>
    <row r="66" customFormat="false" ht="17.15" hidden="false" customHeight="false" outlineLevel="0" collapsed="false">
      <c r="A66" s="0" t="s">
        <v>240</v>
      </c>
      <c r="B66" s="0" t="s">
        <v>241</v>
      </c>
      <c r="C66" s="0" t="s">
        <v>242</v>
      </c>
      <c r="D66" s="6" t="n">
        <v>2833.3</v>
      </c>
      <c r="E66" s="6" t="n">
        <v>4159.67</v>
      </c>
      <c r="F66" s="6" t="n">
        <v>6239.67</v>
      </c>
      <c r="G66" s="7" t="s">
        <v>77</v>
      </c>
      <c r="H66" s="4" t="s">
        <v>243</v>
      </c>
      <c r="I66" s="4" t="s">
        <v>244</v>
      </c>
    </row>
    <row r="67" customFormat="false" ht="17.15" hidden="false" customHeight="false" outlineLevel="0" collapsed="false">
      <c r="A67" s="0" t="s">
        <v>245</v>
      </c>
      <c r="B67" s="4" t="s">
        <v>246</v>
      </c>
      <c r="C67" s="0" t="s">
        <v>99</v>
      </c>
      <c r="E67" s="8" t="n">
        <v>0.25</v>
      </c>
      <c r="G67" s="7" t="s">
        <v>100</v>
      </c>
      <c r="H67" s="4" t="s">
        <v>247</v>
      </c>
      <c r="I67" s="7" t="s">
        <v>248</v>
      </c>
    </row>
    <row r="68" customFormat="false" ht="17.15" hidden="false" customHeight="false" outlineLevel="0" collapsed="false">
      <c r="A68" s="0" t="s">
        <v>249</v>
      </c>
      <c r="B68" s="4" t="s">
        <v>250</v>
      </c>
      <c r="C68" s="0" t="s">
        <v>99</v>
      </c>
      <c r="E68" s="8" t="n">
        <v>0.45</v>
      </c>
      <c r="G68" s="7" t="s">
        <v>100</v>
      </c>
      <c r="H68" s="4" t="s">
        <v>251</v>
      </c>
      <c r="I68" s="7" t="s">
        <v>252</v>
      </c>
    </row>
    <row r="69" customFormat="false" ht="17.15" hidden="false" customHeight="false" outlineLevel="0" collapsed="false">
      <c r="A69" s="0" t="s">
        <v>253</v>
      </c>
      <c r="B69" s="4" t="s">
        <v>254</v>
      </c>
      <c r="C69" s="0" t="s">
        <v>99</v>
      </c>
      <c r="E69" s="8" t="n">
        <v>0.3</v>
      </c>
      <c r="G69" s="7" t="s">
        <v>100</v>
      </c>
      <c r="H69" s="4" t="s">
        <v>255</v>
      </c>
      <c r="I69" s="7" t="s">
        <v>252</v>
      </c>
    </row>
    <row r="70" customFormat="false" ht="17.15" hidden="false" customHeight="false" outlineLevel="0" collapsed="false">
      <c r="A70" s="0" t="s">
        <v>256</v>
      </c>
      <c r="B70" s="0" t="s">
        <v>257</v>
      </c>
      <c r="C70" s="0" t="s">
        <v>99</v>
      </c>
      <c r="E70" s="8" t="n">
        <v>0.5</v>
      </c>
      <c r="G70" s="7" t="s">
        <v>100</v>
      </c>
      <c r="H70" s="4" t="s">
        <v>258</v>
      </c>
      <c r="I70" s="7" t="s">
        <v>259</v>
      </c>
    </row>
    <row r="71" customFormat="false" ht="17.15" hidden="false" customHeight="false" outlineLevel="0" collapsed="false">
      <c r="A71" s="0" t="s">
        <v>260</v>
      </c>
      <c r="B71" s="0" t="s">
        <v>261</v>
      </c>
      <c r="C71" s="0" t="s">
        <v>99</v>
      </c>
      <c r="E71" s="8" t="n">
        <v>0.75</v>
      </c>
      <c r="G71" s="7" t="s">
        <v>77</v>
      </c>
      <c r="H71" s="7" t="s">
        <v>262</v>
      </c>
      <c r="I71" s="4" t="s">
        <v>263</v>
      </c>
    </row>
    <row r="72" customFormat="false" ht="17.15" hidden="false" customHeight="false" outlineLevel="0" collapsed="false">
      <c r="A72" s="0" t="s">
        <v>264</v>
      </c>
      <c r="B72" s="0" t="s">
        <v>265</v>
      </c>
      <c r="C72" s="0" t="s">
        <v>119</v>
      </c>
      <c r="D72" s="12" t="n">
        <v>0.7</v>
      </c>
      <c r="E72" s="12" t="n">
        <v>1</v>
      </c>
      <c r="F72" s="12" t="n">
        <v>1</v>
      </c>
      <c r="G72" s="7" t="s">
        <v>100</v>
      </c>
      <c r="H72" s="7" t="s">
        <v>266</v>
      </c>
      <c r="I72" s="7" t="s">
        <v>267</v>
      </c>
    </row>
    <row r="73" customFormat="false" ht="17.15" hidden="false" customHeight="false" outlineLevel="0" collapsed="false">
      <c r="A73" s="0" t="s">
        <v>268</v>
      </c>
      <c r="B73" s="0" t="s">
        <v>269</v>
      </c>
      <c r="C73" s="0" t="s">
        <v>119</v>
      </c>
      <c r="D73" s="12" t="n">
        <v>0.7</v>
      </c>
      <c r="E73" s="12" t="n">
        <v>1</v>
      </c>
      <c r="F73" s="12" t="n">
        <v>1</v>
      </c>
      <c r="G73" s="7" t="s">
        <v>100</v>
      </c>
      <c r="H73" s="4" t="s">
        <v>270</v>
      </c>
      <c r="I73" s="4" t="s">
        <v>271</v>
      </c>
    </row>
    <row r="74" customFormat="false" ht="17.15" hidden="false" customHeight="false" outlineLevel="0" collapsed="false">
      <c r="A74" s="5" t="s">
        <v>272</v>
      </c>
    </row>
    <row r="75" customFormat="false" ht="17.15" hidden="false" customHeight="false" outlineLevel="0" collapsed="false">
      <c r="A75" s="0" t="s">
        <v>273</v>
      </c>
      <c r="B75" s="4" t="s">
        <v>274</v>
      </c>
      <c r="C75" s="0" t="s">
        <v>275</v>
      </c>
      <c r="D75" s="6" t="n">
        <v>7.6572</v>
      </c>
      <c r="E75" s="6" t="n">
        <v>9.5715</v>
      </c>
      <c r="G75" s="7" t="s">
        <v>100</v>
      </c>
      <c r="H75" s="7" t="s">
        <v>276</v>
      </c>
      <c r="I75" s="4" t="s">
        <v>277</v>
      </c>
    </row>
    <row r="76" customFormat="false" ht="17.15" hidden="false" customHeight="false" outlineLevel="0" collapsed="false">
      <c r="A76" s="0" t="s">
        <v>278</v>
      </c>
      <c r="B76" s="4" t="s">
        <v>279</v>
      </c>
      <c r="C76" s="0" t="s">
        <v>280</v>
      </c>
      <c r="E76" s="6" t="n">
        <v>2.82</v>
      </c>
      <c r="F76" s="6" t="n">
        <v>4.858</v>
      </c>
      <c r="G76" s="7" t="s">
        <v>55</v>
      </c>
      <c r="H76" s="7" t="s">
        <v>281</v>
      </c>
      <c r="I76" s="4" t="s">
        <v>282</v>
      </c>
    </row>
    <row r="77" customFormat="false" ht="17.15" hidden="false" customHeight="false" outlineLevel="0" collapsed="false">
      <c r="A77" s="0" t="s">
        <v>283</v>
      </c>
      <c r="B77" s="4" t="s">
        <v>284</v>
      </c>
      <c r="C77" s="0" t="s">
        <v>99</v>
      </c>
      <c r="D77" s="8" t="n">
        <v>0.4</v>
      </c>
      <c r="E77" s="8" t="n">
        <v>0.6</v>
      </c>
      <c r="F77" s="8" t="n">
        <v>0.8</v>
      </c>
      <c r="G77" s="7" t="s">
        <v>100</v>
      </c>
      <c r="H77" s="4" t="s">
        <v>285</v>
      </c>
    </row>
    <row r="78" customFormat="false" ht="17.15" hidden="false" customHeight="false" outlineLevel="0" collapsed="false">
      <c r="A78" s="0" t="s">
        <v>286</v>
      </c>
      <c r="B78" s="0" t="s">
        <v>287</v>
      </c>
      <c r="C78" s="0" t="s">
        <v>275</v>
      </c>
      <c r="D78" s="6" t="n">
        <v>6.79107465326444</v>
      </c>
      <c r="E78" s="6" t="n">
        <v>9.70308728611469</v>
      </c>
      <c r="F78" s="6" t="n">
        <v>16.6637697337026</v>
      </c>
      <c r="G78" s="7" t="s">
        <v>77</v>
      </c>
      <c r="H78" s="7" t="s">
        <v>288</v>
      </c>
      <c r="I78" s="7" t="s">
        <v>289</v>
      </c>
    </row>
    <row r="79" customFormat="false" ht="17.15" hidden="false" customHeight="false" outlineLevel="0" collapsed="false">
      <c r="A79" s="0" t="s">
        <v>290</v>
      </c>
      <c r="B79" s="0" t="s">
        <v>291</v>
      </c>
      <c r="C79" s="0" t="s">
        <v>275</v>
      </c>
      <c r="D79" s="6" t="n">
        <v>6.6118162762144</v>
      </c>
      <c r="E79" s="6" t="n">
        <v>8.82816556596761</v>
      </c>
      <c r="F79" s="6" t="n">
        <v>14.3185748619737</v>
      </c>
      <c r="G79" s="7" t="s">
        <v>77</v>
      </c>
      <c r="H79" s="7" t="s">
        <v>288</v>
      </c>
      <c r="I79" s="7" t="s">
        <v>289</v>
      </c>
    </row>
    <row r="80" customFormat="false" ht="17.15" hidden="false" customHeight="false" outlineLevel="0" collapsed="false">
      <c r="A80" s="0" t="s">
        <v>292</v>
      </c>
      <c r="B80" s="0" t="s">
        <v>293</v>
      </c>
      <c r="C80" s="0" t="s">
        <v>275</v>
      </c>
      <c r="D80" s="6" t="n">
        <v>8.42889912085495</v>
      </c>
      <c r="E80" s="6" t="n">
        <v>10.8864110021101</v>
      </c>
      <c r="F80" s="6" t="n">
        <v>18.5346455040469</v>
      </c>
      <c r="G80" s="7" t="s">
        <v>77</v>
      </c>
      <c r="H80" s="7" t="s">
        <v>288</v>
      </c>
      <c r="I80" s="7" t="s">
        <v>289</v>
      </c>
    </row>
    <row r="81" customFormat="false" ht="17.15" hidden="false" customHeight="false" outlineLevel="0" collapsed="false">
      <c r="A81" s="0" t="s">
        <v>294</v>
      </c>
      <c r="B81" s="0" t="s">
        <v>295</v>
      </c>
      <c r="C81" s="0" t="s">
        <v>275</v>
      </c>
      <c r="D81" s="6" t="n">
        <v>9.21907146281596</v>
      </c>
      <c r="E81" s="6" t="n">
        <v>12.2254710045841</v>
      </c>
      <c r="F81" s="6" t="n">
        <v>19.7506269894487</v>
      </c>
      <c r="G81" s="7" t="s">
        <v>77</v>
      </c>
      <c r="H81" s="7" t="s">
        <v>288</v>
      </c>
      <c r="I81" s="7" t="s">
        <v>289</v>
      </c>
    </row>
    <row r="82" customFormat="false" ht="17.15" hidden="false" customHeight="false" outlineLevel="0" collapsed="false">
      <c r="A82" s="0" t="s">
        <v>296</v>
      </c>
      <c r="B82" s="0" t="s">
        <v>297</v>
      </c>
      <c r="C82" s="0" t="s">
        <v>280</v>
      </c>
      <c r="E82" s="6" t="n">
        <v>1.54259654785589</v>
      </c>
      <c r="G82" s="7" t="s">
        <v>77</v>
      </c>
      <c r="H82" s="7" t="s">
        <v>298</v>
      </c>
    </row>
    <row r="83" customFormat="false" ht="17.15" hidden="false" customHeight="false" outlineLevel="0" collapsed="false">
      <c r="A83" s="0" t="s">
        <v>299</v>
      </c>
      <c r="B83" s="0" t="s">
        <v>300</v>
      </c>
      <c r="C83" s="0" t="s">
        <v>275</v>
      </c>
      <c r="E83" s="6" t="n">
        <v>1.88466748019734</v>
      </c>
      <c r="G83" s="7" t="s">
        <v>77</v>
      </c>
      <c r="H83" s="7" t="s">
        <v>298</v>
      </c>
    </row>
    <row r="84" customFormat="false" ht="17.15" hidden="false" customHeight="false" outlineLevel="0" collapsed="false">
      <c r="A84" s="0" t="s">
        <v>301</v>
      </c>
      <c r="B84" s="0" t="s">
        <v>302</v>
      </c>
      <c r="C84" s="0" t="s">
        <v>275</v>
      </c>
      <c r="E84" s="6" t="n">
        <v>1.812232738713</v>
      </c>
      <c r="G84" s="7" t="s">
        <v>77</v>
      </c>
      <c r="H84" s="7" t="s">
        <v>298</v>
      </c>
    </row>
    <row r="85" customFormat="false" ht="17.15" hidden="false" customHeight="false" outlineLevel="0" collapsed="false">
      <c r="A85" s="0" t="s">
        <v>303</v>
      </c>
      <c r="B85" s="0" t="s">
        <v>304</v>
      </c>
      <c r="C85" s="0" t="s">
        <v>275</v>
      </c>
      <c r="E85" s="6" t="n">
        <v>1.98263481314457</v>
      </c>
      <c r="G85" s="7" t="s">
        <v>77</v>
      </c>
      <c r="H85" s="7" t="s">
        <v>298</v>
      </c>
    </row>
    <row r="86" customFormat="false" ht="17.15" hidden="false" customHeight="false" outlineLevel="0" collapsed="false">
      <c r="A86" s="0" t="s">
        <v>305</v>
      </c>
      <c r="B86" s="0" t="s">
        <v>306</v>
      </c>
      <c r="C86" s="0" t="s">
        <v>275</v>
      </c>
      <c r="E86" s="6" t="n">
        <v>2.09349554831403</v>
      </c>
      <c r="G86" s="7" t="s">
        <v>77</v>
      </c>
      <c r="H86" s="7" t="s">
        <v>298</v>
      </c>
    </row>
    <row r="87" customFormat="false" ht="17.15" hidden="false" customHeight="false" outlineLevel="0" collapsed="false">
      <c r="A87" s="0" t="s">
        <v>307</v>
      </c>
      <c r="B87" s="0" t="s">
        <v>308</v>
      </c>
      <c r="C87" s="0" t="s">
        <v>309</v>
      </c>
      <c r="E87" s="6" t="n">
        <v>27.510214</v>
      </c>
      <c r="G87" s="7" t="s">
        <v>77</v>
      </c>
      <c r="H87" s="7" t="s">
        <v>298</v>
      </c>
    </row>
    <row r="88" customFormat="false" ht="17.15" hidden="false" customHeight="false" outlineLevel="0" collapsed="false">
      <c r="A88" s="0" t="s">
        <v>310</v>
      </c>
      <c r="B88" s="0" t="s">
        <v>311</v>
      </c>
      <c r="C88" s="0" t="s">
        <v>309</v>
      </c>
      <c r="E88" s="6" t="n">
        <v>24.015174</v>
      </c>
      <c r="G88" s="7" t="s">
        <v>77</v>
      </c>
      <c r="H88" s="7" t="s">
        <v>298</v>
      </c>
    </row>
    <row r="89" customFormat="false" ht="17.15" hidden="false" customHeight="false" outlineLevel="0" collapsed="false">
      <c r="A89" s="0" t="s">
        <v>312</v>
      </c>
      <c r="B89" s="0" t="s">
        <v>313</v>
      </c>
      <c r="C89" s="0" t="s">
        <v>309</v>
      </c>
      <c r="E89" s="6" t="n">
        <v>32.237224</v>
      </c>
      <c r="G89" s="7" t="s">
        <v>77</v>
      </c>
      <c r="H89" s="7" t="s">
        <v>298</v>
      </c>
    </row>
    <row r="90" customFormat="false" ht="17.15" hidden="false" customHeight="false" outlineLevel="0" collapsed="false">
      <c r="A90" s="0" t="s">
        <v>314</v>
      </c>
      <c r="B90" s="0" t="s">
        <v>315</v>
      </c>
      <c r="C90" s="0" t="s">
        <v>309</v>
      </c>
      <c r="E90" s="6" t="n">
        <v>37.586352</v>
      </c>
      <c r="G90" s="7" t="s">
        <v>77</v>
      </c>
      <c r="H90" s="7" t="s">
        <v>298</v>
      </c>
    </row>
    <row r="91" customFormat="false" ht="17.15" hidden="false" customHeight="false" outlineLevel="0" collapsed="false">
      <c r="A91" s="0" t="s">
        <v>316</v>
      </c>
      <c r="B91" s="0" t="s">
        <v>317</v>
      </c>
      <c r="C91" s="0" t="s">
        <v>309</v>
      </c>
      <c r="E91" s="6" t="n">
        <v>12.67</v>
      </c>
      <c r="G91" s="7" t="s">
        <v>77</v>
      </c>
      <c r="H91" s="7" t="s">
        <v>298</v>
      </c>
    </row>
    <row r="92" customFormat="false" ht="17.15" hidden="false" customHeight="false" outlineLevel="0" collapsed="false">
      <c r="A92" s="0" t="s">
        <v>318</v>
      </c>
      <c r="B92" s="0" t="s">
        <v>319</v>
      </c>
      <c r="C92" s="0" t="s">
        <v>275</v>
      </c>
      <c r="E92" s="6" t="n">
        <v>6.71554695343303</v>
      </c>
      <c r="G92" s="7" t="s">
        <v>77</v>
      </c>
      <c r="H92" s="7" t="s">
        <v>298</v>
      </c>
      <c r="I92" s="4" t="s">
        <v>320</v>
      </c>
    </row>
    <row r="93" customFormat="false" ht="17.15" hidden="false" customHeight="false" outlineLevel="0" collapsed="false">
      <c r="A93" s="0" t="s">
        <v>321</v>
      </c>
      <c r="B93" s="0" t="s">
        <v>322</v>
      </c>
      <c r="C93" s="0" t="s">
        <v>275</v>
      </c>
      <c r="E93" s="6" t="n">
        <v>33.0426250546846</v>
      </c>
      <c r="G93" s="7" t="s">
        <v>77</v>
      </c>
      <c r="H93" s="7" t="s">
        <v>298</v>
      </c>
      <c r="I93" s="4" t="s">
        <v>320</v>
      </c>
    </row>
    <row r="94" customFormat="false" ht="17.15" hidden="false" customHeight="false" outlineLevel="0" collapsed="false">
      <c r="A94" s="0" t="s">
        <v>323</v>
      </c>
      <c r="B94" s="0" t="s">
        <v>324</v>
      </c>
      <c r="C94" s="0" t="s">
        <v>275</v>
      </c>
      <c r="E94" s="6" t="n">
        <v>40.2705941922573</v>
      </c>
      <c r="G94" s="7" t="s">
        <v>77</v>
      </c>
      <c r="H94" s="7" t="s">
        <v>298</v>
      </c>
      <c r="I94" s="4" t="s">
        <v>320</v>
      </c>
    </row>
    <row r="95" customFormat="false" ht="17.15" hidden="false" customHeight="false" outlineLevel="0" collapsed="false">
      <c r="A95" s="0" t="s">
        <v>325</v>
      </c>
      <c r="B95" s="0" t="s">
        <v>326</v>
      </c>
      <c r="C95" s="0" t="s">
        <v>275</v>
      </c>
      <c r="E95" s="6" t="n">
        <v>66.3455197420479</v>
      </c>
      <c r="G95" s="7" t="s">
        <v>77</v>
      </c>
      <c r="H95" s="7" t="s">
        <v>298</v>
      </c>
      <c r="I95" s="4" t="s">
        <v>320</v>
      </c>
    </row>
    <row r="96" customFormat="false" ht="17.15" hidden="false" customHeight="false" outlineLevel="0" collapsed="false">
      <c r="A96" s="0" t="s">
        <v>327</v>
      </c>
      <c r="B96" s="4" t="s">
        <v>328</v>
      </c>
      <c r="C96" s="0" t="s">
        <v>99</v>
      </c>
      <c r="D96" s="8" t="n">
        <v>0.75</v>
      </c>
      <c r="E96" s="8" t="n">
        <v>0.85</v>
      </c>
      <c r="F96" s="8" t="n">
        <v>0.95</v>
      </c>
      <c r="G96" s="7" t="s">
        <v>100</v>
      </c>
      <c r="H96" s="4" t="s">
        <v>329</v>
      </c>
    </row>
    <row r="97" customFormat="false" ht="17.15" hidden="false" customHeight="false" outlineLevel="0" collapsed="false">
      <c r="A97" s="0" t="s">
        <v>330</v>
      </c>
      <c r="B97" s="0" t="s">
        <v>331</v>
      </c>
      <c r="C97" s="4" t="s">
        <v>150</v>
      </c>
      <c r="D97" s="6" t="n">
        <v>5</v>
      </c>
      <c r="E97" s="6" t="n">
        <v>6</v>
      </c>
      <c r="F97" s="6" t="n">
        <v>7</v>
      </c>
      <c r="G97" s="7" t="s">
        <v>55</v>
      </c>
      <c r="H97" s="7" t="s">
        <v>332</v>
      </c>
    </row>
    <row r="98" customFormat="false" ht="17.15" hidden="false" customHeight="false" outlineLevel="0" collapsed="false">
      <c r="A98" s="0" t="s">
        <v>333</v>
      </c>
      <c r="B98" s="4" t="s">
        <v>334</v>
      </c>
      <c r="C98" s="4" t="s">
        <v>150</v>
      </c>
      <c r="D98" s="6" t="n">
        <v>15</v>
      </c>
      <c r="E98" s="6" t="n">
        <v>20</v>
      </c>
      <c r="F98" s="6" t="n">
        <v>25</v>
      </c>
      <c r="G98" s="7" t="s">
        <v>77</v>
      </c>
      <c r="H98" s="7" t="s">
        <v>335</v>
      </c>
    </row>
    <row r="99" customFormat="false" ht="17.15" hidden="false" customHeight="false" outlineLevel="0" collapsed="false">
      <c r="A99" s="0" t="s">
        <v>336</v>
      </c>
      <c r="B99" s="4" t="s">
        <v>337</v>
      </c>
      <c r="C99" s="4" t="s">
        <v>150</v>
      </c>
      <c r="D99" s="6" t="n">
        <v>8</v>
      </c>
      <c r="E99" s="6" t="n">
        <v>10</v>
      </c>
      <c r="F99" s="6" t="n">
        <v>15</v>
      </c>
      <c r="G99" s="7" t="s">
        <v>100</v>
      </c>
      <c r="H99" s="4" t="s">
        <v>338</v>
      </c>
    </row>
    <row r="100" customFormat="false" ht="17.15" hidden="false" customHeight="false" outlineLevel="0" collapsed="false">
      <c r="A100" s="0" t="s">
        <v>339</v>
      </c>
      <c r="B100" s="4" t="s">
        <v>340</v>
      </c>
      <c r="C100" s="0" t="s">
        <v>119</v>
      </c>
      <c r="D100" s="12" t="n">
        <v>0</v>
      </c>
      <c r="E100" s="12" t="n">
        <v>0.25</v>
      </c>
      <c r="F100" s="12" t="n">
        <v>0.5</v>
      </c>
      <c r="G100" s="7" t="s">
        <v>100</v>
      </c>
      <c r="H100" s="4" t="s">
        <v>341</v>
      </c>
      <c r="I100" s="7" t="s">
        <v>342</v>
      </c>
    </row>
    <row r="101" customFormat="false" ht="17.15" hidden="false" customHeight="false" outlineLevel="0" collapsed="false">
      <c r="A101" s="0" t="s">
        <v>343</v>
      </c>
      <c r="B101" s="4" t="s">
        <v>344</v>
      </c>
      <c r="C101" s="0" t="s">
        <v>345</v>
      </c>
      <c r="E101" s="6" t="n">
        <v>28.416</v>
      </c>
      <c r="G101" s="7" t="s">
        <v>77</v>
      </c>
      <c r="H101" s="4" t="s">
        <v>346</v>
      </c>
      <c r="I101" s="4" t="s">
        <v>347</v>
      </c>
    </row>
    <row r="102" customFormat="false" ht="17.15" hidden="false" customHeight="false" outlineLevel="0" collapsed="false">
      <c r="A102" s="0" t="s">
        <v>348</v>
      </c>
      <c r="B102" s="4" t="s">
        <v>349</v>
      </c>
      <c r="C102" s="0" t="s">
        <v>76</v>
      </c>
      <c r="E102" s="6" t="n">
        <v>122.814</v>
      </c>
      <c r="G102" s="7" t="s">
        <v>64</v>
      </c>
      <c r="H102" s="7" t="s">
        <v>350</v>
      </c>
      <c r="I102" s="7" t="s">
        <v>351</v>
      </c>
    </row>
    <row r="103" customFormat="false" ht="17.15" hidden="false" customHeight="false" outlineLevel="0" collapsed="false">
      <c r="A103" s="0" t="s">
        <v>352</v>
      </c>
      <c r="B103" s="4" t="s">
        <v>353</v>
      </c>
      <c r="C103" s="0" t="s">
        <v>99</v>
      </c>
      <c r="D103" s="8" t="n">
        <v>0.5</v>
      </c>
      <c r="E103" s="8" t="n">
        <v>0.6</v>
      </c>
      <c r="F103" s="8" t="n">
        <v>0.7</v>
      </c>
      <c r="G103" s="7" t="s">
        <v>64</v>
      </c>
      <c r="H103" s="7" t="s">
        <v>354</v>
      </c>
    </row>
    <row r="104" customFormat="false" ht="17.15" hidden="false" customHeight="false" outlineLevel="0" collapsed="false">
      <c r="A104" s="0" t="s">
        <v>355</v>
      </c>
      <c r="B104" s="0" t="s">
        <v>356</v>
      </c>
      <c r="C104" s="0" t="s">
        <v>76</v>
      </c>
      <c r="D104" s="6" t="n">
        <v>195</v>
      </c>
      <c r="E104" s="6" t="n">
        <v>200</v>
      </c>
      <c r="F104" s="6" t="n">
        <v>205</v>
      </c>
      <c r="G104" s="7" t="s">
        <v>64</v>
      </c>
      <c r="H104" s="7" t="s">
        <v>357</v>
      </c>
      <c r="I104" s="4" t="s">
        <v>358</v>
      </c>
    </row>
    <row r="105" customFormat="false" ht="17.15" hidden="false" customHeight="false" outlineLevel="0" collapsed="false">
      <c r="A105" s="0" t="s">
        <v>359</v>
      </c>
      <c r="B105" s="0" t="s">
        <v>360</v>
      </c>
      <c r="C105" s="0" t="s">
        <v>76</v>
      </c>
      <c r="E105" s="6" t="n">
        <v>80.598</v>
      </c>
      <c r="G105" s="7" t="s">
        <v>64</v>
      </c>
      <c r="H105" s="4" t="s">
        <v>361</v>
      </c>
    </row>
    <row r="106" customFormat="false" ht="17.15" hidden="false" customHeight="false" outlineLevel="0" collapsed="false">
      <c r="A106" s="9" t="s">
        <v>362</v>
      </c>
      <c r="B106" s="10" t="s">
        <v>363</v>
      </c>
      <c r="C106" s="9" t="s">
        <v>99</v>
      </c>
      <c r="D106" s="11" t="n">
        <v>0.4</v>
      </c>
      <c r="E106" s="11" t="n">
        <v>0.6</v>
      </c>
      <c r="F106" s="11" t="n">
        <v>0.8</v>
      </c>
      <c r="G106" s="9" t="s">
        <v>100</v>
      </c>
      <c r="H106" s="9" t="s">
        <v>364</v>
      </c>
      <c r="I106" s="10" t="s">
        <v>365</v>
      </c>
    </row>
    <row r="107" customFormat="false" ht="17.15" hidden="false" customHeight="false" outlineLevel="0" collapsed="false">
      <c r="A107" s="0" t="s">
        <v>366</v>
      </c>
      <c r="B107" s="4" t="s">
        <v>367</v>
      </c>
      <c r="C107" s="0" t="s">
        <v>227</v>
      </c>
      <c r="E107" s="6" t="n">
        <v>1447.9</v>
      </c>
      <c r="G107" s="7" t="s">
        <v>77</v>
      </c>
      <c r="H107" s="4" t="s">
        <v>368</v>
      </c>
      <c r="I107" s="4" t="s">
        <v>369</v>
      </c>
    </row>
    <row r="108" customFormat="false" ht="17.15" hidden="false" customHeight="false" outlineLevel="0" collapsed="false">
      <c r="A108" s="0" t="s">
        <v>370</v>
      </c>
      <c r="B108" s="4" t="s">
        <v>371</v>
      </c>
      <c r="C108" s="0" t="s">
        <v>227</v>
      </c>
      <c r="E108" s="6" t="n">
        <v>657.3</v>
      </c>
      <c r="G108" s="7" t="s">
        <v>77</v>
      </c>
      <c r="H108" s="4" t="s">
        <v>372</v>
      </c>
    </row>
    <row r="109" customFormat="false" ht="17.15" hidden="false" customHeight="false" outlineLevel="0" collapsed="false">
      <c r="A109" s="0" t="s">
        <v>373</v>
      </c>
      <c r="B109" s="0" t="s">
        <v>374</v>
      </c>
      <c r="C109" s="0" t="s">
        <v>76</v>
      </c>
      <c r="E109" s="6" t="n">
        <v>2.76</v>
      </c>
      <c r="G109" s="7" t="s">
        <v>64</v>
      </c>
      <c r="H109" s="7" t="s">
        <v>375</v>
      </c>
      <c r="I109" s="4" t="s">
        <v>376</v>
      </c>
    </row>
    <row r="110" customFormat="false" ht="17.15" hidden="false" customHeight="false" outlineLevel="0" collapsed="false">
      <c r="A110" s="0" t="s">
        <v>377</v>
      </c>
      <c r="B110" s="0" t="s">
        <v>378</v>
      </c>
      <c r="C110" s="0" t="s">
        <v>76</v>
      </c>
      <c r="E110" s="6" t="n">
        <v>11.04</v>
      </c>
      <c r="G110" s="7" t="s">
        <v>64</v>
      </c>
      <c r="H110" s="7" t="s">
        <v>375</v>
      </c>
    </row>
    <row r="111" customFormat="false" ht="17.15" hidden="false" customHeight="false" outlineLevel="0" collapsed="false">
      <c r="A111" s="0" t="s">
        <v>379</v>
      </c>
      <c r="B111" s="0" t="s">
        <v>380</v>
      </c>
      <c r="C111" s="0" t="s">
        <v>76</v>
      </c>
      <c r="E111" s="6" t="n">
        <v>11.04</v>
      </c>
      <c r="G111" s="7" t="s">
        <v>64</v>
      </c>
      <c r="H111" s="7" t="s">
        <v>375</v>
      </c>
    </row>
    <row r="112" customFormat="false" ht="17.15" hidden="false" customHeight="false" outlineLevel="0" collapsed="false">
      <c r="A112" s="0" t="s">
        <v>381</v>
      </c>
      <c r="B112" s="0" t="s">
        <v>382</v>
      </c>
      <c r="C112" s="0" t="s">
        <v>76</v>
      </c>
      <c r="E112" s="6" t="n">
        <v>5.52</v>
      </c>
      <c r="G112" s="7" t="s">
        <v>64</v>
      </c>
      <c r="H112" s="7" t="s">
        <v>375</v>
      </c>
    </row>
    <row r="113" customFormat="false" ht="17.15" hidden="false" customHeight="false" outlineLevel="0" collapsed="false">
      <c r="A113" s="5" t="s">
        <v>383</v>
      </c>
    </row>
    <row r="114" customFormat="false" ht="17.15" hidden="false" customHeight="false" outlineLevel="0" collapsed="false">
      <c r="A114" s="0" t="s">
        <v>384</v>
      </c>
      <c r="B114" s="4" t="s">
        <v>385</v>
      </c>
      <c r="C114" s="4" t="s">
        <v>150</v>
      </c>
      <c r="E114" s="6" t="n">
        <v>4</v>
      </c>
      <c r="G114" s="7" t="s">
        <v>100</v>
      </c>
      <c r="H114" s="4" t="s">
        <v>386</v>
      </c>
    </row>
    <row r="115" customFormat="false" ht="17.15" hidden="false" customHeight="false" outlineLevel="0" collapsed="false">
      <c r="A115" s="0" t="s">
        <v>387</v>
      </c>
      <c r="B115" s="0" t="s">
        <v>388</v>
      </c>
      <c r="C115" s="0" t="s">
        <v>99</v>
      </c>
      <c r="D115" s="8" t="n">
        <v>0.05</v>
      </c>
      <c r="E115" s="8" t="n">
        <v>0.08</v>
      </c>
      <c r="F115" s="8" t="n">
        <v>0.11</v>
      </c>
      <c r="G115" s="7" t="s">
        <v>100</v>
      </c>
      <c r="H115" s="4" t="s">
        <v>389</v>
      </c>
      <c r="I115" s="4" t="s">
        <v>390</v>
      </c>
    </row>
    <row r="116" customFormat="false" ht="17.15" hidden="false" customHeight="false" outlineLevel="0" collapsed="false">
      <c r="A116" s="0" t="s">
        <v>391</v>
      </c>
      <c r="B116" s="0" t="s">
        <v>392</v>
      </c>
      <c r="C116" s="0" t="s">
        <v>99</v>
      </c>
      <c r="D116" s="8" t="n">
        <v>0.05</v>
      </c>
      <c r="E116" s="8" t="n">
        <v>0.08</v>
      </c>
      <c r="F116" s="8" t="n">
        <v>0.11</v>
      </c>
      <c r="G116" s="7" t="s">
        <v>100</v>
      </c>
      <c r="H116" s="4" t="s">
        <v>393</v>
      </c>
    </row>
    <row r="117" customFormat="false" ht="17.15" hidden="false" customHeight="false" outlineLevel="0" collapsed="false">
      <c r="A117" s="0" t="s">
        <v>394</v>
      </c>
      <c r="B117" s="0" t="s">
        <v>395</v>
      </c>
      <c r="C117" s="0" t="s">
        <v>99</v>
      </c>
      <c r="D117" s="8" t="n">
        <v>-0.03</v>
      </c>
      <c r="E117" s="8" t="n">
        <v>0</v>
      </c>
      <c r="F117" s="8" t="n">
        <v>0.03</v>
      </c>
      <c r="G117" s="7" t="s">
        <v>100</v>
      </c>
      <c r="H117" s="4" t="s">
        <v>396</v>
      </c>
      <c r="I117" s="4" t="s">
        <v>397</v>
      </c>
    </row>
    <row r="118" customFormat="false" ht="17.15" hidden="false" customHeight="false" outlineLevel="0" collapsed="false">
      <c r="A118" s="0" t="s">
        <v>398</v>
      </c>
      <c r="B118" s="0" t="s">
        <v>399</v>
      </c>
      <c r="C118" s="0" t="s">
        <v>99</v>
      </c>
      <c r="D118" s="8" t="n">
        <v>0.07</v>
      </c>
      <c r="E118" s="8" t="n">
        <v>0.1</v>
      </c>
      <c r="F118" s="8" t="n">
        <v>0.13</v>
      </c>
      <c r="G118" s="7" t="s">
        <v>100</v>
      </c>
      <c r="H118" s="4" t="s">
        <v>400</v>
      </c>
    </row>
    <row r="119" customFormat="false" ht="17.15" hidden="false" customHeight="false" outlineLevel="0" collapsed="false">
      <c r="A119" s="0" t="s">
        <v>401</v>
      </c>
      <c r="B119" s="0" t="s">
        <v>402</v>
      </c>
      <c r="C119" s="0" t="s">
        <v>99</v>
      </c>
      <c r="D119" s="8" t="n">
        <v>0.05</v>
      </c>
      <c r="E119" s="8" t="n">
        <v>0.08</v>
      </c>
      <c r="F119" s="8" t="n">
        <v>0.12</v>
      </c>
      <c r="G119" s="7" t="s">
        <v>100</v>
      </c>
      <c r="H119" s="4" t="s">
        <v>403</v>
      </c>
    </row>
    <row r="120" customFormat="false" ht="17.15" hidden="false" customHeight="false" outlineLevel="0" collapsed="false">
      <c r="A120" s="9" t="s">
        <v>404</v>
      </c>
      <c r="B120" s="10" t="s">
        <v>405</v>
      </c>
      <c r="C120" s="9" t="s">
        <v>99</v>
      </c>
      <c r="D120" s="11" t="n">
        <v>-0.1</v>
      </c>
      <c r="E120" s="11" t="n">
        <v>-0.05</v>
      </c>
      <c r="F120" s="11" t="n">
        <v>0</v>
      </c>
      <c r="G120" s="9" t="s">
        <v>100</v>
      </c>
      <c r="H120" s="9" t="s">
        <v>406</v>
      </c>
      <c r="I120" s="10" t="s">
        <v>407</v>
      </c>
    </row>
    <row r="121" customFormat="false" ht="17.15" hidden="false" customHeight="false" outlineLevel="0" collapsed="false">
      <c r="A121" s="9" t="s">
        <v>408</v>
      </c>
      <c r="B121" s="10" t="s">
        <v>409</v>
      </c>
      <c r="C121" s="9" t="s">
        <v>99</v>
      </c>
      <c r="D121" s="11" t="n">
        <v>0.05</v>
      </c>
      <c r="E121" s="11" t="n">
        <v>0.1</v>
      </c>
      <c r="F121" s="11" t="n">
        <v>0.15</v>
      </c>
      <c r="G121" s="9" t="s">
        <v>100</v>
      </c>
      <c r="H121" s="9" t="s">
        <v>410</v>
      </c>
      <c r="I121" s="9"/>
    </row>
    <row r="122" customFormat="false" ht="17.15" hidden="false" customHeight="false" outlineLevel="0" collapsed="false">
      <c r="A122" s="9" t="s">
        <v>411</v>
      </c>
      <c r="B122" s="10" t="s">
        <v>412</v>
      </c>
      <c r="C122" s="9" t="s">
        <v>99</v>
      </c>
      <c r="D122" s="11" t="n">
        <v>0.1</v>
      </c>
      <c r="E122" s="11" t="n">
        <v>0.2</v>
      </c>
      <c r="F122" s="11" t="n">
        <v>0.3</v>
      </c>
      <c r="G122" s="9" t="s">
        <v>100</v>
      </c>
      <c r="H122" s="9" t="s">
        <v>413</v>
      </c>
      <c r="I122" s="10" t="s">
        <v>414</v>
      </c>
    </row>
    <row r="123" customFormat="false" ht="17.15" hidden="false" customHeight="false" outlineLevel="0" collapsed="false">
      <c r="A123" s="9" t="s">
        <v>415</v>
      </c>
      <c r="B123" s="10" t="s">
        <v>416</v>
      </c>
      <c r="C123" s="9" t="s">
        <v>99</v>
      </c>
      <c r="D123" s="11" t="n">
        <v>-0.15</v>
      </c>
      <c r="E123" s="11" t="n">
        <v>-0.1</v>
      </c>
      <c r="F123" s="11" t="n">
        <v>-0.05</v>
      </c>
      <c r="G123" s="9" t="s">
        <v>100</v>
      </c>
      <c r="H123" s="9" t="s">
        <v>417</v>
      </c>
      <c r="I123" s="9"/>
    </row>
    <row r="124" customFormat="false" ht="17.15" hidden="false" customHeight="false" outlineLevel="0" collapsed="false">
      <c r="A124" s="9" t="s">
        <v>418</v>
      </c>
      <c r="B124" s="9" t="s">
        <v>419</v>
      </c>
      <c r="C124" s="9" t="s">
        <v>99</v>
      </c>
      <c r="D124" s="11" t="n">
        <v>0.6</v>
      </c>
      <c r="E124" s="11" t="n">
        <v>0.7</v>
      </c>
      <c r="F124" s="11" t="n">
        <v>0.8</v>
      </c>
      <c r="G124" s="9" t="s">
        <v>100</v>
      </c>
      <c r="H124" s="10" t="s">
        <v>420</v>
      </c>
      <c r="I124" s="10" t="s">
        <v>421</v>
      </c>
    </row>
    <row r="125" customFormat="false" ht="17.15" hidden="false" customHeight="false" outlineLevel="0" collapsed="false">
      <c r="A125" s="0" t="s">
        <v>422</v>
      </c>
      <c r="B125" s="0" t="s">
        <v>423</v>
      </c>
      <c r="C125" s="0" t="s">
        <v>76</v>
      </c>
      <c r="D125" s="6" t="n">
        <v>0</v>
      </c>
      <c r="E125" s="6" t="n">
        <v>1</v>
      </c>
      <c r="F125" s="6" t="n">
        <v>2</v>
      </c>
      <c r="G125" s="7" t="s">
        <v>100</v>
      </c>
      <c r="H125" s="4" t="s">
        <v>424</v>
      </c>
      <c r="I125" s="4" t="s">
        <v>425</v>
      </c>
    </row>
    <row r="126" customFormat="false" ht="17.15" hidden="false" customHeight="false" outlineLevel="0" collapsed="false">
      <c r="A126" s="0" t="s">
        <v>426</v>
      </c>
      <c r="B126" s="0" t="s">
        <v>427</v>
      </c>
      <c r="C126" s="0" t="s">
        <v>76</v>
      </c>
      <c r="D126" s="6" t="n">
        <v>6.5</v>
      </c>
      <c r="E126" s="6" t="n">
        <v>13</v>
      </c>
      <c r="F126" s="6" t="n">
        <v>19.5</v>
      </c>
      <c r="G126" s="7" t="s">
        <v>64</v>
      </c>
      <c r="H126" s="7" t="s">
        <v>428</v>
      </c>
      <c r="I126" s="4" t="s">
        <v>429</v>
      </c>
    </row>
    <row r="127" customFormat="false" ht="17.15" hidden="false" customHeight="false" outlineLevel="0" collapsed="false">
      <c r="A127" s="0" t="s">
        <v>430</v>
      </c>
      <c r="B127" s="0" t="s">
        <v>431</v>
      </c>
      <c r="C127" s="0" t="s">
        <v>99</v>
      </c>
      <c r="D127" s="8" t="n">
        <v>0.15</v>
      </c>
      <c r="E127" s="8" t="n">
        <v>0.25</v>
      </c>
      <c r="F127" s="8" t="n">
        <v>0.35</v>
      </c>
      <c r="G127" s="7" t="s">
        <v>100</v>
      </c>
      <c r="H127" s="4" t="s">
        <v>432</v>
      </c>
    </row>
    <row r="128" customFormat="false" ht="17.15" hidden="false" customHeight="false" outlineLevel="0" collapsed="false">
      <c r="A128" s="0" t="s">
        <v>433</v>
      </c>
      <c r="B128" s="0" t="s">
        <v>434</v>
      </c>
      <c r="C128" s="0" t="s">
        <v>76</v>
      </c>
      <c r="E128" s="6" t="n">
        <v>0.75</v>
      </c>
      <c r="G128" s="7" t="s">
        <v>100</v>
      </c>
      <c r="H128" s="4" t="s">
        <v>435</v>
      </c>
    </row>
    <row r="129" customFormat="false" ht="17.15" hidden="false" customHeight="false" outlineLevel="0" collapsed="false">
      <c r="A129" s="0" t="s">
        <v>436</v>
      </c>
      <c r="B129" s="0" t="s">
        <v>437</v>
      </c>
      <c r="C129" s="0" t="s">
        <v>76</v>
      </c>
      <c r="E129" s="6" t="n">
        <v>1.6</v>
      </c>
      <c r="G129" s="7" t="s">
        <v>100</v>
      </c>
    </row>
    <row r="130" customFormat="false" ht="17.15" hidden="false" customHeight="false" outlineLevel="0" collapsed="false">
      <c r="A130" s="0" t="s">
        <v>438</v>
      </c>
      <c r="B130" s="0" t="s">
        <v>439</v>
      </c>
      <c r="C130" s="0" t="s">
        <v>76</v>
      </c>
      <c r="E130" s="6" t="n">
        <v>1.8</v>
      </c>
      <c r="G130" s="7" t="s">
        <v>100</v>
      </c>
    </row>
    <row r="131" customFormat="false" ht="17.15" hidden="false" customHeight="false" outlineLevel="0" collapsed="false">
      <c r="A131" s="0" t="s">
        <v>440</v>
      </c>
      <c r="B131" s="0" t="s">
        <v>441</v>
      </c>
      <c r="C131" s="0" t="s">
        <v>76</v>
      </c>
      <c r="E131" s="6" t="n">
        <v>2</v>
      </c>
      <c r="G131" s="7" t="s">
        <v>100</v>
      </c>
    </row>
    <row r="132" customFormat="false" ht="17.15" hidden="false" customHeight="false" outlineLevel="0" collapsed="false">
      <c r="A132" s="0" t="s">
        <v>442</v>
      </c>
      <c r="B132" s="0" t="s">
        <v>443</v>
      </c>
      <c r="C132" s="0" t="s">
        <v>76</v>
      </c>
      <c r="E132" s="6" t="n">
        <v>2.2</v>
      </c>
      <c r="G132" s="7" t="s">
        <v>100</v>
      </c>
    </row>
    <row r="133" customFormat="false" ht="17.15" hidden="false" customHeight="false" outlineLevel="0" collapsed="false">
      <c r="A133" s="0" t="s">
        <v>444</v>
      </c>
      <c r="B133" s="0" t="s">
        <v>445</v>
      </c>
      <c r="C133" s="0" t="s">
        <v>76</v>
      </c>
      <c r="E133" s="6" t="n">
        <v>2.4</v>
      </c>
      <c r="G133" s="7" t="s">
        <v>100</v>
      </c>
    </row>
    <row r="134" customFormat="false" ht="17.15" hidden="false" customHeight="false" outlineLevel="0" collapsed="false">
      <c r="A134" s="0" t="s">
        <v>446</v>
      </c>
      <c r="B134" s="0" t="s">
        <v>447</v>
      </c>
      <c r="C134" s="0" t="s">
        <v>76</v>
      </c>
      <c r="E134" s="6" t="n">
        <v>2.6</v>
      </c>
      <c r="G134" s="7" t="s">
        <v>100</v>
      </c>
    </row>
    <row r="135" customFormat="false" ht="17.15" hidden="false" customHeight="false" outlineLevel="0" collapsed="false">
      <c r="A135" s="0" t="s">
        <v>448</v>
      </c>
      <c r="B135" s="0" t="s">
        <v>449</v>
      </c>
      <c r="C135" s="0" t="s">
        <v>76</v>
      </c>
      <c r="D135" s="6" t="n">
        <v>-11</v>
      </c>
      <c r="E135" s="6" t="n">
        <v>-9</v>
      </c>
      <c r="F135" s="6" t="n">
        <v>-7</v>
      </c>
      <c r="G135" s="7" t="s">
        <v>100</v>
      </c>
      <c r="H135" s="4" t="s">
        <v>450</v>
      </c>
    </row>
    <row r="136" customFormat="false" ht="17.15" hidden="false" customHeight="false" outlineLevel="0" collapsed="false">
      <c r="A136" s="0" t="s">
        <v>451</v>
      </c>
      <c r="B136" s="0" t="s">
        <v>452</v>
      </c>
      <c r="C136" s="0" t="s">
        <v>99</v>
      </c>
      <c r="D136" s="8" t="n">
        <v>0.04</v>
      </c>
      <c r="E136" s="8" t="n">
        <v>0.0483</v>
      </c>
      <c r="F136" s="8" t="n">
        <v>0.055</v>
      </c>
      <c r="G136" s="7" t="s">
        <v>77</v>
      </c>
      <c r="H136" s="7" t="s">
        <v>453</v>
      </c>
    </row>
    <row r="137" customFormat="false" ht="17.15" hidden="false" customHeight="false" outlineLevel="0" collapsed="false">
      <c r="A137" s="0" t="s">
        <v>454</v>
      </c>
      <c r="B137" s="0" t="s">
        <v>455</v>
      </c>
      <c r="C137" s="0" t="s">
        <v>99</v>
      </c>
      <c r="D137" s="8" t="n">
        <v>0.3</v>
      </c>
      <c r="E137" s="8" t="n">
        <v>0.4</v>
      </c>
      <c r="F137" s="8" t="n">
        <v>0.5</v>
      </c>
      <c r="G137" s="7" t="s">
        <v>100</v>
      </c>
      <c r="H137" s="4" t="s">
        <v>456</v>
      </c>
      <c r="I137" s="7" t="s">
        <v>457</v>
      </c>
    </row>
    <row r="138" customFormat="false" ht="17.15" hidden="false" customHeight="false" outlineLevel="0" collapsed="false">
      <c r="A138" s="0" t="s">
        <v>458</v>
      </c>
      <c r="B138" s="0" t="s">
        <v>459</v>
      </c>
      <c r="C138" s="0" t="s">
        <v>99</v>
      </c>
      <c r="D138" s="8" t="n">
        <v>0.1</v>
      </c>
      <c r="E138" s="8" t="n">
        <v>0.15</v>
      </c>
      <c r="F138" s="8" t="n">
        <v>0.25</v>
      </c>
      <c r="G138" s="7" t="s">
        <v>100</v>
      </c>
      <c r="H138" s="4" t="s">
        <v>460</v>
      </c>
    </row>
    <row r="139" customFormat="false" ht="17.15" hidden="false" customHeight="false" outlineLevel="0" collapsed="false">
      <c r="A139" s="0" t="s">
        <v>461</v>
      </c>
      <c r="B139" s="0" t="s">
        <v>462</v>
      </c>
      <c r="C139" s="0" t="s">
        <v>99</v>
      </c>
      <c r="D139" s="8" t="n">
        <v>0.1</v>
      </c>
      <c r="E139" s="8" t="n">
        <v>0.2</v>
      </c>
      <c r="F139" s="8" t="n">
        <v>0.3</v>
      </c>
      <c r="G139" s="7" t="s">
        <v>100</v>
      </c>
      <c r="H139" s="4" t="s">
        <v>463</v>
      </c>
    </row>
    <row r="140" customFormat="false" ht="17.15" hidden="false" customHeight="false" outlineLevel="0" collapsed="false">
      <c r="A140" s="0" t="s">
        <v>464</v>
      </c>
      <c r="B140" s="4" t="s">
        <v>465</v>
      </c>
      <c r="C140" s="0" t="s">
        <v>99</v>
      </c>
      <c r="D140" s="8" t="n">
        <v>0.04</v>
      </c>
      <c r="E140" s="8" t="n">
        <v>0.06</v>
      </c>
      <c r="F140" s="8" t="n">
        <v>0.105</v>
      </c>
      <c r="G140" s="7" t="s">
        <v>100</v>
      </c>
      <c r="H140" s="4" t="s">
        <v>466</v>
      </c>
    </row>
    <row r="141" customFormat="false" ht="17.15" hidden="false" customHeight="false" outlineLevel="0" collapsed="false">
      <c r="A141" s="0" t="s">
        <v>467</v>
      </c>
      <c r="B141" s="4" t="s">
        <v>468</v>
      </c>
      <c r="C141" s="0" t="s">
        <v>99</v>
      </c>
      <c r="D141" s="8" t="n">
        <v>0.15</v>
      </c>
      <c r="E141" s="8" t="n">
        <v>0.2</v>
      </c>
      <c r="F141" s="8" t="n">
        <v>0.27</v>
      </c>
      <c r="G141" s="7" t="s">
        <v>100</v>
      </c>
      <c r="H141" s="4" t="s">
        <v>469</v>
      </c>
    </row>
    <row r="142" customFormat="false" ht="17.15" hidden="false" customHeight="false" outlineLevel="0" collapsed="false">
      <c r="A142" s="0" t="s">
        <v>470</v>
      </c>
      <c r="B142" s="4" t="s">
        <v>471</v>
      </c>
      <c r="C142" s="0" t="s">
        <v>99</v>
      </c>
      <c r="E142" s="8" t="n">
        <v>0.06</v>
      </c>
      <c r="G142" s="7" t="s">
        <v>100</v>
      </c>
      <c r="H142" s="4" t="s">
        <v>116</v>
      </c>
    </row>
    <row r="143" customFormat="false" ht="17.15" hidden="false" customHeight="false" outlineLevel="0" collapsed="false">
      <c r="A143" s="5" t="s">
        <v>472</v>
      </c>
    </row>
    <row r="144" customFormat="false" ht="17.15" hidden="false" customHeight="false" outlineLevel="0" collapsed="false">
      <c r="A144" s="0" t="s">
        <v>473</v>
      </c>
      <c r="B144" s="4" t="s">
        <v>474</v>
      </c>
      <c r="C144" s="0" t="s">
        <v>99</v>
      </c>
      <c r="D144" s="8" t="n">
        <v>0.15</v>
      </c>
      <c r="E144" s="8" t="n">
        <v>0.168</v>
      </c>
      <c r="F144" s="8" t="n">
        <v>0.19</v>
      </c>
      <c r="G144" s="7" t="s">
        <v>77</v>
      </c>
      <c r="H144" s="7" t="s">
        <v>475</v>
      </c>
      <c r="I144" s="4" t="s">
        <v>476</v>
      </c>
    </row>
    <row r="145" customFormat="false" ht="17.15" hidden="false" customHeight="false" outlineLevel="0" collapsed="false">
      <c r="A145" s="0" t="s">
        <v>477</v>
      </c>
      <c r="B145" s="4" t="s">
        <v>478</v>
      </c>
      <c r="C145" s="0" t="s">
        <v>99</v>
      </c>
      <c r="E145" s="8" t="n">
        <v>0.21</v>
      </c>
      <c r="G145" s="7" t="s">
        <v>100</v>
      </c>
      <c r="H145" s="4" t="s">
        <v>479</v>
      </c>
    </row>
    <row r="146" customFormat="false" ht="17.15" hidden="false" customHeight="false" outlineLevel="0" collapsed="false">
      <c r="A146" s="0" t="s">
        <v>480</v>
      </c>
      <c r="B146" s="4" t="s">
        <v>481</v>
      </c>
      <c r="C146" s="0" t="s">
        <v>99</v>
      </c>
      <c r="E146" s="8" t="n">
        <v>0.038</v>
      </c>
      <c r="G146" s="7" t="s">
        <v>77</v>
      </c>
      <c r="H146" s="7" t="s">
        <v>482</v>
      </c>
    </row>
    <row r="147" customFormat="false" ht="17.15" hidden="false" customHeight="false" outlineLevel="0" collapsed="false">
      <c r="A147" s="0" t="s">
        <v>483</v>
      </c>
      <c r="B147" s="4" t="s">
        <v>484</v>
      </c>
      <c r="C147" s="0" t="s">
        <v>99</v>
      </c>
      <c r="E147" s="8" t="n">
        <v>0.048</v>
      </c>
      <c r="G147" s="7" t="s">
        <v>77</v>
      </c>
      <c r="H147" s="7" t="s">
        <v>485</v>
      </c>
    </row>
    <row r="148" customFormat="false" ht="17.15" hidden="false" customHeight="false" outlineLevel="0" collapsed="false">
      <c r="A148" s="0" t="s">
        <v>486</v>
      </c>
      <c r="B148" s="4" t="s">
        <v>487</v>
      </c>
      <c r="C148" s="0" t="s">
        <v>99</v>
      </c>
      <c r="E148" s="8" t="n">
        <v>0.0631</v>
      </c>
      <c r="G148" s="7" t="s">
        <v>77</v>
      </c>
      <c r="H148" s="4" t="s">
        <v>488</v>
      </c>
      <c r="I148" s="4" t="s">
        <v>489</v>
      </c>
    </row>
    <row r="149" customFormat="false" ht="17.15" hidden="false" customHeight="false" outlineLevel="0" collapsed="false">
      <c r="A149" s="0" t="s">
        <v>490</v>
      </c>
      <c r="B149" s="4" t="s">
        <v>491</v>
      </c>
      <c r="C149" s="0" t="s">
        <v>99</v>
      </c>
      <c r="D149" s="8" t="n">
        <v>0</v>
      </c>
      <c r="E149" s="8" t="n">
        <v>0.01</v>
      </c>
      <c r="F149" s="8" t="n">
        <v>0.015</v>
      </c>
      <c r="G149" s="7" t="s">
        <v>100</v>
      </c>
      <c r="H149" s="4" t="s">
        <v>492</v>
      </c>
    </row>
    <row r="150" customFormat="false" ht="17.15" hidden="false" customHeight="false" outlineLevel="0" collapsed="false">
      <c r="A150" s="0" t="s">
        <v>493</v>
      </c>
      <c r="B150" s="0" t="s">
        <v>494</v>
      </c>
      <c r="C150" s="0" t="s">
        <v>76</v>
      </c>
      <c r="E150" s="6" t="n">
        <v>8.49</v>
      </c>
      <c r="G150" s="7" t="s">
        <v>77</v>
      </c>
      <c r="H150" s="7" t="s">
        <v>495</v>
      </c>
    </row>
    <row r="151" customFormat="false" ht="17.15" hidden="false" customHeight="false" outlineLevel="0" collapsed="false">
      <c r="A151" s="0" t="s">
        <v>496</v>
      </c>
      <c r="B151" s="0" t="s">
        <v>497</v>
      </c>
      <c r="C151" s="0" t="s">
        <v>99</v>
      </c>
      <c r="D151" s="8" t="n">
        <v>0</v>
      </c>
      <c r="E151" s="8" t="n">
        <v>0.0117</v>
      </c>
      <c r="F151" s="8" t="n">
        <v>0.02</v>
      </c>
      <c r="G151" s="7" t="s">
        <v>77</v>
      </c>
      <c r="H151" s="7" t="s">
        <v>498</v>
      </c>
    </row>
    <row r="152" customFormat="false" ht="17.15" hidden="false" customHeight="false" outlineLevel="0" collapsed="false">
      <c r="A152" s="0" t="s">
        <v>499</v>
      </c>
      <c r="B152" s="4" t="s">
        <v>500</v>
      </c>
      <c r="C152" s="0" t="s">
        <v>54</v>
      </c>
      <c r="E152" s="6" t="n">
        <v>0.88</v>
      </c>
      <c r="G152" s="7" t="s">
        <v>64</v>
      </c>
      <c r="H152" s="4" t="s">
        <v>501</v>
      </c>
    </row>
    <row r="153" customFormat="false" ht="17.15" hidden="false" customHeight="false" outlineLevel="0" collapsed="false">
      <c r="A153" s="0" t="s">
        <v>502</v>
      </c>
      <c r="B153" s="4" t="s">
        <v>503</v>
      </c>
      <c r="C153" s="0" t="s">
        <v>99</v>
      </c>
      <c r="E153" s="8" t="n">
        <v>0.05</v>
      </c>
      <c r="G153" s="7" t="s">
        <v>77</v>
      </c>
      <c r="H153" s="7" t="s">
        <v>504</v>
      </c>
    </row>
    <row r="154" customFormat="false" ht="17.15" hidden="false" customHeight="false" outlineLevel="0" collapsed="false">
      <c r="A154" s="0" t="s">
        <v>505</v>
      </c>
      <c r="B154" s="4" t="s">
        <v>506</v>
      </c>
      <c r="C154" s="0" t="s">
        <v>76</v>
      </c>
      <c r="D154" s="6" t="n">
        <v>0</v>
      </c>
      <c r="E154" s="6" t="n">
        <v>17.003</v>
      </c>
      <c r="F154" s="6" t="n">
        <v>45.709</v>
      </c>
      <c r="G154" s="7" t="s">
        <v>77</v>
      </c>
      <c r="H154" s="4" t="s">
        <v>507</v>
      </c>
      <c r="I154" s="4" t="s">
        <v>508</v>
      </c>
    </row>
    <row r="155" customFormat="false" ht="17.15" hidden="false" customHeight="false" outlineLevel="0" collapsed="false">
      <c r="A155" s="0" t="s">
        <v>509</v>
      </c>
      <c r="B155" s="4" t="s">
        <v>510</v>
      </c>
      <c r="C155" s="0" t="s">
        <v>76</v>
      </c>
      <c r="E155" s="6" t="n">
        <v>50</v>
      </c>
      <c r="G155" s="7" t="s">
        <v>100</v>
      </c>
      <c r="H155" s="4" t="s">
        <v>511</v>
      </c>
    </row>
    <row r="156" customFormat="false" ht="17.15" hidden="false" customHeight="false" outlineLevel="0" collapsed="false">
      <c r="A156" s="0" t="s">
        <v>512</v>
      </c>
      <c r="B156" s="4" t="s">
        <v>513</v>
      </c>
      <c r="C156" s="0" t="s">
        <v>76</v>
      </c>
      <c r="E156" s="6" t="n">
        <v>0.206</v>
      </c>
      <c r="G156" s="7" t="s">
        <v>64</v>
      </c>
      <c r="H156" s="7" t="s">
        <v>514</v>
      </c>
    </row>
    <row r="157" customFormat="false" ht="17.15" hidden="false" customHeight="false" outlineLevel="0" collapsed="false">
      <c r="A157" s="0" t="s">
        <v>515</v>
      </c>
      <c r="B157" s="4" t="s">
        <v>516</v>
      </c>
      <c r="C157" s="0" t="s">
        <v>76</v>
      </c>
      <c r="E157" s="6" t="n">
        <v>0.387</v>
      </c>
      <c r="G157" s="7" t="s">
        <v>64</v>
      </c>
    </row>
    <row r="158" customFormat="false" ht="17.15" hidden="false" customHeight="false" outlineLevel="0" collapsed="false">
      <c r="A158" s="0" t="s">
        <v>517</v>
      </c>
      <c r="B158" s="4" t="s">
        <v>518</v>
      </c>
      <c r="C158" s="0" t="s">
        <v>76</v>
      </c>
      <c r="E158" s="6" t="n">
        <v>0.377</v>
      </c>
      <c r="G158" s="7" t="s">
        <v>64</v>
      </c>
    </row>
    <row r="159" customFormat="false" ht="17.15" hidden="false" customHeight="false" outlineLevel="0" collapsed="false">
      <c r="A159" s="0" t="s">
        <v>519</v>
      </c>
      <c r="B159" s="4" t="s">
        <v>520</v>
      </c>
      <c r="C159" s="0" t="s">
        <v>76</v>
      </c>
      <c r="E159" s="6" t="n">
        <v>0.356</v>
      </c>
      <c r="G159" s="7" t="s">
        <v>64</v>
      </c>
    </row>
    <row r="160" customFormat="false" ht="17.15" hidden="false" customHeight="false" outlineLevel="0" collapsed="false">
      <c r="A160" s="0" t="s">
        <v>521</v>
      </c>
      <c r="B160" s="4" t="s">
        <v>522</v>
      </c>
      <c r="C160" s="0" t="s">
        <v>76</v>
      </c>
      <c r="E160" s="6" t="n">
        <v>0.285</v>
      </c>
      <c r="G160" s="7" t="s">
        <v>64</v>
      </c>
    </row>
    <row r="161" customFormat="false" ht="17.15" hidden="false" customHeight="false" outlineLevel="0" collapsed="false">
      <c r="A161" s="0" t="s">
        <v>523</v>
      </c>
      <c r="B161" s="4" t="s">
        <v>524</v>
      </c>
      <c r="C161" s="0" t="s">
        <v>76</v>
      </c>
      <c r="E161" s="6" t="n">
        <v>0.25</v>
      </c>
      <c r="G161" s="7" t="s">
        <v>100</v>
      </c>
      <c r="H161" s="7" t="s">
        <v>525</v>
      </c>
    </row>
    <row r="162" customFormat="false" ht="17.15" hidden="false" customHeight="false" outlineLevel="0" collapsed="false">
      <c r="A162" s="0" t="s">
        <v>526</v>
      </c>
      <c r="B162" s="4" t="s">
        <v>527</v>
      </c>
      <c r="C162" s="0" t="s">
        <v>76</v>
      </c>
      <c r="E162" s="6" t="n">
        <v>0.25</v>
      </c>
      <c r="G162" s="7" t="s">
        <v>100</v>
      </c>
    </row>
    <row r="163" customFormat="false" ht="17.15" hidden="false" customHeight="false" outlineLevel="0" collapsed="false">
      <c r="A163" s="0" t="s">
        <v>528</v>
      </c>
      <c r="B163" s="0" t="s">
        <v>529</v>
      </c>
      <c r="C163" s="0" t="s">
        <v>76</v>
      </c>
      <c r="E163" s="6" t="n">
        <v>2.222</v>
      </c>
      <c r="G163" s="7" t="s">
        <v>64</v>
      </c>
      <c r="H163" s="4" t="s">
        <v>530</v>
      </c>
      <c r="I163" s="4" t="s">
        <v>531</v>
      </c>
    </row>
    <row r="164" customFormat="false" ht="17.15" hidden="false" customHeight="false" outlineLevel="0" collapsed="false">
      <c r="A164" s="0" t="s">
        <v>532</v>
      </c>
      <c r="B164" s="0" t="s">
        <v>533</v>
      </c>
      <c r="C164" s="0" t="s">
        <v>76</v>
      </c>
      <c r="E164" s="6" t="n">
        <v>4.444</v>
      </c>
      <c r="G164" s="7" t="s">
        <v>64</v>
      </c>
    </row>
    <row r="165" customFormat="false" ht="17.15" hidden="false" customHeight="false" outlineLevel="0" collapsed="false">
      <c r="A165" s="0" t="s">
        <v>534</v>
      </c>
      <c r="B165" s="0" t="s">
        <v>535</v>
      </c>
      <c r="C165" s="0" t="s">
        <v>76</v>
      </c>
      <c r="E165" s="6" t="n">
        <v>4.444</v>
      </c>
      <c r="G165" s="7" t="s">
        <v>64</v>
      </c>
    </row>
    <row r="166" customFormat="false" ht="17.15" hidden="false" customHeight="false" outlineLevel="0" collapsed="false">
      <c r="A166" s="0" t="s">
        <v>536</v>
      </c>
      <c r="B166" s="0" t="s">
        <v>537</v>
      </c>
      <c r="C166" s="0" t="s">
        <v>76</v>
      </c>
      <c r="E166" s="6" t="n">
        <v>4.444</v>
      </c>
      <c r="G166" s="7" t="s">
        <v>64</v>
      </c>
    </row>
    <row r="167" customFormat="false" ht="17.15" hidden="false" customHeight="false" outlineLevel="0" collapsed="false">
      <c r="A167" s="0" t="s">
        <v>538</v>
      </c>
      <c r="B167" s="0" t="s">
        <v>539</v>
      </c>
      <c r="C167" s="0" t="s">
        <v>76</v>
      </c>
      <c r="E167" s="6" t="n">
        <v>4.444</v>
      </c>
      <c r="G167" s="7" t="s">
        <v>64</v>
      </c>
    </row>
    <row r="168" customFormat="false" ht="17.15" hidden="false" customHeight="false" outlineLevel="0" collapsed="false">
      <c r="A168" s="0" t="s">
        <v>540</v>
      </c>
      <c r="B168" s="0" t="s">
        <v>541</v>
      </c>
      <c r="C168" s="0" t="s">
        <v>76</v>
      </c>
      <c r="E168" s="6" t="n">
        <v>0</v>
      </c>
      <c r="G168" s="7" t="s">
        <v>64</v>
      </c>
    </row>
    <row r="169" customFormat="false" ht="17.15" hidden="false" customHeight="false" outlineLevel="0" collapsed="false">
      <c r="A169" s="0" t="s">
        <v>542</v>
      </c>
      <c r="B169" s="0" t="s">
        <v>543</v>
      </c>
      <c r="C169" s="0" t="s">
        <v>76</v>
      </c>
      <c r="E169" s="6" t="n">
        <v>0</v>
      </c>
      <c r="G169" s="7" t="s">
        <v>64</v>
      </c>
    </row>
    <row r="170" customFormat="false" ht="17.15" hidden="false" customHeight="false" outlineLevel="0" collapsed="false">
      <c r="A170" s="0" t="s">
        <v>544</v>
      </c>
      <c r="B170" s="4" t="s">
        <v>545</v>
      </c>
      <c r="C170" s="0" t="s">
        <v>76</v>
      </c>
      <c r="E170" s="6" t="n">
        <v>2</v>
      </c>
      <c r="G170" s="7" t="s">
        <v>64</v>
      </c>
      <c r="H170" s="7" t="s">
        <v>546</v>
      </c>
    </row>
    <row r="171" customFormat="false" ht="17.15" hidden="false" customHeight="false" outlineLevel="0" collapsed="false">
      <c r="A171" s="0" t="s">
        <v>547</v>
      </c>
      <c r="B171" s="4" t="s">
        <v>548</v>
      </c>
      <c r="C171" s="0" t="s">
        <v>76</v>
      </c>
      <c r="E171" s="6" t="n">
        <v>1</v>
      </c>
      <c r="G171" s="7" t="s">
        <v>64</v>
      </c>
    </row>
    <row r="172" customFormat="false" ht="17.15" hidden="false" customHeight="false" outlineLevel="0" collapsed="false">
      <c r="A172" s="0" t="s">
        <v>549</v>
      </c>
      <c r="B172" s="4" t="s">
        <v>550</v>
      </c>
      <c r="C172" s="0" t="s">
        <v>76</v>
      </c>
      <c r="E172" s="6" t="n">
        <v>2.676</v>
      </c>
      <c r="G172" s="7" t="s">
        <v>64</v>
      </c>
    </row>
    <row r="173" customFormat="false" ht="17.15" hidden="false" customHeight="false" outlineLevel="0" collapsed="false">
      <c r="A173" s="0" t="s">
        <v>551</v>
      </c>
      <c r="B173" s="4" t="s">
        <v>552</v>
      </c>
      <c r="C173" s="0" t="s">
        <v>76</v>
      </c>
      <c r="E173" s="6" t="n">
        <v>1.764</v>
      </c>
      <c r="G173" s="7" t="s">
        <v>64</v>
      </c>
    </row>
    <row r="174" customFormat="false" ht="17.15" hidden="false" customHeight="false" outlineLevel="0" collapsed="false">
      <c r="A174" s="0" t="s">
        <v>553</v>
      </c>
      <c r="B174" s="4" t="s">
        <v>554</v>
      </c>
      <c r="C174" s="0" t="s">
        <v>76</v>
      </c>
      <c r="E174" s="6" t="n">
        <v>7.186</v>
      </c>
      <c r="G174" s="7" t="s">
        <v>64</v>
      </c>
    </row>
    <row r="175" customFormat="false" ht="17.15" hidden="false" customHeight="false" outlineLevel="0" collapsed="false">
      <c r="A175" s="0" t="s">
        <v>555</v>
      </c>
      <c r="B175" s="4" t="s">
        <v>556</v>
      </c>
      <c r="C175" s="0" t="s">
        <v>76</v>
      </c>
      <c r="E175" s="6" t="n">
        <v>5</v>
      </c>
      <c r="G175" s="7" t="s">
        <v>100</v>
      </c>
      <c r="H175" s="7" t="s">
        <v>557</v>
      </c>
    </row>
    <row r="176" customFormat="false" ht="17.15" hidden="false" customHeight="false" outlineLevel="0" collapsed="false">
      <c r="A176" s="0" t="s">
        <v>558</v>
      </c>
      <c r="B176" s="4" t="s">
        <v>559</v>
      </c>
      <c r="C176" s="0" t="s">
        <v>76</v>
      </c>
      <c r="E176" s="6" t="n">
        <v>5</v>
      </c>
      <c r="G176" s="7" t="s">
        <v>100</v>
      </c>
    </row>
    <row r="177" customFormat="false" ht="17.15" hidden="false" customHeight="false" outlineLevel="0" collapsed="false">
      <c r="A177" s="0" t="s">
        <v>560</v>
      </c>
      <c r="B177" s="0" t="s">
        <v>561</v>
      </c>
      <c r="C177" s="0" t="s">
        <v>76</v>
      </c>
      <c r="E177" s="6" t="n">
        <v>25</v>
      </c>
      <c r="G177" s="7" t="s">
        <v>64</v>
      </c>
      <c r="H177" s="7" t="s">
        <v>562</v>
      </c>
    </row>
    <row r="178" customFormat="false" ht="17.15" hidden="false" customHeight="false" outlineLevel="0" collapsed="false">
      <c r="A178" s="0" t="s">
        <v>563</v>
      </c>
      <c r="B178" s="4" t="s">
        <v>564</v>
      </c>
      <c r="C178" s="0" t="s">
        <v>76</v>
      </c>
      <c r="E178" s="6" t="n">
        <v>0.535</v>
      </c>
      <c r="G178" s="7" t="s">
        <v>77</v>
      </c>
      <c r="H178" s="7" t="s">
        <v>565</v>
      </c>
    </row>
    <row r="179" customFormat="false" ht="17.15" hidden="false" customHeight="false" outlineLevel="0" collapsed="false">
      <c r="A179" s="0" t="s">
        <v>566</v>
      </c>
      <c r="B179" s="4" t="s">
        <v>567</v>
      </c>
      <c r="C179" s="0" t="s">
        <v>76</v>
      </c>
      <c r="E179" s="6" t="n">
        <v>1.203</v>
      </c>
      <c r="G179" s="7" t="s">
        <v>77</v>
      </c>
    </row>
    <row r="180" customFormat="false" ht="17.15" hidden="false" customHeight="false" outlineLevel="0" collapsed="false">
      <c r="A180" s="0" t="s">
        <v>568</v>
      </c>
      <c r="B180" s="4" t="s">
        <v>569</v>
      </c>
      <c r="C180" s="0" t="s">
        <v>76</v>
      </c>
      <c r="E180" s="6" t="n">
        <v>1.203</v>
      </c>
      <c r="G180" s="7" t="s">
        <v>77</v>
      </c>
    </row>
    <row r="181" customFormat="false" ht="17.15" hidden="false" customHeight="false" outlineLevel="0" collapsed="false">
      <c r="A181" s="0" t="s">
        <v>570</v>
      </c>
      <c r="B181" s="4" t="s">
        <v>571</v>
      </c>
      <c r="C181" s="0" t="s">
        <v>76</v>
      </c>
      <c r="E181" s="6" t="n">
        <v>0.602</v>
      </c>
      <c r="G181" s="7" t="s">
        <v>77</v>
      </c>
    </row>
    <row r="182" customFormat="false" ht="17.15" hidden="false" customHeight="false" outlineLevel="0" collapsed="false">
      <c r="A182" s="5" t="s">
        <v>572</v>
      </c>
    </row>
    <row r="183" customFormat="false" ht="17.15" hidden="false" customHeight="false" outlineLevel="0" collapsed="false">
      <c r="A183" s="0" t="s">
        <v>573</v>
      </c>
      <c r="B183" s="0" t="s">
        <v>574</v>
      </c>
      <c r="C183" s="0" t="s">
        <v>54</v>
      </c>
      <c r="E183" s="6" t="n">
        <v>146.09</v>
      </c>
      <c r="G183" s="7" t="s">
        <v>77</v>
      </c>
      <c r="H183" s="7" t="s">
        <v>575</v>
      </c>
      <c r="I183" s="4" t="s">
        <v>576</v>
      </c>
    </row>
    <row r="184" customFormat="false" ht="17.15" hidden="false" customHeight="false" outlineLevel="0" collapsed="false">
      <c r="A184" s="0" t="s">
        <v>577</v>
      </c>
      <c r="B184" s="0" t="s">
        <v>578</v>
      </c>
      <c r="C184" s="0" t="s">
        <v>54</v>
      </c>
      <c r="E184" s="6" t="n">
        <v>147.54</v>
      </c>
      <c r="G184" s="7" t="s">
        <v>77</v>
      </c>
      <c r="H184" s="4" t="s">
        <v>579</v>
      </c>
    </row>
    <row r="185" customFormat="false" ht="17.15" hidden="false" customHeight="false" outlineLevel="0" collapsed="false">
      <c r="A185" s="0" t="s">
        <v>580</v>
      </c>
      <c r="B185" s="0" t="s">
        <v>581</v>
      </c>
      <c r="C185" s="0" t="s">
        <v>54</v>
      </c>
      <c r="E185" s="6" t="n">
        <v>350.5</v>
      </c>
      <c r="G185" s="7" t="s">
        <v>55</v>
      </c>
      <c r="H185" s="4" t="s">
        <v>582</v>
      </c>
    </row>
    <row r="186" customFormat="false" ht="17.15" hidden="false" customHeight="false" outlineLevel="0" collapsed="false">
      <c r="A186" s="0" t="s">
        <v>583</v>
      </c>
      <c r="B186" s="4" t="s">
        <v>584</v>
      </c>
      <c r="C186" s="0" t="s">
        <v>76</v>
      </c>
      <c r="E186" s="6" t="n">
        <v>500.142</v>
      </c>
      <c r="G186" s="7" t="s">
        <v>64</v>
      </c>
      <c r="H186" s="7" t="s">
        <v>585</v>
      </c>
      <c r="I186" s="7" t="s">
        <v>586</v>
      </c>
    </row>
    <row r="187" customFormat="false" ht="17.15" hidden="false" customHeight="false" outlineLevel="0" collapsed="false">
      <c r="A187" s="0" t="s">
        <v>587</v>
      </c>
      <c r="B187" s="4" t="s">
        <v>588</v>
      </c>
      <c r="C187" s="0" t="s">
        <v>76</v>
      </c>
      <c r="E187" s="6" t="n">
        <v>626.817</v>
      </c>
      <c r="G187" s="7" t="s">
        <v>64</v>
      </c>
      <c r="H187" s="4" t="s">
        <v>142</v>
      </c>
    </row>
    <row r="188" customFormat="false" ht="17.15" hidden="false" customHeight="false" outlineLevel="0" collapsed="false">
      <c r="A188" s="0" t="s">
        <v>589</v>
      </c>
      <c r="B188" s="4" t="s">
        <v>590</v>
      </c>
      <c r="C188" s="0" t="s">
        <v>76</v>
      </c>
      <c r="E188" s="6" t="n">
        <v>754.762</v>
      </c>
      <c r="G188" s="7" t="s">
        <v>64</v>
      </c>
      <c r="H188" s="4" t="s">
        <v>142</v>
      </c>
    </row>
    <row r="189" customFormat="false" ht="17.15" hidden="false" customHeight="false" outlineLevel="0" collapsed="false">
      <c r="A189" s="0" t="s">
        <v>591</v>
      </c>
      <c r="B189" s="4" t="s">
        <v>592</v>
      </c>
      <c r="C189" s="0" t="s">
        <v>76</v>
      </c>
      <c r="E189" s="6" t="n">
        <v>172.033</v>
      </c>
      <c r="G189" s="7" t="s">
        <v>64</v>
      </c>
      <c r="H189" s="7" t="s">
        <v>585</v>
      </c>
    </row>
    <row r="190" customFormat="false" ht="17.15" hidden="false" customHeight="false" outlineLevel="0" collapsed="false">
      <c r="A190" s="0" t="s">
        <v>593</v>
      </c>
      <c r="B190" s="4" t="s">
        <v>594</v>
      </c>
      <c r="C190" s="0" t="s">
        <v>76</v>
      </c>
      <c r="E190" s="6" t="n">
        <v>220.967</v>
      </c>
      <c r="G190" s="7" t="s">
        <v>64</v>
      </c>
      <c r="H190" s="4" t="s">
        <v>142</v>
      </c>
    </row>
    <row r="191" customFormat="false" ht="17.15" hidden="false" customHeight="false" outlineLevel="0" collapsed="false">
      <c r="A191" s="0" t="s">
        <v>595</v>
      </c>
      <c r="B191" s="4" t="s">
        <v>596</v>
      </c>
      <c r="C191" s="0" t="s">
        <v>76</v>
      </c>
      <c r="E191" s="6" t="n">
        <v>268.322</v>
      </c>
      <c r="G191" s="7" t="s">
        <v>64</v>
      </c>
      <c r="H191" s="4" t="s">
        <v>142</v>
      </c>
    </row>
    <row r="192" customFormat="false" ht="17.15" hidden="false" customHeight="false" outlineLevel="0" collapsed="false">
      <c r="A192" s="0" t="s">
        <v>597</v>
      </c>
      <c r="B192" s="4" t="s">
        <v>598</v>
      </c>
      <c r="C192" s="0" t="s">
        <v>54</v>
      </c>
      <c r="E192" s="6" t="n">
        <v>20.6</v>
      </c>
      <c r="G192" s="7" t="s">
        <v>64</v>
      </c>
      <c r="H192" s="7" t="s">
        <v>585</v>
      </c>
    </row>
    <row r="193" customFormat="false" ht="17.15" hidden="false" customHeight="false" outlineLevel="0" collapsed="false">
      <c r="A193" s="0" t="s">
        <v>599</v>
      </c>
      <c r="B193" s="4" t="s">
        <v>600</v>
      </c>
      <c r="C193" s="0" t="s">
        <v>54</v>
      </c>
      <c r="E193" s="6" t="n">
        <v>15.12</v>
      </c>
      <c r="G193" s="7" t="s">
        <v>64</v>
      </c>
      <c r="H193" s="4" t="s">
        <v>142</v>
      </c>
    </row>
    <row r="194" customFormat="false" ht="17.15" hidden="false" customHeight="false" outlineLevel="0" collapsed="false">
      <c r="A194" s="0" t="s">
        <v>601</v>
      </c>
      <c r="B194" s="4" t="s">
        <v>602</v>
      </c>
      <c r="C194" s="0" t="s">
        <v>54</v>
      </c>
      <c r="E194" s="6" t="n">
        <v>18.21</v>
      </c>
      <c r="G194" s="7" t="s">
        <v>64</v>
      </c>
      <c r="H194" s="4" t="s">
        <v>142</v>
      </c>
    </row>
    <row r="195" customFormat="false" ht="17.15" hidden="false" customHeight="false" outlineLevel="0" collapsed="false">
      <c r="A195" s="0" t="s">
        <v>603</v>
      </c>
      <c r="B195" s="4" t="s">
        <v>604</v>
      </c>
      <c r="C195" s="0" t="s">
        <v>76</v>
      </c>
      <c r="E195" s="6" t="n">
        <v>202.078</v>
      </c>
      <c r="G195" s="7" t="s">
        <v>64</v>
      </c>
      <c r="H195" s="7" t="s">
        <v>585</v>
      </c>
    </row>
    <row r="196" customFormat="false" ht="17.15" hidden="false" customHeight="false" outlineLevel="0" collapsed="false">
      <c r="A196" s="0" t="s">
        <v>605</v>
      </c>
      <c r="B196" s="4" t="s">
        <v>606</v>
      </c>
      <c r="C196" s="0" t="s">
        <v>76</v>
      </c>
      <c r="E196" s="6" t="n">
        <v>308.024</v>
      </c>
      <c r="G196" s="7" t="s">
        <v>64</v>
      </c>
      <c r="H196" s="4" t="s">
        <v>142</v>
      </c>
    </row>
    <row r="197" customFormat="false" ht="17.15" hidden="false" customHeight="false" outlineLevel="0" collapsed="false">
      <c r="A197" s="0" t="s">
        <v>607</v>
      </c>
      <c r="B197" s="4" t="s">
        <v>608</v>
      </c>
      <c r="C197" s="0" t="s">
        <v>76</v>
      </c>
      <c r="E197" s="6" t="n">
        <v>352.387</v>
      </c>
      <c r="G197" s="7" t="s">
        <v>64</v>
      </c>
      <c r="H197" s="4" t="s">
        <v>142</v>
      </c>
    </row>
    <row r="198" customFormat="false" ht="17.15" hidden="false" customHeight="false" outlineLevel="0" collapsed="false">
      <c r="A198" s="0" t="s">
        <v>609</v>
      </c>
      <c r="B198" s="4" t="s">
        <v>610</v>
      </c>
      <c r="C198" s="0" t="s">
        <v>76</v>
      </c>
      <c r="E198" s="6" t="n">
        <v>7.069</v>
      </c>
      <c r="G198" s="7" t="s">
        <v>64</v>
      </c>
      <c r="H198" s="7" t="s">
        <v>585</v>
      </c>
    </row>
    <row r="199" customFormat="false" ht="17.15" hidden="false" customHeight="false" outlineLevel="0" collapsed="false">
      <c r="A199" s="0" t="s">
        <v>611</v>
      </c>
      <c r="B199" s="4" t="s">
        <v>612</v>
      </c>
      <c r="C199" s="0" t="s">
        <v>76</v>
      </c>
      <c r="E199" s="6" t="n">
        <v>-37.207</v>
      </c>
      <c r="G199" s="7" t="s">
        <v>64</v>
      </c>
      <c r="H199" s="4" t="s">
        <v>142</v>
      </c>
    </row>
    <row r="200" customFormat="false" ht="17.15" hidden="false" customHeight="false" outlineLevel="0" collapsed="false">
      <c r="A200" s="0" t="s">
        <v>613</v>
      </c>
      <c r="B200" s="4" t="s">
        <v>614</v>
      </c>
      <c r="C200" s="0" t="s">
        <v>76</v>
      </c>
      <c r="E200" s="6" t="n">
        <v>6.132</v>
      </c>
      <c r="G200" s="7" t="s">
        <v>64</v>
      </c>
      <c r="H200" s="4" t="s">
        <v>142</v>
      </c>
    </row>
    <row r="201" customFormat="false" ht="17.15" hidden="false" customHeight="false" outlineLevel="0" collapsed="false">
      <c r="A201" s="0" t="s">
        <v>615</v>
      </c>
      <c r="B201" s="4" t="s">
        <v>616</v>
      </c>
      <c r="C201" s="0" t="s">
        <v>76</v>
      </c>
      <c r="E201" s="6" t="n">
        <v>233.956</v>
      </c>
      <c r="G201" s="7" t="s">
        <v>64</v>
      </c>
      <c r="H201" s="7" t="s">
        <v>585</v>
      </c>
    </row>
    <row r="202" customFormat="false" ht="17.15" hidden="false" customHeight="false" outlineLevel="0" collapsed="false">
      <c r="A202" s="0" t="s">
        <v>617</v>
      </c>
      <c r="B202" s="4" t="s">
        <v>618</v>
      </c>
      <c r="C202" s="0" t="s">
        <v>76</v>
      </c>
      <c r="E202" s="6" t="n">
        <v>305.081</v>
      </c>
      <c r="G202" s="7" t="s">
        <v>64</v>
      </c>
      <c r="H202" s="4" t="s">
        <v>142</v>
      </c>
    </row>
    <row r="203" customFormat="false" ht="17.15" hidden="false" customHeight="false" outlineLevel="0" collapsed="false">
      <c r="A203" s="0" t="s">
        <v>619</v>
      </c>
      <c r="B203" s="4" t="s">
        <v>620</v>
      </c>
      <c r="C203" s="0" t="s">
        <v>76</v>
      </c>
      <c r="E203" s="6" t="n">
        <v>393.759</v>
      </c>
      <c r="G203" s="7" t="s">
        <v>64</v>
      </c>
      <c r="H203" s="4" t="s">
        <v>142</v>
      </c>
    </row>
    <row r="204" customFormat="false" ht="17.15" hidden="false" customHeight="false" outlineLevel="0" collapsed="false">
      <c r="A204" s="0" t="s">
        <v>621</v>
      </c>
      <c r="B204" s="4" t="s">
        <v>622</v>
      </c>
      <c r="C204" s="0" t="s">
        <v>54</v>
      </c>
      <c r="D204" s="6" t="n">
        <v>11.38</v>
      </c>
      <c r="E204" s="6" t="n">
        <v>11.89</v>
      </c>
      <c r="F204" s="6" t="n">
        <v>12.43</v>
      </c>
      <c r="G204" s="7" t="s">
        <v>64</v>
      </c>
      <c r="H204" s="7" t="s">
        <v>623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22"/>
    <col collapsed="false" customWidth="true" hidden="false" outlineLevel="0" max="16" min="16" style="0" width="90"/>
  </cols>
  <sheetData>
    <row r="1" customFormat="false" ht="17.15" hidden="false" customHeight="false" outlineLevel="0" collapsed="false">
      <c r="A1" s="0" t="s">
        <v>624</v>
      </c>
    </row>
    <row r="2" customFormat="false" ht="17.15" hidden="false" customHeight="false" outlineLevel="0" collapsed="false">
      <c r="A2" s="4" t="s">
        <v>625</v>
      </c>
    </row>
    <row r="3" customFormat="false" ht="17.15" hidden="false" customHeight="false" outlineLevel="0" collapsed="false">
      <c r="A3" s="3" t="s">
        <v>43</v>
      </c>
      <c r="B3" s="14" t="s">
        <v>626</v>
      </c>
      <c r="C3" s="14" t="s">
        <v>627</v>
      </c>
      <c r="D3" s="14" t="s">
        <v>628</v>
      </c>
      <c r="E3" s="14" t="s">
        <v>629</v>
      </c>
      <c r="F3" s="14" t="s">
        <v>630</v>
      </c>
      <c r="G3" s="14" t="s">
        <v>631</v>
      </c>
      <c r="H3" s="14" t="s">
        <v>632</v>
      </c>
      <c r="I3" s="14" t="s">
        <v>633</v>
      </c>
      <c r="J3" s="14" t="s">
        <v>634</v>
      </c>
      <c r="K3" s="14" t="s">
        <v>635</v>
      </c>
      <c r="L3" s="14" t="s">
        <v>636</v>
      </c>
      <c r="M3" s="3" t="s">
        <v>637</v>
      </c>
      <c r="N3" s="3" t="s">
        <v>638</v>
      </c>
      <c r="O3" s="3" t="s">
        <v>48</v>
      </c>
      <c r="P3" s="3" t="s">
        <v>49</v>
      </c>
    </row>
    <row r="4" customFormat="false" ht="15" hidden="false" customHeight="false" outlineLevel="0" collapsed="false">
      <c r="A4" s="2" t="s">
        <v>639</v>
      </c>
    </row>
    <row r="5" customFormat="false" ht="17.15" hidden="false" customHeight="false" outlineLevel="0" collapsed="false">
      <c r="A5" s="0" t="s">
        <v>640</v>
      </c>
      <c r="B5" s="6" t="n">
        <v>49.385</v>
      </c>
      <c r="C5" s="6" t="n">
        <v>54.034</v>
      </c>
      <c r="D5" s="6" t="n">
        <v>50.702</v>
      </c>
      <c r="E5" s="6" t="n">
        <v>54.19</v>
      </c>
      <c r="F5" s="6" t="n">
        <v>56.567</v>
      </c>
      <c r="G5" s="6" t="n">
        <v>63.073</v>
      </c>
      <c r="H5" s="6" t="n">
        <v>60.399</v>
      </c>
      <c r="I5" s="6" t="n">
        <v>63.271</v>
      </c>
      <c r="J5" s="6" t="n">
        <v>198.084</v>
      </c>
      <c r="K5" s="6" t="n">
        <v>224.532</v>
      </c>
      <c r="L5" s="15" t="n">
        <f aca="false">H5+I5</f>
        <v>123.67</v>
      </c>
      <c r="M5" s="15" t="n">
        <f aca="false">SUM(F5:I5)</f>
        <v>243.31</v>
      </c>
      <c r="N5" s="15" t="n">
        <f aca="false">SUM(B5:E5)</f>
        <v>208.311</v>
      </c>
      <c r="O5" s="7" t="s">
        <v>641</v>
      </c>
      <c r="P5" s="4" t="s">
        <v>642</v>
      </c>
    </row>
    <row r="6" customFormat="false" ht="17.15" hidden="false" customHeight="false" outlineLevel="0" collapsed="false">
      <c r="A6" s="0" t="s">
        <v>643</v>
      </c>
      <c r="B6" s="6" t="n">
        <v>8.921</v>
      </c>
      <c r="C6" s="6" t="n">
        <v>10.473</v>
      </c>
      <c r="D6" s="6" t="n">
        <v>8.927</v>
      </c>
      <c r="E6" s="6" t="n">
        <v>9.796</v>
      </c>
      <c r="F6" s="6" t="n">
        <v>10.261</v>
      </c>
      <c r="G6" s="6" t="n">
        <v>11.383</v>
      </c>
      <c r="H6" s="6" t="n">
        <v>9.883</v>
      </c>
      <c r="I6" s="6" t="n">
        <v>11.055</v>
      </c>
      <c r="J6" s="6" t="n">
        <v>36.147</v>
      </c>
      <c r="K6" s="6" t="n">
        <v>40.367</v>
      </c>
      <c r="L6" s="15" t="n">
        <f aca="false">H6+I6</f>
        <v>20.938</v>
      </c>
      <c r="M6" s="15" t="n">
        <f aca="false">SUM(F6:I6)</f>
        <v>42.582</v>
      </c>
      <c r="N6" s="15" t="n">
        <f aca="false">SUM(B6:E6)</f>
        <v>38.117</v>
      </c>
      <c r="O6" s="7" t="s">
        <v>641</v>
      </c>
      <c r="P6" s="4" t="s">
        <v>642</v>
      </c>
    </row>
    <row r="7" customFormat="false" ht="17.15" hidden="false" customHeight="false" outlineLevel="0" collapsed="false">
      <c r="A7" s="0" t="s">
        <v>644</v>
      </c>
      <c r="B7" s="6" t="n">
        <v>7.548</v>
      </c>
      <c r="C7" s="6" t="n">
        <v>7.954</v>
      </c>
      <c r="D7" s="6" t="n">
        <v>7.256</v>
      </c>
      <c r="E7" s="6" t="n">
        <v>7.354</v>
      </c>
      <c r="F7" s="6" t="n">
        <v>7.354</v>
      </c>
      <c r="G7" s="6" t="n">
        <v>7.828</v>
      </c>
      <c r="H7" s="6" t="n">
        <v>6.971</v>
      </c>
      <c r="I7" s="6" t="n">
        <v>7.303</v>
      </c>
      <c r="J7" s="6" t="n">
        <v>30.359</v>
      </c>
      <c r="K7" s="6" t="n">
        <v>29.792</v>
      </c>
      <c r="L7" s="15" t="n">
        <f aca="false">H7+I7</f>
        <v>14.274</v>
      </c>
      <c r="M7" s="15" t="n">
        <f aca="false">SUM(F7:I7)</f>
        <v>29.456</v>
      </c>
      <c r="N7" s="15" t="n">
        <f aca="false">SUM(B7:E7)</f>
        <v>30.112</v>
      </c>
      <c r="O7" s="7" t="s">
        <v>641</v>
      </c>
      <c r="P7" s="4" t="s">
        <v>642</v>
      </c>
    </row>
    <row r="8" customFormat="false" ht="17.15" hidden="false" customHeight="false" outlineLevel="0" collapsed="false">
      <c r="A8" s="0" t="s">
        <v>645</v>
      </c>
      <c r="B8" s="6" t="n">
        <v>10.656</v>
      </c>
      <c r="C8" s="6" t="n">
        <v>11.633</v>
      </c>
      <c r="D8" s="6" t="n">
        <v>10.379</v>
      </c>
      <c r="E8" s="6" t="n">
        <v>11.203</v>
      </c>
      <c r="F8" s="6" t="n">
        <v>12.87</v>
      </c>
      <c r="G8" s="6" t="n">
        <v>13.578</v>
      </c>
      <c r="H8" s="6" t="n">
        <v>12.384</v>
      </c>
      <c r="I8" s="6" t="n">
        <v>12.911</v>
      </c>
      <c r="J8" s="6" t="n">
        <v>40.34</v>
      </c>
      <c r="K8" s="6" t="n">
        <v>48.03</v>
      </c>
      <c r="L8" s="15" t="n">
        <f aca="false">H8+I8</f>
        <v>25.295</v>
      </c>
      <c r="M8" s="15" t="n">
        <f aca="false">SUM(F8:I8)</f>
        <v>51.743</v>
      </c>
      <c r="N8" s="15" t="n">
        <f aca="false">SUM(B8:E8)</f>
        <v>43.871</v>
      </c>
      <c r="O8" s="7" t="s">
        <v>641</v>
      </c>
      <c r="P8" s="4" t="s">
        <v>642</v>
      </c>
    </row>
    <row r="9" customFormat="false" ht="17.15" hidden="false" customHeight="false" outlineLevel="0" collapsed="false">
      <c r="A9" s="0" t="s">
        <v>646</v>
      </c>
      <c r="B9" s="6" t="n">
        <v>76.51</v>
      </c>
      <c r="C9" s="6" t="n">
        <v>84.094</v>
      </c>
      <c r="D9" s="6" t="n">
        <v>77.264</v>
      </c>
      <c r="E9" s="6" t="n">
        <v>82.543</v>
      </c>
      <c r="F9" s="6" t="n">
        <v>87.052</v>
      </c>
      <c r="G9" s="6" t="n">
        <v>95.862</v>
      </c>
      <c r="H9" s="6" t="n">
        <v>89.637</v>
      </c>
      <c r="I9" s="6" t="n">
        <v>94.54</v>
      </c>
      <c r="J9" s="6" t="n">
        <v>304.93</v>
      </c>
      <c r="K9" s="6" t="n">
        <v>342.721</v>
      </c>
      <c r="L9" s="15" t="n">
        <f aca="false">H9+I9</f>
        <v>184.177</v>
      </c>
      <c r="M9" s="15" t="n">
        <f aca="false">SUM(F9:I9)</f>
        <v>367.091</v>
      </c>
      <c r="N9" s="15" t="n">
        <f aca="false">SUM(B9:E9)</f>
        <v>320.411</v>
      </c>
      <c r="O9" s="7" t="s">
        <v>641</v>
      </c>
      <c r="P9" s="4" t="s">
        <v>642</v>
      </c>
    </row>
    <row r="10" customFormat="false" ht="17.15" hidden="false" customHeight="false" outlineLevel="0" collapsed="false">
      <c r="A10" s="4" t="s">
        <v>647</v>
      </c>
      <c r="B10" s="16" t="n">
        <f aca="false">B5+B6+B7+B8-B9</f>
        <v>0</v>
      </c>
      <c r="C10" s="16" t="n">
        <f aca="false">C5+C6+C7+C8-C9</f>
        <v>0</v>
      </c>
      <c r="D10" s="16" t="n">
        <f aca="false">D5+D6+D7+D8-D9</f>
        <v>0</v>
      </c>
      <c r="E10" s="16" t="n">
        <f aca="false">E5+E6+E7+E8-E9</f>
        <v>0</v>
      </c>
      <c r="F10" s="16" t="n">
        <f aca="false">F5+F6+F7+F8-F9</f>
        <v>0</v>
      </c>
      <c r="G10" s="16" t="n">
        <f aca="false">G5+G6+G7+G8-G9</f>
        <v>0</v>
      </c>
      <c r="H10" s="16" t="n">
        <f aca="false">H5+H6+H7+H8-H9</f>
        <v>0</v>
      </c>
      <c r="I10" s="16" t="n">
        <f aca="false">I5+I6+I7+I8-I9</f>
        <v>0</v>
      </c>
      <c r="J10" s="16" t="n">
        <f aca="false">J5+J6+J7+J8-J9</f>
        <v>0</v>
      </c>
      <c r="K10" s="16" t="n">
        <f aca="false">K5+K6+K7+K8-K9</f>
        <v>0</v>
      </c>
      <c r="L10" s="16" t="n">
        <f aca="false">H10+I10</f>
        <v>0</v>
      </c>
      <c r="M10" s="16" t="n">
        <f aca="false">SUM(F10:I10)</f>
        <v>0</v>
      </c>
      <c r="N10" s="16" t="n">
        <f aca="false">SUM(B10:E10)</f>
        <v>0</v>
      </c>
      <c r="O10" s="7" t="s">
        <v>648</v>
      </c>
      <c r="P10" s="7" t="s">
        <v>648</v>
      </c>
    </row>
    <row r="11" customFormat="false" ht="17.15" hidden="false" customHeight="false" outlineLevel="0" collapsed="false">
      <c r="A11" s="0" t="s">
        <v>649</v>
      </c>
      <c r="B11" s="6" t="n">
        <v>11.353</v>
      </c>
      <c r="C11" s="6" t="n">
        <v>11.955</v>
      </c>
      <c r="D11" s="6" t="n">
        <v>12.26</v>
      </c>
      <c r="E11" s="6" t="n">
        <v>13.624</v>
      </c>
      <c r="F11" s="6" t="n">
        <v>15.157</v>
      </c>
      <c r="G11" s="6" t="n">
        <v>17.664</v>
      </c>
      <c r="H11" s="6" t="n">
        <v>20.028</v>
      </c>
      <c r="I11" s="6" t="n">
        <v>24.768</v>
      </c>
      <c r="J11" s="6" t="n">
        <v>43.229</v>
      </c>
      <c r="K11" s="6" t="n">
        <v>58.705</v>
      </c>
      <c r="L11" s="15" t="n">
        <f aca="false">H11+I11</f>
        <v>44.796</v>
      </c>
      <c r="M11" s="15" t="n">
        <f aca="false">SUM(F11:I11)</f>
        <v>77.617</v>
      </c>
      <c r="N11" s="15" t="n">
        <f aca="false">SUM(B11:E11)</f>
        <v>49.192</v>
      </c>
      <c r="O11" s="7" t="s">
        <v>641</v>
      </c>
      <c r="P11" s="4" t="s">
        <v>642</v>
      </c>
    </row>
    <row r="12" customFormat="false" ht="17.15" hidden="false" customHeight="false" outlineLevel="0" collapsed="false">
      <c r="A12" s="0" t="s">
        <v>650</v>
      </c>
      <c r="B12" s="6" t="n">
        <v>0.388</v>
      </c>
      <c r="C12" s="6" t="n">
        <v>0.4</v>
      </c>
      <c r="D12" s="6" t="n">
        <v>0.45</v>
      </c>
      <c r="E12" s="6" t="n">
        <v>0.373</v>
      </c>
      <c r="F12" s="6" t="n">
        <v>0.344</v>
      </c>
      <c r="G12" s="6" t="n">
        <v>0.37</v>
      </c>
      <c r="H12" s="6" t="n">
        <v>0.411</v>
      </c>
      <c r="I12" s="6" t="n">
        <v>0.382</v>
      </c>
      <c r="J12" s="6" t="n">
        <v>1.648</v>
      </c>
      <c r="K12" s="6" t="n">
        <v>1.537</v>
      </c>
      <c r="L12" s="15" t="n">
        <f aca="false">H12+I12</f>
        <v>0.793</v>
      </c>
      <c r="M12" s="15" t="n">
        <f aca="false">SUM(F12:I12)</f>
        <v>1.507</v>
      </c>
      <c r="N12" s="15" t="n">
        <f aca="false">SUM(B12:E12)</f>
        <v>1.611</v>
      </c>
      <c r="O12" s="7" t="s">
        <v>641</v>
      </c>
      <c r="P12" s="4" t="s">
        <v>642</v>
      </c>
    </row>
    <row r="13" customFormat="false" ht="17.15" hidden="false" customHeight="false" outlineLevel="0" collapsed="false">
      <c r="A13" s="0" t="s">
        <v>651</v>
      </c>
      <c r="B13" s="6" t="n">
        <v>0.017</v>
      </c>
      <c r="C13" s="6" t="n">
        <v>0.02</v>
      </c>
      <c r="D13" s="6" t="n">
        <v>0.26</v>
      </c>
      <c r="E13" s="6" t="n">
        <v>-0.112</v>
      </c>
      <c r="F13" s="6" t="n">
        <v>-0.207</v>
      </c>
      <c r="G13" s="6" t="n">
        <v>-0.068</v>
      </c>
      <c r="H13" s="6" t="n">
        <v>-0.18</v>
      </c>
      <c r="I13" s="6" t="n">
        <v>0.106</v>
      </c>
      <c r="J13" s="6" t="n">
        <v>0.211</v>
      </c>
      <c r="K13" s="6" t="n">
        <v>-0.127</v>
      </c>
      <c r="L13" s="15" t="n">
        <f aca="false">H13+I13</f>
        <v>-0.074</v>
      </c>
      <c r="M13" s="15" t="n">
        <f aca="false">SUM(F13:I13)</f>
        <v>-0.349</v>
      </c>
      <c r="N13" s="15" t="n">
        <f aca="false">SUM(B13:E13)</f>
        <v>0.185</v>
      </c>
      <c r="O13" s="7" t="s">
        <v>641</v>
      </c>
      <c r="P13" s="4" t="s">
        <v>642</v>
      </c>
    </row>
    <row r="14" customFormat="false" ht="17.15" hidden="false" customHeight="false" outlineLevel="0" collapsed="false">
      <c r="A14" s="4" t="s">
        <v>652</v>
      </c>
      <c r="B14" s="6" t="n">
        <v>88.268</v>
      </c>
      <c r="C14" s="6" t="n">
        <v>96.469</v>
      </c>
      <c r="D14" s="6" t="n">
        <v>90.234</v>
      </c>
      <c r="E14" s="6" t="n">
        <v>96.428</v>
      </c>
      <c r="F14" s="6" t="n">
        <v>102.346</v>
      </c>
      <c r="G14" s="6" t="n">
        <v>113.828</v>
      </c>
      <c r="H14" s="6" t="n">
        <v>109.896</v>
      </c>
      <c r="I14" s="6" t="n">
        <v>119.796</v>
      </c>
      <c r="J14" s="6" t="n">
        <v>350.018</v>
      </c>
      <c r="K14" s="6" t="n">
        <v>402.836</v>
      </c>
      <c r="L14" s="15" t="n">
        <f aca="false">H14+I14</f>
        <v>229.692</v>
      </c>
      <c r="M14" s="15" t="n">
        <f aca="false">SUM(F14:I14)</f>
        <v>445.866</v>
      </c>
      <c r="N14" s="15" t="n">
        <f aca="false">SUM(B14:E14)</f>
        <v>371.399</v>
      </c>
      <c r="O14" s="7" t="s">
        <v>641</v>
      </c>
      <c r="P14" s="4" t="s">
        <v>642</v>
      </c>
    </row>
    <row r="15" customFormat="false" ht="15" hidden="false" customHeight="false" outlineLevel="0" collapsed="false">
      <c r="A15" s="4" t="s">
        <v>653</v>
      </c>
      <c r="B15" s="16" t="n">
        <f aca="false">B9+B11+B12+B13-B14</f>
        <v>0</v>
      </c>
      <c r="C15" s="16" t="n">
        <f aca="false">C9+C11+C12+C13-C14</f>
        <v>0</v>
      </c>
      <c r="D15" s="16" t="n">
        <f aca="false">D9+D11+D12+D13-D14</f>
        <v>0</v>
      </c>
      <c r="E15" s="16" t="n">
        <f aca="false">E9+E11+E12+E13-E14</f>
        <v>0</v>
      </c>
      <c r="F15" s="16" t="n">
        <f aca="false">F9+F11+F12+F13-F14</f>
        <v>0</v>
      </c>
      <c r="G15" s="16" t="n">
        <f aca="false">G9+G11+G12+G13-G14</f>
        <v>0</v>
      </c>
      <c r="H15" s="16" t="n">
        <f aca="false">H9+H11+H12+H13-H14</f>
        <v>0</v>
      </c>
      <c r="I15" s="16" t="n">
        <f aca="false">I9+I11+I12+I13-I14</f>
        <v>0</v>
      </c>
      <c r="J15" s="16" t="n">
        <f aca="false">J9+J11+J12+J13-J14</f>
        <v>0</v>
      </c>
      <c r="K15" s="16" t="n">
        <f aca="false">K9+K11+K12+K13-K14</f>
        <v>0</v>
      </c>
      <c r="L15" s="16" t="n">
        <f aca="false">H15+I15</f>
        <v>0</v>
      </c>
      <c r="M15" s="16" t="n">
        <f aca="false">SUM(F15:I15)</f>
        <v>0</v>
      </c>
      <c r="N15" s="16" t="n">
        <f aca="false">SUM(B15:E15)</f>
        <v>0</v>
      </c>
      <c r="O15" s="7" t="s">
        <v>648</v>
      </c>
      <c r="P15" s="7" t="s">
        <v>648</v>
      </c>
    </row>
    <row r="17" customFormat="false" ht="15" hidden="false" customHeight="false" outlineLevel="0" collapsed="false">
      <c r="A17" s="2" t="s">
        <v>654</v>
      </c>
    </row>
    <row r="18" customFormat="false" ht="17.15" hidden="false" customHeight="false" outlineLevel="0" collapsed="false">
      <c r="A18" s="0" t="s">
        <v>655</v>
      </c>
      <c r="B18" s="6" t="n">
        <v>30.856</v>
      </c>
      <c r="C18" s="6" t="n">
        <v>32.836</v>
      </c>
      <c r="D18" s="6" t="n">
        <v>32.682</v>
      </c>
      <c r="E18" s="6" t="n">
        <v>33.063</v>
      </c>
      <c r="F18" s="6" t="n">
        <v>33.527</v>
      </c>
      <c r="G18" s="6" t="n">
        <v>40.132</v>
      </c>
      <c r="H18" s="6" t="n">
        <v>40.589</v>
      </c>
      <c r="I18" s="6" t="n">
        <v>39.544</v>
      </c>
      <c r="J18" s="6" t="n">
        <v>121.263</v>
      </c>
      <c r="K18" s="6" t="n">
        <v>139.404</v>
      </c>
      <c r="L18" s="15" t="n">
        <f aca="false">H18+I18</f>
        <v>80.133</v>
      </c>
      <c r="M18" s="15" t="n">
        <f aca="false">SUM(F18:I18)</f>
        <v>153.792</v>
      </c>
      <c r="N18" s="15" t="n">
        <f aca="false">SUM(B18:E18)</f>
        <v>129.437</v>
      </c>
      <c r="O18" s="7" t="s">
        <v>641</v>
      </c>
      <c r="P18" s="4" t="s">
        <v>642</v>
      </c>
    </row>
    <row r="19" customFormat="false" ht="17.15" hidden="false" customHeight="false" outlineLevel="0" collapsed="false">
      <c r="A19" s="0" t="s">
        <v>656</v>
      </c>
      <c r="B19" s="6" t="n">
        <v>1.947</v>
      </c>
      <c r="C19" s="6" t="n">
        <v>2.093</v>
      </c>
      <c r="D19" s="6" t="n">
        <v>2.177</v>
      </c>
      <c r="E19" s="6" t="n">
        <v>2.826</v>
      </c>
      <c r="F19" s="6" t="n">
        <v>3.594</v>
      </c>
      <c r="G19" s="6" t="n">
        <v>5.313</v>
      </c>
      <c r="H19" s="6" t="n">
        <v>6.598</v>
      </c>
      <c r="I19" s="6" t="n">
        <v>8.814</v>
      </c>
      <c r="J19" s="6" t="n">
        <v>6.112</v>
      </c>
      <c r="K19" s="6" t="n">
        <v>13.91</v>
      </c>
      <c r="L19" s="15" t="n">
        <f aca="false">H19+I19</f>
        <v>15.412</v>
      </c>
      <c r="M19" s="15" t="n">
        <f aca="false">SUM(F19:I19)</f>
        <v>24.319</v>
      </c>
      <c r="N19" s="15" t="n">
        <f aca="false">SUM(B19:E19)</f>
        <v>9.043</v>
      </c>
      <c r="O19" s="7" t="s">
        <v>641</v>
      </c>
      <c r="P19" s="4" t="s">
        <v>642</v>
      </c>
    </row>
    <row r="20" customFormat="false" ht="17.15" hidden="false" customHeight="false" outlineLevel="0" collapsed="false">
      <c r="A20" s="0" t="s">
        <v>657</v>
      </c>
      <c r="B20" s="6" t="n">
        <v>-1.116</v>
      </c>
      <c r="C20" s="6" t="n">
        <v>-1.174</v>
      </c>
      <c r="D20" s="6" t="n">
        <v>-1.226</v>
      </c>
      <c r="E20" s="6" t="n">
        <v>-1.246</v>
      </c>
      <c r="F20" s="6" t="n">
        <v>-1.426</v>
      </c>
      <c r="G20" s="6" t="n">
        <v>-3.617</v>
      </c>
      <c r="H20" s="6" t="n">
        <v>-2.1</v>
      </c>
      <c r="I20" s="6" t="n">
        <v>-1.799</v>
      </c>
      <c r="J20" s="6" t="n">
        <v>-4.444</v>
      </c>
      <c r="K20" s="6" t="n">
        <v>-7.515</v>
      </c>
      <c r="L20" s="15" t="n">
        <f aca="false">H20+I20</f>
        <v>-3.899</v>
      </c>
      <c r="M20" s="15" t="n">
        <f aca="false">SUM(F20:I20)</f>
        <v>-8.942</v>
      </c>
      <c r="N20" s="15" t="n">
        <f aca="false">SUM(B20:E20)</f>
        <v>-4.762</v>
      </c>
      <c r="O20" s="7" t="s">
        <v>641</v>
      </c>
      <c r="P20" s="4" t="s">
        <v>642</v>
      </c>
    </row>
    <row r="21" customFormat="false" ht="17.15" hidden="false" customHeight="false" outlineLevel="0" collapsed="false">
      <c r="A21" s="0" t="s">
        <v>658</v>
      </c>
      <c r="B21" s="6" t="n">
        <v>-3.166</v>
      </c>
      <c r="C21" s="6" t="n">
        <v>-2.783</v>
      </c>
      <c r="D21" s="6" t="n">
        <v>-3.027</v>
      </c>
      <c r="E21" s="6" t="n">
        <v>-3.372</v>
      </c>
      <c r="F21" s="6" t="n">
        <v>-4.467</v>
      </c>
      <c r="G21" s="6" t="n">
        <v>-5.894</v>
      </c>
      <c r="H21" s="6" t="n">
        <v>-5.391</v>
      </c>
      <c r="I21" s="6" t="n">
        <v>-5.789</v>
      </c>
      <c r="J21" s="6" t="n">
        <v>-10.541</v>
      </c>
      <c r="K21" s="6" t="n">
        <v>-16.76</v>
      </c>
      <c r="L21" s="15" t="n">
        <f aca="false">H21+I21</f>
        <v>-11.18</v>
      </c>
      <c r="M21" s="15" t="n">
        <f aca="false">SUM(F21:I21)</f>
        <v>-21.541</v>
      </c>
      <c r="N21" s="15" t="n">
        <f aca="false">SUM(B21:E21)</f>
        <v>-12.348</v>
      </c>
      <c r="O21" s="7" t="s">
        <v>641</v>
      </c>
      <c r="P21" s="4" t="s">
        <v>642</v>
      </c>
    </row>
    <row r="22" customFormat="false" ht="17.15" hidden="false" customHeight="false" outlineLevel="0" collapsed="false">
      <c r="A22" s="4" t="s">
        <v>659</v>
      </c>
      <c r="B22" s="6" t="n">
        <v>28.521</v>
      </c>
      <c r="C22" s="6" t="n">
        <v>30.972</v>
      </c>
      <c r="D22" s="6" t="n">
        <v>30.606</v>
      </c>
      <c r="E22" s="6" t="n">
        <v>31.271</v>
      </c>
      <c r="F22" s="6" t="n">
        <v>31.228</v>
      </c>
      <c r="G22" s="6" t="n">
        <v>35.934</v>
      </c>
      <c r="H22" s="6" t="n">
        <v>39.696</v>
      </c>
      <c r="I22" s="6" t="n">
        <v>40.77</v>
      </c>
      <c r="J22" s="6" t="n">
        <v>112.39</v>
      </c>
      <c r="K22" s="6" t="n">
        <v>129.039</v>
      </c>
      <c r="L22" s="15" t="n">
        <f aca="false">H22+I22</f>
        <v>80.466</v>
      </c>
      <c r="M22" s="15" t="n">
        <f aca="false">SUM(F22:I22)</f>
        <v>147.628</v>
      </c>
      <c r="N22" s="15" t="n">
        <f aca="false">SUM(B22:E22)</f>
        <v>121.37</v>
      </c>
      <c r="O22" s="7" t="s">
        <v>641</v>
      </c>
      <c r="P22" s="4" t="s">
        <v>642</v>
      </c>
    </row>
    <row r="23" customFormat="false" ht="15" hidden="false" customHeight="false" outlineLevel="0" collapsed="false">
      <c r="A23" s="4" t="s">
        <v>660</v>
      </c>
      <c r="B23" s="16" t="n">
        <f aca="false">B18+B19+B20+B21-B22</f>
        <v>0</v>
      </c>
      <c r="C23" s="16" t="n">
        <f aca="false">C18+C19+C20+C21-C22</f>
        <v>0</v>
      </c>
      <c r="D23" s="16" t="n">
        <f aca="false">D18+D19+D20+D21-D22</f>
        <v>0</v>
      </c>
      <c r="E23" s="16" t="n">
        <f aca="false">E18+E19+E20+E21-E22</f>
        <v>0</v>
      </c>
      <c r="F23" s="16" t="n">
        <f aca="false">F18+F19+F20+F21-F22</f>
        <v>0</v>
      </c>
      <c r="G23" s="16" t="n">
        <f aca="false">G18+G19+G20+G21-G22</f>
        <v>0</v>
      </c>
      <c r="H23" s="16" t="n">
        <f aca="false">H18+H19+H20+H21-H22</f>
        <v>0</v>
      </c>
      <c r="I23" s="16" t="n">
        <f aca="false">I18+I19+I20+I21-I22</f>
        <v>0</v>
      </c>
      <c r="J23" s="16" t="n">
        <f aca="false">J18+J19+J20+J21-J22</f>
        <v>0</v>
      </c>
      <c r="K23" s="16" t="n">
        <f aca="false">K18+K19+K20+K21-K22</f>
        <v>0</v>
      </c>
      <c r="L23" s="16" t="n">
        <f aca="false">H23+I23</f>
        <v>0</v>
      </c>
      <c r="M23" s="16" t="n">
        <f aca="false">SUM(F23:I23)</f>
        <v>0</v>
      </c>
      <c r="N23" s="16" t="n">
        <f aca="false">SUM(B23:E23)</f>
        <v>0</v>
      </c>
      <c r="O23" s="7" t="s">
        <v>648</v>
      </c>
      <c r="P23" s="7" t="s">
        <v>648</v>
      </c>
    </row>
    <row r="25" customFormat="false" ht="15" hidden="false" customHeight="false" outlineLevel="0" collapsed="false">
      <c r="A25" s="2" t="s">
        <v>661</v>
      </c>
    </row>
    <row r="26" customFormat="false" ht="17.15" hidden="false" customHeight="false" outlineLevel="0" collapsed="false">
      <c r="A26" s="4" t="s">
        <v>662</v>
      </c>
      <c r="B26" s="6" t="n">
        <v>36.474</v>
      </c>
      <c r="C26" s="6" t="n">
        <v>40.613</v>
      </c>
      <c r="D26" s="6" t="n">
        <v>36.361</v>
      </c>
      <c r="E26" s="6" t="n">
        <v>39.039</v>
      </c>
      <c r="F26" s="6" t="n">
        <v>41.369</v>
      </c>
      <c r="G26" s="6" t="n">
        <v>45.766</v>
      </c>
      <c r="H26" s="6" t="n">
        <v>41.271</v>
      </c>
      <c r="I26" s="6" t="n">
        <v>45.943</v>
      </c>
      <c r="J26" s="6" t="n">
        <v>146.306</v>
      </c>
      <c r="K26" s="6" t="n">
        <v>162.535</v>
      </c>
      <c r="L26" s="15" t="n">
        <f aca="false">H26+I26</f>
        <v>87.214</v>
      </c>
      <c r="M26" s="15" t="n">
        <f aca="false">SUM(F26:I26)</f>
        <v>174.349</v>
      </c>
      <c r="N26" s="15" t="n">
        <f aca="false">SUM(B26:E26)</f>
        <v>152.487</v>
      </c>
      <c r="O26" s="7" t="s">
        <v>641</v>
      </c>
      <c r="P26" s="4" t="s">
        <v>642</v>
      </c>
    </row>
    <row r="27" customFormat="false" ht="17.15" hidden="false" customHeight="false" outlineLevel="0" collapsed="false">
      <c r="A27" s="4" t="s">
        <v>663</v>
      </c>
      <c r="B27" s="6" t="n">
        <v>13.719</v>
      </c>
      <c r="C27" s="6" t="n">
        <v>14.848</v>
      </c>
      <c r="D27" s="6" t="n">
        <v>13.748</v>
      </c>
      <c r="E27" s="6" t="n">
        <v>14.705</v>
      </c>
      <c r="F27" s="6" t="n">
        <v>14.876</v>
      </c>
      <c r="G27" s="6" t="n">
        <v>16.597</v>
      </c>
      <c r="H27" s="6" t="n">
        <v>15.228</v>
      </c>
      <c r="I27" s="6" t="n">
        <v>16.179</v>
      </c>
      <c r="L27" s="15" t="n">
        <f aca="false">H27+I27</f>
        <v>31.407</v>
      </c>
      <c r="M27" s="15" t="n">
        <f aca="false">SUM(F27:I27)</f>
        <v>62.88</v>
      </c>
      <c r="N27" s="15" t="n">
        <f aca="false">SUM(B27:E27)</f>
        <v>57.02</v>
      </c>
      <c r="O27" s="7" t="s">
        <v>641</v>
      </c>
      <c r="P27" s="4" t="s">
        <v>642</v>
      </c>
    </row>
    <row r="28" customFormat="false" ht="17.15" hidden="false" customHeight="false" outlineLevel="0" collapsed="false">
      <c r="A28" s="4" t="s">
        <v>664</v>
      </c>
      <c r="B28" s="6" t="n">
        <v>12.447</v>
      </c>
      <c r="C28" s="6" t="n">
        <v>13.116</v>
      </c>
      <c r="D28" s="6" t="n">
        <v>13.556</v>
      </c>
      <c r="E28" s="6" t="n">
        <v>13.808</v>
      </c>
      <c r="F28" s="6" t="n">
        <v>15.151</v>
      </c>
      <c r="G28" s="6" t="n">
        <v>18.572</v>
      </c>
      <c r="H28" s="6" t="n">
        <v>17.032</v>
      </c>
      <c r="I28" s="6" t="n">
        <v>18.219</v>
      </c>
      <c r="J28" s="6" t="n">
        <v>49.326</v>
      </c>
      <c r="K28" s="6" t="n">
        <v>61.087</v>
      </c>
      <c r="L28" s="15" t="n">
        <f aca="false">H28+I28</f>
        <v>35.251</v>
      </c>
      <c r="M28" s="15" t="n">
        <f aca="false">SUM(F28:I28)</f>
        <v>68.974</v>
      </c>
      <c r="N28" s="15" t="n">
        <f aca="false">SUM(B28:E28)</f>
        <v>52.927</v>
      </c>
      <c r="O28" s="7" t="s">
        <v>641</v>
      </c>
      <c r="P28" s="4" t="s">
        <v>642</v>
      </c>
    </row>
    <row r="29" customFormat="false" ht="17.15" hidden="false" customHeight="false" outlineLevel="0" collapsed="false">
      <c r="A29" s="4" t="s">
        <v>665</v>
      </c>
      <c r="B29" s="6" t="n">
        <v>7.227</v>
      </c>
      <c r="C29" s="6" t="n">
        <v>7.363</v>
      </c>
      <c r="D29" s="6" t="n">
        <v>6.172</v>
      </c>
      <c r="E29" s="6" t="n">
        <v>7.101</v>
      </c>
      <c r="F29" s="6" t="n">
        <v>7.205</v>
      </c>
      <c r="G29" s="6" t="n">
        <v>8.215</v>
      </c>
      <c r="H29" s="6" t="n">
        <v>7.606</v>
      </c>
      <c r="I29" s="6" t="n">
        <v>8.403</v>
      </c>
      <c r="J29" s="6" t="n">
        <v>27.808</v>
      </c>
      <c r="K29" s="6" t="n">
        <v>28.693</v>
      </c>
      <c r="L29" s="15" t="n">
        <f aca="false">H29+I29</f>
        <v>16.009</v>
      </c>
      <c r="M29" s="15" t="n">
        <f aca="false">SUM(F29:I29)</f>
        <v>31.429</v>
      </c>
      <c r="N29" s="15" t="n">
        <f aca="false">SUM(B29:E29)</f>
        <v>27.863</v>
      </c>
      <c r="O29" s="7" t="s">
        <v>641</v>
      </c>
      <c r="P29" s="4" t="s">
        <v>642</v>
      </c>
    </row>
    <row r="30" customFormat="false" ht="17.15" hidden="false" customHeight="false" outlineLevel="0" collapsed="false">
      <c r="A30" s="4" t="s">
        <v>666</v>
      </c>
      <c r="B30" s="6" t="n">
        <v>3.599</v>
      </c>
      <c r="C30" s="6" t="n">
        <v>4.405</v>
      </c>
      <c r="D30" s="6" t="n">
        <v>3.539</v>
      </c>
      <c r="E30" s="6" t="n">
        <v>5.209</v>
      </c>
      <c r="F30" s="6" t="n">
        <v>7.393</v>
      </c>
      <c r="G30" s="6" t="n">
        <v>5.341</v>
      </c>
      <c r="H30" s="6" t="n">
        <v>4.291</v>
      </c>
      <c r="I30" s="6" t="n">
        <v>6.461</v>
      </c>
      <c r="J30" s="6" t="n">
        <v>14.188</v>
      </c>
      <c r="K30" s="6" t="n">
        <v>21.482</v>
      </c>
      <c r="L30" s="15" t="n">
        <f aca="false">H30+I30</f>
        <v>10.752</v>
      </c>
      <c r="M30" s="15" t="n">
        <f aca="false">SUM(F30:I30)</f>
        <v>23.486</v>
      </c>
      <c r="N30" s="15" t="n">
        <f aca="false">SUM(B30:E30)</f>
        <v>16.752</v>
      </c>
      <c r="O30" s="7" t="s">
        <v>641</v>
      </c>
      <c r="P30" s="4" t="s">
        <v>642</v>
      </c>
    </row>
    <row r="31" customFormat="false" ht="15" hidden="false" customHeight="false" outlineLevel="0" collapsed="false">
      <c r="A31" s="4" t="s">
        <v>667</v>
      </c>
      <c r="B31" s="16" t="n">
        <f aca="false">B14-B26-B28-B29-B30-B22</f>
        <v>0</v>
      </c>
      <c r="C31" s="16" t="n">
        <f aca="false">C14-C26-C28-C29-C30-C22</f>
        <v>0</v>
      </c>
      <c r="D31" s="16" t="n">
        <f aca="false">D14-D26-D28-D29-D30-D22</f>
        <v>0</v>
      </c>
      <c r="E31" s="16" t="n">
        <f aca="false">E14-E26-E28-E29-E30-E22</f>
        <v>0</v>
      </c>
      <c r="F31" s="16" t="n">
        <f aca="false">F14-F26-F28-F29-F30-F22</f>
        <v>0</v>
      </c>
      <c r="G31" s="16" t="n">
        <f aca="false">G14-G26-G28-G29-G30-G22</f>
        <v>0</v>
      </c>
      <c r="H31" s="16" t="n">
        <f aca="false">H14-H26-H28-H29-H30-H22</f>
        <v>0</v>
      </c>
      <c r="I31" s="16" t="n">
        <f aca="false">I14-I26-I28-I29-I30-I22</f>
        <v>0</v>
      </c>
      <c r="J31" s="16" t="n">
        <f aca="false">J14-J26-J28-J29-J30-J22</f>
        <v>0</v>
      </c>
      <c r="K31" s="16" t="n">
        <f aca="false">K14-K26-K28-K29-K30-K22</f>
        <v>0</v>
      </c>
      <c r="L31" s="16" t="n">
        <f aca="false">H31+I31</f>
        <v>0</v>
      </c>
      <c r="M31" s="16" t="n">
        <f aca="false">SUM(F31:I31)</f>
        <v>0</v>
      </c>
      <c r="N31" s="16" t="n">
        <f aca="false">SUM(B31:E31)</f>
        <v>0</v>
      </c>
      <c r="O31" s="7" t="s">
        <v>648</v>
      </c>
      <c r="P31" s="7" t="s">
        <v>648</v>
      </c>
    </row>
    <row r="32" customFormat="false" ht="17.15" hidden="false" customHeight="false" outlineLevel="0" collapsed="false">
      <c r="A32" s="4" t="s">
        <v>668</v>
      </c>
      <c r="B32" s="6" t="n">
        <v>3.185</v>
      </c>
      <c r="C32" s="6" t="n">
        <v>1.271</v>
      </c>
      <c r="D32" s="6" t="n">
        <v>11.183</v>
      </c>
      <c r="E32" s="6" t="n">
        <v>2.662</v>
      </c>
      <c r="F32" s="6" t="n">
        <v>12.759</v>
      </c>
      <c r="G32" s="6" t="n">
        <v>3.183</v>
      </c>
      <c r="H32" s="6" t="n">
        <v>37.716</v>
      </c>
      <c r="I32" s="6" t="n">
        <v>97.983</v>
      </c>
      <c r="J32" s="6" t="n">
        <v>7.425</v>
      </c>
      <c r="K32" s="6" t="n">
        <v>29.787</v>
      </c>
      <c r="L32" s="15" t="n">
        <f aca="false">H32+I32</f>
        <v>135.699</v>
      </c>
      <c r="M32" s="15" t="n">
        <f aca="false">SUM(F32:I32)</f>
        <v>151.641</v>
      </c>
      <c r="N32" s="15" t="n">
        <f aca="false">SUM(B32:E32)</f>
        <v>18.301</v>
      </c>
      <c r="O32" s="7" t="s">
        <v>641</v>
      </c>
      <c r="P32" s="4" t="s">
        <v>642</v>
      </c>
    </row>
    <row r="33" customFormat="false" ht="17.15" hidden="false" customHeight="false" outlineLevel="0" collapsed="false">
      <c r="A33" s="4" t="s">
        <v>669</v>
      </c>
      <c r="B33" s="6" t="n">
        <v>1.821</v>
      </c>
      <c r="C33" s="6" t="n">
        <v>0.364</v>
      </c>
      <c r="D33" s="6" t="n">
        <v>9.758</v>
      </c>
      <c r="E33" s="6" t="n">
        <v>1.286</v>
      </c>
      <c r="F33" s="6" t="n">
        <v>10.734</v>
      </c>
      <c r="G33" s="6" t="n">
        <v>2.302</v>
      </c>
      <c r="H33" s="6" t="n">
        <v>36.915</v>
      </c>
      <c r="I33" s="6" t="n">
        <v>99.031</v>
      </c>
      <c r="L33" s="15" t="n">
        <f aca="false">H33+I33</f>
        <v>135.946</v>
      </c>
      <c r="M33" s="15" t="n">
        <f aca="false">SUM(F33:I33)</f>
        <v>148.982</v>
      </c>
      <c r="N33" s="15" t="n">
        <f aca="false">SUM(B33:E33)</f>
        <v>13.229</v>
      </c>
      <c r="O33" s="7" t="s">
        <v>641</v>
      </c>
      <c r="P33" s="4" t="s">
        <v>642</v>
      </c>
    </row>
    <row r="34" customFormat="false" ht="17.15" hidden="false" customHeight="false" outlineLevel="0" collapsed="false">
      <c r="A34" s="4" t="s">
        <v>670</v>
      </c>
      <c r="B34" s="6" t="n">
        <v>31.706</v>
      </c>
      <c r="C34" s="6" t="n">
        <v>32.243</v>
      </c>
      <c r="D34" s="6" t="n">
        <v>41.789</v>
      </c>
      <c r="E34" s="6" t="n">
        <v>33.933</v>
      </c>
      <c r="F34" s="6" t="n">
        <v>43.987</v>
      </c>
      <c r="G34" s="6" t="n">
        <v>39.117</v>
      </c>
      <c r="H34" s="6" t="n">
        <v>77.412</v>
      </c>
      <c r="I34" s="6" t="n">
        <v>138.753</v>
      </c>
      <c r="J34" s="6" t="n">
        <v>119.815</v>
      </c>
      <c r="K34" s="6" t="n">
        <v>158.826</v>
      </c>
      <c r="L34" s="15" t="n">
        <f aca="false">H34+I34</f>
        <v>216.165</v>
      </c>
      <c r="M34" s="15" t="n">
        <f aca="false">SUM(F34:I34)</f>
        <v>299.269</v>
      </c>
      <c r="N34" s="15" t="n">
        <f aca="false">SUM(B34:E34)</f>
        <v>139.671</v>
      </c>
      <c r="O34" s="7" t="s">
        <v>641</v>
      </c>
      <c r="P34" s="4" t="s">
        <v>642</v>
      </c>
    </row>
    <row r="35" customFormat="false" ht="15" hidden="false" customHeight="false" outlineLevel="0" collapsed="false">
      <c r="A35" s="4" t="s">
        <v>671</v>
      </c>
      <c r="B35" s="16" t="n">
        <f aca="false">B22+B32-B34</f>
        <v>0</v>
      </c>
      <c r="C35" s="16" t="n">
        <f aca="false">C22+C32-C34</f>
        <v>0</v>
      </c>
      <c r="D35" s="16" t="n">
        <f aca="false">D22+D32-D34</f>
        <v>0</v>
      </c>
      <c r="E35" s="16" t="n">
        <f aca="false">E22+E32-E34</f>
        <v>0</v>
      </c>
      <c r="F35" s="16" t="n">
        <f aca="false">F22+F32-F34</f>
        <v>0</v>
      </c>
      <c r="G35" s="16" t="n">
        <f aca="false">G22+G32-G34</f>
        <v>0</v>
      </c>
      <c r="H35" s="16" t="n">
        <f aca="false">H22+H32-H34</f>
        <v>0</v>
      </c>
      <c r="I35" s="16" t="n">
        <f aca="false">I22+I32-I34</f>
        <v>0</v>
      </c>
      <c r="J35" s="16" t="n">
        <f aca="false">J22+J32-J34</f>
        <v>0</v>
      </c>
      <c r="K35" s="16" t="n">
        <f aca="false">K22+K32-K34</f>
        <v>0</v>
      </c>
      <c r="L35" s="16" t="n">
        <f aca="false">H35+I35</f>
        <v>0</v>
      </c>
      <c r="M35" s="16" t="n">
        <f aca="false">SUM(F35:I35)</f>
        <v>0</v>
      </c>
      <c r="N35" s="16" t="n">
        <f aca="false">SUM(B35:E35)</f>
        <v>0</v>
      </c>
      <c r="O35" s="7" t="s">
        <v>648</v>
      </c>
      <c r="P35" s="7" t="s">
        <v>648</v>
      </c>
    </row>
    <row r="36" customFormat="false" ht="17.15" hidden="false" customHeight="false" outlineLevel="0" collapsed="false">
      <c r="A36" s="4" t="s">
        <v>672</v>
      </c>
      <c r="B36" s="6" t="n">
        <v>5.405</v>
      </c>
      <c r="C36" s="6" t="n">
        <v>5.707</v>
      </c>
      <c r="D36" s="6" t="n">
        <v>7.249</v>
      </c>
      <c r="E36" s="6" t="n">
        <v>5.737</v>
      </c>
      <c r="F36" s="6" t="n">
        <v>9.008</v>
      </c>
      <c r="G36" s="6" t="n">
        <v>4.662</v>
      </c>
      <c r="H36" s="6" t="n">
        <v>14.834</v>
      </c>
      <c r="I36" s="6" t="n">
        <v>26.56</v>
      </c>
      <c r="J36" s="6" t="n">
        <v>19.697</v>
      </c>
      <c r="K36" s="6" t="n">
        <v>26.656</v>
      </c>
      <c r="L36" s="15" t="n">
        <f aca="false">H36+I36</f>
        <v>41.394</v>
      </c>
      <c r="M36" s="15" t="n">
        <f aca="false">SUM(F36:I36)</f>
        <v>55.064</v>
      </c>
      <c r="N36" s="15" t="n">
        <f aca="false">SUM(B36:E36)</f>
        <v>24.098</v>
      </c>
      <c r="O36" s="7" t="s">
        <v>641</v>
      </c>
      <c r="P36" s="4" t="s">
        <v>642</v>
      </c>
    </row>
    <row r="37" customFormat="false" ht="17.15" hidden="false" customHeight="false" outlineLevel="0" collapsed="false">
      <c r="A37" s="4" t="s">
        <v>673</v>
      </c>
      <c r="B37" s="6" t="n">
        <v>26.301</v>
      </c>
      <c r="C37" s="6" t="n">
        <v>26.536</v>
      </c>
      <c r="D37" s="6" t="n">
        <v>34.54</v>
      </c>
      <c r="E37" s="6" t="n">
        <v>28.196</v>
      </c>
      <c r="F37" s="6" t="n">
        <v>34.979</v>
      </c>
      <c r="G37" s="6" t="n">
        <v>34.455</v>
      </c>
      <c r="H37" s="6" t="n">
        <v>62.578</v>
      </c>
      <c r="I37" s="6" t="n">
        <v>112.193</v>
      </c>
      <c r="J37" s="6" t="n">
        <v>100.118</v>
      </c>
      <c r="K37" s="6" t="n">
        <v>132.17</v>
      </c>
      <c r="L37" s="15" t="n">
        <f aca="false">H37+I37</f>
        <v>174.771</v>
      </c>
      <c r="M37" s="15" t="n">
        <f aca="false">SUM(F37:I37)</f>
        <v>244.205</v>
      </c>
      <c r="N37" s="15" t="n">
        <f aca="false">SUM(B37:E37)</f>
        <v>115.573</v>
      </c>
      <c r="O37" s="7" t="s">
        <v>641</v>
      </c>
      <c r="P37" s="4" t="s">
        <v>642</v>
      </c>
    </row>
    <row r="38" customFormat="false" ht="15" hidden="false" customHeight="false" outlineLevel="0" collapsed="false">
      <c r="A38" s="4" t="s">
        <v>674</v>
      </c>
      <c r="B38" s="16" t="n">
        <f aca="false">B34-B36-B37</f>
        <v>0</v>
      </c>
      <c r="C38" s="16" t="n">
        <f aca="false">C34-C36-C37</f>
        <v>0</v>
      </c>
      <c r="D38" s="16" t="n">
        <f aca="false">D34-D36-D37</f>
        <v>0</v>
      </c>
      <c r="E38" s="16" t="n">
        <f aca="false">E34-E36-E37</f>
        <v>0</v>
      </c>
      <c r="F38" s="16" t="n">
        <f aca="false">F34-F36-F37</f>
        <v>0</v>
      </c>
      <c r="G38" s="16" t="n">
        <f aca="false">G34-G36-G37</f>
        <v>0</v>
      </c>
      <c r="H38" s="16" t="n">
        <f aca="false">H34-H36-H37</f>
        <v>0</v>
      </c>
      <c r="I38" s="16" t="n">
        <f aca="false">I34-I36-I37</f>
        <v>0</v>
      </c>
      <c r="J38" s="16" t="n">
        <f aca="false">J34-J36-J37</f>
        <v>0</v>
      </c>
      <c r="K38" s="16" t="n">
        <f aca="false">K34-K36-K37</f>
        <v>0</v>
      </c>
      <c r="L38" s="16" t="n">
        <f aca="false">H38+I38</f>
        <v>0</v>
      </c>
      <c r="M38" s="16" t="n">
        <f aca="false">SUM(F38:I38)</f>
        <v>0</v>
      </c>
      <c r="N38" s="16" t="n">
        <f aca="false">SUM(B38:E38)</f>
        <v>0</v>
      </c>
      <c r="O38" s="7" t="s">
        <v>648</v>
      </c>
      <c r="P38" s="7" t="s">
        <v>648</v>
      </c>
    </row>
    <row r="39" customFormat="false" ht="17.15" hidden="false" customHeight="false" outlineLevel="0" collapsed="false">
      <c r="A39" s="4" t="s">
        <v>675</v>
      </c>
      <c r="B39" s="6" t="n">
        <v>12.419</v>
      </c>
      <c r="C39" s="6" t="n">
        <v>12.348</v>
      </c>
      <c r="D39" s="6" t="n">
        <v>12.291</v>
      </c>
      <c r="E39" s="6" t="n">
        <v>12.198</v>
      </c>
      <c r="F39" s="6" t="n">
        <v>12.203</v>
      </c>
      <c r="G39" s="6" t="n">
        <v>12.228</v>
      </c>
      <c r="H39" s="6" t="n">
        <v>12.238</v>
      </c>
      <c r="I39" s="6" t="n">
        <v>12.309</v>
      </c>
      <c r="J39" s="6" t="n">
        <v>12.447</v>
      </c>
      <c r="K39" s="6" t="n">
        <v>12.23</v>
      </c>
      <c r="L39" s="15" t="n">
        <f aca="false">AVERAGE(H39:I39)</f>
        <v>12.2735</v>
      </c>
      <c r="M39" s="15"/>
      <c r="N39" s="15"/>
      <c r="O39" s="7" t="s">
        <v>641</v>
      </c>
      <c r="P39" s="4" t="s">
        <v>642</v>
      </c>
    </row>
    <row r="40" customFormat="false" ht="17.15" hidden="false" customHeight="false" outlineLevel="0" collapsed="false">
      <c r="A40" s="0" t="s">
        <v>676</v>
      </c>
      <c r="B40" s="17" t="n">
        <v>2.12</v>
      </c>
      <c r="C40" s="17" t="n">
        <v>2.15</v>
      </c>
      <c r="D40" s="17" t="n">
        <v>2.81</v>
      </c>
      <c r="E40" s="17" t="n">
        <v>2.31</v>
      </c>
      <c r="F40" s="17" t="n">
        <v>2.87</v>
      </c>
      <c r="G40" s="17" t="n">
        <v>2.82</v>
      </c>
      <c r="H40" s="17" t="n">
        <v>5.11</v>
      </c>
      <c r="I40" s="17" t="n">
        <v>9.11</v>
      </c>
      <c r="J40" s="17" t="n">
        <v>8.04</v>
      </c>
      <c r="K40" s="17" t="n">
        <v>10.81</v>
      </c>
      <c r="L40" s="18" t="n">
        <f aca="false">H40+I40</f>
        <v>14.22</v>
      </c>
      <c r="M40" s="18" t="n">
        <f aca="false">SUM(F40:I40)</f>
        <v>19.91</v>
      </c>
      <c r="N40" s="18" t="n">
        <f aca="false">SUM(B40:E40)</f>
        <v>9.39</v>
      </c>
      <c r="O40" s="7" t="s">
        <v>641</v>
      </c>
      <c r="P40" s="4" t="s">
        <v>642</v>
      </c>
    </row>
    <row r="42" customFormat="false" ht="15" hidden="false" customHeight="false" outlineLevel="0" collapsed="false">
      <c r="A42" s="2" t="s">
        <v>677</v>
      </c>
    </row>
    <row r="43" customFormat="false" ht="17.15" hidden="false" customHeight="false" outlineLevel="0" collapsed="false">
      <c r="A43" s="4" t="s">
        <v>678</v>
      </c>
      <c r="B43" s="6" t="n">
        <v>3.985</v>
      </c>
      <c r="C43" s="6" t="n">
        <v>4.205</v>
      </c>
      <c r="D43" s="6" t="n">
        <v>4.487</v>
      </c>
      <c r="E43" s="6" t="n">
        <v>4.998</v>
      </c>
      <c r="F43" s="6" t="n">
        <v>5.611</v>
      </c>
      <c r="G43" s="6" t="n">
        <v>6.04</v>
      </c>
      <c r="H43" s="6" t="n">
        <v>6.482</v>
      </c>
      <c r="I43" s="6" t="n">
        <v>7.104</v>
      </c>
      <c r="J43" s="6" t="n">
        <v>15.311</v>
      </c>
      <c r="K43" s="6" t="n">
        <v>21.136</v>
      </c>
      <c r="L43" s="15" t="n">
        <f aca="false">H43+I43</f>
        <v>13.586</v>
      </c>
      <c r="M43" s="15" t="n">
        <f aca="false">SUM(F43:I43)</f>
        <v>25.237</v>
      </c>
      <c r="N43" s="15" t="n">
        <f aca="false">SUM(B43:E43)</f>
        <v>17.675</v>
      </c>
      <c r="O43" s="7" t="s">
        <v>641</v>
      </c>
      <c r="P43" s="4" t="s">
        <v>642</v>
      </c>
    </row>
    <row r="44" customFormat="false" ht="17.15" hidden="false" customHeight="false" outlineLevel="0" collapsed="false">
      <c r="A44" s="4" t="s">
        <v>679</v>
      </c>
      <c r="B44" s="6" t="n">
        <v>5.846</v>
      </c>
      <c r="C44" s="6" t="n">
        <v>5.81</v>
      </c>
      <c r="D44" s="6" t="n">
        <v>5.516</v>
      </c>
      <c r="E44" s="6" t="n">
        <v>5.998</v>
      </c>
      <c r="F44" s="6" t="n">
        <v>6.368</v>
      </c>
      <c r="G44" s="6" t="n">
        <v>7.071</v>
      </c>
      <c r="H44" s="6" t="n">
        <v>6.751</v>
      </c>
      <c r="I44" s="6" t="n">
        <v>7.957</v>
      </c>
      <c r="J44" s="6" t="n">
        <v>22.785</v>
      </c>
      <c r="K44" s="6" t="n">
        <v>24.953</v>
      </c>
      <c r="L44" s="15" t="n">
        <f aca="false">H44+I44</f>
        <v>14.708</v>
      </c>
      <c r="M44" s="15" t="n">
        <f aca="false">SUM(F44:I44)</f>
        <v>28.147</v>
      </c>
      <c r="N44" s="15" t="n">
        <f aca="false">SUM(B44:E44)</f>
        <v>23.17</v>
      </c>
      <c r="O44" s="7" t="s">
        <v>641</v>
      </c>
      <c r="P44" s="4" t="s">
        <v>642</v>
      </c>
    </row>
    <row r="45" customFormat="false" ht="17.15" hidden="false" customHeight="false" outlineLevel="0" collapsed="false">
      <c r="A45" s="4" t="s">
        <v>680</v>
      </c>
      <c r="B45" s="6" t="n">
        <v>30.698</v>
      </c>
      <c r="C45" s="6" t="n">
        <v>39.113</v>
      </c>
      <c r="D45" s="6" t="n">
        <v>36.15</v>
      </c>
      <c r="E45" s="6" t="n">
        <v>27.747</v>
      </c>
      <c r="F45" s="6" t="n">
        <v>48.414</v>
      </c>
      <c r="G45" s="6" t="n">
        <v>52.402</v>
      </c>
      <c r="H45" s="6" t="n">
        <v>45.79</v>
      </c>
      <c r="I45" s="6" t="n">
        <v>39.069</v>
      </c>
      <c r="J45" s="6" t="n">
        <v>125.299</v>
      </c>
      <c r="K45" s="6" t="n">
        <v>164.713</v>
      </c>
      <c r="L45" s="15" t="n">
        <f aca="false">H45+I45</f>
        <v>84.859</v>
      </c>
      <c r="M45" s="15" t="n">
        <f aca="false">SUM(F45:I45)</f>
        <v>185.675</v>
      </c>
      <c r="N45" s="15" t="n">
        <f aca="false">SUM(B45:E45)</f>
        <v>133.708</v>
      </c>
      <c r="O45" s="7" t="s">
        <v>641</v>
      </c>
      <c r="P45" s="4" t="s">
        <v>642</v>
      </c>
    </row>
    <row r="46" customFormat="false" ht="17.15" hidden="false" customHeight="false" outlineLevel="0" collapsed="false">
      <c r="A46" s="4" t="s">
        <v>681</v>
      </c>
      <c r="B46" s="6" t="n">
        <v>13.061</v>
      </c>
      <c r="C46" s="6" t="n">
        <v>14.276</v>
      </c>
      <c r="D46" s="6" t="n">
        <v>17.197</v>
      </c>
      <c r="E46" s="6" t="n">
        <v>22.446</v>
      </c>
      <c r="F46" s="6" t="n">
        <v>23.953</v>
      </c>
      <c r="G46" s="6" t="n">
        <v>27.851</v>
      </c>
      <c r="H46" s="6" t="n">
        <v>35.674</v>
      </c>
      <c r="I46" s="6" t="n">
        <v>44.924</v>
      </c>
      <c r="J46" s="6" t="n">
        <v>52.535</v>
      </c>
      <c r="K46" s="6" t="n">
        <v>91.447</v>
      </c>
      <c r="L46" s="15" t="n">
        <f aca="false">H46+I46</f>
        <v>80.598</v>
      </c>
      <c r="M46" s="15" t="n">
        <f aca="false">SUM(F46:I46)</f>
        <v>132.402</v>
      </c>
      <c r="N46" s="15" t="n">
        <f aca="false">SUM(B46:E46)</f>
        <v>66.98</v>
      </c>
      <c r="O46" s="7" t="s">
        <v>641</v>
      </c>
      <c r="P46" s="4" t="s">
        <v>642</v>
      </c>
    </row>
    <row r="47" customFormat="false" ht="17.15" hidden="false" customHeight="false" outlineLevel="0" collapsed="false">
      <c r="A47" s="4" t="s">
        <v>682</v>
      </c>
      <c r="B47" s="6" t="n">
        <v>17.637</v>
      </c>
      <c r="C47" s="6" t="n">
        <v>24.837</v>
      </c>
      <c r="D47" s="6" t="n">
        <v>18.953</v>
      </c>
      <c r="E47" s="6" t="n">
        <v>5.301</v>
      </c>
      <c r="F47" s="6" t="n">
        <v>24.461</v>
      </c>
      <c r="G47" s="6" t="n">
        <v>24.551</v>
      </c>
      <c r="H47" s="6" t="n">
        <v>10.116</v>
      </c>
      <c r="I47" s="6" t="n">
        <v>-5.855</v>
      </c>
      <c r="J47" s="6" t="n">
        <v>72.764</v>
      </c>
      <c r="K47" s="6" t="n">
        <v>73.266</v>
      </c>
      <c r="L47" s="15" t="n">
        <f aca="false">H47+I47</f>
        <v>4.261</v>
      </c>
      <c r="M47" s="15" t="n">
        <f aca="false">SUM(F47:I47)</f>
        <v>53.273</v>
      </c>
      <c r="N47" s="15" t="n">
        <f aca="false">SUM(B47:E47)</f>
        <v>66.728</v>
      </c>
      <c r="O47" s="7" t="s">
        <v>641</v>
      </c>
      <c r="P47" s="4" t="s">
        <v>642</v>
      </c>
    </row>
    <row r="48" customFormat="false" ht="15" hidden="false" customHeight="false" outlineLevel="0" collapsed="false">
      <c r="A48" s="4" t="s">
        <v>683</v>
      </c>
      <c r="B48" s="16" t="n">
        <f aca="false">B45-B46-B47</f>
        <v>0</v>
      </c>
      <c r="C48" s="16" t="n">
        <f aca="false">C45-C46-C47</f>
        <v>0</v>
      </c>
      <c r="D48" s="16" t="n">
        <f aca="false">D45-D46-D47</f>
        <v>0</v>
      </c>
      <c r="E48" s="16" t="n">
        <f aca="false">E45-E46-E47</f>
        <v>0</v>
      </c>
      <c r="F48" s="16" t="n">
        <f aca="false">F45-F46-F47</f>
        <v>0</v>
      </c>
      <c r="G48" s="16" t="n">
        <f aca="false">G45-G46-G47</f>
        <v>0</v>
      </c>
      <c r="H48" s="16" t="n">
        <f aca="false">H45-H46-H47</f>
        <v>0</v>
      </c>
      <c r="I48" s="16" t="n">
        <f aca="false">I45-I46-I47</f>
        <v>0</v>
      </c>
      <c r="J48" s="16" t="n">
        <f aca="false">J45-J46-J47</f>
        <v>0</v>
      </c>
      <c r="K48" s="16" t="n">
        <f aca="false">K45-K46-K47</f>
        <v>0</v>
      </c>
      <c r="L48" s="16" t="n">
        <f aca="false">H48+I48</f>
        <v>0</v>
      </c>
      <c r="M48" s="16" t="n">
        <f aca="false">SUM(F48:I48)</f>
        <v>0</v>
      </c>
      <c r="N48" s="16" t="n">
        <f aca="false">SUM(B48:E48)</f>
        <v>0</v>
      </c>
      <c r="O48" s="7" t="s">
        <v>648</v>
      </c>
      <c r="P48" s="7" t="s">
        <v>648</v>
      </c>
    </row>
    <row r="49" customFormat="false" ht="17.15" hidden="false" customHeight="false" outlineLevel="0" collapsed="false">
      <c r="A49" s="4" t="s">
        <v>684</v>
      </c>
      <c r="B49" s="6" t="n">
        <v>15.291</v>
      </c>
      <c r="C49" s="6" t="n">
        <v>15.551</v>
      </c>
      <c r="D49" s="6" t="n">
        <v>15.068</v>
      </c>
      <c r="E49" s="6" t="n">
        <v>13.238</v>
      </c>
      <c r="F49" s="6" t="n">
        <v>11.504</v>
      </c>
      <c r="G49" s="6" t="n">
        <v>5.499</v>
      </c>
      <c r="H49" s="6" t="n">
        <v>0</v>
      </c>
      <c r="I49" s="6" t="n">
        <v>0</v>
      </c>
      <c r="J49" s="6" t="n">
        <v>62.222</v>
      </c>
      <c r="K49" s="6" t="n">
        <v>45.709</v>
      </c>
      <c r="L49" s="15" t="n">
        <f aca="false">H49+I49</f>
        <v>0</v>
      </c>
      <c r="M49" s="15" t="n">
        <f aca="false">SUM(F49:I49)</f>
        <v>17.003</v>
      </c>
      <c r="N49" s="15" t="n">
        <f aca="false">SUM(B49:E49)</f>
        <v>59.148</v>
      </c>
      <c r="O49" s="7" t="s">
        <v>641</v>
      </c>
      <c r="P49" s="4" t="s">
        <v>642</v>
      </c>
    </row>
    <row r="50" customFormat="false" ht="17.15" hidden="false" customHeight="false" outlineLevel="0" collapsed="false">
      <c r="A50" s="4" t="s">
        <v>685</v>
      </c>
      <c r="B50" s="6" t="n">
        <v>2.455</v>
      </c>
      <c r="C50" s="6" t="n">
        <v>2.442</v>
      </c>
      <c r="D50" s="6" t="n">
        <v>2.434</v>
      </c>
      <c r="E50" s="6" t="n">
        <v>2.543</v>
      </c>
      <c r="F50" s="6" t="n">
        <v>2.537</v>
      </c>
      <c r="G50" s="6" t="n">
        <v>2.536</v>
      </c>
      <c r="H50" s="6" t="n">
        <v>2.542</v>
      </c>
      <c r="I50" s="6" t="n">
        <v>2.689</v>
      </c>
      <c r="J50" s="6" t="n">
        <v>7.363</v>
      </c>
      <c r="K50" s="6" t="n">
        <v>10.049</v>
      </c>
      <c r="L50" s="15" t="n">
        <f aca="false">H50+I50</f>
        <v>5.231</v>
      </c>
      <c r="M50" s="15" t="n">
        <f aca="false">SUM(F50:I50)</f>
        <v>10.304</v>
      </c>
      <c r="N50" s="15" t="n">
        <f aca="false">SUM(B50:E50)</f>
        <v>9.874</v>
      </c>
      <c r="O50" s="7" t="s">
        <v>641</v>
      </c>
      <c r="P50" s="4" t="s">
        <v>642</v>
      </c>
    </row>
    <row r="52" customFormat="false" ht="17.15" hidden="false" customHeight="false" outlineLevel="0" collapsed="false">
      <c r="A52" s="2" t="s">
        <v>686</v>
      </c>
    </row>
    <row r="53" customFormat="false" ht="17.15" hidden="false" customHeight="false" outlineLevel="0" collapsed="false">
      <c r="A53" s="4" t="s">
        <v>687</v>
      </c>
      <c r="B53" s="16" t="n">
        <f aca="false">SUMPRODUCT(ABS(B10:K10))+SUMPRODUCT(ABS(B15:K15))+SUMPRODUCT(ABS(B23:K23))+SUMPRODUCT(ABS(B31:K31))+SUMPRODUCT(ABS(B35:K35))+SUMPRODUCT(ABS(B38:K38))+SUMPRODUCT(ABS(B48:K48))</f>
        <v>0</v>
      </c>
    </row>
    <row r="54" customFormat="false" ht="17.15" hidden="false" customHeight="false" outlineLevel="0" collapsed="false">
      <c r="A54" s="4" t="s">
        <v>688</v>
      </c>
      <c r="B54" s="16" t="n">
        <f aca="false">ABS(SUM(D9:G9)-K9)+ABS(SUM(D11:G11)-K11)+ABS(SUM(D12:G12)-K12)+ABS(SUM(D13:G13)-K13)+ABS(SUM(D14:G14)-K14)+ABS(SUM(D18:G18)-K18)+ABS(SUM(D19:G19)-K19)+ABS(SUM(D20:G20)-K20)+ABS(SUM(D21:G21)-K21)+ABS(SUM(D22:G22)-K22)+ABS(SUM(D5:G5)-K5)+ABS(SUM(D6:G6)-K6)+ABS(SUM(D7:G7)-K7)+ABS(SUM(D8:G8)-K8)+ABS(SUM(D46:G46)-K46)+ABS(SUM(D45:G45)-K45)+ABS(SUM(D43:G43)-K43)</f>
        <v>0</v>
      </c>
    </row>
    <row r="56" customFormat="false" ht="17.15" hidden="false" customHeight="false" outlineLevel="0" collapsed="false">
      <c r="A56" s="2" t="s">
        <v>689</v>
      </c>
    </row>
    <row r="57" customFormat="false" ht="15" hidden="false" customHeight="false" outlineLevel="0" collapsed="false">
      <c r="A57" s="3" t="s">
        <v>43</v>
      </c>
      <c r="B57" s="3" t="s">
        <v>690</v>
      </c>
      <c r="C57" s="3" t="s">
        <v>50</v>
      </c>
    </row>
    <row r="58" customFormat="false" ht="17.15" hidden="false" customHeight="false" outlineLevel="0" collapsed="false">
      <c r="A58" s="4" t="s">
        <v>691</v>
      </c>
      <c r="B58" s="19" t="n">
        <f aca="false">M5/N5-1</f>
        <v>0.168013211016221</v>
      </c>
      <c r="C58" s="7" t="s">
        <v>692</v>
      </c>
    </row>
    <row r="59" customFormat="false" ht="17.15" hidden="false" customHeight="false" outlineLevel="0" collapsed="false">
      <c r="A59" s="4" t="s">
        <v>693</v>
      </c>
      <c r="B59" s="19" t="n">
        <f aca="false">M6/N6-1</f>
        <v>0.117139334155364</v>
      </c>
      <c r="C59" s="7" t="s">
        <v>692</v>
      </c>
    </row>
    <row r="60" customFormat="false" ht="17.15" hidden="false" customHeight="false" outlineLevel="0" collapsed="false">
      <c r="A60" s="4" t="s">
        <v>694</v>
      </c>
      <c r="B60" s="19" t="n">
        <f aca="false">M7/N7-1</f>
        <v>-0.0217853347502657</v>
      </c>
      <c r="C60" s="7" t="s">
        <v>692</v>
      </c>
    </row>
    <row r="61" customFormat="false" ht="17.15" hidden="false" customHeight="false" outlineLevel="0" collapsed="false">
      <c r="A61" s="4" t="s">
        <v>695</v>
      </c>
      <c r="B61" s="19" t="n">
        <f aca="false">M8/N8-1</f>
        <v>0.179435162180028</v>
      </c>
      <c r="C61" s="7" t="s">
        <v>692</v>
      </c>
    </row>
    <row r="62" customFormat="false" ht="17.15" hidden="false" customHeight="false" outlineLevel="0" collapsed="false">
      <c r="A62" s="4" t="s">
        <v>696</v>
      </c>
      <c r="B62" s="19" t="n">
        <f aca="false">M11/N11-1</f>
        <v>0.577837859814604</v>
      </c>
      <c r="C62" s="7" t="s">
        <v>692</v>
      </c>
    </row>
    <row r="63" customFormat="false" ht="17.15" hidden="false" customHeight="false" outlineLevel="0" collapsed="false">
      <c r="A63" s="4" t="s">
        <v>697</v>
      </c>
      <c r="B63" s="15" t="n">
        <f aca="false">M9</f>
        <v>367.091</v>
      </c>
    </row>
    <row r="64" customFormat="false" ht="15" hidden="false" customHeight="false" outlineLevel="0" collapsed="false">
      <c r="A64" s="4" t="s">
        <v>698</v>
      </c>
      <c r="B64" s="15" t="n">
        <f aca="false">M9+M11+M12</f>
        <v>446.215</v>
      </c>
    </row>
    <row r="65" customFormat="false" ht="17.15" hidden="false" customHeight="false" outlineLevel="0" collapsed="false">
      <c r="A65" s="4" t="s">
        <v>699</v>
      </c>
      <c r="B65" s="19" t="n">
        <f aca="false">M9/rev3_ttm</f>
        <v>0.822677408872405</v>
      </c>
      <c r="C65" s="4" t="s">
        <v>700</v>
      </c>
    </row>
    <row r="66" customFormat="false" ht="17.15" hidden="false" customHeight="false" outlineLevel="0" collapsed="false">
      <c r="A66" s="4" t="s">
        <v>701</v>
      </c>
      <c r="B66" s="19" t="n">
        <f aca="false">M11/rev3_ttm</f>
        <v>0.173945295429333</v>
      </c>
    </row>
    <row r="67" customFormat="false" ht="17.15" hidden="false" customHeight="false" outlineLevel="0" collapsed="false">
      <c r="A67" s="4" t="s">
        <v>702</v>
      </c>
      <c r="B67" s="19" t="n">
        <f aca="false">M12/rev3_ttm</f>
        <v>0.00337729569826205</v>
      </c>
    </row>
    <row r="68" customFormat="false" ht="15" hidden="false" customHeight="false" outlineLevel="0" collapsed="false">
      <c r="A68" s="4" t="s">
        <v>703</v>
      </c>
      <c r="B68" s="15" t="n">
        <f aca="false">M43</f>
        <v>25.237</v>
      </c>
    </row>
    <row r="69" customFormat="false" ht="17.15" hidden="false" customHeight="false" outlineLevel="0" collapsed="false">
      <c r="A69" s="0" t="s">
        <v>704</v>
      </c>
      <c r="B69" s="19" t="n">
        <f aca="false">(M18+da_ttm*sh_svc)/M9</f>
        <v>0.475505827622341</v>
      </c>
      <c r="C69" s="7" t="s">
        <v>705</v>
      </c>
    </row>
    <row r="70" customFormat="false" ht="17.15" hidden="false" customHeight="false" outlineLevel="0" collapsed="false">
      <c r="A70" s="0" t="s">
        <v>706</v>
      </c>
      <c r="B70" s="19" t="n">
        <f aca="false">L9/(L9+L11+L12)</f>
        <v>0.801585090918587</v>
      </c>
    </row>
    <row r="71" customFormat="false" ht="17.15" hidden="false" customHeight="false" outlineLevel="0" collapsed="false">
      <c r="A71" s="0" t="s">
        <v>707</v>
      </c>
      <c r="B71" s="19" t="n">
        <f aca="false">L11/(L9+L11+L12)</f>
        <v>0.194963571633749</v>
      </c>
    </row>
    <row r="72" customFormat="false" ht="17.15" hidden="false" customHeight="false" outlineLevel="0" collapsed="false">
      <c r="A72" s="0" t="s">
        <v>708</v>
      </c>
      <c r="B72" s="19" t="n">
        <f aca="false">(L18+L43*sh1_svc)/L9</f>
        <v>0.494216623385221</v>
      </c>
      <c r="C72" s="4" t="s">
        <v>709</v>
      </c>
    </row>
    <row r="73" customFormat="false" ht="17.15" hidden="false" customHeight="false" outlineLevel="0" collapsed="false">
      <c r="A73" s="0" t="s">
        <v>710</v>
      </c>
      <c r="B73" s="19" t="n">
        <f aca="false">IF(mb_ttm=1,m_svc_ttm,m_svc_1h)</f>
        <v>0.494216623385221</v>
      </c>
      <c r="C73" s="4" t="s">
        <v>711</v>
      </c>
    </row>
    <row r="74" customFormat="false" ht="17.15" hidden="false" customHeight="false" outlineLevel="0" collapsed="false">
      <c r="A74" s="4" t="s">
        <v>712</v>
      </c>
      <c r="B74" s="15" t="n">
        <f aca="false">M19+da_ttm*sh_cloud</f>
        <v>28.7088574207501</v>
      </c>
    </row>
    <row r="75" customFormat="false" ht="17.15" hidden="false" customHeight="false" outlineLevel="0" collapsed="false">
      <c r="A75" s="4" t="s">
        <v>713</v>
      </c>
      <c r="B75" s="15" t="n">
        <f aca="false">M11</f>
        <v>77.617</v>
      </c>
    </row>
    <row r="76" customFormat="false" ht="17.15" hidden="false" customHeight="false" outlineLevel="0" collapsed="false">
      <c r="A76" s="4" t="s">
        <v>714</v>
      </c>
      <c r="B76" s="15" t="n">
        <f aca="false">N11</f>
        <v>49.192</v>
      </c>
    </row>
    <row r="77" customFormat="false" ht="17.15" hidden="false" customHeight="false" outlineLevel="0" collapsed="false">
      <c r="A77" s="4" t="s">
        <v>715</v>
      </c>
      <c r="B77" s="15" t="n">
        <f aca="false">M20</f>
        <v>-8.942</v>
      </c>
    </row>
    <row r="78" customFormat="false" ht="17.15" hidden="false" customHeight="false" outlineLevel="0" collapsed="false">
      <c r="A78" s="4" t="s">
        <v>716</v>
      </c>
      <c r="B78" s="15" t="n">
        <f aca="false">M21</f>
        <v>-21.541</v>
      </c>
    </row>
    <row r="79" customFormat="false" ht="17.15" hidden="false" customHeight="false" outlineLevel="0" collapsed="false">
      <c r="A79" s="0" t="s">
        <v>717</v>
      </c>
      <c r="B79" s="19" t="n">
        <f aca="false">M27/(M5+M7)</f>
        <v>0.230527265128352</v>
      </c>
      <c r="C79" s="4" t="s">
        <v>718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719</v>
      </c>
    </row>
    <row r="2" customFormat="false" ht="17.15" hidden="false" customHeight="false" outlineLevel="0" collapsed="false">
      <c r="A2" s="4" t="s">
        <v>720</v>
      </c>
    </row>
    <row r="4" customFormat="false" ht="17.15" hidden="false" customHeight="false" outlineLevel="0" collapsed="false">
      <c r="A4" s="5" t="s">
        <v>721</v>
      </c>
    </row>
    <row r="5" customFormat="false" ht="15" hidden="false" customHeight="false" outlineLevel="0" collapsed="false">
      <c r="A5" s="3" t="s">
        <v>43</v>
      </c>
      <c r="B5" s="3" t="s">
        <v>44</v>
      </c>
      <c r="C5" s="3" t="s">
        <v>690</v>
      </c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50</v>
      </c>
    </row>
    <row r="6" customFormat="false" ht="17.15" hidden="false" customHeight="false" outlineLevel="0" collapsed="false">
      <c r="A6" s="0" t="s">
        <v>722</v>
      </c>
      <c r="B6" s="0" t="s">
        <v>119</v>
      </c>
      <c r="C6" s="16" t="n">
        <f aca="false">kl_px/he_vr</f>
        <v>0.782914621155376</v>
      </c>
      <c r="N6" s="7" t="s">
        <v>723</v>
      </c>
    </row>
    <row r="7" customFormat="false" ht="17.15" hidden="false" customHeight="false" outlineLevel="0" collapsed="false">
      <c r="A7" s="0" t="s">
        <v>724</v>
      </c>
      <c r="B7" s="0" t="s">
        <v>119</v>
      </c>
      <c r="C7" s="16" t="n">
        <f aca="false">ks_px/gpuhr_h</f>
        <v>1.82808654921445</v>
      </c>
      <c r="N7" s="7" t="s">
        <v>725</v>
      </c>
    </row>
    <row r="8" customFormat="false" ht="17.15" hidden="false" customHeight="false" outlineLevel="0" collapsed="false">
      <c r="A8" s="4" t="s">
        <v>726</v>
      </c>
      <c r="B8" s="0" t="s">
        <v>119</v>
      </c>
      <c r="C8" s="16" t="n">
        <f aca="false">long_sh*k_long+(1-long_sh)*k_spot</f>
        <v>1.20098339237901</v>
      </c>
      <c r="N8" s="7" t="s">
        <v>727</v>
      </c>
    </row>
    <row r="9" customFormat="false" ht="17.15" hidden="false" customHeight="false" outlineLevel="0" collapsed="false">
      <c r="A9" s="0" t="s">
        <v>728</v>
      </c>
      <c r="B9" s="0" t="s">
        <v>119</v>
      </c>
      <c r="C9" s="16" t="n">
        <f aca="false">1-tpu_sh*(1-tpu_f)</f>
        <v>1</v>
      </c>
      <c r="N9" s="4" t="s">
        <v>729</v>
      </c>
    </row>
    <row r="10" customFormat="false" ht="17.15" hidden="false" customHeight="false" outlineLevel="0" collapsed="false">
      <c r="A10" s="0" t="s">
        <v>730</v>
      </c>
      <c r="B10" s="0" t="s">
        <v>119</v>
      </c>
      <c r="C10" s="16" t="n">
        <f aca="false">1-tpu_sh*(1-tpu_cf)</f>
        <v>1</v>
      </c>
    </row>
    <row r="11" customFormat="false" ht="17.15" hidden="false" customHeight="false" outlineLevel="0" collapsed="false">
      <c r="A11" s="4" t="s">
        <v>731</v>
      </c>
      <c r="B11" s="0" t="s">
        <v>275</v>
      </c>
      <c r="C11" s="18" t="n">
        <f aca="false">k_blend*tpu_adj*(mix0_h*he_h+mix0_b2*he_b2+mix0_b3*he_b3)</f>
        <v>11.6067474196555</v>
      </c>
    </row>
    <row r="12" customFormat="false" ht="17.15" hidden="false" customHeight="false" outlineLevel="0" collapsed="false">
      <c r="A12" s="4" t="s">
        <v>732</v>
      </c>
      <c r="B12" s="0" t="s">
        <v>275</v>
      </c>
      <c r="C12" s="18" t="n">
        <f aca="false">mix0_h*opx_h+mix0_b2*opx_b2+mix0_b3*opx_b3</f>
        <v>1.88146204641356</v>
      </c>
    </row>
    <row r="13" customFormat="false" ht="17.15" hidden="false" customHeight="false" outlineLevel="0" collapsed="false">
      <c r="A13" s="4" t="s">
        <v>733</v>
      </c>
      <c r="B13" s="0" t="s">
        <v>76</v>
      </c>
      <c r="C13" s="15" t="n">
        <f aca="false">ai_mw_ttm*permw0/1000</f>
        <v>16.8054095889192</v>
      </c>
      <c r="N13" s="4" t="s">
        <v>734</v>
      </c>
    </row>
    <row r="14" customFormat="false" ht="17.15" hidden="false" customHeight="false" outlineLevel="0" collapsed="false">
      <c r="A14" s="4" t="s">
        <v>735</v>
      </c>
      <c r="B14" s="0" t="s">
        <v>76</v>
      </c>
      <c r="C14" s="15" t="n">
        <f aca="false">ai_mw_pttm*permw0/1000</f>
        <v>7.62911507893956</v>
      </c>
    </row>
    <row r="15" customFormat="false" ht="17.15" hidden="false" customHeight="false" outlineLevel="0" collapsed="false">
      <c r="A15" s="4" t="s">
        <v>736</v>
      </c>
      <c r="B15" s="0" t="s">
        <v>76</v>
      </c>
      <c r="C15" s="15" t="n">
        <f aca="false">ai_mw_ttm*(permw0-opex0)/1000</f>
        <v>14.081240691917</v>
      </c>
    </row>
    <row r="16" customFormat="false" ht="17.15" hidden="false" customHeight="false" outlineLevel="0" collapsed="false">
      <c r="A16" s="0" t="s">
        <v>737</v>
      </c>
      <c r="B16" s="0" t="s">
        <v>99</v>
      </c>
      <c r="C16" s="19" t="n">
        <f aca="false">(cloud_ttm-ai_ttm)/(cloud_pttm-ai_pttm)-1</f>
        <v>0.463122459535209</v>
      </c>
      <c r="N16" s="7" t="s">
        <v>738</v>
      </c>
    </row>
    <row r="17" customFormat="false" ht="17.15" hidden="false" customHeight="false" outlineLevel="0" collapsed="false">
      <c r="A17" s="0" t="s">
        <v>739</v>
      </c>
      <c r="B17" s="0" t="s">
        <v>99</v>
      </c>
      <c r="C17" s="19" t="n">
        <f aca="false">(cloud_ebitda_ttm-ai_ttm_e)/(cloud_ttm-ai_ttm)</f>
        <v>0.240539946907353</v>
      </c>
      <c r="N17" s="7" t="s">
        <v>740</v>
      </c>
    </row>
    <row r="18" customFormat="false" ht="17.15" hidden="false" customHeight="false" outlineLevel="0" collapsed="false">
      <c r="A18" s="0" t="s">
        <v>741</v>
      </c>
      <c r="B18" s="0" t="s">
        <v>99</v>
      </c>
      <c r="C18" s="19" t="n">
        <f aca="false">(Q!L19+Q!L43*sh1_cloud-E41)/(Q!L11-E38)</f>
        <v>0.282103618960814</v>
      </c>
      <c r="N18" s="7" t="s">
        <v>742</v>
      </c>
    </row>
    <row r="19" customFormat="false" ht="17.15" hidden="false" customHeight="false" outlineLevel="0" collapsed="false">
      <c r="A19" s="0" t="s">
        <v>743</v>
      </c>
      <c r="B19" s="0" t="s">
        <v>99</v>
      </c>
      <c r="C19" s="19" t="n">
        <f aca="false">IF(mb_ttm=1,m_co_ttm,m_co_1h)</f>
        <v>0.282103618960814</v>
      </c>
      <c r="N19" s="4" t="s">
        <v>744</v>
      </c>
    </row>
    <row r="21" customFormat="false" ht="17.15" hidden="false" customHeight="false" outlineLevel="0" collapsed="false">
      <c r="A21" s="5" t="s">
        <v>745</v>
      </c>
    </row>
    <row r="22" customFormat="false" ht="15" hidden="false" customHeight="false" outlineLevel="0" collapsed="false">
      <c r="A22" s="3" t="s">
        <v>43</v>
      </c>
      <c r="B22" s="3" t="s">
        <v>44</v>
      </c>
      <c r="C22" s="14" t="s">
        <v>746</v>
      </c>
      <c r="D22" s="14" t="s">
        <v>747</v>
      </c>
      <c r="E22" s="14" t="s">
        <v>748</v>
      </c>
      <c r="F22" s="14" t="s">
        <v>749</v>
      </c>
      <c r="G22" s="14" t="s">
        <v>750</v>
      </c>
      <c r="H22" s="14" t="s">
        <v>751</v>
      </c>
      <c r="I22" s="14" t="s">
        <v>752</v>
      </c>
      <c r="J22" s="14" t="s">
        <v>753</v>
      </c>
      <c r="K22" s="14" t="s">
        <v>754</v>
      </c>
      <c r="L22" s="14" t="s">
        <v>755</v>
      </c>
      <c r="M22" s="14" t="s">
        <v>756</v>
      </c>
      <c r="N22" s="3" t="s">
        <v>50</v>
      </c>
    </row>
    <row r="23" customFormat="false" ht="17.15" hidden="false" customHeight="false" outlineLevel="0" collapsed="false">
      <c r="A23" s="4" t="s">
        <v>757</v>
      </c>
      <c r="B23" s="0" t="s">
        <v>227</v>
      </c>
      <c r="E23" s="20" t="n">
        <f aca="false">mw_tot0*mix0_h</f>
        <v>1584.25</v>
      </c>
      <c r="F23" s="20" t="n">
        <f aca="false">E23+pace*0.5*0</f>
        <v>1584.25</v>
      </c>
      <c r="G23" s="20" t="n">
        <f aca="false">F23</f>
        <v>1584.25</v>
      </c>
      <c r="H23" s="20" t="n">
        <f aca="false">F23+pace*1*0</f>
        <v>1584.25</v>
      </c>
      <c r="I23" s="20" t="n">
        <f aca="false">H23+pace*1*0</f>
        <v>1584.25</v>
      </c>
      <c r="J23" s="20" t="n">
        <f aca="false">I23+pace*1*0</f>
        <v>1584.25</v>
      </c>
      <c r="K23" s="20" t="n">
        <f aca="false">J23+pace*1*0</f>
        <v>1584.25</v>
      </c>
      <c r="L23" s="20" t="n">
        <f aca="false">K23+pace*1*0</f>
        <v>1584.25</v>
      </c>
      <c r="M23" s="20" t="n">
        <f aca="false">L23+pace*1*0</f>
        <v>1584.25</v>
      </c>
      <c r="N23" s="4" t="s">
        <v>758</v>
      </c>
    </row>
    <row r="24" customFormat="false" ht="17.15" hidden="false" customHeight="false" outlineLevel="0" collapsed="false">
      <c r="A24" s="4" t="s">
        <v>759</v>
      </c>
      <c r="B24" s="0" t="s">
        <v>227</v>
      </c>
      <c r="E24" s="20" t="n">
        <f aca="false">mw_tot0*mix0_b2</f>
        <v>2851.65</v>
      </c>
      <c r="F24" s="20" t="n">
        <f aca="false">E24+pace*0.5*0</f>
        <v>2851.65</v>
      </c>
      <c r="G24" s="20" t="n">
        <f aca="false">F24</f>
        <v>2851.65</v>
      </c>
      <c r="H24" s="20" t="n">
        <f aca="false">F24+pace*1*0</f>
        <v>2851.65</v>
      </c>
      <c r="I24" s="20" t="n">
        <f aca="false">H24+pace*1*0</f>
        <v>2851.65</v>
      </c>
      <c r="J24" s="20" t="n">
        <f aca="false">I24+pace*1*0</f>
        <v>2851.65</v>
      </c>
      <c r="K24" s="20" t="n">
        <f aca="false">J24+pace*1*0</f>
        <v>2851.65</v>
      </c>
      <c r="L24" s="20" t="n">
        <f aca="false">K24+pace*1*0</f>
        <v>2851.65</v>
      </c>
      <c r="M24" s="20" t="n">
        <f aca="false">L24+pace*1*0</f>
        <v>2851.65</v>
      </c>
    </row>
    <row r="25" customFormat="false" ht="17.15" hidden="false" customHeight="false" outlineLevel="0" collapsed="false">
      <c r="A25" s="4" t="s">
        <v>760</v>
      </c>
      <c r="B25" s="0" t="s">
        <v>227</v>
      </c>
      <c r="E25" s="20" t="n">
        <f aca="false">mw_tot0*mix0_b3</f>
        <v>1901.1</v>
      </c>
      <c r="F25" s="20" t="n">
        <f aca="false">E25+pace*0.5*1</f>
        <v>3980.935</v>
      </c>
      <c r="G25" s="20" t="n">
        <f aca="false">F25</f>
        <v>3980.935</v>
      </c>
      <c r="H25" s="20" t="n">
        <f aca="false">F25+pace*1*am_27</f>
        <v>6060.77</v>
      </c>
      <c r="I25" s="20" t="n">
        <f aca="false">H25+pace*1*0</f>
        <v>6060.77</v>
      </c>
      <c r="J25" s="20" t="n">
        <f aca="false">I25+pace*1*0</f>
        <v>6060.77</v>
      </c>
      <c r="K25" s="20" t="n">
        <f aca="false">J25+pace*1*0</f>
        <v>6060.77</v>
      </c>
      <c r="L25" s="20" t="n">
        <f aca="false">K25+pace*1*0</f>
        <v>6060.77</v>
      </c>
      <c r="M25" s="20" t="n">
        <f aca="false">L25+pace*1*0</f>
        <v>6060.77</v>
      </c>
    </row>
    <row r="26" customFormat="false" ht="17.15" hidden="false" customHeight="false" outlineLevel="0" collapsed="false">
      <c r="A26" s="4" t="s">
        <v>761</v>
      </c>
      <c r="B26" s="0" t="s">
        <v>227</v>
      </c>
      <c r="E26" s="20" t="n">
        <f aca="false">mw_tot0*0</f>
        <v>0</v>
      </c>
      <c r="F26" s="20" t="n">
        <f aca="false">E26+pace*0.5*0</f>
        <v>0</v>
      </c>
      <c r="G26" s="20" t="n">
        <f aca="false">F26</f>
        <v>0</v>
      </c>
      <c r="H26" s="20" t="n">
        <f aca="false">F26+pace*1*(1-am_27)</f>
        <v>2079.835</v>
      </c>
      <c r="I26" s="20" t="n">
        <f aca="false">H26+pace*1*1</f>
        <v>6239.505</v>
      </c>
      <c r="J26" s="20" t="n">
        <f aca="false">I26+pace*1*1</f>
        <v>10399.175</v>
      </c>
      <c r="K26" s="20" t="n">
        <f aca="false">J26+pace*1*1</f>
        <v>14558.845</v>
      </c>
      <c r="L26" s="20" t="n">
        <f aca="false">K26+pace*1*1</f>
        <v>18718.515</v>
      </c>
      <c r="M26" s="20" t="n">
        <f aca="false">L26+pace*1*1</f>
        <v>22878.185</v>
      </c>
    </row>
    <row r="27" customFormat="false" ht="17.15" hidden="false" customHeight="false" outlineLevel="0" collapsed="false">
      <c r="A27" s="4" t="s">
        <v>762</v>
      </c>
      <c r="B27" s="0" t="s">
        <v>227</v>
      </c>
      <c r="E27" s="20" t="n">
        <f aca="false">E23+E24+E25+E26</f>
        <v>6337</v>
      </c>
      <c r="F27" s="20" t="n">
        <f aca="false">F23+F24+F25+F26</f>
        <v>8416.835</v>
      </c>
      <c r="G27" s="20" t="n">
        <f aca="false">G23+G24+G25+G26</f>
        <v>8416.835</v>
      </c>
      <c r="H27" s="20" t="n">
        <f aca="false">H23+H24+H25+H26</f>
        <v>12576.505</v>
      </c>
      <c r="I27" s="20" t="n">
        <f aca="false">I23+I24+I25+I26</f>
        <v>16736.175</v>
      </c>
      <c r="J27" s="20" t="n">
        <f aca="false">J23+J24+J25+J26</f>
        <v>20895.845</v>
      </c>
      <c r="K27" s="20" t="n">
        <f aca="false">K23+K24+K25+K26</f>
        <v>25055.515</v>
      </c>
      <c r="L27" s="20" t="n">
        <f aca="false">L23+L24+L25+L26</f>
        <v>29215.185</v>
      </c>
      <c r="M27" s="20" t="n">
        <f aca="false">M23+M24+M25+M26</f>
        <v>33374.855</v>
      </c>
    </row>
    <row r="28" customFormat="false" ht="17.15" hidden="false" customHeight="false" outlineLevel="0" collapsed="false">
      <c r="A28" s="4" t="s">
        <v>763</v>
      </c>
      <c r="B28" s="0" t="s">
        <v>227</v>
      </c>
      <c r="E28" s="20" t="n">
        <f aca="false">E27*ext_sh</f>
        <v>1901.1</v>
      </c>
      <c r="F28" s="20" t="n">
        <f aca="false">F27*ext_sh</f>
        <v>2525.0505</v>
      </c>
      <c r="G28" s="20" t="n">
        <f aca="false">G27*ext_sh</f>
        <v>2525.0505</v>
      </c>
      <c r="H28" s="20" t="n">
        <f aca="false">H27*ext_sh</f>
        <v>3772.9515</v>
      </c>
      <c r="I28" s="20" t="n">
        <f aca="false">I27*ext_sh</f>
        <v>5020.8525</v>
      </c>
      <c r="J28" s="20" t="n">
        <f aca="false">J27*ext_sh</f>
        <v>6268.7535</v>
      </c>
      <c r="K28" s="20" t="n">
        <f aca="false">K27*ext_sh</f>
        <v>7516.6545</v>
      </c>
      <c r="L28" s="20" t="n">
        <f aca="false">L27*ext_sh</f>
        <v>8764.5555</v>
      </c>
      <c r="M28" s="20" t="n">
        <f aca="false">M27*ext_sh</f>
        <v>10012.4565</v>
      </c>
      <c r="N28" s="4" t="s">
        <v>764</v>
      </c>
    </row>
    <row r="29" customFormat="false" ht="17.15" hidden="false" customHeight="false" outlineLevel="0" collapsed="false">
      <c r="A29" s="4" t="s">
        <v>765</v>
      </c>
      <c r="B29" s="0" t="s">
        <v>227</v>
      </c>
      <c r="E29" s="20" t="n">
        <f aca="false">(mw_ye25+mw_tot0)/2*mix0_h</f>
        <v>1401.25</v>
      </c>
      <c r="F29" s="20" t="n">
        <f aca="false">(E23+F23)/2</f>
        <v>1584.25</v>
      </c>
      <c r="G29" s="20" t="n">
        <f aca="false">(E29+F29)/2</f>
        <v>1492.75</v>
      </c>
      <c r="H29" s="20" t="n">
        <f aca="false">(F23+H23)/2</f>
        <v>1584.25</v>
      </c>
      <c r="I29" s="20" t="n">
        <f aca="false">(H23+I23)/2</f>
        <v>1584.25</v>
      </c>
      <c r="J29" s="20" t="n">
        <f aca="false">(I23+J23)/2</f>
        <v>1584.25</v>
      </c>
      <c r="K29" s="20" t="n">
        <f aca="false">(J23+K23)/2</f>
        <v>1584.25</v>
      </c>
      <c r="L29" s="20" t="n">
        <f aca="false">(K23+L23)/2</f>
        <v>1584.25</v>
      </c>
      <c r="M29" s="20" t="n">
        <f aca="false">(L23+M23)/2</f>
        <v>1584.25</v>
      </c>
    </row>
    <row r="30" customFormat="false" ht="17.15" hidden="false" customHeight="false" outlineLevel="0" collapsed="false">
      <c r="A30" s="4" t="s">
        <v>766</v>
      </c>
      <c r="B30" s="0" t="s">
        <v>227</v>
      </c>
      <c r="E30" s="20" t="n">
        <f aca="false">(mw_ye25+mw_tot0)/2*mix0_b2</f>
        <v>2522.25</v>
      </c>
      <c r="F30" s="20" t="n">
        <f aca="false">(E24+F24)/2</f>
        <v>2851.65</v>
      </c>
      <c r="G30" s="20" t="n">
        <f aca="false">(E30+F30)/2</f>
        <v>2686.95</v>
      </c>
      <c r="H30" s="20" t="n">
        <f aca="false">(F24+H24)/2</f>
        <v>2851.65</v>
      </c>
      <c r="I30" s="20" t="n">
        <f aca="false">(H24+I24)/2</f>
        <v>2851.65</v>
      </c>
      <c r="J30" s="20" t="n">
        <f aca="false">(I24+J24)/2</f>
        <v>2851.65</v>
      </c>
      <c r="K30" s="20" t="n">
        <f aca="false">(J24+K24)/2</f>
        <v>2851.65</v>
      </c>
      <c r="L30" s="20" t="n">
        <f aca="false">(K24+L24)/2</f>
        <v>2851.65</v>
      </c>
      <c r="M30" s="20" t="n">
        <f aca="false">(L24+M24)/2</f>
        <v>2851.65</v>
      </c>
    </row>
    <row r="31" customFormat="false" ht="17.15" hidden="false" customHeight="false" outlineLevel="0" collapsed="false">
      <c r="A31" s="4" t="s">
        <v>767</v>
      </c>
      <c r="B31" s="0" t="s">
        <v>227</v>
      </c>
      <c r="E31" s="20" t="n">
        <f aca="false">(mw_ye25+mw_tot0)/2*mix0_b3</f>
        <v>1681.5</v>
      </c>
      <c r="F31" s="20" t="n">
        <f aca="false">(E25+F25)/2</f>
        <v>2941.0175</v>
      </c>
      <c r="G31" s="20" t="n">
        <f aca="false">(E31+F31)/2</f>
        <v>2311.25875</v>
      </c>
      <c r="H31" s="20" t="n">
        <f aca="false">(F25+H25)/2</f>
        <v>5020.8525</v>
      </c>
      <c r="I31" s="20" t="n">
        <f aca="false">(H25+I25)/2</f>
        <v>6060.77</v>
      </c>
      <c r="J31" s="20" t="n">
        <f aca="false">(I25+J25)/2</f>
        <v>6060.77</v>
      </c>
      <c r="K31" s="20" t="n">
        <f aca="false">(J25+K25)/2</f>
        <v>6060.77</v>
      </c>
      <c r="L31" s="20" t="n">
        <f aca="false">(K25+L25)/2</f>
        <v>6060.77</v>
      </c>
      <c r="M31" s="20" t="n">
        <f aca="false">(L25+M25)/2</f>
        <v>6060.77</v>
      </c>
    </row>
    <row r="32" customFormat="false" ht="17.15" hidden="false" customHeight="false" outlineLevel="0" collapsed="false">
      <c r="A32" s="4" t="s">
        <v>768</v>
      </c>
      <c r="B32" s="0" t="s">
        <v>227</v>
      </c>
      <c r="E32" s="20" t="n">
        <f aca="false">(mw_ye25+mw_tot0)/2*0</f>
        <v>0</v>
      </c>
      <c r="F32" s="20" t="n">
        <f aca="false">(E26+F26)/2</f>
        <v>0</v>
      </c>
      <c r="G32" s="20" t="n">
        <f aca="false">(E32+F32)/2</f>
        <v>0</v>
      </c>
      <c r="H32" s="20" t="n">
        <f aca="false">(F26+H26)/2</f>
        <v>1039.9175</v>
      </c>
      <c r="I32" s="20" t="n">
        <f aca="false">(H26+I26)/2</f>
        <v>4159.67</v>
      </c>
      <c r="J32" s="20" t="n">
        <f aca="false">(I26+J26)/2</f>
        <v>8319.34</v>
      </c>
      <c r="K32" s="20" t="n">
        <f aca="false">(J26+K26)/2</f>
        <v>12479.01</v>
      </c>
      <c r="L32" s="20" t="n">
        <f aca="false">(K26+L26)/2</f>
        <v>16638.68</v>
      </c>
      <c r="M32" s="20" t="n">
        <f aca="false">(L26+M26)/2</f>
        <v>20798.35</v>
      </c>
    </row>
    <row r="33" customFormat="false" ht="17.15" hidden="false" customHeight="false" outlineLevel="0" collapsed="false">
      <c r="A33" s="4" t="s">
        <v>769</v>
      </c>
      <c r="B33" s="0" t="s">
        <v>227</v>
      </c>
      <c r="E33" s="20" t="n">
        <f aca="false">E29+E30+E31+E32</f>
        <v>5605</v>
      </c>
      <c r="F33" s="20" t="n">
        <f aca="false">F29+F30+F31+F32</f>
        <v>7376.9175</v>
      </c>
      <c r="G33" s="20" t="n">
        <f aca="false">G29+G30+G31+G32</f>
        <v>6490.95875</v>
      </c>
      <c r="H33" s="20" t="n">
        <f aca="false">H29+H30+H31+H32</f>
        <v>10496.67</v>
      </c>
      <c r="I33" s="20" t="n">
        <f aca="false">I29+I30+I31+I32</f>
        <v>14656.34</v>
      </c>
      <c r="J33" s="20" t="n">
        <f aca="false">J29+J30+J31+J32</f>
        <v>18816.01</v>
      </c>
      <c r="K33" s="20" t="n">
        <f aca="false">K29+K30+K31+K32</f>
        <v>22975.68</v>
      </c>
      <c r="L33" s="20" t="n">
        <f aca="false">L29+L30+L31+L32</f>
        <v>27135.35</v>
      </c>
      <c r="M33" s="20" t="n">
        <f aca="false">M29+M30+M31+M32</f>
        <v>31295.02</v>
      </c>
    </row>
    <row r="34" customFormat="false" ht="17.15" hidden="false" customHeight="false" outlineLevel="0" collapsed="false">
      <c r="A34" s="4" t="s">
        <v>770</v>
      </c>
      <c r="B34" s="0" t="s">
        <v>227</v>
      </c>
      <c r="E34" s="20" t="n">
        <f aca="false">E33*ext_sh</f>
        <v>1681.5</v>
      </c>
      <c r="F34" s="20" t="n">
        <f aca="false">F33*ext_sh</f>
        <v>2213.07525</v>
      </c>
      <c r="G34" s="20" t="n">
        <f aca="false">G33*ext_sh</f>
        <v>1947.287625</v>
      </c>
      <c r="H34" s="20" t="n">
        <f aca="false">H33*ext_sh</f>
        <v>3149.001</v>
      </c>
      <c r="I34" s="20" t="n">
        <f aca="false">I33*ext_sh</f>
        <v>4396.902</v>
      </c>
      <c r="J34" s="20" t="n">
        <f aca="false">J33*ext_sh</f>
        <v>5644.803</v>
      </c>
      <c r="K34" s="20" t="n">
        <f aca="false">K33*ext_sh</f>
        <v>6892.704</v>
      </c>
      <c r="L34" s="20" t="n">
        <f aca="false">L33*ext_sh</f>
        <v>8140.605</v>
      </c>
      <c r="M34" s="20" t="n">
        <f aca="false">M33*ext_sh</f>
        <v>9388.506</v>
      </c>
    </row>
    <row r="35" customFormat="false" ht="17.15" hidden="false" customHeight="false" outlineLevel="0" collapsed="false">
      <c r="A35" s="0" t="s">
        <v>771</v>
      </c>
      <c r="B35" s="0" t="s">
        <v>227</v>
      </c>
      <c r="F35" s="20" t="n">
        <f aca="false">pace*0.5</f>
        <v>2079.835</v>
      </c>
      <c r="G35" s="20" t="n">
        <f aca="false">F35</f>
        <v>2079.835</v>
      </c>
      <c r="H35" s="20" t="n">
        <f aca="false">pace*1</f>
        <v>4159.67</v>
      </c>
      <c r="I35" s="20" t="n">
        <f aca="false">pace*1</f>
        <v>4159.67</v>
      </c>
      <c r="J35" s="20" t="n">
        <f aca="false">pace*1</f>
        <v>4159.67</v>
      </c>
      <c r="K35" s="20" t="n">
        <f aca="false">pace*1</f>
        <v>4159.67</v>
      </c>
      <c r="L35" s="20" t="n">
        <f aca="false">pace*1</f>
        <v>4159.67</v>
      </c>
      <c r="M35" s="20" t="n">
        <f aca="false">pace*1</f>
        <v>4159.67</v>
      </c>
      <c r="N35" s="4" t="s">
        <v>772</v>
      </c>
    </row>
    <row r="37" customFormat="false" ht="17.15" hidden="false" customHeight="false" outlineLevel="0" collapsed="false">
      <c r="A37" s="5" t="s">
        <v>773</v>
      </c>
    </row>
    <row r="38" customFormat="false" ht="17.15" hidden="false" customHeight="false" outlineLevel="0" collapsed="false">
      <c r="A38" s="0" t="s">
        <v>774</v>
      </c>
      <c r="B38" s="0" t="s">
        <v>76</v>
      </c>
      <c r="E38" s="21" t="n">
        <f aca="false">ext_sh*k_blend*tpu_adj*(E29*he_h+E30*he_b2+E31*he_b3+E32*he_vr)/1000*0.5</f>
        <v>9.75837289307536</v>
      </c>
      <c r="F38" s="21" t="n">
        <f aca="false">ext_sh*k_blend*tpu_adj*(F29*he_h+F30*he_b2+F31*he_b3+F32*he_vr)/1000*0.5</f>
        <v>13.072238179387</v>
      </c>
      <c r="G38" s="21" t="n">
        <f aca="false">E38+F38</f>
        <v>22.8306110724624</v>
      </c>
      <c r="H38" s="21" t="n">
        <f aca="false">ext_sh*k_blend*tpu_adj*(H29*he_h+H30*he_b2+H31*he_b3+H32*he_vr)/1000*1</f>
        <v>38.882857987105</v>
      </c>
      <c r="I38" s="21" t="n">
        <f aca="false">ext_sh*k_blend*tpu_adj*(I29*he_h+I30*he_b2+I31*he_b3+I32*he_vr)/1000*1</f>
        <v>56.7035586757632</v>
      </c>
      <c r="J38" s="21" t="n">
        <f aca="false">ext_sh*k_blend*tpu_adj*(J29*he_h+J30*he_b2+J31*he_b3+J32*he_vr)/1000*1</f>
        <v>75.0259744749515</v>
      </c>
      <c r="K38" s="21" t="n">
        <f aca="false">ext_sh*k_blend*tpu_adj*(K29*he_h+K30*he_b2+K31*he_b3+K32*he_vr)/1000*1</f>
        <v>93.3483902741398</v>
      </c>
      <c r="L38" s="21" t="n">
        <f aca="false">ext_sh*k_blend*tpu_adj*(L29*he_h+L30*he_b2+L31*he_b3+L32*he_vr)/1000*1</f>
        <v>111.670806073328</v>
      </c>
      <c r="M38" s="21" t="n">
        <f aca="false">ext_sh*k_blend*tpu_adj*(M29*he_h+M30*he_b2+M31*he_b3+M32*he_vr)/1000*1</f>
        <v>129.993221872516</v>
      </c>
      <c r="N38" s="4" t="s">
        <v>775</v>
      </c>
    </row>
    <row r="39" customFormat="false" ht="17.15" hidden="false" customHeight="false" outlineLevel="0" collapsed="false">
      <c r="A39" s="4" t="s">
        <v>776</v>
      </c>
      <c r="B39" s="0" t="s">
        <v>275</v>
      </c>
      <c r="E39" s="18" t="n">
        <f aca="false">E38/(E34*0.5)*1000</f>
        <v>11.6067474196555</v>
      </c>
      <c r="F39" s="18" t="n">
        <f aca="false">F38/(F34*0.5)*1000</f>
        <v>11.8136409318996</v>
      </c>
      <c r="H39" s="18" t="n">
        <f aca="false">H38/(H34*1)*1000</f>
        <v>12.347680418998</v>
      </c>
      <c r="I39" s="18" t="n">
        <f aca="false">I38/(I34*1)*1000</f>
        <v>12.896252560499</v>
      </c>
      <c r="J39" s="18" t="n">
        <f aca="false">J38/(J34*1)*1000</f>
        <v>13.2911590492975</v>
      </c>
      <c r="K39" s="18" t="n">
        <f aca="false">K38/(K34*1)*1000</f>
        <v>13.5430725407822</v>
      </c>
      <c r="L39" s="18" t="n">
        <f aca="false">L38/(L34*1)*1000</f>
        <v>13.7177526821813</v>
      </c>
      <c r="M39" s="18" t="n">
        <f aca="false">M38/(M34*1)*1000</f>
        <v>13.8459965699033</v>
      </c>
    </row>
    <row r="40" customFormat="false" ht="17.15" hidden="false" customHeight="false" outlineLevel="0" collapsed="false">
      <c r="A40" s="0" t="s">
        <v>777</v>
      </c>
      <c r="B40" s="0" t="s">
        <v>76</v>
      </c>
      <c r="E40" s="21" t="n">
        <f aca="false">ext_sh*(E29*opx_h+E30*opx_b2+E31*opx_b3+E32*opx_vr)/1000*0.5</f>
        <v>1.5818392155222</v>
      </c>
      <c r="F40" s="21" t="n">
        <f aca="false">ext_sh*(F29*opx_h+F30*opx_b2+F31*opx_b3+F32*opx_vr)/1000*0.5</f>
        <v>2.09769024396315</v>
      </c>
      <c r="G40" s="21" t="n">
        <f aca="false">E40+F40</f>
        <v>3.67952945948534</v>
      </c>
      <c r="H40" s="21" t="n">
        <f aca="false">ext_sh*(H29*opx_h+H30*opx_b2+H31*opx_b3+H32*opx_vr)/1000*1</f>
        <v>6.08556526796441</v>
      </c>
      <c r="I40" s="21" t="n">
        <f aca="false">ext_sh*(I29*opx_h+I30*opx_b2+I31*opx_b3+I32*opx_vr)/1000*1</f>
        <v>8.66345465063136</v>
      </c>
      <c r="J40" s="21" t="n">
        <f aca="false">ext_sh*(J29*opx_h+J30*opx_b2+J31*opx_b3+J32*opx_vr)/1000*1</f>
        <v>11.275929838868</v>
      </c>
      <c r="K40" s="21" t="n">
        <f aca="false">ext_sh*(K29*opx_h+K30*opx_b2+K31*opx_b3+K32*opx_vr)/1000*1</f>
        <v>13.8884050271046</v>
      </c>
      <c r="L40" s="21" t="n">
        <f aca="false">ext_sh*(L29*opx_h+L30*opx_b2+L31*opx_b3+L32*opx_vr)/1000*1</f>
        <v>16.5008802153412</v>
      </c>
      <c r="M40" s="21" t="n">
        <f aca="false">ext_sh*(M29*opx_h+M30*opx_b2+M31*opx_b3+M32*opx_vr)/1000*1</f>
        <v>19.1133554035779</v>
      </c>
    </row>
    <row r="41" customFormat="false" ht="15" hidden="false" customHeight="false" outlineLevel="0" collapsed="false">
      <c r="A41" s="0" t="s">
        <v>778</v>
      </c>
      <c r="B41" s="0" t="s">
        <v>76</v>
      </c>
      <c r="E41" s="21" t="n">
        <f aca="false">E38-E40</f>
        <v>8.17653367755316</v>
      </c>
      <c r="F41" s="21" t="n">
        <f aca="false">F38-F40</f>
        <v>10.9745479354239</v>
      </c>
      <c r="G41" s="21" t="n">
        <f aca="false">G38-G40</f>
        <v>19.151081612977</v>
      </c>
      <c r="H41" s="21" t="n">
        <f aca="false">H38-H40</f>
        <v>32.7972927191406</v>
      </c>
      <c r="I41" s="21" t="n">
        <f aca="false">I38-I40</f>
        <v>48.0401040251318</v>
      </c>
      <c r="J41" s="21" t="n">
        <f aca="false">J38-J40</f>
        <v>63.7500446360835</v>
      </c>
      <c r="K41" s="21" t="n">
        <f aca="false">K38-K40</f>
        <v>79.4599852470352</v>
      </c>
      <c r="L41" s="21" t="n">
        <f aca="false">L38-L40</f>
        <v>95.1699258579868</v>
      </c>
      <c r="M41" s="21" t="n">
        <f aca="false">M38-M40</f>
        <v>110.879866468939</v>
      </c>
    </row>
    <row r="42" customFormat="false" ht="17.15" hidden="false" customHeight="false" outlineLevel="0" collapsed="false">
      <c r="A42" s="0" t="s">
        <v>779</v>
      </c>
      <c r="B42" s="0" t="s">
        <v>99</v>
      </c>
      <c r="E42" s="19" t="n">
        <f aca="false">E41/E38</f>
        <v>0.837899285787215</v>
      </c>
      <c r="F42" s="19" t="n">
        <f aca="false">F41/F38</f>
        <v>0.839530903952554</v>
      </c>
      <c r="G42" s="19" t="n">
        <f aca="false">G41/G38</f>
        <v>0.838833509632886</v>
      </c>
      <c r="H42" s="19" t="n">
        <f aca="false">H41/H38</f>
        <v>0.843489764307382</v>
      </c>
      <c r="I42" s="19" t="n">
        <f aca="false">I41/I38</f>
        <v>0.847214974633781</v>
      </c>
      <c r="J42" s="19" t="n">
        <f aca="false">J41/J38</f>
        <v>0.849706319474296</v>
      </c>
      <c r="K42" s="19" t="n">
        <f aca="false">K41/K38</f>
        <v>0.851219662317497</v>
      </c>
      <c r="L42" s="19" t="n">
        <f aca="false">L41/L38</f>
        <v>0.852236400939866</v>
      </c>
      <c r="M42" s="19" t="n">
        <f aca="false">M41/M38</f>
        <v>0.852966522959772</v>
      </c>
    </row>
    <row r="43" customFormat="false" ht="17.15" hidden="false" customHeight="false" outlineLevel="0" collapsed="false">
      <c r="A43" s="4" t="s">
        <v>780</v>
      </c>
      <c r="B43" s="0" t="s">
        <v>99</v>
      </c>
      <c r="E43" s="19" t="n">
        <f aca="false">E39/((E29*cap_h+E30*cap_b2+E31*cap_b3+E32*cap_vr)/E33)</f>
        <v>0.405415752476763</v>
      </c>
      <c r="F43" s="19" t="n">
        <f aca="false">F39/((F29*cap_h+F30*cap_b2+F31*cap_b3+F32*cap_vr)/F33)</f>
        <v>0.390271467435243</v>
      </c>
      <c r="H43" s="19" t="n">
        <f aca="false">H39/((H29*cap_h+H30*cap_b2+H31*cap_b3+H32*cap_vr)/H33)</f>
        <v>0.344658808653896</v>
      </c>
      <c r="I43" s="19" t="n">
        <f aca="false">I39/((I29*cap_h+I30*cap_b2+I31*cap_b3+I32*cap_vr)/I33)</f>
        <v>0.30246186421215</v>
      </c>
      <c r="J43" s="19" t="n">
        <f aca="false">J39/((J29*cap_h+J30*cap_b2+J31*cap_b3+J32*cap_vr)/J33)</f>
        <v>0.277600434421725</v>
      </c>
      <c r="K43" s="19" t="n">
        <f aca="false">K39/((K29*cap_h+K30*cap_b2+K31*cap_b3+K32*cap_vr)/K33)</f>
        <v>0.264399068183</v>
      </c>
      <c r="L43" s="19" t="n">
        <f aca="false">L39/((L29*cap_h+L30*cap_b2+L31*cap_b3+L32*cap_vr)/L33)</f>
        <v>0.256213063268155</v>
      </c>
      <c r="M43" s="19" t="n">
        <f aca="false">M39/((M29*cap_h+M30*cap_b2+M31*cap_b3+M32*cap_vr)/M33)</f>
        <v>0.250640569708048</v>
      </c>
      <c r="N43" s="7" t="s">
        <v>781</v>
      </c>
    </row>
    <row r="45" customFormat="false" ht="17.15" hidden="false" customHeight="false" outlineLevel="0" collapsed="false">
      <c r="A45" s="5" t="s">
        <v>782</v>
      </c>
    </row>
    <row r="46" customFormat="false" ht="17.15" hidden="false" customHeight="false" outlineLevel="0" collapsed="false">
      <c r="A46" s="0" t="s">
        <v>783</v>
      </c>
      <c r="B46" s="0" t="s">
        <v>76</v>
      </c>
      <c r="F46" s="21" t="n">
        <f aca="false">F35*(0*cit_h+0*cit_b2+1*cit_b3+0*cit_vr)*tpu_adjc/1000</f>
        <v>67.04810677804</v>
      </c>
      <c r="G46" s="21" t="n">
        <f aca="false">F46</f>
        <v>67.04810677804</v>
      </c>
      <c r="H46" s="21" t="n">
        <f aca="false">H35*(0*cit_h+0*cit_b2+am_27*cit_b3+(1-am_27)*cit_vr)*tpu_adjc/1000</f>
        <v>145.22151718996</v>
      </c>
      <c r="I46" s="21" t="n">
        <f aca="false">I35*(0*cit_h+0*cit_b2+0*cit_b3+1*cit_vr)*tpu_adjc/1000</f>
        <v>156.34682082384</v>
      </c>
      <c r="J46" s="21" t="n">
        <f aca="false">J35*(0*cit_h+0*cit_b2+0*cit_b3+1*cit_vr)*tpu_adjc/1000</f>
        <v>156.34682082384</v>
      </c>
      <c r="K46" s="21" t="n">
        <f aca="false">K35*(0*cit_h+0*cit_b2+0*cit_b3+1*cit_vr)*tpu_adjc/1000</f>
        <v>156.34682082384</v>
      </c>
      <c r="L46" s="21" t="n">
        <f aca="false">L35*(0*cit_h+0*cit_b2+0*cit_b3+1*cit_vr)*tpu_adjc/1000</f>
        <v>156.34682082384</v>
      </c>
      <c r="M46" s="21" t="n">
        <f aca="false">M35*(0*cit_h+0*cit_b2+0*cit_b3+1*cit_vr)*tpu_adjc/1000</f>
        <v>156.34682082384</v>
      </c>
    </row>
    <row r="47" customFormat="false" ht="17.15" hidden="false" customHeight="false" outlineLevel="0" collapsed="false">
      <c r="A47" s="0" t="s">
        <v>784</v>
      </c>
      <c r="B47" s="0" t="s">
        <v>76</v>
      </c>
      <c r="F47" s="21" t="n">
        <f aca="false">F35*selfb*cfac/1000</f>
        <v>22.3987830325</v>
      </c>
      <c r="G47" s="21" t="n">
        <f aca="false">F47</f>
        <v>22.3987830325</v>
      </c>
      <c r="H47" s="21" t="n">
        <f aca="false">H35*selfb*cfac/1000</f>
        <v>44.797566065</v>
      </c>
      <c r="I47" s="21" t="n">
        <f aca="false">I35*selfb*cfac/1000</f>
        <v>44.797566065</v>
      </c>
      <c r="J47" s="21" t="n">
        <f aca="false">J35*selfb*cfac/1000</f>
        <v>44.797566065</v>
      </c>
      <c r="K47" s="21" t="n">
        <f aca="false">K35*selfb*cfac/1000</f>
        <v>44.797566065</v>
      </c>
      <c r="L47" s="21" t="n">
        <f aca="false">L35*selfb*cfac/1000</f>
        <v>44.797566065</v>
      </c>
      <c r="M47" s="21" t="n">
        <f aca="false">M35*selfb*cfac/1000</f>
        <v>44.797566065</v>
      </c>
    </row>
    <row r="48" customFormat="false" ht="17.15" hidden="false" customHeight="false" outlineLevel="0" collapsed="false">
      <c r="A48" s="4" t="s">
        <v>785</v>
      </c>
      <c r="B48" s="0" t="s">
        <v>227</v>
      </c>
      <c r="F48" s="22" t="n">
        <v>0</v>
      </c>
      <c r="G48" s="20" t="n">
        <f aca="false">F48</f>
        <v>0</v>
      </c>
      <c r="H48" s="22" t="n">
        <v>0</v>
      </c>
      <c r="I48" s="22" t="n">
        <v>0</v>
      </c>
      <c r="J48" s="20" t="n">
        <f aca="false">mw_ye23</f>
        <v>636.7</v>
      </c>
      <c r="K48" s="20" t="n">
        <f aca="false">mw_ye24-mw_ye23</f>
        <v>1506.6</v>
      </c>
      <c r="L48" s="20" t="n">
        <f aca="false">mw_ye25-mw_ye24</f>
        <v>2729.7</v>
      </c>
      <c r="M48" s="20" t="n">
        <f aca="false">mw_tot0-mw_ye25+F35</f>
        <v>3543.835</v>
      </c>
      <c r="N48" s="7" t="s">
        <v>786</v>
      </c>
    </row>
    <row r="49" customFormat="false" ht="17.15" hidden="false" customHeight="false" outlineLevel="0" collapsed="false">
      <c r="A49" s="0" t="s">
        <v>787</v>
      </c>
      <c r="B49" s="0" t="s">
        <v>76</v>
      </c>
      <c r="F49" s="21" t="n">
        <f aca="false">F48*cit_vr*tpu_adjc/1000</f>
        <v>0</v>
      </c>
      <c r="G49" s="21" t="n">
        <f aca="false">F49</f>
        <v>0</v>
      </c>
      <c r="H49" s="21" t="n">
        <f aca="false">H48*cit_vr*tpu_adjc/1000</f>
        <v>0</v>
      </c>
      <c r="I49" s="21" t="n">
        <f aca="false">I48*cit_vr*tpu_adjc/1000</f>
        <v>0</v>
      </c>
      <c r="J49" s="21" t="n">
        <f aca="false">J48*cit_vr*tpu_adjc/1000</f>
        <v>23.9312303184</v>
      </c>
      <c r="K49" s="21" t="n">
        <f aca="false">K48*cit_vr*tpu_adjc/1000</f>
        <v>56.6275979232</v>
      </c>
      <c r="L49" s="21" t="n">
        <f aca="false">L48*cit_vr*tpu_adjc/1000</f>
        <v>102.5994650544</v>
      </c>
      <c r="M49" s="21" t="n">
        <f aca="false">M48*cit_vr*tpu_adjc/1000</f>
        <v>133.19982973992</v>
      </c>
    </row>
    <row r="50" customFormat="false" ht="17.15" hidden="false" customHeight="false" outlineLevel="0" collapsed="false">
      <c r="A50" s="0" t="s">
        <v>788</v>
      </c>
      <c r="B50" s="0" t="s">
        <v>76</v>
      </c>
      <c r="F50" s="21" t="n">
        <f aca="false">F46+F47+F49</f>
        <v>89.44688981054</v>
      </c>
      <c r="G50" s="21" t="n">
        <f aca="false">G46+G47+G49</f>
        <v>89.44688981054</v>
      </c>
      <c r="H50" s="21" t="n">
        <f aca="false">H46+H47+H49</f>
        <v>190.01908325496</v>
      </c>
      <c r="I50" s="21" t="n">
        <f aca="false">I46+I47+I49</f>
        <v>201.14438688884</v>
      </c>
      <c r="J50" s="21" t="n">
        <f aca="false">J46+J47+J49</f>
        <v>225.07561720724</v>
      </c>
      <c r="K50" s="21" t="n">
        <f aca="false">K46+K47+K49</f>
        <v>257.77198481204</v>
      </c>
      <c r="L50" s="21" t="n">
        <f aca="false">L46+L47+L49</f>
        <v>303.74385194324</v>
      </c>
      <c r="M50" s="21" t="n">
        <f aca="false">M46+M47+M49</f>
        <v>334.34421662876</v>
      </c>
    </row>
    <row r="51" customFormat="false" ht="17.15" hidden="false" customHeight="false" outlineLevel="0" collapsed="false">
      <c r="A51" s="0" t="s">
        <v>789</v>
      </c>
      <c r="B51" s="0" t="s">
        <v>76</v>
      </c>
      <c r="F51" s="21" t="n">
        <f aca="false">MAX(0,capex_g-capex_1h-(F50+Seg!F70))</f>
        <v>8.83591030655329</v>
      </c>
      <c r="G51" s="21" t="n">
        <f aca="false">F51</f>
        <v>8.83591030655329</v>
      </c>
      <c r="N51" s="7" t="s">
        <v>790</v>
      </c>
    </row>
    <row r="52" customFormat="false" ht="17.15" hidden="false" customHeight="false" outlineLevel="0" collapsed="false">
      <c r="A52" s="5" t="s">
        <v>791</v>
      </c>
      <c r="B52" s="7" t="s">
        <v>76</v>
      </c>
      <c r="F52" s="21" t="n">
        <f aca="false">F50+F51</f>
        <v>98.2828001170933</v>
      </c>
      <c r="G52" s="21" t="n">
        <f aca="false">F52</f>
        <v>98.2828001170933</v>
      </c>
      <c r="H52" s="21" t="n">
        <f aca="false">H50</f>
        <v>190.01908325496</v>
      </c>
      <c r="I52" s="21" t="n">
        <f aca="false">I50</f>
        <v>201.14438688884</v>
      </c>
      <c r="J52" s="21" t="n">
        <f aca="false">J50</f>
        <v>225.07561720724</v>
      </c>
      <c r="K52" s="21" t="n">
        <f aca="false">K50</f>
        <v>257.77198481204</v>
      </c>
      <c r="L52" s="21" t="n">
        <f aca="false">L50</f>
        <v>303.74385194324</v>
      </c>
      <c r="M52" s="21" t="n">
        <f aca="false">M50</f>
        <v>334.34421662876</v>
      </c>
    </row>
    <row r="53" customFormat="false" ht="17.15" hidden="false" customHeight="false" outlineLevel="0" collapsed="false">
      <c r="A53" s="0" t="s">
        <v>792</v>
      </c>
      <c r="B53" s="0" t="s">
        <v>119</v>
      </c>
      <c r="F53" s="18" t="n">
        <f aca="false">F38/F52</f>
        <v>0.133006366971768</v>
      </c>
      <c r="H53" s="18" t="n">
        <f aca="false">H38/H52</f>
        <v>0.204626068714022</v>
      </c>
      <c r="I53" s="18" t="n">
        <f aca="false">I38/I52</f>
        <v>0.281904752863423</v>
      </c>
      <c r="J53" s="18" t="n">
        <f aca="false">J38/J52</f>
        <v>0.333336748804162</v>
      </c>
      <c r="K53" s="18" t="n">
        <f aca="false">K38/K52</f>
        <v>0.362135514230558</v>
      </c>
      <c r="L53" s="18" t="n">
        <f aca="false">L38/L52</f>
        <v>0.367647955206006</v>
      </c>
      <c r="M53" s="18" t="n">
        <f aca="false">M38/M52</f>
        <v>0.388800569614323</v>
      </c>
    </row>
    <row r="55" customFormat="false" ht="17.15" hidden="false" customHeight="false" outlineLevel="0" collapsed="false">
      <c r="A55" s="5" t="s">
        <v>793</v>
      </c>
    </row>
    <row r="56" customFormat="false" ht="17.15" hidden="false" customHeight="false" outlineLevel="0" collapsed="false">
      <c r="A56" s="4" t="s">
        <v>794</v>
      </c>
    </row>
    <row r="57" customFormat="false" ht="17.15" hidden="false" customHeight="false" outlineLevel="0" collapsed="false">
      <c r="A57" s="4" t="s">
        <v>795</v>
      </c>
      <c r="B57" s="0" t="s">
        <v>76</v>
      </c>
      <c r="F57" s="21" t="n">
        <f aca="false">cip_0*cip_it</f>
        <v>73.6884</v>
      </c>
    </row>
    <row r="58" customFormat="false" ht="17.15" hidden="false" customHeight="false" outlineLevel="0" collapsed="false">
      <c r="A58" s="4" t="s">
        <v>796</v>
      </c>
      <c r="B58" s="0" t="s">
        <v>76</v>
      </c>
      <c r="F58" s="21" t="n">
        <f aca="false">cip_0*(1-cip_it)</f>
        <v>49.1256</v>
      </c>
    </row>
    <row r="59" customFormat="false" ht="17.15" hidden="false" customHeight="false" outlineLevel="0" collapsed="false">
      <c r="A59" s="0" t="s">
        <v>797</v>
      </c>
      <c r="B59" s="0" t="s">
        <v>76</v>
      </c>
      <c r="F59" s="21" t="n">
        <f aca="false">F46+F49+F51</f>
        <v>75.8840170845933</v>
      </c>
      <c r="H59" s="21" t="n">
        <f aca="false">H46+H49</f>
        <v>145.22151718996</v>
      </c>
      <c r="I59" s="21" t="n">
        <f aca="false">I46+I49</f>
        <v>156.34682082384</v>
      </c>
      <c r="J59" s="21" t="n">
        <f aca="false">J46+J49</f>
        <v>180.27805114224</v>
      </c>
      <c r="K59" s="21" t="n">
        <f aca="false">K46+K49</f>
        <v>212.97441874704</v>
      </c>
      <c r="L59" s="21" t="n">
        <f aca="false">L46+L49</f>
        <v>258.94628587824</v>
      </c>
      <c r="M59" s="21" t="n">
        <f aca="false">M46+M49</f>
        <v>289.54665056376</v>
      </c>
    </row>
    <row r="60" customFormat="false" ht="15" hidden="false" customHeight="false" outlineLevel="0" collapsed="false">
      <c r="A60" s="4" t="s">
        <v>798</v>
      </c>
      <c r="B60" s="0" t="s">
        <v>76</v>
      </c>
      <c r="F60" s="21" t="n">
        <f aca="false">F47</f>
        <v>22.3987830325</v>
      </c>
      <c r="H60" s="21" t="n">
        <f aca="false">H47</f>
        <v>44.797566065</v>
      </c>
      <c r="I60" s="21" t="n">
        <f aca="false">I47</f>
        <v>44.797566065</v>
      </c>
      <c r="J60" s="21" t="n">
        <f aca="false">J47</f>
        <v>44.797566065</v>
      </c>
      <c r="K60" s="21" t="n">
        <f aca="false">K47</f>
        <v>44.797566065</v>
      </c>
      <c r="L60" s="21" t="n">
        <f aca="false">L47</f>
        <v>44.797566065</v>
      </c>
      <c r="M60" s="21" t="n">
        <f aca="false">M47</f>
        <v>44.797566065</v>
      </c>
    </row>
    <row r="61" customFormat="false" ht="17.15" hidden="false" customHeight="false" outlineLevel="0" collapsed="false">
      <c r="A61" s="4" t="s">
        <v>799</v>
      </c>
      <c r="B61" s="0" t="s">
        <v>76</v>
      </c>
      <c r="F61" s="21" t="n">
        <f aca="false">$F$57/life_it*IF(0=0,phi_0,IF(0&lt;life_it,1,IF(0=life_it,1-phi_0,0)))+$F$59/life_it*IF(0=0,phi_0,IF(0&lt;life_it,1,IF(0=life_it,1-phi_0,0)))</f>
        <v>6.23218404519139</v>
      </c>
      <c r="G61" s="21" t="n">
        <f aca="false">F61</f>
        <v>6.23218404519139</v>
      </c>
      <c r="H61" s="21" t="n">
        <f aca="false">$F$57/life_it*IF(1=0,phi_0,IF(1&lt;life_it,1,IF(1=life_it,1-phi_0,0)))+$F$59/life_it*IF(1=0,phi_0,IF(1&lt;life_it,1,IF(1=life_it,1-phi_0,0)))+$H$59/life_it*IF(0=0,phi_0,IF(0&lt;life_it,1,IF(0=life_it,1-phi_0,0)))</f>
        <v>30.9796327303472</v>
      </c>
      <c r="I61" s="21" t="n">
        <f aca="false">$F$57/life_it*IF(2=0,phi_0,IF(2&lt;life_it,1,IF(2=life_it,1-phi_0,0)))+$F$59/life_it*IF(2=0,phi_0,IF(2&lt;life_it,1,IF(2=life_it,1-phi_0,0)))+$H$59/life_it*IF(1=0,phi_0,IF(1&lt;life_it,1,IF(1=life_it,1-phi_0,0)))+$I$59/life_it*IF(0=0,phi_0,IF(0&lt;life_it,1,IF(0=life_it,1-phi_0,0)))</f>
        <v>55.6467732467522</v>
      </c>
      <c r="J61" s="21" t="n">
        <f aca="false">$F$57/life_it*IF(3=0,phi_0,IF(3&lt;life_it,1,IF(3=life_it,1-phi_0,0)))+$F$59/life_it*IF(3=0,phi_0,IF(3&lt;life_it,1,IF(3=life_it,1-phi_0,0)))+$H$59/life_it*IF(2=0,phi_0,IF(2&lt;life_it,1,IF(2=life_it,1-phi_0,0)))+$I$59/life_it*IF(1=0,phi_0,IF(1&lt;life_it,1,IF(1=life_it,1-phi_0,0)))+$J$59/life_it*IF(0=0,phi_0,IF(0&lt;life_it,1,IF(0=life_it,1-phi_0,0)))</f>
        <v>82.7017113139922</v>
      </c>
      <c r="K61" s="21" t="n">
        <f aca="false">$F$57/life_it*IF(4=0,phi_0,IF(4&lt;life_it,1,IF(4=life_it,1-phi_0,0)))+$F$59/life_it*IF(4=0,phi_0,IF(4&lt;life_it,1,IF(4=life_it,1-phi_0,0)))+$H$59/life_it*IF(3=0,phi_0,IF(3&lt;life_it,1,IF(3=life_it,1-phi_0,0)))+$I$59/life_it*IF(2=0,phi_0,IF(2&lt;life_it,1,IF(2=life_it,1-phi_0,0)))+$J$59/life_it*IF(1=0,phi_0,IF(1&lt;life_it,1,IF(1=life_it,1-phi_0,0)))+$K$59/life_it*IF(0=0,phi_0,IF(0&lt;life_it,1,IF(0=life_it,1-phi_0,0)))</f>
        <v>114.110401821232</v>
      </c>
      <c r="L61" s="21" t="n">
        <f aca="false">$F$57/life_it*IF(5=0,phi_0,IF(5&lt;life_it,1,IF(5=life_it,1-phi_0,0)))+$F$59/life_it*IF(5=0,phi_0,IF(5&lt;life_it,1,IF(5=life_it,1-phi_0,0)))+$H$59/life_it*IF(4=0,phi_0,IF(4&lt;life_it,1,IF(4=life_it,1-phi_0,0)))+$I$59/life_it*IF(3=0,phi_0,IF(3&lt;life_it,1,IF(3=life_it,1-phi_0,0)))+$J$59/life_it*IF(2=0,phi_0,IF(2&lt;life_it,1,IF(2=life_it,1-phi_0,0)))+$K$59/life_it*IF(1=0,phi_0,IF(1&lt;life_it,1,IF(1=life_it,1-phi_0,0)))+$L$59/life_it*IF(0=0,phi_0,IF(0&lt;life_it,1,IF(0=life_it,1-phi_0,0)))</f>
        <v>151.521632742872</v>
      </c>
      <c r="M61" s="21" t="n">
        <f aca="false">$F$57/life_it*IF(6=0,phi_0,IF(6&lt;life_it,1,IF(6=life_it,1-phi_0,0)))+$F$59/life_it*IF(6=0,phi_0,IF(6&lt;life_it,1,IF(6=life_it,1-phi_0,0)))+$H$59/life_it*IF(5=0,phi_0,IF(5&lt;life_it,1,IF(5=life_it,1-phi_0,0)))+$I$59/life_it*IF(4=0,phi_0,IF(4&lt;life_it,1,IF(4=life_it,1-phi_0,0)))+$J$59/life_it*IF(3=0,phi_0,IF(3&lt;life_it,1,IF(3=life_it,1-phi_0,0)))+$K$59/life_it*IF(2=0,phi_0,IF(2&lt;life_it,1,IF(2=life_it,1-phi_0,0)))+$L$59/life_it*IF(1=0,phi_0,IF(1&lt;life_it,1,IF(1=life_it,1-phi_0,0)))+$M$59/life_it*IF(0=0,phi_0,IF(0&lt;life_it,1,IF(0=life_it,1-phi_0,0)))</f>
        <v>189.722178205951</v>
      </c>
    </row>
    <row r="62" customFormat="false" ht="17.15" hidden="false" customHeight="false" outlineLevel="0" collapsed="false">
      <c r="A62" s="4" t="s">
        <v>800</v>
      </c>
      <c r="B62" s="0" t="s">
        <v>76</v>
      </c>
      <c r="F62" s="21" t="n">
        <f aca="false">$F$58/life_fac*IF(0=0,phi_0,IF(0&lt;life_fac,1,IF(0=life_fac,1-phi_0,0)))+$F$60/life_fac*IF(0=0,phi_0,IF(0&lt;life_fac,1,IF(0=life_fac,1-phi_0,0)))</f>
        <v>0.89405478790625</v>
      </c>
      <c r="G62" s="21" t="n">
        <f aca="false">F62</f>
        <v>0.89405478790625</v>
      </c>
      <c r="H62" s="21" t="n">
        <f aca="false">$F$58/life_fac*IF(1=0,phi_0,IF(1&lt;life_fac,1,IF(1=life_fac,1-phi_0,0)))+$F$60/life_fac*IF(1=0,phi_0,IF(1&lt;life_fac,1,IF(1=life_fac,1-phi_0,0)))+$H$60/life_fac*IF(0=0,phi_0,IF(0&lt;life_fac,1,IF(0=life_fac,1-phi_0,0)))</f>
        <v>4.1361887274375</v>
      </c>
      <c r="I62" s="21" t="n">
        <f aca="false">$F$58/life_fac*IF(2=0,phi_0,IF(2&lt;life_fac,1,IF(2=life_fac,1-phi_0,0)))+$F$60/life_fac*IF(2=0,phi_0,IF(2&lt;life_fac,1,IF(2=life_fac,1-phi_0,0)))+$H$60/life_fac*IF(1=0,phi_0,IF(1&lt;life_fac,1,IF(1=life_fac,1-phi_0,0)))+$I$60/life_fac*IF(0=0,phi_0,IF(0&lt;life_fac,1,IF(0=life_fac,1-phi_0,0)))</f>
        <v>6.3760670306875</v>
      </c>
      <c r="J62" s="21" t="n">
        <f aca="false">$F$58/life_fac*IF(3=0,phi_0,IF(3&lt;life_fac,1,IF(3=life_fac,1-phi_0,0)))+$F$60/life_fac*IF(3=0,phi_0,IF(3&lt;life_fac,1,IF(3=life_fac,1-phi_0,0)))+$H$60/life_fac*IF(2=0,phi_0,IF(2&lt;life_fac,1,IF(2=life_fac,1-phi_0,0)))+$I$60/life_fac*IF(1=0,phi_0,IF(1&lt;life_fac,1,IF(1=life_fac,1-phi_0,0)))+$J$60/life_fac*IF(0=0,phi_0,IF(0&lt;life_fac,1,IF(0=life_fac,1-phi_0,0)))</f>
        <v>8.6159453339375</v>
      </c>
      <c r="K62" s="21" t="n">
        <f aca="false">$F$58/life_fac*IF(4=0,phi_0,IF(4&lt;life_fac,1,IF(4=life_fac,1-phi_0,0)))+$F$60/life_fac*IF(4=0,phi_0,IF(4&lt;life_fac,1,IF(4=life_fac,1-phi_0,0)))+$H$60/life_fac*IF(3=0,phi_0,IF(3&lt;life_fac,1,IF(3=life_fac,1-phi_0,0)))+$I$60/life_fac*IF(2=0,phi_0,IF(2&lt;life_fac,1,IF(2=life_fac,1-phi_0,0)))+$J$60/life_fac*IF(1=0,phi_0,IF(1&lt;life_fac,1,IF(1=life_fac,1-phi_0,0)))+$K$60/life_fac*IF(0=0,phi_0,IF(0&lt;life_fac,1,IF(0=life_fac,1-phi_0,0)))</f>
        <v>10.8558236371875</v>
      </c>
      <c r="L62" s="21" t="n">
        <f aca="false">$F$58/life_fac*IF(5=0,phi_0,IF(5&lt;life_fac,1,IF(5=life_fac,1-phi_0,0)))+$F$60/life_fac*IF(5=0,phi_0,IF(5&lt;life_fac,1,IF(5=life_fac,1-phi_0,0)))+$H$60/life_fac*IF(4=0,phi_0,IF(4&lt;life_fac,1,IF(4=life_fac,1-phi_0,0)))+$I$60/life_fac*IF(3=0,phi_0,IF(3&lt;life_fac,1,IF(3=life_fac,1-phi_0,0)))+$J$60/life_fac*IF(2=0,phi_0,IF(2&lt;life_fac,1,IF(2=life_fac,1-phi_0,0)))+$K$60/life_fac*IF(1=0,phi_0,IF(1&lt;life_fac,1,IF(1=life_fac,1-phi_0,0)))+$L$60/life_fac*IF(0=0,phi_0,IF(0&lt;life_fac,1,IF(0=life_fac,1-phi_0,0)))</f>
        <v>13.0957019404375</v>
      </c>
      <c r="M62" s="21" t="n">
        <f aca="false">$F$58/life_fac*IF(6=0,phi_0,IF(6&lt;life_fac,1,IF(6=life_fac,1-phi_0,0)))+$F$60/life_fac*IF(6=0,phi_0,IF(6&lt;life_fac,1,IF(6=life_fac,1-phi_0,0)))+$H$60/life_fac*IF(5=0,phi_0,IF(5&lt;life_fac,1,IF(5=life_fac,1-phi_0,0)))+$I$60/life_fac*IF(4=0,phi_0,IF(4&lt;life_fac,1,IF(4=life_fac,1-phi_0,0)))+$J$60/life_fac*IF(3=0,phi_0,IF(3&lt;life_fac,1,IF(3=life_fac,1-phi_0,0)))+$K$60/life_fac*IF(2=0,phi_0,IF(2&lt;life_fac,1,IF(2=life_fac,1-phi_0,0)))+$L$60/life_fac*IF(1=0,phi_0,IF(1&lt;life_fac,1,IF(1=life_fac,1-phi_0,0)))+$M$60/life_fac*IF(0=0,phi_0,IF(0&lt;life_fac,1,IF(0=life_fac,1-phi_0,0)))</f>
        <v>15.3355802436875</v>
      </c>
    </row>
    <row r="63" customFormat="false" ht="17.15" hidden="false" customHeight="false" outlineLevel="0" collapsed="false">
      <c r="A63" s="2" t="s">
        <v>801</v>
      </c>
      <c r="B63" s="7" t="s">
        <v>76</v>
      </c>
      <c r="F63" s="21" t="n">
        <f aca="false">F61+F62</f>
        <v>7.12623883309764</v>
      </c>
      <c r="G63" s="21" t="n">
        <f aca="false">G61+G62</f>
        <v>7.12623883309764</v>
      </c>
      <c r="H63" s="21" t="n">
        <f aca="false">H61+H62</f>
        <v>35.1158214577847</v>
      </c>
      <c r="I63" s="21" t="n">
        <f aca="false">I61+I62</f>
        <v>62.0228402774397</v>
      </c>
      <c r="J63" s="21" t="n">
        <f aca="false">J61+J62</f>
        <v>91.3176566479297</v>
      </c>
      <c r="K63" s="21" t="n">
        <f aca="false">K61+K62</f>
        <v>124.96622545842</v>
      </c>
      <c r="L63" s="21" t="n">
        <f aca="false">L61+L62</f>
        <v>164.61733468331</v>
      </c>
      <c r="M63" s="21" t="n">
        <f aca="false">M61+M62</f>
        <v>205.057758449638</v>
      </c>
    </row>
    <row r="64" customFormat="false" ht="17.15" hidden="false" customHeight="false" outlineLevel="0" collapsed="false">
      <c r="A64" s="4" t="s">
        <v>802</v>
      </c>
      <c r="B64" s="0" t="s">
        <v>76</v>
      </c>
      <c r="F64" s="21" t="n">
        <f aca="false">F63*ext_sh</f>
        <v>2.13787164992929</v>
      </c>
      <c r="G64" s="21" t="n">
        <f aca="false">G63*ext_sh</f>
        <v>2.13787164992929</v>
      </c>
      <c r="H64" s="21" t="n">
        <f aca="false">H63*ext_sh</f>
        <v>10.5347464373354</v>
      </c>
      <c r="I64" s="21" t="n">
        <f aca="false">I63*ext_sh</f>
        <v>18.6068520832319</v>
      </c>
      <c r="J64" s="21" t="n">
        <f aca="false">J63*ext_sh</f>
        <v>27.3952969943789</v>
      </c>
      <c r="K64" s="21" t="n">
        <f aca="false">K63*ext_sh</f>
        <v>37.4898676375259</v>
      </c>
      <c r="L64" s="21" t="n">
        <f aca="false">L63*ext_sh</f>
        <v>49.3852004049929</v>
      </c>
      <c r="M64" s="21" t="n">
        <f aca="false">M63*ext_sh</f>
        <v>61.5173275348915</v>
      </c>
      <c r="N64" s="4" t="s">
        <v>803</v>
      </c>
    </row>
    <row r="65" customFormat="false" ht="17.15" hidden="false" customHeight="false" outlineLevel="0" collapsed="false">
      <c r="A65" s="4" t="s">
        <v>804</v>
      </c>
      <c r="B65" s="0" t="s">
        <v>76</v>
      </c>
      <c r="F65" s="21" t="n">
        <f aca="false">F63*(1-ext_sh)</f>
        <v>4.98836718316835</v>
      </c>
      <c r="G65" s="21" t="n">
        <f aca="false">G63*(1-ext_sh)</f>
        <v>4.98836718316835</v>
      </c>
      <c r="H65" s="21" t="n">
        <f aca="false">H63*(1-ext_sh)</f>
        <v>24.5810750204493</v>
      </c>
      <c r="I65" s="21" t="n">
        <f aca="false">I63*(1-ext_sh)</f>
        <v>43.4159881942078</v>
      </c>
      <c r="J65" s="21" t="n">
        <f aca="false">J63*(1-ext_sh)</f>
        <v>63.9223596535508</v>
      </c>
      <c r="K65" s="21" t="n">
        <f aca="false">K63*(1-ext_sh)</f>
        <v>87.4763578208938</v>
      </c>
      <c r="L65" s="21" t="n">
        <f aca="false">L63*(1-ext_sh)</f>
        <v>115.232134278317</v>
      </c>
      <c r="M65" s="21" t="n">
        <f aca="false">M63*(1-ext_sh)</f>
        <v>143.540430914747</v>
      </c>
    </row>
    <row r="67" customFormat="false" ht="17.15" hidden="false" customHeight="false" outlineLevel="0" collapsed="false">
      <c r="A67" s="5" t="s">
        <v>805</v>
      </c>
    </row>
    <row r="68" customFormat="false" ht="17.15" hidden="false" customHeight="false" outlineLevel="0" collapsed="false">
      <c r="A68" s="4" t="s">
        <v>806</v>
      </c>
      <c r="B68" s="0" t="s">
        <v>76</v>
      </c>
      <c r="F68" s="21" t="n">
        <f aca="false">(1-ext_sh)*((F29*opx_h+F30*opx_b2+F31*opx_b3+F32*opx_vr)-mw_tot0*opex0)/1000*0.5</f>
        <v>0.721621823404393</v>
      </c>
      <c r="G68" s="21" t="n">
        <f aca="false">F68</f>
        <v>0.721621823404393</v>
      </c>
      <c r="H68" s="21" t="n">
        <f aca="false">(1-ext_sh)*((H29*opx_h+H30*opx_b2+H31*opx_b3+H32*opx_vr)-mw_tot0*opex0)/1000*1</f>
        <v>5.85367480023106</v>
      </c>
      <c r="I68" s="21" t="n">
        <f aca="false">(1-ext_sh)*((I29*opx_h+I30*opx_b2+I31*opx_b3+I32*opx_vr)-mw_tot0*opex0)/1000*1</f>
        <v>11.8687500264539</v>
      </c>
      <c r="J68" s="21" t="n">
        <f aca="false">(1-ext_sh)*((J29*opx_h+J30*opx_b2+J31*opx_b3+J32*opx_vr)-mw_tot0*opex0)/1000*1</f>
        <v>17.9645254656727</v>
      </c>
      <c r="K68" s="21" t="n">
        <f aca="false">(1-ext_sh)*((K29*opx_h+K30*opx_b2+K31*opx_b3+K32*opx_vr)-mw_tot0*opex0)/1000*1</f>
        <v>24.0603009048915</v>
      </c>
      <c r="L68" s="21" t="n">
        <f aca="false">(1-ext_sh)*((L29*opx_h+L30*opx_b2+L31*opx_b3+L32*opx_vr)-mw_tot0*opex0)/1000*1</f>
        <v>30.1560763441103</v>
      </c>
      <c r="M68" s="21" t="n">
        <f aca="false">(1-ext_sh)*((M29*opx_h+M30*opx_b2+M31*opx_b3+M32*opx_vr)-mw_tot0*opex0)/1000*1</f>
        <v>36.2518517833291</v>
      </c>
    </row>
    <row r="69" customFormat="false" ht="17.15" hidden="false" customHeight="false" outlineLevel="0" collapsed="false">
      <c r="A69" s="0" t="s">
        <v>807</v>
      </c>
      <c r="B69" s="0" t="s">
        <v>76</v>
      </c>
      <c r="F69" s="21" t="n">
        <f aca="false">rent_2H</f>
        <v>2.76</v>
      </c>
      <c r="G69" s="21" t="n">
        <f aca="false">F69</f>
        <v>2.76</v>
      </c>
      <c r="H69" s="21" t="n">
        <f aca="false">rent_27</f>
        <v>11.04</v>
      </c>
      <c r="I69" s="21" t="n">
        <f aca="false">rent_28</f>
        <v>11.04</v>
      </c>
      <c r="J69" s="21" t="n">
        <f aca="false">rent_29</f>
        <v>5.52</v>
      </c>
      <c r="K69" s="23" t="n">
        <v>0</v>
      </c>
      <c r="L69" s="23" t="n">
        <v>0</v>
      </c>
      <c r="M69" s="23" t="n">
        <v>0</v>
      </c>
    </row>
    <row r="70" customFormat="false" ht="17.15" hidden="false" customHeight="false" outlineLevel="0" collapsed="false">
      <c r="A70" s="2" t="s">
        <v>808</v>
      </c>
      <c r="B70" s="7" t="s">
        <v>76</v>
      </c>
      <c r="F70" s="21" t="n">
        <f aca="false">F68+F69+F65</f>
        <v>8.46998900657274</v>
      </c>
      <c r="G70" s="21" t="n">
        <f aca="false">G68+G69+G65</f>
        <v>8.46998900657274</v>
      </c>
      <c r="H70" s="21" t="n">
        <f aca="false">H68+H69+H65</f>
        <v>41.4747498206804</v>
      </c>
      <c r="I70" s="21" t="n">
        <f aca="false">I68+I69+I65</f>
        <v>66.3247382206617</v>
      </c>
      <c r="J70" s="21" t="n">
        <f aca="false">J68+J69+J65</f>
        <v>87.4068851192235</v>
      </c>
      <c r="K70" s="21" t="n">
        <f aca="false">K68+K69+K65</f>
        <v>111.536658725785</v>
      </c>
      <c r="L70" s="21" t="n">
        <f aca="false">L68+L69+L65</f>
        <v>145.388210622427</v>
      </c>
      <c r="M70" s="21" t="n">
        <f aca="false">M68+M69+M65</f>
        <v>179.792282698076</v>
      </c>
    </row>
    <row r="71" customFormat="false" ht="17.15" hidden="false" customHeight="false" outlineLevel="0" collapsed="false">
      <c r="A71" s="4" t="s">
        <v>809</v>
      </c>
      <c r="B71" s="0" t="s">
        <v>76</v>
      </c>
      <c r="F71" s="21" t="n">
        <f aca="false">F70*svc_sh</f>
        <v>5.08199340394364</v>
      </c>
      <c r="G71" s="21" t="n">
        <f aca="false">G70*svc_sh</f>
        <v>5.08199340394364</v>
      </c>
      <c r="H71" s="21" t="n">
        <f aca="false">H70*svc_sh</f>
        <v>24.8848498924082</v>
      </c>
      <c r="I71" s="21" t="n">
        <f aca="false">I70*svc_sh</f>
        <v>39.794842932397</v>
      </c>
      <c r="J71" s="21" t="n">
        <f aca="false">J70*svc_sh</f>
        <v>52.4441310715341</v>
      </c>
      <c r="K71" s="21" t="n">
        <f aca="false">K70*svc_sh</f>
        <v>66.9219952354712</v>
      </c>
      <c r="L71" s="21" t="n">
        <f aca="false">L70*svc_sh</f>
        <v>87.2329263734563</v>
      </c>
      <c r="M71" s="21" t="n">
        <f aca="false">M70*svc_sh</f>
        <v>107.875369618846</v>
      </c>
    </row>
    <row r="72" customFormat="false" ht="17.15" hidden="false" customHeight="false" outlineLevel="0" collapsed="false">
      <c r="A72" s="4" t="s">
        <v>810</v>
      </c>
      <c r="B72" s="0" t="s">
        <v>76</v>
      </c>
      <c r="F72" s="21" t="n">
        <f aca="false">F70*(1-svc_sh)</f>
        <v>3.3879956026291</v>
      </c>
      <c r="G72" s="21" t="n">
        <f aca="false">G70*(1-svc_sh)</f>
        <v>3.3879956026291</v>
      </c>
      <c r="H72" s="21" t="n">
        <f aca="false">H70*(1-svc_sh)</f>
        <v>16.5898999282721</v>
      </c>
      <c r="I72" s="21" t="n">
        <f aca="false">I70*(1-svc_sh)</f>
        <v>26.5298952882647</v>
      </c>
      <c r="J72" s="21" t="n">
        <f aca="false">J70*(1-svc_sh)</f>
        <v>34.9627540476894</v>
      </c>
      <c r="K72" s="21" t="n">
        <f aca="false">K70*(1-svc_sh)</f>
        <v>44.6146634903141</v>
      </c>
      <c r="L72" s="21" t="n">
        <f aca="false">L70*(1-svc_sh)</f>
        <v>58.1552842489708</v>
      </c>
      <c r="M72" s="21" t="n">
        <f aca="false">M70*(1-svc_sh)</f>
        <v>71.9169130792304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811</v>
      </c>
    </row>
    <row r="2" customFormat="false" ht="17.15" hidden="false" customHeight="false" outlineLevel="0" collapsed="false">
      <c r="A2" s="4" t="s">
        <v>812</v>
      </c>
    </row>
    <row r="4" customFormat="false" ht="17.15" hidden="false" customHeight="false" outlineLevel="0" collapsed="false">
      <c r="A4" s="24" t="s">
        <v>813</v>
      </c>
    </row>
    <row r="5" customFormat="false" ht="15" hidden="false" customHeight="false" outlineLevel="0" collapsed="false">
      <c r="A5" s="3" t="s">
        <v>43</v>
      </c>
      <c r="B5" s="3" t="s">
        <v>44</v>
      </c>
      <c r="C5" s="14" t="s">
        <v>746</v>
      </c>
      <c r="D5" s="14" t="s">
        <v>747</v>
      </c>
      <c r="E5" s="14" t="s">
        <v>748</v>
      </c>
      <c r="F5" s="14" t="s">
        <v>749</v>
      </c>
      <c r="G5" s="14" t="s">
        <v>750</v>
      </c>
      <c r="H5" s="14" t="s">
        <v>751</v>
      </c>
      <c r="I5" s="14" t="s">
        <v>752</v>
      </c>
      <c r="J5" s="14" t="s">
        <v>753</v>
      </c>
      <c r="K5" s="14" t="s">
        <v>754</v>
      </c>
      <c r="L5" s="14" t="s">
        <v>755</v>
      </c>
      <c r="M5" s="14" t="s">
        <v>756</v>
      </c>
      <c r="N5" s="3" t="s">
        <v>50</v>
      </c>
    </row>
    <row r="6" customFormat="false" ht="17.15" hidden="false" customHeight="false" outlineLevel="0" collapsed="false">
      <c r="A6" s="0" t="s">
        <v>814</v>
      </c>
      <c r="B6" s="0" t="s">
        <v>99</v>
      </c>
      <c r="F6" s="19" t="n">
        <f aca="false">g0_search</f>
        <v>0.168013211016221</v>
      </c>
      <c r="H6" s="19" t="n">
        <f aca="false">g0_search+(gl_search-g0_search)*MIN(1,(2027-2026)/conv_n)</f>
        <v>0.146009908262166</v>
      </c>
      <c r="I6" s="19" t="n">
        <f aca="false">g0_search+(gl_search-g0_search)*MIN(1,(2028-2026)/conv_n)</f>
        <v>0.124006605508111</v>
      </c>
      <c r="J6" s="19" t="n">
        <f aca="false">g0_search+(gl_search-g0_search)*MIN(1,(2029-2026)/conv_n)</f>
        <v>0.102003302754055</v>
      </c>
      <c r="K6" s="19" t="n">
        <f aca="false">g0_search+(gl_search-g0_search)*MIN(1,(2030-2026)/conv_n)</f>
        <v>0.08</v>
      </c>
      <c r="L6" s="19" t="n">
        <f aca="false">g0_search+(gl_search-g0_search)*MIN(1,(2031-2026)/conv_n)</f>
        <v>0.08</v>
      </c>
      <c r="M6" s="19" t="n">
        <f aca="false">g0_search+(gl_search-g0_search)*MIN(1,(2032-2026)/conv_n)</f>
        <v>0.08</v>
      </c>
      <c r="N6" s="7" t="s">
        <v>815</v>
      </c>
    </row>
    <row r="7" customFormat="false" ht="17.15" hidden="false" customHeight="false" outlineLevel="0" collapsed="false">
      <c r="A7" s="0" t="s">
        <v>816</v>
      </c>
      <c r="B7" s="0" t="s">
        <v>76</v>
      </c>
      <c r="C7" s="21" t="n">
        <f aca="false">Q!J5</f>
        <v>198.084</v>
      </c>
      <c r="D7" s="21" t="n">
        <f aca="false">Q!K5</f>
        <v>224.532</v>
      </c>
      <c r="E7" s="21" t="n">
        <f aca="false">Q!L5</f>
        <v>123.67</v>
      </c>
      <c r="F7" s="21" t="n">
        <f aca="false">(Q!F5+Q!G5)*(1+F6)</f>
        <v>139.741100565981</v>
      </c>
      <c r="G7" s="21" t="n">
        <f aca="false">E7+F7</f>
        <v>263.411100565981</v>
      </c>
      <c r="H7" s="21" t="n">
        <f aca="false">G7*(1+H6)</f>
        <v>301.871731194856</v>
      </c>
      <c r="I7" s="21" t="n">
        <f aca="false">H7*(1+I6)</f>
        <v>339.305819879187</v>
      </c>
      <c r="J7" s="21" t="n">
        <f aca="false">I7*(1+J6)</f>
        <v>373.916134150536</v>
      </c>
      <c r="K7" s="21" t="n">
        <f aca="false">J7*(1+K6)</f>
        <v>403.829424882579</v>
      </c>
      <c r="L7" s="21" t="n">
        <f aca="false">K7*(1+L6)</f>
        <v>436.135778873185</v>
      </c>
      <c r="M7" s="21" t="n">
        <f aca="false">L7*(1+M6)</f>
        <v>471.02664118304</v>
      </c>
    </row>
    <row r="8" customFormat="false" ht="17.15" hidden="false" customHeight="false" outlineLevel="0" collapsed="false">
      <c r="A8" s="4" t="s">
        <v>817</v>
      </c>
      <c r="B8" s="0" t="s">
        <v>119</v>
      </c>
      <c r="F8" s="17" t="n">
        <v>0</v>
      </c>
      <c r="H8" s="18" t="n">
        <f aca="false">MIN(1,(2027-2026)/conv_n)</f>
        <v>0.25</v>
      </c>
      <c r="I8" s="18" t="n">
        <f aca="false">MIN(1,(2028-2026)/conv_n)</f>
        <v>0.5</v>
      </c>
      <c r="J8" s="18" t="n">
        <f aca="false">MIN(1,(2029-2026)/conv_n)</f>
        <v>0.75</v>
      </c>
      <c r="K8" s="18" t="n">
        <f aca="false">MIN(1,(2030-2026)/conv_n)</f>
        <v>1</v>
      </c>
      <c r="L8" s="18" t="n">
        <f aca="false">MIN(1,(2031-2026)/conv_n)</f>
        <v>1</v>
      </c>
      <c r="M8" s="18" t="n">
        <f aca="false">MIN(1,(2032-2026)/conv_n)</f>
        <v>1</v>
      </c>
    </row>
    <row r="9" customFormat="false" ht="17.15" hidden="false" customHeight="false" outlineLevel="0" collapsed="false">
      <c r="A9" s="4" t="s">
        <v>818</v>
      </c>
      <c r="B9" s="0" t="s">
        <v>99</v>
      </c>
      <c r="F9" s="19" t="n">
        <f aca="false">dA*F8</f>
        <v>-0</v>
      </c>
      <c r="H9" s="19" t="n">
        <f aca="false">dA*H8</f>
        <v>-0.0125</v>
      </c>
      <c r="I9" s="19" t="n">
        <f aca="false">dA*I8</f>
        <v>-0.025</v>
      </c>
      <c r="J9" s="19" t="n">
        <f aca="false">dA*J8</f>
        <v>-0.0375</v>
      </c>
      <c r="K9" s="19" t="n">
        <f aca="false">dA*K8</f>
        <v>-0.05</v>
      </c>
      <c r="L9" s="19" t="n">
        <f aca="false">dA*L8</f>
        <v>-0.05</v>
      </c>
      <c r="M9" s="19" t="n">
        <f aca="false">dA*M8</f>
        <v>-0.05</v>
      </c>
      <c r="N9" s="7" t="s">
        <v>819</v>
      </c>
    </row>
    <row r="10" customFormat="false" ht="17.15" hidden="false" customHeight="false" outlineLevel="0" collapsed="false">
      <c r="A10" s="4" t="s">
        <v>820</v>
      </c>
      <c r="B10" s="0" t="s">
        <v>99</v>
      </c>
      <c r="F10" s="19" t="n">
        <f aca="false">mA*F8</f>
        <v>0</v>
      </c>
      <c r="H10" s="19" t="n">
        <f aca="false">mA*H8</f>
        <v>0.025</v>
      </c>
      <c r="I10" s="19" t="n">
        <f aca="false">mA*I8</f>
        <v>0.05</v>
      </c>
      <c r="J10" s="19" t="n">
        <f aca="false">mA*J8</f>
        <v>0.075</v>
      </c>
      <c r="K10" s="19" t="n">
        <f aca="false">mA*K8</f>
        <v>0.1</v>
      </c>
      <c r="L10" s="19" t="n">
        <f aca="false">mA*L8</f>
        <v>0.1</v>
      </c>
      <c r="M10" s="19" t="n">
        <f aca="false">mA*M8</f>
        <v>0.1</v>
      </c>
    </row>
    <row r="11" customFormat="false" ht="15" hidden="false" customHeight="false" outlineLevel="0" collapsed="false">
      <c r="A11" s="5" t="s">
        <v>640</v>
      </c>
      <c r="B11" s="7" t="s">
        <v>76</v>
      </c>
      <c r="C11" s="21" t="n">
        <f aca="false">C7</f>
        <v>198.084</v>
      </c>
      <c r="D11" s="21" t="n">
        <f aca="false">D7</f>
        <v>224.532</v>
      </c>
      <c r="E11" s="21" t="n">
        <f aca="false">E7</f>
        <v>123.67</v>
      </c>
      <c r="F11" s="21" t="n">
        <f aca="false">F7*(1-F9)*(1+F10)</f>
        <v>139.741100565981</v>
      </c>
      <c r="G11" s="21" t="n">
        <f aca="false">E11+F11</f>
        <v>263.411100565981</v>
      </c>
      <c r="H11" s="21" t="n">
        <f aca="false">H7*(1-H9)*(1+H10)</f>
        <v>313.286256030661</v>
      </c>
      <c r="I11" s="21" t="n">
        <f aca="false">I7*(1-I9)*(1+I10)</f>
        <v>365.177888644975</v>
      </c>
      <c r="J11" s="21" t="n">
        <f aca="false">J7*(1-J9)*(1+J10)</f>
        <v>417.03333836977</v>
      </c>
      <c r="K11" s="21" t="n">
        <f aca="false">K7*(1-K9)*(1+K10)</f>
        <v>466.422985739379</v>
      </c>
      <c r="L11" s="21" t="n">
        <f aca="false">L7*(1-L9)*(1+L10)</f>
        <v>503.736824598529</v>
      </c>
      <c r="M11" s="21" t="n">
        <f aca="false">M7*(1-M9)*(1+M10)</f>
        <v>544.035770566412</v>
      </c>
    </row>
    <row r="12" customFormat="false" ht="17.15" hidden="false" customHeight="false" outlineLevel="0" collapsed="false">
      <c r="A12" s="0" t="s">
        <v>821</v>
      </c>
      <c r="B12" s="0" t="s">
        <v>99</v>
      </c>
      <c r="F12" s="19" t="n">
        <f aca="false">g0_yt</f>
        <v>0.117139334155364</v>
      </c>
      <c r="H12" s="19" t="n">
        <f aca="false">g0_yt+(gl_yt-g0_yt)*MIN(1,(2027-2026)/conv_n)</f>
        <v>0.107854500616523</v>
      </c>
      <c r="I12" s="19" t="n">
        <f aca="false">g0_yt+(gl_yt-g0_yt)*MIN(1,(2028-2026)/conv_n)</f>
        <v>0.0985696670776819</v>
      </c>
      <c r="J12" s="19" t="n">
        <f aca="false">g0_yt+(gl_yt-g0_yt)*MIN(1,(2029-2026)/conv_n)</f>
        <v>0.0892848335388409</v>
      </c>
      <c r="K12" s="19" t="n">
        <f aca="false">g0_yt+(gl_yt-g0_yt)*MIN(1,(2030-2026)/conv_n)</f>
        <v>0.08</v>
      </c>
      <c r="L12" s="19" t="n">
        <f aca="false">g0_yt+(gl_yt-g0_yt)*MIN(1,(2031-2026)/conv_n)</f>
        <v>0.08</v>
      </c>
      <c r="M12" s="19" t="n">
        <f aca="false">g0_yt+(gl_yt-g0_yt)*MIN(1,(2032-2026)/conv_n)</f>
        <v>0.08</v>
      </c>
      <c r="N12" s="4" t="s">
        <v>822</v>
      </c>
    </row>
    <row r="13" customFormat="false" ht="15" hidden="false" customHeight="false" outlineLevel="0" collapsed="false">
      <c r="A13" s="5" t="s">
        <v>643</v>
      </c>
      <c r="B13" s="7" t="s">
        <v>76</v>
      </c>
      <c r="C13" s="21" t="n">
        <f aca="false">Q!J6</f>
        <v>36.147</v>
      </c>
      <c r="D13" s="21" t="n">
        <f aca="false">Q!K6</f>
        <v>40.367</v>
      </c>
      <c r="E13" s="21" t="n">
        <f aca="false">Q!L6</f>
        <v>20.938</v>
      </c>
      <c r="F13" s="21" t="n">
        <f aca="false">(Q!F6+Q!G6)*(1+F12)</f>
        <v>24.1793637484587</v>
      </c>
      <c r="G13" s="21" t="n">
        <f aca="false">E13+F13</f>
        <v>45.1173637484587</v>
      </c>
      <c r="H13" s="21" t="n">
        <f aca="false">G13*(1+H12)</f>
        <v>49.9834744846827</v>
      </c>
      <c r="I13" s="21" t="n">
        <f aca="false">H13*(1+I12)</f>
        <v>54.9103289240237</v>
      </c>
      <c r="J13" s="21" t="n">
        <f aca="false">I13*(1+J12)</f>
        <v>59.8129885015682</v>
      </c>
      <c r="K13" s="21" t="n">
        <f aca="false">J13*(1+K12)</f>
        <v>64.5980275816936</v>
      </c>
      <c r="L13" s="21" t="n">
        <f aca="false">K13*(1+L12)</f>
        <v>69.7658697882291</v>
      </c>
      <c r="M13" s="21" t="n">
        <f aca="false">L13*(1+M12)</f>
        <v>75.3471393712874</v>
      </c>
    </row>
    <row r="14" customFormat="false" ht="17.15" hidden="false" customHeight="false" outlineLevel="0" collapsed="false">
      <c r="A14" s="0" t="s">
        <v>823</v>
      </c>
      <c r="B14" s="0" t="s">
        <v>99</v>
      </c>
      <c r="F14" s="19" t="n">
        <f aca="false">g0_net</f>
        <v>-0.0217853347502657</v>
      </c>
      <c r="H14" s="19" t="n">
        <f aca="false">g0_net+(gl_net-g0_net)*MIN(1,(2027-2026)/conv_n)</f>
        <v>-0.0163390010626993</v>
      </c>
      <c r="I14" s="19" t="n">
        <f aca="false">g0_net+(gl_net-g0_net)*MIN(1,(2028-2026)/conv_n)</f>
        <v>-0.0108926673751328</v>
      </c>
      <c r="J14" s="19" t="n">
        <f aca="false">g0_net+(gl_net-g0_net)*MIN(1,(2029-2026)/conv_n)</f>
        <v>-0.00544633368756642</v>
      </c>
      <c r="K14" s="19" t="n">
        <f aca="false">g0_net+(gl_net-g0_net)*MIN(1,(2030-2026)/conv_n)</f>
        <v>0</v>
      </c>
      <c r="L14" s="19" t="n">
        <f aca="false">g0_net+(gl_net-g0_net)*MIN(1,(2031-2026)/conv_n)</f>
        <v>0</v>
      </c>
      <c r="M14" s="19" t="n">
        <f aca="false">g0_net+(gl_net-g0_net)*MIN(1,(2032-2026)/conv_n)</f>
        <v>0</v>
      </c>
      <c r="N14" s="4" t="s">
        <v>822</v>
      </c>
    </row>
    <row r="15" customFormat="false" ht="15" hidden="false" customHeight="false" outlineLevel="0" collapsed="false">
      <c r="A15" s="5" t="s">
        <v>644</v>
      </c>
      <c r="B15" s="7" t="s">
        <v>76</v>
      </c>
      <c r="C15" s="21" t="n">
        <f aca="false">Q!J7</f>
        <v>30.359</v>
      </c>
      <c r="D15" s="21" t="n">
        <f aca="false">Q!K7</f>
        <v>29.792</v>
      </c>
      <c r="E15" s="21" t="n">
        <f aca="false">Q!L7</f>
        <v>14.274</v>
      </c>
      <c r="F15" s="21" t="n">
        <f aca="false">(Q!F7+Q!G7)*(1+F14)</f>
        <v>14.8512550478215</v>
      </c>
      <c r="G15" s="21" t="n">
        <f aca="false">E15+F15</f>
        <v>29.1252550478215</v>
      </c>
      <c r="H15" s="21" t="n">
        <f aca="false">G15*(1+H14)</f>
        <v>28.6493774746437</v>
      </c>
      <c r="I15" s="21" t="n">
        <f aca="false">H15*(1+I14)</f>
        <v>28.3373093353078</v>
      </c>
      <c r="J15" s="21" t="n">
        <f aca="false">I15*(1+J14)</f>
        <v>28.1829748928599</v>
      </c>
      <c r="K15" s="21" t="n">
        <f aca="false">J15*(1+K14)</f>
        <v>28.1829748928599</v>
      </c>
      <c r="L15" s="21" t="n">
        <f aca="false">K15*(1+L14)</f>
        <v>28.1829748928599</v>
      </c>
      <c r="M15" s="21" t="n">
        <f aca="false">L15*(1+M14)</f>
        <v>28.1829748928599</v>
      </c>
    </row>
    <row r="16" customFormat="false" ht="17.15" hidden="false" customHeight="false" outlineLevel="0" collapsed="false">
      <c r="A16" s="0" t="s">
        <v>824</v>
      </c>
      <c r="B16" s="0" t="s">
        <v>99</v>
      </c>
      <c r="F16" s="19" t="n">
        <f aca="false">g0_subs</f>
        <v>0.179435162180028</v>
      </c>
      <c r="H16" s="19" t="n">
        <f aca="false">g0_subs+(gl_subs-g0_subs)*MIN(1,(2027-2026)/conv_n)</f>
        <v>0.159576371635021</v>
      </c>
      <c r="I16" s="19" t="n">
        <f aca="false">g0_subs+(gl_subs-g0_subs)*MIN(1,(2028-2026)/conv_n)</f>
        <v>0.139717581090014</v>
      </c>
      <c r="J16" s="19" t="n">
        <f aca="false">g0_subs+(gl_subs-g0_subs)*MIN(1,(2029-2026)/conv_n)</f>
        <v>0.119858790545007</v>
      </c>
      <c r="K16" s="19" t="n">
        <f aca="false">g0_subs+(gl_subs-g0_subs)*MIN(1,(2030-2026)/conv_n)</f>
        <v>0.1</v>
      </c>
      <c r="L16" s="19" t="n">
        <f aca="false">g0_subs+(gl_subs-g0_subs)*MIN(1,(2031-2026)/conv_n)</f>
        <v>0.1</v>
      </c>
      <c r="M16" s="19" t="n">
        <f aca="false">g0_subs+(gl_subs-g0_subs)*MIN(1,(2032-2026)/conv_n)</f>
        <v>0.1</v>
      </c>
      <c r="N16" s="4" t="s">
        <v>822</v>
      </c>
    </row>
    <row r="17" customFormat="false" ht="15" hidden="false" customHeight="false" outlineLevel="0" collapsed="false">
      <c r="A17" s="5" t="s">
        <v>645</v>
      </c>
      <c r="B17" s="7" t="s">
        <v>76</v>
      </c>
      <c r="C17" s="21" t="n">
        <f aca="false">Q!J8</f>
        <v>40.34</v>
      </c>
      <c r="D17" s="21" t="n">
        <f aca="false">Q!K8</f>
        <v>48.03</v>
      </c>
      <c r="E17" s="21" t="n">
        <f aca="false">Q!L8</f>
        <v>25.295</v>
      </c>
      <c r="F17" s="21" t="n">
        <f aca="false">(Q!F8+Q!G8)*(1+F16)</f>
        <v>31.1937011693374</v>
      </c>
      <c r="G17" s="21" t="n">
        <f aca="false">E17+F17</f>
        <v>56.4887011693374</v>
      </c>
      <c r="H17" s="21" t="n">
        <f aca="false">G17*(1+H16)</f>
        <v>65.5029631403152</v>
      </c>
      <c r="I17" s="21" t="n">
        <f aca="false">H17*(1+I16)</f>
        <v>74.6548787045084</v>
      </c>
      <c r="J17" s="21" t="n">
        <f aca="false">I17*(1+J16)</f>
        <v>83.602922174315</v>
      </c>
      <c r="K17" s="21" t="n">
        <f aca="false">J17*(1+K16)</f>
        <v>91.9632143917465</v>
      </c>
      <c r="L17" s="21" t="n">
        <f aca="false">K17*(1+L16)</f>
        <v>101.159535830921</v>
      </c>
      <c r="M17" s="21" t="n">
        <f aca="false">L17*(1+M16)</f>
        <v>111.275489414013</v>
      </c>
    </row>
    <row r="18" customFormat="false" ht="15" hidden="false" customHeight="false" outlineLevel="0" collapsed="false">
      <c r="A18" s="25" t="s">
        <v>825</v>
      </c>
      <c r="B18" s="26" t="s">
        <v>76</v>
      </c>
      <c r="C18" s="27" t="n">
        <f aca="false">Q!J9</f>
        <v>304.93</v>
      </c>
      <c r="D18" s="27" t="n">
        <f aca="false">Q!K9</f>
        <v>342.721</v>
      </c>
      <c r="E18" s="27" t="n">
        <f aca="false">Q!L9</f>
        <v>184.177</v>
      </c>
      <c r="F18" s="27" t="n">
        <f aca="false">F11+F13+F15+F17</f>
        <v>209.965420531598</v>
      </c>
      <c r="G18" s="27" t="n">
        <f aca="false">E18+F18</f>
        <v>394.142420531598</v>
      </c>
      <c r="H18" s="27" t="n">
        <f aca="false">H11+H13+H15+H17</f>
        <v>457.422071130303</v>
      </c>
      <c r="I18" s="27" t="n">
        <f aca="false">I11+I13+I15+I17</f>
        <v>523.080405608814</v>
      </c>
      <c r="J18" s="27" t="n">
        <f aca="false">J11+J13+J15+J17</f>
        <v>588.632223938513</v>
      </c>
      <c r="K18" s="27" t="n">
        <f aca="false">K11+K13+K15+K17</f>
        <v>651.167202605679</v>
      </c>
      <c r="L18" s="27" t="n">
        <f aca="false">L11+L13+L15+L17</f>
        <v>702.84520511054</v>
      </c>
      <c r="M18" s="27" t="n">
        <f aca="false">M11+M13+M15+M17</f>
        <v>758.841374244572</v>
      </c>
      <c r="N18" s="26"/>
    </row>
    <row r="19" customFormat="false" ht="17.15" hidden="false" customHeight="false" outlineLevel="0" collapsed="false">
      <c r="A19" s="0" t="s">
        <v>826</v>
      </c>
      <c r="B19" s="0" t="s">
        <v>76</v>
      </c>
      <c r="E19" s="21" t="n">
        <f aca="false">Thesis!E38</f>
        <v>9.75837289307536</v>
      </c>
      <c r="F19" s="21" t="n">
        <f aca="false">Thesis!F38</f>
        <v>13.072238179387</v>
      </c>
      <c r="G19" s="21" t="n">
        <f aca="false">Thesis!G38</f>
        <v>22.8306110724624</v>
      </c>
      <c r="H19" s="21" t="n">
        <f aca="false">Thesis!H38</f>
        <v>38.882857987105</v>
      </c>
      <c r="I19" s="21" t="n">
        <f aca="false">Thesis!I38</f>
        <v>56.7035586757632</v>
      </c>
      <c r="J19" s="21" t="n">
        <f aca="false">Thesis!J38</f>
        <v>75.0259744749515</v>
      </c>
      <c r="K19" s="21" t="n">
        <f aca="false">Thesis!K38</f>
        <v>93.3483902741398</v>
      </c>
      <c r="L19" s="21" t="n">
        <f aca="false">Thesis!L38</f>
        <v>111.670806073328</v>
      </c>
      <c r="M19" s="21" t="n">
        <f aca="false">Thesis!M38</f>
        <v>129.993221872516</v>
      </c>
      <c r="N19" s="7" t="s">
        <v>827</v>
      </c>
    </row>
    <row r="20" customFormat="false" ht="17.15" hidden="false" customHeight="false" outlineLevel="0" collapsed="false">
      <c r="A20" s="0" t="s">
        <v>828</v>
      </c>
      <c r="B20" s="0" t="s">
        <v>76</v>
      </c>
      <c r="E20" s="23" t="n">
        <v>0</v>
      </c>
      <c r="F20" s="21" t="n">
        <f aca="false">tpu_2h</f>
        <v>1</v>
      </c>
      <c r="G20" s="21" t="n">
        <f aca="false">E20+F20</f>
        <v>1</v>
      </c>
      <c r="H20" s="21" t="n">
        <f aca="false">tpu_yr</f>
        <v>13</v>
      </c>
      <c r="I20" s="21" t="n">
        <f aca="false">tpu_yr</f>
        <v>13</v>
      </c>
      <c r="J20" s="21" t="n">
        <f aca="false">tpu_yr</f>
        <v>13</v>
      </c>
      <c r="K20" s="21" t="n">
        <f aca="false">tpu_yr</f>
        <v>13</v>
      </c>
      <c r="L20" s="21" t="n">
        <f aca="false">tpu_yr</f>
        <v>13</v>
      </c>
      <c r="M20" s="21" t="n">
        <f aca="false">tpu_yr</f>
        <v>13</v>
      </c>
      <c r="N20" s="7" t="s">
        <v>829</v>
      </c>
    </row>
    <row r="21" customFormat="false" ht="17.15" hidden="false" customHeight="false" outlineLevel="0" collapsed="false">
      <c r="A21" s="0" t="s">
        <v>830</v>
      </c>
      <c r="B21" s="0" t="s">
        <v>99</v>
      </c>
      <c r="F21" s="19" t="n">
        <f aca="false">g0_co</f>
        <v>0.463122459535209</v>
      </c>
      <c r="H21" s="19" t="n">
        <f aca="false">g0_co+(gl_co-g0_co)*MIN(1,(2027-2026)/conv_n)</f>
        <v>0.367341844651407</v>
      </c>
      <c r="I21" s="19" t="n">
        <f aca="false">g0_co+(gl_co-g0_co)*MIN(1,(2028-2026)/conv_n)</f>
        <v>0.271561229767605</v>
      </c>
      <c r="J21" s="19" t="n">
        <f aca="false">g0_co+(gl_co-g0_co)*MIN(1,(2029-2026)/conv_n)</f>
        <v>0.175780614883802</v>
      </c>
      <c r="K21" s="19" t="n">
        <f aca="false">g0_co+(gl_co-g0_co)*MIN(1,(2030-2026)/conv_n)</f>
        <v>0.08</v>
      </c>
      <c r="L21" s="19" t="n">
        <f aca="false">g0_co+(gl_co-g0_co)*MIN(1,(2031-2026)/conv_n)</f>
        <v>0.08</v>
      </c>
      <c r="M21" s="19" t="n">
        <f aca="false">g0_co+(gl_co-g0_co)*MIN(1,(2032-2026)/conv_n)</f>
        <v>0.08</v>
      </c>
      <c r="N21" s="4" t="s">
        <v>831</v>
      </c>
    </row>
    <row r="22" customFormat="false" ht="17.15" hidden="false" customHeight="false" outlineLevel="0" collapsed="false">
      <c r="A22" s="0" t="s">
        <v>832</v>
      </c>
      <c r="B22" s="0" t="s">
        <v>76</v>
      </c>
      <c r="E22" s="21" t="n">
        <f aca="false">Q!L11-E19-E20</f>
        <v>35.0376271069246</v>
      </c>
      <c r="F22" s="21" t="n">
        <f aca="false">E22*(1+F21)^0.5</f>
        <v>42.3813732550541</v>
      </c>
      <c r="G22" s="21" t="n">
        <f aca="false">E22+F22</f>
        <v>77.4190003619788</v>
      </c>
      <c r="H22" s="21" t="n">
        <f aca="false">G22*(1+H21)</f>
        <v>105.858238766016</v>
      </c>
      <c r="I22" s="21" t="n">
        <f aca="false">H22*(1+I21)</f>
        <v>134.605232266348</v>
      </c>
      <c r="J22" s="21" t="n">
        <f aca="false">I22*(1+J21)</f>
        <v>158.266222760704</v>
      </c>
      <c r="K22" s="21" t="n">
        <f aca="false">J22*(1+K21)</f>
        <v>170.92752058156</v>
      </c>
      <c r="L22" s="21" t="n">
        <f aca="false">K22*(1+L21)</f>
        <v>184.601722228085</v>
      </c>
      <c r="M22" s="21" t="n">
        <f aca="false">L22*(1+M21)</f>
        <v>199.369860006332</v>
      </c>
      <c r="N22" s="7" t="s">
        <v>833</v>
      </c>
    </row>
    <row r="23" customFormat="false" ht="15" hidden="false" customHeight="false" outlineLevel="0" collapsed="false">
      <c r="A23" s="25" t="s">
        <v>834</v>
      </c>
      <c r="B23" s="26" t="s">
        <v>76</v>
      </c>
      <c r="C23" s="27" t="n">
        <f aca="false">Q!J11</f>
        <v>43.229</v>
      </c>
      <c r="D23" s="27" t="n">
        <f aca="false">Q!K11</f>
        <v>58.705</v>
      </c>
      <c r="E23" s="27" t="n">
        <f aca="false">Q!L11</f>
        <v>44.796</v>
      </c>
      <c r="F23" s="27" t="n">
        <f aca="false">F19+F20+F22</f>
        <v>56.4536114344411</v>
      </c>
      <c r="G23" s="27" t="n">
        <f aca="false">E23+F23</f>
        <v>101.249611434441</v>
      </c>
      <c r="H23" s="27" t="n">
        <f aca="false">H19+H20+H22</f>
        <v>157.741096753121</v>
      </c>
      <c r="I23" s="27" t="n">
        <f aca="false">I19+I20+I22</f>
        <v>204.308790942111</v>
      </c>
      <c r="J23" s="27" t="n">
        <f aca="false">J19+J20+J22</f>
        <v>246.292197235655</v>
      </c>
      <c r="K23" s="27" t="n">
        <f aca="false">K19+K20+K22</f>
        <v>277.2759108557</v>
      </c>
      <c r="L23" s="27" t="n">
        <f aca="false">L19+L20+L22</f>
        <v>309.272528301413</v>
      </c>
      <c r="M23" s="27" t="n">
        <f aca="false">M19+M20+M22</f>
        <v>342.363081878848</v>
      </c>
      <c r="N23" s="26"/>
    </row>
    <row r="24" customFormat="false" ht="15" hidden="false" customHeight="false" outlineLevel="0" collapsed="false">
      <c r="A24" s="25" t="s">
        <v>835</v>
      </c>
      <c r="B24" s="26" t="s">
        <v>76</v>
      </c>
      <c r="C24" s="27" t="n">
        <f aca="false">Q!J12</f>
        <v>1.648</v>
      </c>
      <c r="D24" s="27" t="n">
        <f aca="false">Q!K12</f>
        <v>1.537</v>
      </c>
      <c r="E24" s="27" t="n">
        <f aca="false">Q!L12</f>
        <v>0.793</v>
      </c>
      <c r="F24" s="27" t="n">
        <f aca="false">ob_rev_2H</f>
        <v>0.75</v>
      </c>
      <c r="G24" s="27" t="n">
        <f aca="false">E24+F24</f>
        <v>1.543</v>
      </c>
      <c r="H24" s="27" t="n">
        <f aca="false">ob_rev_27</f>
        <v>1.6</v>
      </c>
      <c r="I24" s="27" t="n">
        <f aca="false">ob_rev_28</f>
        <v>1.8</v>
      </c>
      <c r="J24" s="27" t="n">
        <f aca="false">ob_rev_29</f>
        <v>2</v>
      </c>
      <c r="K24" s="27" t="n">
        <f aca="false">ob_rev_30</f>
        <v>2.2</v>
      </c>
      <c r="L24" s="27" t="n">
        <f aca="false">ob_rev_31</f>
        <v>2.4</v>
      </c>
      <c r="M24" s="27" t="n">
        <f aca="false">ob_rev_32</f>
        <v>2.6</v>
      </c>
      <c r="N24" s="26"/>
    </row>
    <row r="25" customFormat="false" ht="17.15" hidden="false" customHeight="false" outlineLevel="0" collapsed="false">
      <c r="A25" s="0" t="s">
        <v>836</v>
      </c>
      <c r="B25" s="0" t="s">
        <v>76</v>
      </c>
      <c r="C25" s="21" t="n">
        <f aca="false">Q!J13</f>
        <v>0.211</v>
      </c>
      <c r="D25" s="21" t="n">
        <f aca="false">Q!K13</f>
        <v>-0.127</v>
      </c>
      <c r="E25" s="21" t="n">
        <f aca="false">Q!L13</f>
        <v>-0.074</v>
      </c>
      <c r="F25" s="23" t="n">
        <v>0</v>
      </c>
      <c r="G25" s="21" t="n">
        <f aca="false">E25+F25</f>
        <v>-0.074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7" t="s">
        <v>837</v>
      </c>
    </row>
    <row r="26" customFormat="false" ht="15" hidden="false" customHeight="false" outlineLevel="0" collapsed="false">
      <c r="A26" s="2" t="s">
        <v>652</v>
      </c>
      <c r="B26" s="7" t="s">
        <v>76</v>
      </c>
      <c r="C26" s="21" t="n">
        <f aca="false">Q!J14</f>
        <v>350.018</v>
      </c>
      <c r="D26" s="21" t="n">
        <f aca="false">Q!K14</f>
        <v>402.836</v>
      </c>
      <c r="E26" s="21" t="n">
        <f aca="false">Q!L14</f>
        <v>229.692</v>
      </c>
      <c r="F26" s="21" t="n">
        <f aca="false">F18+F23+F24+F25</f>
        <v>267.169031966039</v>
      </c>
      <c r="G26" s="21" t="n">
        <f aca="false">E26+F26</f>
        <v>496.861031966039</v>
      </c>
      <c r="H26" s="21" t="n">
        <f aca="false">H18+H23+H24+H25</f>
        <v>616.763167883424</v>
      </c>
      <c r="I26" s="21" t="n">
        <f aca="false">I18+I23+I24+I25</f>
        <v>729.189196550926</v>
      </c>
      <c r="J26" s="21" t="n">
        <f aca="false">J18+J23+J24+J25</f>
        <v>836.924421174168</v>
      </c>
      <c r="K26" s="21" t="n">
        <f aca="false">K18+K23+K24+K25</f>
        <v>930.643113461379</v>
      </c>
      <c r="L26" s="21" t="n">
        <f aca="false">L18+L23+L24+L25</f>
        <v>1014.51773341195</v>
      </c>
      <c r="M26" s="21" t="n">
        <f aca="false">M18+M23+M24+M25</f>
        <v>1103.80445612342</v>
      </c>
    </row>
    <row r="27" customFormat="false" ht="17.15" hidden="false" customHeight="false" outlineLevel="0" collapsed="false">
      <c r="A27" s="4" t="s">
        <v>647</v>
      </c>
      <c r="B27" s="0" t="s">
        <v>76</v>
      </c>
      <c r="C27" s="16" t="n">
        <f aca="false">C11+C13+C15+C17-C18</f>
        <v>0</v>
      </c>
      <c r="D27" s="16" t="n">
        <f aca="false">D11+D13+D15+D17-D18</f>
        <v>0</v>
      </c>
      <c r="E27" s="16" t="n">
        <f aca="false">E11+E13+E15+E17-E18</f>
        <v>0</v>
      </c>
      <c r="F27" s="16" t="n">
        <f aca="false">F11+F13+F15+F17-F18</f>
        <v>0</v>
      </c>
      <c r="G27" s="16" t="n">
        <f aca="false">G11+G13+G15+G17-G18</f>
        <v>0</v>
      </c>
      <c r="H27" s="16" t="n">
        <f aca="false">H11+H13+H15+H17-H18</f>
        <v>0</v>
      </c>
      <c r="I27" s="16" t="n">
        <f aca="false">I11+I13+I15+I17-I18</f>
        <v>0</v>
      </c>
      <c r="J27" s="16" t="n">
        <f aca="false">J11+J13+J15+J17-J18</f>
        <v>0</v>
      </c>
      <c r="K27" s="16" t="n">
        <f aca="false">K11+K13+K15+K17-K18</f>
        <v>0</v>
      </c>
      <c r="L27" s="16" t="n">
        <f aca="false">L11+L13+L15+L17-L18</f>
        <v>0</v>
      </c>
      <c r="M27" s="16" t="n">
        <f aca="false">M11+M13+M15+M17-M18</f>
        <v>0</v>
      </c>
    </row>
    <row r="28" customFormat="false" ht="17.15" hidden="false" customHeight="false" outlineLevel="0" collapsed="false">
      <c r="A28" s="4" t="s">
        <v>838</v>
      </c>
      <c r="B28" s="0" t="s">
        <v>76</v>
      </c>
      <c r="E28" s="16" t="n">
        <f aca="false">E19+E20+E22-E23</f>
        <v>0</v>
      </c>
      <c r="F28" s="16" t="n">
        <f aca="false">F19+F20+F22-F23</f>
        <v>0</v>
      </c>
      <c r="G28" s="16" t="n">
        <f aca="false">G19+G20+G22-G23</f>
        <v>0</v>
      </c>
      <c r="H28" s="16" t="n">
        <f aca="false">H19+H20+H22-H23</f>
        <v>0</v>
      </c>
      <c r="I28" s="16" t="n">
        <f aca="false">I19+I20+I22-I23</f>
        <v>0</v>
      </c>
      <c r="J28" s="16" t="n">
        <f aca="false">J19+J20+J22-J23</f>
        <v>0</v>
      </c>
      <c r="K28" s="16" t="n">
        <f aca="false">K19+K20+K22-K23</f>
        <v>0</v>
      </c>
      <c r="L28" s="16" t="n">
        <f aca="false">L19+L20+L22-L23</f>
        <v>0</v>
      </c>
      <c r="M28" s="16" t="n">
        <f aca="false">M19+M20+M22-M23</f>
        <v>0</v>
      </c>
    </row>
    <row r="29" customFormat="false" ht="15" hidden="false" customHeight="false" outlineLevel="0" collapsed="false">
      <c r="A29" s="4" t="s">
        <v>653</v>
      </c>
      <c r="B29" s="0" t="s">
        <v>76</v>
      </c>
      <c r="C29" s="16" t="n">
        <f aca="false">C18+C23+C24+C25-C26</f>
        <v>0</v>
      </c>
      <c r="D29" s="16" t="n">
        <f aca="false">D18+D23+D24+D25-D26</f>
        <v>0</v>
      </c>
      <c r="E29" s="16" t="n">
        <f aca="false">E18+E23+E24+E25-E26</f>
        <v>0</v>
      </c>
      <c r="F29" s="16" t="n">
        <f aca="false">F18+F23+F24+F25-F26</f>
        <v>0</v>
      </c>
      <c r="G29" s="16" t="n">
        <f aca="false">G18+G23+G24+G25-G26</f>
        <v>0</v>
      </c>
      <c r="H29" s="16" t="n">
        <f aca="false">H18+H23+H24+H25-H26</f>
        <v>0</v>
      </c>
      <c r="I29" s="16" t="n">
        <f aca="false">I18+I23+I24+I25-I26</f>
        <v>0</v>
      </c>
      <c r="J29" s="16" t="n">
        <f aca="false">J18+J23+J24+J25-J26</f>
        <v>0</v>
      </c>
      <c r="K29" s="16" t="n">
        <f aca="false">K18+K23+K24+K25-K26</f>
        <v>0</v>
      </c>
      <c r="L29" s="16" t="n">
        <f aca="false">L18+L23+L24+L25-L26</f>
        <v>0</v>
      </c>
      <c r="M29" s="16" t="n">
        <f aca="false">M18+M23+M24+M25-M26</f>
        <v>0</v>
      </c>
    </row>
    <row r="30" customFormat="false" ht="17.15" hidden="false" customHeight="false" outlineLevel="0" collapsed="false">
      <c r="A30" s="4" t="s">
        <v>839</v>
      </c>
      <c r="B30" s="0" t="s">
        <v>76</v>
      </c>
      <c r="C30" s="16" t="n">
        <f aca="false">C26-Q!J14</f>
        <v>0</v>
      </c>
      <c r="D30" s="16" t="n">
        <f aca="false">D26-Q!K14</f>
        <v>0</v>
      </c>
      <c r="E30" s="16" t="n">
        <f aca="false">E26-Q!L14</f>
        <v>0</v>
      </c>
    </row>
    <row r="31" customFormat="false" ht="17.15" hidden="false" customHeight="false" outlineLevel="0" collapsed="false">
      <c r="A31" s="4" t="s">
        <v>840</v>
      </c>
      <c r="B31" s="0" t="s">
        <v>76</v>
      </c>
      <c r="F31" s="21" t="n">
        <f aca="false">F18*cx_svc</f>
        <v>12.5979252318959</v>
      </c>
      <c r="G31" s="21" t="n">
        <f aca="false">F31</f>
        <v>12.5979252318959</v>
      </c>
      <c r="H31" s="21" t="n">
        <f aca="false">H18*cx_svc</f>
        <v>27.4453242678182</v>
      </c>
      <c r="I31" s="21" t="n">
        <f aca="false">I18*cx_svc</f>
        <v>31.3848243365289</v>
      </c>
      <c r="J31" s="21" t="n">
        <f aca="false">J18*cx_svc</f>
        <v>35.3179334363108</v>
      </c>
      <c r="K31" s="21" t="n">
        <f aca="false">K18*cx_svc</f>
        <v>39.0700321563407</v>
      </c>
      <c r="L31" s="21" t="n">
        <f aca="false">L18*cx_svc</f>
        <v>42.1707123066324</v>
      </c>
      <c r="M31" s="21" t="n">
        <f aca="false">M18*cx_svc</f>
        <v>45.5304824546743</v>
      </c>
    </row>
    <row r="32" customFormat="false" ht="17.15" hidden="false" customHeight="false" outlineLevel="0" collapsed="false">
      <c r="A32" s="4" t="s">
        <v>841</v>
      </c>
      <c r="B32" s="0" t="s">
        <v>76</v>
      </c>
      <c r="F32" s="21" t="n">
        <f aca="false">F22*cx_co</f>
        <v>8.47627465101083</v>
      </c>
      <c r="G32" s="21" t="n">
        <f aca="false">F32</f>
        <v>8.47627465101083</v>
      </c>
      <c r="H32" s="21" t="n">
        <f aca="false">H22*cx_co</f>
        <v>21.1716477532032</v>
      </c>
      <c r="I32" s="21" t="n">
        <f aca="false">I22*cx_co</f>
        <v>26.9210464532696</v>
      </c>
      <c r="J32" s="21" t="n">
        <f aca="false">J22*cx_co</f>
        <v>31.6532445521407</v>
      </c>
      <c r="K32" s="21" t="n">
        <f aca="false">K22*cx_co</f>
        <v>34.185504116312</v>
      </c>
      <c r="L32" s="21" t="n">
        <f aca="false">L22*cx_co</f>
        <v>36.920344445617</v>
      </c>
      <c r="M32" s="21" t="n">
        <f aca="false">M22*cx_co</f>
        <v>39.8739720012663</v>
      </c>
    </row>
    <row r="33" customFormat="false" ht="17.15" hidden="false" customHeight="false" outlineLevel="0" collapsed="false">
      <c r="A33" s="4" t="s">
        <v>842</v>
      </c>
      <c r="B33" s="0" t="s">
        <v>76</v>
      </c>
      <c r="F33" s="21" t="n">
        <f aca="false">F24*cx_ob</f>
        <v>0.045</v>
      </c>
      <c r="G33" s="21" t="n">
        <f aca="false">F33</f>
        <v>0.045</v>
      </c>
      <c r="H33" s="21" t="n">
        <f aca="false">H24*cx_ob</f>
        <v>0.096</v>
      </c>
      <c r="I33" s="21" t="n">
        <f aca="false">I24*cx_ob</f>
        <v>0.108</v>
      </c>
      <c r="J33" s="21" t="n">
        <f aca="false">J24*cx_ob</f>
        <v>0.12</v>
      </c>
      <c r="K33" s="21" t="n">
        <f aca="false">K24*cx_ob</f>
        <v>0.132</v>
      </c>
      <c r="L33" s="21" t="n">
        <f aca="false">L24*cx_ob</f>
        <v>0.144</v>
      </c>
      <c r="M33" s="21" t="n">
        <f aca="false">M24*cx_ob</f>
        <v>0.156</v>
      </c>
    </row>
    <row r="34" customFormat="false" ht="17.15" hidden="false" customHeight="false" outlineLevel="0" collapsed="false">
      <c r="A34" s="2" t="s">
        <v>843</v>
      </c>
      <c r="B34" s="7" t="s">
        <v>76</v>
      </c>
      <c r="F34" s="21" t="n">
        <f aca="false">F31+F32+F33</f>
        <v>21.1191998829067</v>
      </c>
      <c r="G34" s="21" t="n">
        <f aca="false">G31+G32+G33</f>
        <v>21.1191998829067</v>
      </c>
      <c r="H34" s="21" t="n">
        <f aca="false">H31+H32+H33</f>
        <v>48.7129720210214</v>
      </c>
      <c r="I34" s="21" t="n">
        <f aca="false">I31+I32+I33</f>
        <v>58.4138707897985</v>
      </c>
      <c r="J34" s="21" t="n">
        <f aca="false">J31+J32+J33</f>
        <v>67.0911779884515</v>
      </c>
      <c r="K34" s="21" t="n">
        <f aca="false">K31+K32+K33</f>
        <v>73.3875362726527</v>
      </c>
      <c r="L34" s="21" t="n">
        <f aca="false">L31+L32+L33</f>
        <v>79.2350567522493</v>
      </c>
      <c r="M34" s="21" t="n">
        <f aca="false">M31+M32+M33</f>
        <v>85.5604544559407</v>
      </c>
    </row>
    <row r="35" customFormat="false" ht="17.15" hidden="false" customHeight="false" outlineLevel="0" collapsed="false">
      <c r="A35" s="4" t="s">
        <v>844</v>
      </c>
      <c r="B35" s="0" t="s">
        <v>76</v>
      </c>
      <c r="F35" s="21" t="n">
        <f aca="false">$F$31/life_na*IF(0=0,phi_0,IF(0&lt;life_na,1,IF(0=life_na,1-phi_0,0)))</f>
        <v>0.314948130797397</v>
      </c>
      <c r="G35" s="21" t="n">
        <f aca="false">F35</f>
        <v>0.314948130797397</v>
      </c>
      <c r="H35" s="21" t="n">
        <f aca="false">$F$31/life_na*IF(1=0,phi_0,IF(1&lt;life_na,1,IF(1=life_na,1-phi_0,0)))+$H$31/life_na*IF(0=0,phi_0,IF(0&lt;life_na,1,IF(0=life_na,1-phi_0,0)))</f>
        <v>1.94592562988504</v>
      </c>
      <c r="I35" s="21" t="n">
        <f aca="false">$F$31/life_na*IF(2=0,phi_0,IF(2&lt;life_na,1,IF(2=life_na,1-phi_0,0)))+$H$31/life_na*IF(1=0,phi_0,IF(1&lt;life_na,1,IF(1=life_na,1-phi_0,0)))+$I$31/life_na*IF(0=0,phi_0,IF(0&lt;life_na,1,IF(0=life_na,1-phi_0,0)))</f>
        <v>4.78894555838463</v>
      </c>
      <c r="J35" s="21" t="n">
        <f aca="false">$F$31/life_na*IF(3=0,phi_0,IF(3&lt;life_na,1,IF(3=life_na,1-phi_0,0)))+$H$31/life_na*IF(2=0,phi_0,IF(2&lt;life_na,1,IF(2=life_na,1-phi_0,0)))+$I$31/life_na*IF(1=0,phi_0,IF(1&lt;life_na,1,IF(1=life_na,1-phi_0,0)))+$J$31/life_na*IF(0=0,phi_0,IF(0&lt;life_na,1,IF(0=life_na,1-phi_0,0)))</f>
        <v>8.02575571953206</v>
      </c>
      <c r="K35" s="21" t="n">
        <f aca="false">$F$31/life_na*IF(4=0,phi_0,IF(4&lt;life_na,1,IF(4=life_na,1-phi_0,0)))+$H$31/life_na*IF(3=0,phi_0,IF(3&lt;life_na,1,IF(3=life_na,1-phi_0,0)))+$I$31/life_na*IF(2=0,phi_0,IF(2&lt;life_na,1,IF(2=life_na,1-phi_0,0)))+$J$31/life_na*IF(1=0,phi_0,IF(1&lt;life_na,1,IF(1=life_na,1-phi_0,0)))+$K$31/life_na*IF(0=0,phi_0,IF(0&lt;life_na,1,IF(0=life_na,1-phi_0,0)))</f>
        <v>11.6513515311639</v>
      </c>
      <c r="L35" s="21" t="n">
        <f aca="false">$F$31/life_na*IF(5=0,phi_0,IF(5&lt;life_na,1,IF(5=life_na,1-phi_0,0)))+$H$31/life_na*IF(4=0,phi_0,IF(4&lt;life_na,1,IF(4=life_na,1-phi_0,0)))+$I$31/life_na*IF(3=0,phi_0,IF(3&lt;life_na,1,IF(3=life_na,1-phi_0,0)))+$J$31/life_na*IF(2=0,phi_0,IF(2&lt;life_na,1,IF(2=life_na,1-phi_0,0)))+$K$31/life_na*IF(1=0,phi_0,IF(1&lt;life_na,1,IF(1=life_na,1-phi_0,0)))+$L$31/life_na*IF(0=0,phi_0,IF(0&lt;life_na,1,IF(0=life_na,1-phi_0,0)))</f>
        <v>15.6358717505553</v>
      </c>
      <c r="M35" s="21" t="n">
        <f aca="false">$F$31/life_na*IF(6=0,phi_0,IF(6&lt;life_na,1,IF(6=life_na,1-phi_0,0)))+$H$31/life_na*IF(5=0,phi_0,IF(5&lt;life_na,1,IF(5=life_na,1-phi_0,0)))+$I$31/life_na*IF(4=0,phi_0,IF(4&lt;life_na,1,IF(4=life_na,1-phi_0,0)))+$J$31/life_na*IF(3=0,phi_0,IF(3&lt;life_na,1,IF(3=life_na,1-phi_0,0)))+$K$31/life_na*IF(2=0,phi_0,IF(2&lt;life_na,1,IF(2=life_na,1-phi_0,0)))+$L$31/life_na*IF(1=0,phi_0,IF(1&lt;life_na,1,IF(1=life_na,1-phi_0,0)))+$M$31/life_na*IF(0=0,phi_0,IF(0&lt;life_na,1,IF(0=life_na,1-phi_0,0)))</f>
        <v>19.9369372349195</v>
      </c>
    </row>
    <row r="36" customFormat="false" ht="17.15" hidden="false" customHeight="false" outlineLevel="0" collapsed="false">
      <c r="A36" s="4" t="s">
        <v>845</v>
      </c>
      <c r="B36" s="0" t="s">
        <v>76</v>
      </c>
      <c r="F36" s="21" t="n">
        <f aca="false">$F$32/life_na*IF(0=0,phi_0,IF(0&lt;life_na,1,IF(0=life_na,1-phi_0,0)))</f>
        <v>0.211906866275271</v>
      </c>
      <c r="G36" s="21" t="n">
        <f aca="false">F36</f>
        <v>0.211906866275271</v>
      </c>
      <c r="H36" s="21" t="n">
        <f aca="false">$F$32/life_na*IF(1=0,phi_0,IF(1&lt;life_na,1,IF(1=life_na,1-phi_0,0)))+$H$32/life_na*IF(0=0,phi_0,IF(0&lt;life_na,1,IF(0=life_na,1-phi_0,0)))</f>
        <v>1.37691865893116</v>
      </c>
      <c r="I36" s="21" t="n">
        <f aca="false">$F$32/life_na*IF(2=0,phi_0,IF(2&lt;life_na,1,IF(2=life_na,1-phi_0,0)))+$H$32/life_na*IF(1=0,phi_0,IF(1&lt;life_na,1,IF(1=life_na,1-phi_0,0)))+$I$32/life_na*IF(0=0,phi_0,IF(0&lt;life_na,1,IF(0=life_na,1-phi_0,0)))</f>
        <v>3.63781840175314</v>
      </c>
      <c r="J36" s="21" t="n">
        <f aca="false">$F$32/life_na*IF(3=0,phi_0,IF(3&lt;life_na,1,IF(3=life_na,1-phi_0,0)))+$H$32/life_na*IF(2=0,phi_0,IF(2&lt;life_na,1,IF(2=life_na,1-phi_0,0)))+$I$32/life_na*IF(1=0,phi_0,IF(1&lt;life_na,1,IF(1=life_na,1-phi_0,0)))+$J$32/life_na*IF(0=0,phi_0,IF(0&lt;life_na,1,IF(0=life_na,1-phi_0,0)))</f>
        <v>6.44822799955188</v>
      </c>
      <c r="K36" s="21" t="n">
        <f aca="false">$F$32/life_na*IF(4=0,phi_0,IF(4&lt;life_na,1,IF(4=life_na,1-phi_0,0)))+$H$32/life_na*IF(3=0,phi_0,IF(3&lt;life_na,1,IF(3=life_na,1-phi_0,0)))+$I$32/life_na*IF(2=0,phi_0,IF(2&lt;life_na,1,IF(2=life_na,1-phi_0,0)))+$J$32/life_na*IF(1=0,phi_0,IF(1&lt;life_na,1,IF(1=life_na,1-phi_0,0)))+$K$32/life_na*IF(0=0,phi_0,IF(0&lt;life_na,1,IF(0=life_na,1-phi_0,0)))</f>
        <v>9.67685894387024</v>
      </c>
      <c r="L36" s="21" t="n">
        <f aca="false">$F$32/life_na*IF(5=0,phi_0,IF(5&lt;life_na,1,IF(5=life_na,1-phi_0,0)))+$H$32/life_na*IF(4=0,phi_0,IF(4&lt;life_na,1,IF(4=life_na,1-phi_0,0)))+$I$32/life_na*IF(3=0,phi_0,IF(3&lt;life_na,1,IF(3=life_na,1-phi_0,0)))+$J$32/life_na*IF(2=0,phi_0,IF(2&lt;life_na,1,IF(2=life_na,1-phi_0,0)))+$K$32/life_na*IF(1=0,phi_0,IF(1&lt;life_na,1,IF(1=life_na,1-phi_0,0)))+$L$32/life_na*IF(0=0,phi_0,IF(0&lt;life_na,1,IF(0=life_na,1-phi_0,0)))</f>
        <v>13.1637803637341</v>
      </c>
      <c r="M36" s="21" t="n">
        <f aca="false">$F$32/life_na*IF(6=0,phi_0,IF(6&lt;life_na,1,IF(6=life_na,1-phi_0,0)))+$H$32/life_na*IF(5=0,phi_0,IF(5&lt;life_na,1,IF(5=life_na,1-phi_0,0)))+$I$32/life_na*IF(4=0,phi_0,IF(4&lt;life_na,1,IF(4=life_na,1-phi_0,0)))+$J$32/life_na*IF(3=0,phi_0,IF(3&lt;life_na,1,IF(3=life_na,1-phi_0,0)))+$K$32/life_na*IF(2=0,phi_0,IF(2&lt;life_na,1,IF(2=life_na,1-phi_0,0)))+$L$32/life_na*IF(1=0,phi_0,IF(1&lt;life_na,1,IF(1=life_na,1-phi_0,0)))+$M$32/life_na*IF(0=0,phi_0,IF(0&lt;life_na,1,IF(0=life_na,1-phi_0,0)))</f>
        <v>16.929655497187</v>
      </c>
    </row>
    <row r="37" customFormat="false" ht="17.15" hidden="false" customHeight="false" outlineLevel="0" collapsed="false">
      <c r="A37" s="4" t="s">
        <v>846</v>
      </c>
      <c r="B37" s="0" t="s">
        <v>76</v>
      </c>
      <c r="F37" s="21" t="n">
        <f aca="false">$F$33/life_na*IF(0=0,phi_0,IF(0&lt;life_na,1,IF(0=life_na,1-phi_0,0)))</f>
        <v>0.001125</v>
      </c>
      <c r="G37" s="21" t="n">
        <f aca="false">F37</f>
        <v>0.001125</v>
      </c>
      <c r="H37" s="21" t="n">
        <f aca="false">$F$33/life_na*IF(1=0,phi_0,IF(1&lt;life_na,1,IF(1=life_na,1-phi_0,0)))+$H$33/life_na*IF(0=0,phi_0,IF(0&lt;life_na,1,IF(0=life_na,1-phi_0,0)))</f>
        <v>0.0069</v>
      </c>
      <c r="I37" s="21" t="n">
        <f aca="false">$F$33/life_na*IF(2=0,phi_0,IF(2&lt;life_na,1,IF(2=life_na,1-phi_0,0)))+$H$33/life_na*IF(1=0,phi_0,IF(1&lt;life_na,1,IF(1=life_na,1-phi_0,0)))+$I$33/life_na*IF(0=0,phi_0,IF(0&lt;life_na,1,IF(0=life_na,1-phi_0,0)))</f>
        <v>0.0168</v>
      </c>
      <c r="J37" s="21" t="n">
        <f aca="false">$F$33/life_na*IF(3=0,phi_0,IF(3&lt;life_na,1,IF(3=life_na,1-phi_0,0)))+$H$33/life_na*IF(2=0,phi_0,IF(2&lt;life_na,1,IF(2=life_na,1-phi_0,0)))+$I$33/life_na*IF(1=0,phi_0,IF(1&lt;life_na,1,IF(1=life_na,1-phi_0,0)))+$J$33/life_na*IF(0=0,phi_0,IF(0&lt;life_na,1,IF(0=life_na,1-phi_0,0)))</f>
        <v>0.0279</v>
      </c>
      <c r="K37" s="21" t="n">
        <f aca="false">$F$33/life_na*IF(4=0,phi_0,IF(4&lt;life_na,1,IF(4=life_na,1-phi_0,0)))+$H$33/life_na*IF(3=0,phi_0,IF(3&lt;life_na,1,IF(3=life_na,1-phi_0,0)))+$I$33/life_na*IF(2=0,phi_0,IF(2&lt;life_na,1,IF(2=life_na,1-phi_0,0)))+$J$33/life_na*IF(1=0,phi_0,IF(1&lt;life_na,1,IF(1=life_na,1-phi_0,0)))+$K$33/life_na*IF(0=0,phi_0,IF(0&lt;life_na,1,IF(0=life_na,1-phi_0,0)))</f>
        <v>0.0402</v>
      </c>
      <c r="L37" s="21" t="n">
        <f aca="false">$F$33/life_na*IF(5=0,phi_0,IF(5&lt;life_na,1,IF(5=life_na,1-phi_0,0)))+$H$33/life_na*IF(4=0,phi_0,IF(4&lt;life_na,1,IF(4=life_na,1-phi_0,0)))+$I$33/life_na*IF(3=0,phi_0,IF(3&lt;life_na,1,IF(3=life_na,1-phi_0,0)))+$J$33/life_na*IF(2=0,phi_0,IF(2&lt;life_na,1,IF(2=life_na,1-phi_0,0)))+$K$33/life_na*IF(1=0,phi_0,IF(1&lt;life_na,1,IF(1=life_na,1-phi_0,0)))+$L$33/life_na*IF(0=0,phi_0,IF(0&lt;life_na,1,IF(0=life_na,1-phi_0,0)))</f>
        <v>0.0537</v>
      </c>
      <c r="M37" s="21" t="n">
        <f aca="false">$F$33/life_na*IF(6=0,phi_0,IF(6&lt;life_na,1,IF(6=life_na,1-phi_0,0)))+$H$33/life_na*IF(5=0,phi_0,IF(5&lt;life_na,1,IF(5=life_na,1-phi_0,0)))+$I$33/life_na*IF(4=0,phi_0,IF(4&lt;life_na,1,IF(4=life_na,1-phi_0,0)))+$J$33/life_na*IF(3=0,phi_0,IF(3&lt;life_na,1,IF(3=life_na,1-phi_0,0)))+$K$33/life_na*IF(2=0,phi_0,IF(2&lt;life_na,1,IF(2=life_na,1-phi_0,0)))+$L$33/life_na*IF(1=0,phi_0,IF(1&lt;life_na,1,IF(1=life_na,1-phi_0,0)))+$M$33/life_na*IF(0=0,phi_0,IF(0&lt;life_na,1,IF(0=life_na,1-phi_0,0)))</f>
        <v>0.0684</v>
      </c>
    </row>
    <row r="38" customFormat="false" ht="17.15" hidden="false" customHeight="false" outlineLevel="0" collapsed="false">
      <c r="A38" s="2" t="s">
        <v>847</v>
      </c>
      <c r="B38" s="7" t="s">
        <v>76</v>
      </c>
      <c r="F38" s="21" t="n">
        <f aca="false">F35+F36+F37</f>
        <v>0.527979997072668</v>
      </c>
      <c r="G38" s="21" t="n">
        <f aca="false">G35+G36+G37</f>
        <v>0.527979997072668</v>
      </c>
      <c r="H38" s="21" t="n">
        <f aca="false">H35+H36+H37</f>
        <v>3.32974428881621</v>
      </c>
      <c r="I38" s="21" t="n">
        <f aca="false">I35+I36+I37</f>
        <v>8.44356396013777</v>
      </c>
      <c r="J38" s="21" t="n">
        <f aca="false">J35+J36+J37</f>
        <v>14.5018837190839</v>
      </c>
      <c r="K38" s="21" t="n">
        <f aca="false">K35+K36+K37</f>
        <v>21.3684104750341</v>
      </c>
      <c r="L38" s="21" t="n">
        <f aca="false">L35+L36+L37</f>
        <v>28.8533521142893</v>
      </c>
      <c r="M38" s="21" t="n">
        <f aca="false">M35+M36+M37</f>
        <v>36.9349927321065</v>
      </c>
    </row>
    <row r="40" customFormat="false" ht="17.15" hidden="false" customHeight="false" outlineLevel="0" collapsed="false">
      <c r="A40" s="24" t="s">
        <v>848</v>
      </c>
    </row>
    <row r="41" customFormat="false" ht="15" hidden="false" customHeight="false" outlineLevel="0" collapsed="false">
      <c r="A41" s="3" t="s">
        <v>43</v>
      </c>
      <c r="B41" s="3" t="s">
        <v>44</v>
      </c>
      <c r="C41" s="14" t="s">
        <v>746</v>
      </c>
      <c r="D41" s="14" t="s">
        <v>747</v>
      </c>
      <c r="E41" s="14" t="s">
        <v>748</v>
      </c>
      <c r="F41" s="14" t="s">
        <v>749</v>
      </c>
      <c r="G41" s="14" t="s">
        <v>750</v>
      </c>
      <c r="H41" s="14" t="s">
        <v>751</v>
      </c>
      <c r="I41" s="14" t="s">
        <v>752</v>
      </c>
      <c r="J41" s="14" t="s">
        <v>753</v>
      </c>
      <c r="K41" s="14" t="s">
        <v>754</v>
      </c>
      <c r="L41" s="14" t="s">
        <v>755</v>
      </c>
      <c r="M41" s="14" t="s">
        <v>756</v>
      </c>
      <c r="N41" s="3" t="s">
        <v>50</v>
      </c>
    </row>
    <row r="42" customFormat="false" ht="17.15" hidden="false" customHeight="false" outlineLevel="0" collapsed="false">
      <c r="A42" s="0" t="s">
        <v>814</v>
      </c>
      <c r="B42" s="0" t="s">
        <v>99</v>
      </c>
      <c r="F42" s="19" t="n">
        <f aca="false">g0_search</f>
        <v>0.168013211016221</v>
      </c>
      <c r="H42" s="19" t="n">
        <f aca="false">g0_search+(gl_search-g0_search)*MIN(1,(2027-2026)/conv_n)</f>
        <v>0.146009908262166</v>
      </c>
      <c r="I42" s="19" t="n">
        <f aca="false">g0_search+(gl_search-g0_search)*MIN(1,(2028-2026)/conv_n)</f>
        <v>0.124006605508111</v>
      </c>
      <c r="J42" s="19" t="n">
        <f aca="false">g0_search+(gl_search-g0_search)*MIN(1,(2029-2026)/conv_n)</f>
        <v>0.102003302754055</v>
      </c>
      <c r="K42" s="19" t="n">
        <f aca="false">g0_search+(gl_search-g0_search)*MIN(1,(2030-2026)/conv_n)</f>
        <v>0.08</v>
      </c>
      <c r="L42" s="19" t="n">
        <f aca="false">g0_search+(gl_search-g0_search)*MIN(1,(2031-2026)/conv_n)</f>
        <v>0.08</v>
      </c>
      <c r="M42" s="19" t="n">
        <f aca="false">g0_search+(gl_search-g0_search)*MIN(1,(2032-2026)/conv_n)</f>
        <v>0.08</v>
      </c>
      <c r="N42" s="7" t="s">
        <v>815</v>
      </c>
    </row>
    <row r="43" customFormat="false" ht="17.15" hidden="false" customHeight="false" outlineLevel="0" collapsed="false">
      <c r="A43" s="0" t="s">
        <v>816</v>
      </c>
      <c r="B43" s="0" t="s">
        <v>76</v>
      </c>
      <c r="C43" s="21" t="n">
        <f aca="false">Q!J5</f>
        <v>198.084</v>
      </c>
      <c r="D43" s="21" t="n">
        <f aca="false">Q!K5</f>
        <v>224.532</v>
      </c>
      <c r="E43" s="21" t="n">
        <f aca="false">Q!L5</f>
        <v>123.67</v>
      </c>
      <c r="F43" s="21" t="n">
        <f aca="false">(Q!F5+Q!G5)*(1+F42)</f>
        <v>139.741100565981</v>
      </c>
      <c r="G43" s="21" t="n">
        <f aca="false">E43+F43</f>
        <v>263.411100565981</v>
      </c>
      <c r="H43" s="21" t="n">
        <f aca="false">G43*(1+H42)</f>
        <v>301.871731194856</v>
      </c>
      <c r="I43" s="21" t="n">
        <f aca="false">H43*(1+I42)</f>
        <v>339.305819879187</v>
      </c>
      <c r="J43" s="21" t="n">
        <f aca="false">I43*(1+J42)</f>
        <v>373.916134150536</v>
      </c>
      <c r="K43" s="21" t="n">
        <f aca="false">J43*(1+K42)</f>
        <v>403.829424882579</v>
      </c>
      <c r="L43" s="21" t="n">
        <f aca="false">K43*(1+L42)</f>
        <v>436.135778873185</v>
      </c>
      <c r="M43" s="21" t="n">
        <f aca="false">L43*(1+M42)</f>
        <v>471.02664118304</v>
      </c>
    </row>
    <row r="44" customFormat="false" ht="17.15" hidden="false" customHeight="false" outlineLevel="0" collapsed="false">
      <c r="A44" s="4" t="s">
        <v>817</v>
      </c>
      <c r="B44" s="0" t="s">
        <v>119</v>
      </c>
      <c r="F44" s="17" t="n">
        <v>0</v>
      </c>
      <c r="H44" s="18" t="n">
        <f aca="false">MIN(1,(2027-2026)/conv_n)</f>
        <v>0.25</v>
      </c>
      <c r="I44" s="18" t="n">
        <f aca="false">MIN(1,(2028-2026)/conv_n)</f>
        <v>0.5</v>
      </c>
      <c r="J44" s="18" t="n">
        <f aca="false">MIN(1,(2029-2026)/conv_n)</f>
        <v>0.75</v>
      </c>
      <c r="K44" s="18" t="n">
        <f aca="false">MIN(1,(2030-2026)/conv_n)</f>
        <v>1</v>
      </c>
      <c r="L44" s="18" t="n">
        <f aca="false">MIN(1,(2031-2026)/conv_n)</f>
        <v>1</v>
      </c>
      <c r="M44" s="18" t="n">
        <f aca="false">MIN(1,(2032-2026)/conv_n)</f>
        <v>1</v>
      </c>
    </row>
    <row r="45" customFormat="false" ht="17.15" hidden="false" customHeight="false" outlineLevel="0" collapsed="false">
      <c r="A45" s="4" t="s">
        <v>818</v>
      </c>
      <c r="B45" s="0" t="s">
        <v>99</v>
      </c>
      <c r="F45" s="19" t="n">
        <f aca="false">0*F44</f>
        <v>0</v>
      </c>
      <c r="H45" s="19" t="n">
        <f aca="false">0*H44</f>
        <v>0</v>
      </c>
      <c r="I45" s="19" t="n">
        <f aca="false">0*I44</f>
        <v>0</v>
      </c>
      <c r="J45" s="19" t="n">
        <f aca="false">0*J44</f>
        <v>0</v>
      </c>
      <c r="K45" s="19" t="n">
        <f aca="false">0*K44</f>
        <v>0</v>
      </c>
      <c r="L45" s="19" t="n">
        <f aca="false">0*L44</f>
        <v>0</v>
      </c>
      <c r="M45" s="19" t="n">
        <f aca="false">0*M44</f>
        <v>0</v>
      </c>
      <c r="N45" s="4" t="s">
        <v>849</v>
      </c>
    </row>
    <row r="46" customFormat="false" ht="17.15" hidden="false" customHeight="false" outlineLevel="0" collapsed="false">
      <c r="A46" s="4" t="s">
        <v>820</v>
      </c>
      <c r="B46" s="0" t="s">
        <v>99</v>
      </c>
      <c r="F46" s="19" t="n">
        <f aca="false">0*F44</f>
        <v>0</v>
      </c>
      <c r="H46" s="19" t="n">
        <f aca="false">0*H44</f>
        <v>0</v>
      </c>
      <c r="I46" s="19" t="n">
        <f aca="false">0*I44</f>
        <v>0</v>
      </c>
      <c r="J46" s="19" t="n">
        <f aca="false">0*J44</f>
        <v>0</v>
      </c>
      <c r="K46" s="19" t="n">
        <f aca="false">0*K44</f>
        <v>0</v>
      </c>
      <c r="L46" s="19" t="n">
        <f aca="false">0*L44</f>
        <v>0</v>
      </c>
      <c r="M46" s="19" t="n">
        <f aca="false">0*M44</f>
        <v>0</v>
      </c>
    </row>
    <row r="47" customFormat="false" ht="15" hidden="false" customHeight="false" outlineLevel="0" collapsed="false">
      <c r="A47" s="5" t="s">
        <v>640</v>
      </c>
      <c r="B47" s="7" t="s">
        <v>76</v>
      </c>
      <c r="C47" s="21" t="n">
        <f aca="false">C43</f>
        <v>198.084</v>
      </c>
      <c r="D47" s="21" t="n">
        <f aca="false">D43</f>
        <v>224.532</v>
      </c>
      <c r="E47" s="21" t="n">
        <f aca="false">E43</f>
        <v>123.67</v>
      </c>
      <c r="F47" s="21" t="n">
        <f aca="false">F43*(1-F45)*(1+F46)</f>
        <v>139.741100565981</v>
      </c>
      <c r="G47" s="21" t="n">
        <f aca="false">E47+F47</f>
        <v>263.411100565981</v>
      </c>
      <c r="H47" s="21" t="n">
        <f aca="false">H43*(1-H45)*(1+H46)</f>
        <v>301.871731194856</v>
      </c>
      <c r="I47" s="21" t="n">
        <f aca="false">I43*(1-I45)*(1+I46)</f>
        <v>339.305819879187</v>
      </c>
      <c r="J47" s="21" t="n">
        <f aca="false">J43*(1-J45)*(1+J46)</f>
        <v>373.916134150536</v>
      </c>
      <c r="K47" s="21" t="n">
        <f aca="false">K43*(1-K45)*(1+K46)</f>
        <v>403.829424882579</v>
      </c>
      <c r="L47" s="21" t="n">
        <f aca="false">L43*(1-L45)*(1+L46)</f>
        <v>436.135778873185</v>
      </c>
      <c r="M47" s="21" t="n">
        <f aca="false">M43*(1-M45)*(1+M46)</f>
        <v>471.02664118304</v>
      </c>
    </row>
    <row r="48" customFormat="false" ht="17.15" hidden="false" customHeight="false" outlineLevel="0" collapsed="false">
      <c r="A48" s="0" t="s">
        <v>821</v>
      </c>
      <c r="B48" s="0" t="s">
        <v>99</v>
      </c>
      <c r="F48" s="19" t="n">
        <f aca="false">g0_yt</f>
        <v>0.117139334155364</v>
      </c>
      <c r="H48" s="19" t="n">
        <f aca="false">g0_yt+(gl_yt-g0_yt)*MIN(1,(2027-2026)/conv_n)</f>
        <v>0.107854500616523</v>
      </c>
      <c r="I48" s="19" t="n">
        <f aca="false">g0_yt+(gl_yt-g0_yt)*MIN(1,(2028-2026)/conv_n)</f>
        <v>0.0985696670776819</v>
      </c>
      <c r="J48" s="19" t="n">
        <f aca="false">g0_yt+(gl_yt-g0_yt)*MIN(1,(2029-2026)/conv_n)</f>
        <v>0.0892848335388409</v>
      </c>
      <c r="K48" s="19" t="n">
        <f aca="false">g0_yt+(gl_yt-g0_yt)*MIN(1,(2030-2026)/conv_n)</f>
        <v>0.08</v>
      </c>
      <c r="L48" s="19" t="n">
        <f aca="false">g0_yt+(gl_yt-g0_yt)*MIN(1,(2031-2026)/conv_n)</f>
        <v>0.08</v>
      </c>
      <c r="M48" s="19" t="n">
        <f aca="false">g0_yt+(gl_yt-g0_yt)*MIN(1,(2032-2026)/conv_n)</f>
        <v>0.08</v>
      </c>
      <c r="N48" s="4" t="s">
        <v>822</v>
      </c>
    </row>
    <row r="49" customFormat="false" ht="15" hidden="false" customHeight="false" outlineLevel="0" collapsed="false">
      <c r="A49" s="5" t="s">
        <v>643</v>
      </c>
      <c r="B49" s="7" t="s">
        <v>76</v>
      </c>
      <c r="C49" s="21" t="n">
        <f aca="false">Q!J6</f>
        <v>36.147</v>
      </c>
      <c r="D49" s="21" t="n">
        <f aca="false">Q!K6</f>
        <v>40.367</v>
      </c>
      <c r="E49" s="21" t="n">
        <f aca="false">Q!L6</f>
        <v>20.938</v>
      </c>
      <c r="F49" s="21" t="n">
        <f aca="false">(Q!F6+Q!G6)*(1+F48)</f>
        <v>24.1793637484587</v>
      </c>
      <c r="G49" s="21" t="n">
        <f aca="false">E49+F49</f>
        <v>45.1173637484587</v>
      </c>
      <c r="H49" s="21" t="n">
        <f aca="false">G49*(1+H48)</f>
        <v>49.9834744846827</v>
      </c>
      <c r="I49" s="21" t="n">
        <f aca="false">H49*(1+I48)</f>
        <v>54.9103289240237</v>
      </c>
      <c r="J49" s="21" t="n">
        <f aca="false">I49*(1+J48)</f>
        <v>59.8129885015682</v>
      </c>
      <c r="K49" s="21" t="n">
        <f aca="false">J49*(1+K48)</f>
        <v>64.5980275816936</v>
      </c>
      <c r="L49" s="21" t="n">
        <f aca="false">K49*(1+L48)</f>
        <v>69.7658697882291</v>
      </c>
      <c r="M49" s="21" t="n">
        <f aca="false">L49*(1+M48)</f>
        <v>75.3471393712874</v>
      </c>
    </row>
    <row r="50" customFormat="false" ht="17.15" hidden="false" customHeight="false" outlineLevel="0" collapsed="false">
      <c r="A50" s="0" t="s">
        <v>823</v>
      </c>
      <c r="B50" s="0" t="s">
        <v>99</v>
      </c>
      <c r="F50" s="19" t="n">
        <f aca="false">g0_net</f>
        <v>-0.0217853347502657</v>
      </c>
      <c r="H50" s="19" t="n">
        <f aca="false">g0_net+(gl_net-g0_net)*MIN(1,(2027-2026)/conv_n)</f>
        <v>-0.0163390010626993</v>
      </c>
      <c r="I50" s="19" t="n">
        <f aca="false">g0_net+(gl_net-g0_net)*MIN(1,(2028-2026)/conv_n)</f>
        <v>-0.0108926673751328</v>
      </c>
      <c r="J50" s="19" t="n">
        <f aca="false">g0_net+(gl_net-g0_net)*MIN(1,(2029-2026)/conv_n)</f>
        <v>-0.00544633368756642</v>
      </c>
      <c r="K50" s="19" t="n">
        <f aca="false">g0_net+(gl_net-g0_net)*MIN(1,(2030-2026)/conv_n)</f>
        <v>0</v>
      </c>
      <c r="L50" s="19" t="n">
        <f aca="false">g0_net+(gl_net-g0_net)*MIN(1,(2031-2026)/conv_n)</f>
        <v>0</v>
      </c>
      <c r="M50" s="19" t="n">
        <f aca="false">g0_net+(gl_net-g0_net)*MIN(1,(2032-2026)/conv_n)</f>
        <v>0</v>
      </c>
      <c r="N50" s="4" t="s">
        <v>822</v>
      </c>
    </row>
    <row r="51" customFormat="false" ht="15" hidden="false" customHeight="false" outlineLevel="0" collapsed="false">
      <c r="A51" s="5" t="s">
        <v>644</v>
      </c>
      <c r="B51" s="7" t="s">
        <v>76</v>
      </c>
      <c r="C51" s="21" t="n">
        <f aca="false">Q!J7</f>
        <v>30.359</v>
      </c>
      <c r="D51" s="21" t="n">
        <f aca="false">Q!K7</f>
        <v>29.792</v>
      </c>
      <c r="E51" s="21" t="n">
        <f aca="false">Q!L7</f>
        <v>14.274</v>
      </c>
      <c r="F51" s="21" t="n">
        <f aca="false">(Q!F7+Q!G7)*(1+F50)</f>
        <v>14.8512550478215</v>
      </c>
      <c r="G51" s="21" t="n">
        <f aca="false">E51+F51</f>
        <v>29.1252550478215</v>
      </c>
      <c r="H51" s="21" t="n">
        <f aca="false">G51*(1+H50)</f>
        <v>28.6493774746437</v>
      </c>
      <c r="I51" s="21" t="n">
        <f aca="false">H51*(1+I50)</f>
        <v>28.3373093353078</v>
      </c>
      <c r="J51" s="21" t="n">
        <f aca="false">I51*(1+J50)</f>
        <v>28.1829748928599</v>
      </c>
      <c r="K51" s="21" t="n">
        <f aca="false">J51*(1+K50)</f>
        <v>28.1829748928599</v>
      </c>
      <c r="L51" s="21" t="n">
        <f aca="false">K51*(1+L50)</f>
        <v>28.1829748928599</v>
      </c>
      <c r="M51" s="21" t="n">
        <f aca="false">L51*(1+M50)</f>
        <v>28.1829748928599</v>
      </c>
    </row>
    <row r="52" customFormat="false" ht="17.15" hidden="false" customHeight="false" outlineLevel="0" collapsed="false">
      <c r="A52" s="0" t="s">
        <v>824</v>
      </c>
      <c r="B52" s="0" t="s">
        <v>99</v>
      </c>
      <c r="F52" s="19" t="n">
        <f aca="false">g0_subs</f>
        <v>0.179435162180028</v>
      </c>
      <c r="H52" s="19" t="n">
        <f aca="false">g0_subs+(gl_subs-g0_subs)*MIN(1,(2027-2026)/conv_n)</f>
        <v>0.159576371635021</v>
      </c>
      <c r="I52" s="19" t="n">
        <f aca="false">g0_subs+(gl_subs-g0_subs)*MIN(1,(2028-2026)/conv_n)</f>
        <v>0.139717581090014</v>
      </c>
      <c r="J52" s="19" t="n">
        <f aca="false">g0_subs+(gl_subs-g0_subs)*MIN(1,(2029-2026)/conv_n)</f>
        <v>0.119858790545007</v>
      </c>
      <c r="K52" s="19" t="n">
        <f aca="false">g0_subs+(gl_subs-g0_subs)*MIN(1,(2030-2026)/conv_n)</f>
        <v>0.1</v>
      </c>
      <c r="L52" s="19" t="n">
        <f aca="false">g0_subs+(gl_subs-g0_subs)*MIN(1,(2031-2026)/conv_n)</f>
        <v>0.1</v>
      </c>
      <c r="M52" s="19" t="n">
        <f aca="false">g0_subs+(gl_subs-g0_subs)*MIN(1,(2032-2026)/conv_n)</f>
        <v>0.1</v>
      </c>
      <c r="N52" s="4" t="s">
        <v>822</v>
      </c>
    </row>
    <row r="53" customFormat="false" ht="15" hidden="false" customHeight="false" outlineLevel="0" collapsed="false">
      <c r="A53" s="5" t="s">
        <v>645</v>
      </c>
      <c r="B53" s="7" t="s">
        <v>76</v>
      </c>
      <c r="C53" s="21" t="n">
        <f aca="false">Q!J8</f>
        <v>40.34</v>
      </c>
      <c r="D53" s="21" t="n">
        <f aca="false">Q!K8</f>
        <v>48.03</v>
      </c>
      <c r="E53" s="21" t="n">
        <f aca="false">Q!L8</f>
        <v>25.295</v>
      </c>
      <c r="F53" s="21" t="n">
        <f aca="false">(Q!F8+Q!G8)*(1+F52)</f>
        <v>31.1937011693374</v>
      </c>
      <c r="G53" s="21" t="n">
        <f aca="false">E53+F53</f>
        <v>56.4887011693374</v>
      </c>
      <c r="H53" s="21" t="n">
        <f aca="false">G53*(1+H52)</f>
        <v>65.5029631403152</v>
      </c>
      <c r="I53" s="21" t="n">
        <f aca="false">H53*(1+I52)</f>
        <v>74.6548787045084</v>
      </c>
      <c r="J53" s="21" t="n">
        <f aca="false">I53*(1+J52)</f>
        <v>83.602922174315</v>
      </c>
      <c r="K53" s="21" t="n">
        <f aca="false">J53*(1+K52)</f>
        <v>91.9632143917465</v>
      </c>
      <c r="L53" s="21" t="n">
        <f aca="false">K53*(1+L52)</f>
        <v>101.159535830921</v>
      </c>
      <c r="M53" s="21" t="n">
        <f aca="false">L53*(1+M52)</f>
        <v>111.275489414013</v>
      </c>
    </row>
    <row r="54" customFormat="false" ht="15" hidden="false" customHeight="false" outlineLevel="0" collapsed="false">
      <c r="A54" s="25" t="s">
        <v>825</v>
      </c>
      <c r="B54" s="26" t="s">
        <v>76</v>
      </c>
      <c r="C54" s="27" t="n">
        <f aca="false">Q!J9</f>
        <v>304.93</v>
      </c>
      <c r="D54" s="27" t="n">
        <f aca="false">Q!K9</f>
        <v>342.721</v>
      </c>
      <c r="E54" s="27" t="n">
        <f aca="false">Q!L9</f>
        <v>184.177</v>
      </c>
      <c r="F54" s="27" t="n">
        <f aca="false">F47+F49+F51+F53</f>
        <v>209.965420531598</v>
      </c>
      <c r="G54" s="27" t="n">
        <f aca="false">E54+F54</f>
        <v>394.142420531598</v>
      </c>
      <c r="H54" s="27" t="n">
        <f aca="false">H47+H49+H51+H53</f>
        <v>446.007546294497</v>
      </c>
      <c r="I54" s="27" t="n">
        <f aca="false">I47+I49+I51+I53</f>
        <v>497.208336843026</v>
      </c>
      <c r="J54" s="27" t="n">
        <f aca="false">J47+J49+J51+J53</f>
        <v>545.515019719279</v>
      </c>
      <c r="K54" s="27" t="n">
        <f aca="false">K47+K49+K51+K53</f>
        <v>588.573641748879</v>
      </c>
      <c r="L54" s="27" t="n">
        <f aca="false">L47+L49+L51+L53</f>
        <v>635.244159385196</v>
      </c>
      <c r="M54" s="27" t="n">
        <f aca="false">M47+M49+M51+M53</f>
        <v>685.832244861201</v>
      </c>
      <c r="N54" s="26"/>
    </row>
    <row r="55" customFormat="false" ht="17.15" hidden="false" customHeight="false" outlineLevel="0" collapsed="false">
      <c r="A55" s="0" t="s">
        <v>826</v>
      </c>
      <c r="B55" s="0" t="s">
        <v>76</v>
      </c>
      <c r="E55" s="21" t="n">
        <f aca="false">Thesis!E38</f>
        <v>9.75837289307536</v>
      </c>
      <c r="F55" s="21" t="n">
        <f aca="false">Thesis!F38</f>
        <v>13.072238179387</v>
      </c>
      <c r="G55" s="21" t="n">
        <f aca="false">Thesis!G38</f>
        <v>22.8306110724624</v>
      </c>
      <c r="H55" s="21" t="n">
        <f aca="false">Thesis!H38</f>
        <v>38.882857987105</v>
      </c>
      <c r="I55" s="21" t="n">
        <f aca="false">Thesis!I38</f>
        <v>56.7035586757632</v>
      </c>
      <c r="J55" s="21" t="n">
        <f aca="false">Thesis!J38</f>
        <v>75.0259744749515</v>
      </c>
      <c r="K55" s="21" t="n">
        <f aca="false">Thesis!K38</f>
        <v>93.3483902741398</v>
      </c>
      <c r="L55" s="21" t="n">
        <f aca="false">Thesis!L38</f>
        <v>111.670806073328</v>
      </c>
      <c r="M55" s="21" t="n">
        <f aca="false">Thesis!M38</f>
        <v>129.993221872516</v>
      </c>
      <c r="N55" s="7" t="s">
        <v>827</v>
      </c>
    </row>
    <row r="56" customFormat="false" ht="17.15" hidden="false" customHeight="false" outlineLevel="0" collapsed="false">
      <c r="A56" s="0" t="s">
        <v>828</v>
      </c>
      <c r="B56" s="0" t="s">
        <v>76</v>
      </c>
      <c r="E56" s="23" t="n">
        <v>0</v>
      </c>
      <c r="F56" s="21" t="n">
        <f aca="false">tpu_2h</f>
        <v>1</v>
      </c>
      <c r="G56" s="21" t="n">
        <f aca="false">E56+F56</f>
        <v>1</v>
      </c>
      <c r="H56" s="21" t="n">
        <f aca="false">tpu_yr</f>
        <v>13</v>
      </c>
      <c r="I56" s="21" t="n">
        <f aca="false">tpu_yr</f>
        <v>13</v>
      </c>
      <c r="J56" s="21" t="n">
        <f aca="false">tpu_yr</f>
        <v>13</v>
      </c>
      <c r="K56" s="21" t="n">
        <f aca="false">tpu_yr</f>
        <v>13</v>
      </c>
      <c r="L56" s="21" t="n">
        <f aca="false">tpu_yr</f>
        <v>13</v>
      </c>
      <c r="M56" s="21" t="n">
        <f aca="false">tpu_yr</f>
        <v>13</v>
      </c>
      <c r="N56" s="7" t="s">
        <v>829</v>
      </c>
    </row>
    <row r="57" customFormat="false" ht="17.15" hidden="false" customHeight="false" outlineLevel="0" collapsed="false">
      <c r="A57" s="0" t="s">
        <v>830</v>
      </c>
      <c r="B57" s="0" t="s">
        <v>99</v>
      </c>
      <c r="F57" s="19" t="n">
        <f aca="false">g0_co</f>
        <v>0.463122459535209</v>
      </c>
      <c r="H57" s="19" t="n">
        <f aca="false">g0_co+(gl_co-g0_co)*MIN(1,(2027-2026)/conv_n)</f>
        <v>0.367341844651407</v>
      </c>
      <c r="I57" s="19" t="n">
        <f aca="false">g0_co+(gl_co-g0_co)*MIN(1,(2028-2026)/conv_n)</f>
        <v>0.271561229767605</v>
      </c>
      <c r="J57" s="19" t="n">
        <f aca="false">g0_co+(gl_co-g0_co)*MIN(1,(2029-2026)/conv_n)</f>
        <v>0.175780614883802</v>
      </c>
      <c r="K57" s="19" t="n">
        <f aca="false">g0_co+(gl_co-g0_co)*MIN(1,(2030-2026)/conv_n)</f>
        <v>0.08</v>
      </c>
      <c r="L57" s="19" t="n">
        <f aca="false">g0_co+(gl_co-g0_co)*MIN(1,(2031-2026)/conv_n)</f>
        <v>0.08</v>
      </c>
      <c r="M57" s="19" t="n">
        <f aca="false">g0_co+(gl_co-g0_co)*MIN(1,(2032-2026)/conv_n)</f>
        <v>0.08</v>
      </c>
      <c r="N57" s="4" t="s">
        <v>831</v>
      </c>
    </row>
    <row r="58" customFormat="false" ht="17.15" hidden="false" customHeight="false" outlineLevel="0" collapsed="false">
      <c r="A58" s="0" t="s">
        <v>832</v>
      </c>
      <c r="B58" s="0" t="s">
        <v>76</v>
      </c>
      <c r="E58" s="21" t="n">
        <f aca="false">Q!L11-E55-E56</f>
        <v>35.0376271069246</v>
      </c>
      <c r="F58" s="21" t="n">
        <f aca="false">E58*(1+F57)^0.5</f>
        <v>42.3813732550541</v>
      </c>
      <c r="G58" s="21" t="n">
        <f aca="false">E58+F58</f>
        <v>77.4190003619788</v>
      </c>
      <c r="H58" s="21" t="n">
        <f aca="false">G58*(1+H57)</f>
        <v>105.858238766016</v>
      </c>
      <c r="I58" s="21" t="n">
        <f aca="false">H58*(1+I57)</f>
        <v>134.605232266348</v>
      </c>
      <c r="J58" s="21" t="n">
        <f aca="false">I58*(1+J57)</f>
        <v>158.266222760704</v>
      </c>
      <c r="K58" s="21" t="n">
        <f aca="false">J58*(1+K57)</f>
        <v>170.92752058156</v>
      </c>
      <c r="L58" s="21" t="n">
        <f aca="false">K58*(1+L57)</f>
        <v>184.601722228085</v>
      </c>
      <c r="M58" s="21" t="n">
        <f aca="false">L58*(1+M57)</f>
        <v>199.369860006332</v>
      </c>
      <c r="N58" s="7" t="s">
        <v>833</v>
      </c>
    </row>
    <row r="59" customFormat="false" ht="15" hidden="false" customHeight="false" outlineLevel="0" collapsed="false">
      <c r="A59" s="25" t="s">
        <v>834</v>
      </c>
      <c r="B59" s="26" t="s">
        <v>76</v>
      </c>
      <c r="C59" s="27" t="n">
        <f aca="false">Q!J11</f>
        <v>43.229</v>
      </c>
      <c r="D59" s="27" t="n">
        <f aca="false">Q!K11</f>
        <v>58.705</v>
      </c>
      <c r="E59" s="27" t="n">
        <f aca="false">Q!L11</f>
        <v>44.796</v>
      </c>
      <c r="F59" s="27" t="n">
        <f aca="false">F55+F56+F58</f>
        <v>56.4536114344411</v>
      </c>
      <c r="G59" s="27" t="n">
        <f aca="false">E59+F59</f>
        <v>101.249611434441</v>
      </c>
      <c r="H59" s="27" t="n">
        <f aca="false">H55+H56+H58</f>
        <v>157.741096753121</v>
      </c>
      <c r="I59" s="27" t="n">
        <f aca="false">I55+I56+I58</f>
        <v>204.308790942111</v>
      </c>
      <c r="J59" s="27" t="n">
        <f aca="false">J55+J56+J58</f>
        <v>246.292197235655</v>
      </c>
      <c r="K59" s="27" t="n">
        <f aca="false">K55+K56+K58</f>
        <v>277.2759108557</v>
      </c>
      <c r="L59" s="27" t="n">
        <f aca="false">L55+L56+L58</f>
        <v>309.272528301413</v>
      </c>
      <c r="M59" s="27" t="n">
        <f aca="false">M55+M56+M58</f>
        <v>342.363081878848</v>
      </c>
      <c r="N59" s="26"/>
    </row>
    <row r="60" customFormat="false" ht="15" hidden="false" customHeight="false" outlineLevel="0" collapsed="false">
      <c r="A60" s="25" t="s">
        <v>835</v>
      </c>
      <c r="B60" s="26" t="s">
        <v>76</v>
      </c>
      <c r="C60" s="27" t="n">
        <f aca="false">Q!J12</f>
        <v>1.648</v>
      </c>
      <c r="D60" s="27" t="n">
        <f aca="false">Q!K12</f>
        <v>1.537</v>
      </c>
      <c r="E60" s="27" t="n">
        <f aca="false">Q!L12</f>
        <v>0.793</v>
      </c>
      <c r="F60" s="27" t="n">
        <f aca="false">ob_rev_2H</f>
        <v>0.75</v>
      </c>
      <c r="G60" s="27" t="n">
        <f aca="false">E60+F60</f>
        <v>1.543</v>
      </c>
      <c r="H60" s="27" t="n">
        <f aca="false">ob_rev_27</f>
        <v>1.6</v>
      </c>
      <c r="I60" s="27" t="n">
        <f aca="false">ob_rev_28</f>
        <v>1.8</v>
      </c>
      <c r="J60" s="27" t="n">
        <f aca="false">ob_rev_29</f>
        <v>2</v>
      </c>
      <c r="K60" s="27" t="n">
        <f aca="false">ob_rev_30</f>
        <v>2.2</v>
      </c>
      <c r="L60" s="27" t="n">
        <f aca="false">ob_rev_31</f>
        <v>2.4</v>
      </c>
      <c r="M60" s="27" t="n">
        <f aca="false">ob_rev_32</f>
        <v>2.6</v>
      </c>
      <c r="N60" s="26"/>
    </row>
    <row r="61" customFormat="false" ht="17.15" hidden="false" customHeight="false" outlineLevel="0" collapsed="false">
      <c r="A61" s="0" t="s">
        <v>836</v>
      </c>
      <c r="B61" s="0" t="s">
        <v>76</v>
      </c>
      <c r="C61" s="21" t="n">
        <f aca="false">Q!J13</f>
        <v>0.211</v>
      </c>
      <c r="D61" s="21" t="n">
        <f aca="false">Q!K13</f>
        <v>-0.127</v>
      </c>
      <c r="E61" s="21" t="n">
        <f aca="false">Q!L13</f>
        <v>-0.074</v>
      </c>
      <c r="F61" s="23" t="n">
        <v>0</v>
      </c>
      <c r="G61" s="21" t="n">
        <f aca="false">E61+F61</f>
        <v>-0.074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7" t="s">
        <v>837</v>
      </c>
    </row>
    <row r="62" customFormat="false" ht="15" hidden="false" customHeight="false" outlineLevel="0" collapsed="false">
      <c r="A62" s="2" t="s">
        <v>652</v>
      </c>
      <c r="B62" s="7" t="s">
        <v>76</v>
      </c>
      <c r="C62" s="21" t="n">
        <f aca="false">Q!J14</f>
        <v>350.018</v>
      </c>
      <c r="D62" s="21" t="n">
        <f aca="false">Q!K14</f>
        <v>402.836</v>
      </c>
      <c r="E62" s="21" t="n">
        <f aca="false">Q!L14</f>
        <v>229.692</v>
      </c>
      <c r="F62" s="21" t="n">
        <f aca="false">F54+F59+F60+F61</f>
        <v>267.169031966039</v>
      </c>
      <c r="G62" s="21" t="n">
        <f aca="false">E62+F62</f>
        <v>496.861031966039</v>
      </c>
      <c r="H62" s="21" t="n">
        <f aca="false">H54+H59+H60+H61</f>
        <v>605.348643047618</v>
      </c>
      <c r="I62" s="21" t="n">
        <f aca="false">I54+I59+I60+I61</f>
        <v>703.317127785138</v>
      </c>
      <c r="J62" s="21" t="n">
        <f aca="false">J54+J59+J60+J61</f>
        <v>793.807216954934</v>
      </c>
      <c r="K62" s="21" t="n">
        <f aca="false">K54+K59+K60+K61</f>
        <v>868.049552604579</v>
      </c>
      <c r="L62" s="21" t="n">
        <f aca="false">L54+L59+L60+L61</f>
        <v>946.916687686609</v>
      </c>
      <c r="M62" s="21" t="n">
        <f aca="false">M54+M59+M60+M61</f>
        <v>1030.79532674005</v>
      </c>
    </row>
    <row r="63" customFormat="false" ht="17.15" hidden="false" customHeight="false" outlineLevel="0" collapsed="false">
      <c r="A63" s="4" t="s">
        <v>647</v>
      </c>
      <c r="B63" s="0" t="s">
        <v>76</v>
      </c>
      <c r="C63" s="16" t="n">
        <f aca="false">C47+C49+C51+C53-C54</f>
        <v>0</v>
      </c>
      <c r="D63" s="16" t="n">
        <f aca="false">D47+D49+D51+D53-D54</f>
        <v>0</v>
      </c>
      <c r="E63" s="16" t="n">
        <f aca="false">E47+E49+E51+E53-E54</f>
        <v>0</v>
      </c>
      <c r="F63" s="16" t="n">
        <f aca="false">F47+F49+F51+F53-F54</f>
        <v>0</v>
      </c>
      <c r="G63" s="16" t="n">
        <f aca="false">G47+G49+G51+G53-G54</f>
        <v>0</v>
      </c>
      <c r="H63" s="16" t="n">
        <f aca="false">H47+H49+H51+H53-H54</f>
        <v>0</v>
      </c>
      <c r="I63" s="16" t="n">
        <f aca="false">I47+I49+I51+I53-I54</f>
        <v>0</v>
      </c>
      <c r="J63" s="16" t="n">
        <f aca="false">J47+J49+J51+J53-J54</f>
        <v>0</v>
      </c>
      <c r="K63" s="16" t="n">
        <f aca="false">K47+K49+K51+K53-K54</f>
        <v>0</v>
      </c>
      <c r="L63" s="16" t="n">
        <f aca="false">L47+L49+L51+L53-L54</f>
        <v>0</v>
      </c>
      <c r="M63" s="16" t="n">
        <f aca="false">M47+M49+M51+M53-M54</f>
        <v>0</v>
      </c>
    </row>
    <row r="64" customFormat="false" ht="17.15" hidden="false" customHeight="false" outlineLevel="0" collapsed="false">
      <c r="A64" s="4" t="s">
        <v>838</v>
      </c>
      <c r="B64" s="0" t="s">
        <v>76</v>
      </c>
      <c r="E64" s="16" t="n">
        <f aca="false">E55+E56+E58-E59</f>
        <v>0</v>
      </c>
      <c r="F64" s="16" t="n">
        <f aca="false">F55+F56+F58-F59</f>
        <v>0</v>
      </c>
      <c r="G64" s="16" t="n">
        <f aca="false">G55+G56+G58-G59</f>
        <v>0</v>
      </c>
      <c r="H64" s="16" t="n">
        <f aca="false">H55+H56+H58-H59</f>
        <v>0</v>
      </c>
      <c r="I64" s="16" t="n">
        <f aca="false">I55+I56+I58-I59</f>
        <v>0</v>
      </c>
      <c r="J64" s="16" t="n">
        <f aca="false">J55+J56+J58-J59</f>
        <v>0</v>
      </c>
      <c r="K64" s="16" t="n">
        <f aca="false">K55+K56+K58-K59</f>
        <v>0</v>
      </c>
      <c r="L64" s="16" t="n">
        <f aca="false">L55+L56+L58-L59</f>
        <v>0</v>
      </c>
      <c r="M64" s="16" t="n">
        <f aca="false">M55+M56+M58-M59</f>
        <v>0</v>
      </c>
    </row>
    <row r="65" customFormat="false" ht="15" hidden="false" customHeight="false" outlineLevel="0" collapsed="false">
      <c r="A65" s="4" t="s">
        <v>653</v>
      </c>
      <c r="B65" s="0" t="s">
        <v>76</v>
      </c>
      <c r="C65" s="16" t="n">
        <f aca="false">C54+C59+C60+C61-C62</f>
        <v>0</v>
      </c>
      <c r="D65" s="16" t="n">
        <f aca="false">D54+D59+D60+D61-D62</f>
        <v>0</v>
      </c>
      <c r="E65" s="16" t="n">
        <f aca="false">E54+E59+E60+E61-E62</f>
        <v>0</v>
      </c>
      <c r="F65" s="16" t="n">
        <f aca="false">F54+F59+F60+F61-F62</f>
        <v>0</v>
      </c>
      <c r="G65" s="16" t="n">
        <f aca="false">G54+G59+G60+G61-G62</f>
        <v>0</v>
      </c>
      <c r="H65" s="16" t="n">
        <f aca="false">H54+H59+H60+H61-H62</f>
        <v>0</v>
      </c>
      <c r="I65" s="16" t="n">
        <f aca="false">I54+I59+I60+I61-I62</f>
        <v>0</v>
      </c>
      <c r="J65" s="16" t="n">
        <f aca="false">J54+J59+J60+J61-J62</f>
        <v>0</v>
      </c>
      <c r="K65" s="16" t="n">
        <f aca="false">K54+K59+K60+K61-K62</f>
        <v>0</v>
      </c>
      <c r="L65" s="16" t="n">
        <f aca="false">L54+L59+L60+L61-L62</f>
        <v>0</v>
      </c>
      <c r="M65" s="16" t="n">
        <f aca="false">M54+M59+M60+M61-M62</f>
        <v>0</v>
      </c>
    </row>
    <row r="66" customFormat="false" ht="17.15" hidden="false" customHeight="false" outlineLevel="0" collapsed="false">
      <c r="A66" s="4" t="s">
        <v>839</v>
      </c>
      <c r="B66" s="0" t="s">
        <v>76</v>
      </c>
      <c r="C66" s="16" t="n">
        <f aca="false">C62-Q!J14</f>
        <v>0</v>
      </c>
      <c r="D66" s="16" t="n">
        <f aca="false">D62-Q!K14</f>
        <v>0</v>
      </c>
      <c r="E66" s="16" t="n">
        <f aca="false">E62-Q!L14</f>
        <v>0</v>
      </c>
    </row>
    <row r="67" customFormat="false" ht="17.15" hidden="false" customHeight="false" outlineLevel="0" collapsed="false">
      <c r="A67" s="4" t="s">
        <v>840</v>
      </c>
      <c r="B67" s="0" t="s">
        <v>76</v>
      </c>
      <c r="F67" s="21" t="n">
        <f aca="false">F54*cx_svc</f>
        <v>12.5979252318959</v>
      </c>
      <c r="G67" s="21" t="n">
        <f aca="false">F67</f>
        <v>12.5979252318959</v>
      </c>
      <c r="H67" s="21" t="n">
        <f aca="false">H54*cx_svc</f>
        <v>26.7604527776698</v>
      </c>
      <c r="I67" s="21" t="n">
        <f aca="false">I54*cx_svc</f>
        <v>29.8325002105816</v>
      </c>
      <c r="J67" s="21" t="n">
        <f aca="false">J54*cx_svc</f>
        <v>32.7309011831567</v>
      </c>
      <c r="K67" s="21" t="n">
        <f aca="false">K54*cx_svc</f>
        <v>35.3144185049327</v>
      </c>
      <c r="L67" s="21" t="n">
        <f aca="false">L54*cx_svc</f>
        <v>38.1146495631117</v>
      </c>
      <c r="M67" s="21" t="n">
        <f aca="false">M54*cx_svc</f>
        <v>41.1499346916721</v>
      </c>
    </row>
    <row r="68" customFormat="false" ht="17.15" hidden="false" customHeight="false" outlineLevel="0" collapsed="false">
      <c r="A68" s="4" t="s">
        <v>841</v>
      </c>
      <c r="B68" s="0" t="s">
        <v>76</v>
      </c>
      <c r="F68" s="21" t="n">
        <f aca="false">F58*cx_co</f>
        <v>8.47627465101083</v>
      </c>
      <c r="G68" s="21" t="n">
        <f aca="false">F68</f>
        <v>8.47627465101083</v>
      </c>
      <c r="H68" s="21" t="n">
        <f aca="false">H58*cx_co</f>
        <v>21.1716477532032</v>
      </c>
      <c r="I68" s="21" t="n">
        <f aca="false">I58*cx_co</f>
        <v>26.9210464532696</v>
      </c>
      <c r="J68" s="21" t="n">
        <f aca="false">J58*cx_co</f>
        <v>31.6532445521407</v>
      </c>
      <c r="K68" s="21" t="n">
        <f aca="false">K58*cx_co</f>
        <v>34.185504116312</v>
      </c>
      <c r="L68" s="21" t="n">
        <f aca="false">L58*cx_co</f>
        <v>36.920344445617</v>
      </c>
      <c r="M68" s="21" t="n">
        <f aca="false">M58*cx_co</f>
        <v>39.8739720012663</v>
      </c>
    </row>
    <row r="69" customFormat="false" ht="17.15" hidden="false" customHeight="false" outlineLevel="0" collapsed="false">
      <c r="A69" s="4" t="s">
        <v>842</v>
      </c>
      <c r="B69" s="0" t="s">
        <v>76</v>
      </c>
      <c r="F69" s="21" t="n">
        <f aca="false">F60*cx_ob</f>
        <v>0.045</v>
      </c>
      <c r="G69" s="21" t="n">
        <f aca="false">F69</f>
        <v>0.045</v>
      </c>
      <c r="H69" s="21" t="n">
        <f aca="false">H60*cx_ob</f>
        <v>0.096</v>
      </c>
      <c r="I69" s="21" t="n">
        <f aca="false">I60*cx_ob</f>
        <v>0.108</v>
      </c>
      <c r="J69" s="21" t="n">
        <f aca="false">J60*cx_ob</f>
        <v>0.12</v>
      </c>
      <c r="K69" s="21" t="n">
        <f aca="false">K60*cx_ob</f>
        <v>0.132</v>
      </c>
      <c r="L69" s="21" t="n">
        <f aca="false">L60*cx_ob</f>
        <v>0.144</v>
      </c>
      <c r="M69" s="21" t="n">
        <f aca="false">M60*cx_ob</f>
        <v>0.156</v>
      </c>
    </row>
    <row r="70" customFormat="false" ht="17.15" hidden="false" customHeight="false" outlineLevel="0" collapsed="false">
      <c r="A70" s="2" t="s">
        <v>843</v>
      </c>
      <c r="B70" s="7" t="s">
        <v>76</v>
      </c>
      <c r="F70" s="21" t="n">
        <f aca="false">F67+F68+F69</f>
        <v>21.1191998829067</v>
      </c>
      <c r="G70" s="21" t="n">
        <f aca="false">G67+G68+G69</f>
        <v>21.1191998829067</v>
      </c>
      <c r="H70" s="21" t="n">
        <f aca="false">H67+H68+H69</f>
        <v>48.028100530873</v>
      </c>
      <c r="I70" s="21" t="n">
        <f aca="false">I67+I68+I69</f>
        <v>56.8615466638512</v>
      </c>
      <c r="J70" s="21" t="n">
        <f aca="false">J67+J68+J69</f>
        <v>64.5041457352975</v>
      </c>
      <c r="K70" s="21" t="n">
        <f aca="false">K67+K68+K69</f>
        <v>69.6319226212447</v>
      </c>
      <c r="L70" s="21" t="n">
        <f aca="false">L67+L68+L69</f>
        <v>75.1789940087287</v>
      </c>
      <c r="M70" s="21" t="n">
        <f aca="false">M67+M68+M69</f>
        <v>81.1799066929384</v>
      </c>
    </row>
    <row r="71" customFormat="false" ht="17.15" hidden="false" customHeight="false" outlineLevel="0" collapsed="false">
      <c r="A71" s="4" t="s">
        <v>844</v>
      </c>
      <c r="B71" s="0" t="s">
        <v>76</v>
      </c>
      <c r="F71" s="21" t="n">
        <f aca="false">$F$67/life_na*IF(0=0,phi_0,IF(0&lt;life_na,1,IF(0=life_na,1-phi_0,0)))</f>
        <v>0.314948130797397</v>
      </c>
      <c r="G71" s="21" t="n">
        <f aca="false">F71</f>
        <v>0.314948130797397</v>
      </c>
      <c r="H71" s="21" t="n">
        <f aca="false">$F$67/life_na*IF(1=0,phi_0,IF(1&lt;life_na,1,IF(1=life_na,1-phi_0,0)))+$H$67/life_na*IF(0=0,phi_0,IF(0&lt;life_na,1,IF(0=life_na,1-phi_0,0)))</f>
        <v>1.92880384263134</v>
      </c>
      <c r="I71" s="21" t="n">
        <f aca="false">$F$67/life_na*IF(2=0,phi_0,IF(2&lt;life_na,1,IF(2=life_na,1-phi_0,0)))+$H$67/life_na*IF(1=0,phi_0,IF(1&lt;life_na,1,IF(1=life_na,1-phi_0,0)))+$I$67/life_na*IF(0=0,phi_0,IF(0&lt;life_na,1,IF(0=life_na,1-phi_0,0)))</f>
        <v>4.68165030622111</v>
      </c>
      <c r="J71" s="21" t="n">
        <f aca="false">$F$67/life_na*IF(3=0,phi_0,IF(3&lt;life_na,1,IF(3=life_na,1-phi_0,0)))+$H$67/life_na*IF(2=0,phi_0,IF(2&lt;life_na,1,IF(2=life_na,1-phi_0,0)))+$I$67/life_na*IF(1=0,phi_0,IF(1&lt;life_na,1,IF(1=life_na,1-phi_0,0)))+$J$67/life_na*IF(0=0,phi_0,IF(0&lt;life_na,1,IF(0=life_na,1-phi_0,0)))</f>
        <v>7.73736035159365</v>
      </c>
      <c r="K71" s="21" t="n">
        <f aca="false">$F$67/life_na*IF(4=0,phi_0,IF(4&lt;life_na,1,IF(4=life_na,1-phi_0,0)))+$H$67/life_na*IF(3=0,phi_0,IF(3&lt;life_na,1,IF(3=life_na,1-phi_0,0)))+$I$67/life_na*IF(2=0,phi_0,IF(2&lt;life_na,1,IF(2=life_na,1-phi_0,0)))+$J$67/life_na*IF(1=0,phi_0,IF(1&lt;life_na,1,IF(1=life_na,1-phi_0,0)))+$K$67/life_na*IF(0=0,phi_0,IF(0&lt;life_na,1,IF(0=life_na,1-phi_0,0)))</f>
        <v>11.0750384029537</v>
      </c>
      <c r="L71" s="21" t="n">
        <f aca="false">$F$67/life_na*IF(5=0,phi_0,IF(5&lt;life_na,1,IF(5=life_na,1-phi_0,0)))+$H$67/life_na*IF(4=0,phi_0,IF(4&lt;life_na,1,IF(4=life_na,1-phi_0,0)))+$I$67/life_na*IF(3=0,phi_0,IF(3&lt;life_na,1,IF(3=life_na,1-phi_0,0)))+$J$67/life_na*IF(2=0,phi_0,IF(2&lt;life_na,1,IF(2=life_na,1-phi_0,0)))+$K$67/life_na*IF(1=0,phi_0,IF(1&lt;life_na,1,IF(1=life_na,1-phi_0,0)))+$L$67/life_na*IF(0=0,phi_0,IF(0&lt;life_na,1,IF(0=life_na,1-phi_0,0)))</f>
        <v>14.6764860299015</v>
      </c>
      <c r="M71" s="21" t="n">
        <f aca="false">$F$67/life_na*IF(6=0,phi_0,IF(6&lt;life_na,1,IF(6=life_na,1-phi_0,0)))+$H$67/life_na*IF(5=0,phi_0,IF(5&lt;life_na,1,IF(5=life_na,1-phi_0,0)))+$I$67/life_na*IF(4=0,phi_0,IF(4&lt;life_na,1,IF(4=life_na,1-phi_0,0)))+$J$67/life_na*IF(3=0,phi_0,IF(3&lt;life_na,1,IF(3=life_na,1-phi_0,0)))+$K$67/life_na*IF(2=0,phi_0,IF(2&lt;life_na,1,IF(2=life_na,1-phi_0,0)))+$L$67/life_na*IF(1=0,phi_0,IF(1&lt;life_na,1,IF(1=life_na,1-phi_0,0)))+$M$67/life_na*IF(0=0,phi_0,IF(0&lt;life_na,1,IF(0=life_na,1-phi_0,0)))</f>
        <v>18.5638331144267</v>
      </c>
    </row>
    <row r="72" customFormat="false" ht="17.15" hidden="false" customHeight="false" outlineLevel="0" collapsed="false">
      <c r="A72" s="4" t="s">
        <v>845</v>
      </c>
      <c r="B72" s="0" t="s">
        <v>76</v>
      </c>
      <c r="F72" s="21" t="n">
        <f aca="false">$F$68/life_na*IF(0=0,phi_0,IF(0&lt;life_na,1,IF(0=life_na,1-phi_0,0)))</f>
        <v>0.211906866275271</v>
      </c>
      <c r="G72" s="21" t="n">
        <f aca="false">F72</f>
        <v>0.211906866275271</v>
      </c>
      <c r="H72" s="21" t="n">
        <f aca="false">$F$68/life_na*IF(1=0,phi_0,IF(1&lt;life_na,1,IF(1=life_na,1-phi_0,0)))+$H$68/life_na*IF(0=0,phi_0,IF(0&lt;life_na,1,IF(0=life_na,1-phi_0,0)))</f>
        <v>1.37691865893116</v>
      </c>
      <c r="I72" s="21" t="n">
        <f aca="false">$F$68/life_na*IF(2=0,phi_0,IF(2&lt;life_na,1,IF(2=life_na,1-phi_0,0)))+$H$68/life_na*IF(1=0,phi_0,IF(1&lt;life_na,1,IF(1=life_na,1-phi_0,0)))+$I$68/life_na*IF(0=0,phi_0,IF(0&lt;life_na,1,IF(0=life_na,1-phi_0,0)))</f>
        <v>3.63781840175314</v>
      </c>
      <c r="J72" s="21" t="n">
        <f aca="false">$F$68/life_na*IF(3=0,phi_0,IF(3&lt;life_na,1,IF(3=life_na,1-phi_0,0)))+$H$68/life_na*IF(2=0,phi_0,IF(2&lt;life_na,1,IF(2=life_na,1-phi_0,0)))+$I$68/life_na*IF(1=0,phi_0,IF(1&lt;life_na,1,IF(1=life_na,1-phi_0,0)))+$J$68/life_na*IF(0=0,phi_0,IF(0&lt;life_na,1,IF(0=life_na,1-phi_0,0)))</f>
        <v>6.44822799955188</v>
      </c>
      <c r="K72" s="21" t="n">
        <f aca="false">$F$68/life_na*IF(4=0,phi_0,IF(4&lt;life_na,1,IF(4=life_na,1-phi_0,0)))+$H$68/life_na*IF(3=0,phi_0,IF(3&lt;life_na,1,IF(3=life_na,1-phi_0,0)))+$I$68/life_na*IF(2=0,phi_0,IF(2&lt;life_na,1,IF(2=life_na,1-phi_0,0)))+$J$68/life_na*IF(1=0,phi_0,IF(1&lt;life_na,1,IF(1=life_na,1-phi_0,0)))+$K$68/life_na*IF(0=0,phi_0,IF(0&lt;life_na,1,IF(0=life_na,1-phi_0,0)))</f>
        <v>9.67685894387024</v>
      </c>
      <c r="L72" s="21" t="n">
        <f aca="false">$F$68/life_na*IF(5=0,phi_0,IF(5&lt;life_na,1,IF(5=life_na,1-phi_0,0)))+$H$68/life_na*IF(4=0,phi_0,IF(4&lt;life_na,1,IF(4=life_na,1-phi_0,0)))+$I$68/life_na*IF(3=0,phi_0,IF(3&lt;life_na,1,IF(3=life_na,1-phi_0,0)))+$J$68/life_na*IF(2=0,phi_0,IF(2&lt;life_na,1,IF(2=life_na,1-phi_0,0)))+$K$68/life_na*IF(1=0,phi_0,IF(1&lt;life_na,1,IF(1=life_na,1-phi_0,0)))+$L$68/life_na*IF(0=0,phi_0,IF(0&lt;life_na,1,IF(0=life_na,1-phi_0,0)))</f>
        <v>13.1637803637341</v>
      </c>
      <c r="M72" s="21" t="n">
        <f aca="false">$F$68/life_na*IF(6=0,phi_0,IF(6&lt;life_na,1,IF(6=life_na,1-phi_0,0)))+$H$68/life_na*IF(5=0,phi_0,IF(5&lt;life_na,1,IF(5=life_na,1-phi_0,0)))+$I$68/life_na*IF(4=0,phi_0,IF(4&lt;life_na,1,IF(4=life_na,1-phi_0,0)))+$J$68/life_na*IF(3=0,phi_0,IF(3&lt;life_na,1,IF(3=life_na,1-phi_0,0)))+$K$68/life_na*IF(2=0,phi_0,IF(2&lt;life_na,1,IF(2=life_na,1-phi_0,0)))+$L$68/life_na*IF(1=0,phi_0,IF(1&lt;life_na,1,IF(1=life_na,1-phi_0,0)))+$M$68/life_na*IF(0=0,phi_0,IF(0&lt;life_na,1,IF(0=life_na,1-phi_0,0)))</f>
        <v>16.929655497187</v>
      </c>
    </row>
    <row r="73" customFormat="false" ht="17.15" hidden="false" customHeight="false" outlineLevel="0" collapsed="false">
      <c r="A73" s="4" t="s">
        <v>846</v>
      </c>
      <c r="B73" s="0" t="s">
        <v>76</v>
      </c>
      <c r="F73" s="21" t="n">
        <f aca="false">$F$69/life_na*IF(0=0,phi_0,IF(0&lt;life_na,1,IF(0=life_na,1-phi_0,0)))</f>
        <v>0.001125</v>
      </c>
      <c r="G73" s="21" t="n">
        <f aca="false">F73</f>
        <v>0.001125</v>
      </c>
      <c r="H73" s="21" t="n">
        <f aca="false">$F$69/life_na*IF(1=0,phi_0,IF(1&lt;life_na,1,IF(1=life_na,1-phi_0,0)))+$H$69/life_na*IF(0=0,phi_0,IF(0&lt;life_na,1,IF(0=life_na,1-phi_0,0)))</f>
        <v>0.0069</v>
      </c>
      <c r="I73" s="21" t="n">
        <f aca="false">$F$69/life_na*IF(2=0,phi_0,IF(2&lt;life_na,1,IF(2=life_na,1-phi_0,0)))+$H$69/life_na*IF(1=0,phi_0,IF(1&lt;life_na,1,IF(1=life_na,1-phi_0,0)))+$I$69/life_na*IF(0=0,phi_0,IF(0&lt;life_na,1,IF(0=life_na,1-phi_0,0)))</f>
        <v>0.0168</v>
      </c>
      <c r="J73" s="21" t="n">
        <f aca="false">$F$69/life_na*IF(3=0,phi_0,IF(3&lt;life_na,1,IF(3=life_na,1-phi_0,0)))+$H$69/life_na*IF(2=0,phi_0,IF(2&lt;life_na,1,IF(2=life_na,1-phi_0,0)))+$I$69/life_na*IF(1=0,phi_0,IF(1&lt;life_na,1,IF(1=life_na,1-phi_0,0)))+$J$69/life_na*IF(0=0,phi_0,IF(0&lt;life_na,1,IF(0=life_na,1-phi_0,0)))</f>
        <v>0.0279</v>
      </c>
      <c r="K73" s="21" t="n">
        <f aca="false">$F$69/life_na*IF(4=0,phi_0,IF(4&lt;life_na,1,IF(4=life_na,1-phi_0,0)))+$H$69/life_na*IF(3=0,phi_0,IF(3&lt;life_na,1,IF(3=life_na,1-phi_0,0)))+$I$69/life_na*IF(2=0,phi_0,IF(2&lt;life_na,1,IF(2=life_na,1-phi_0,0)))+$J$69/life_na*IF(1=0,phi_0,IF(1&lt;life_na,1,IF(1=life_na,1-phi_0,0)))+$K$69/life_na*IF(0=0,phi_0,IF(0&lt;life_na,1,IF(0=life_na,1-phi_0,0)))</f>
        <v>0.0402</v>
      </c>
      <c r="L73" s="21" t="n">
        <f aca="false">$F$69/life_na*IF(5=0,phi_0,IF(5&lt;life_na,1,IF(5=life_na,1-phi_0,0)))+$H$69/life_na*IF(4=0,phi_0,IF(4&lt;life_na,1,IF(4=life_na,1-phi_0,0)))+$I$69/life_na*IF(3=0,phi_0,IF(3&lt;life_na,1,IF(3=life_na,1-phi_0,0)))+$J$69/life_na*IF(2=0,phi_0,IF(2&lt;life_na,1,IF(2=life_na,1-phi_0,0)))+$K$69/life_na*IF(1=0,phi_0,IF(1&lt;life_na,1,IF(1=life_na,1-phi_0,0)))+$L$69/life_na*IF(0=0,phi_0,IF(0&lt;life_na,1,IF(0=life_na,1-phi_0,0)))</f>
        <v>0.0537</v>
      </c>
      <c r="M73" s="21" t="n">
        <f aca="false">$F$69/life_na*IF(6=0,phi_0,IF(6&lt;life_na,1,IF(6=life_na,1-phi_0,0)))+$H$69/life_na*IF(5=0,phi_0,IF(5&lt;life_na,1,IF(5=life_na,1-phi_0,0)))+$I$69/life_na*IF(4=0,phi_0,IF(4&lt;life_na,1,IF(4=life_na,1-phi_0,0)))+$J$69/life_na*IF(3=0,phi_0,IF(3&lt;life_na,1,IF(3=life_na,1-phi_0,0)))+$K$69/life_na*IF(2=0,phi_0,IF(2&lt;life_na,1,IF(2=life_na,1-phi_0,0)))+$L$69/life_na*IF(1=0,phi_0,IF(1&lt;life_na,1,IF(1=life_na,1-phi_0,0)))+$M$69/life_na*IF(0=0,phi_0,IF(0&lt;life_na,1,IF(0=life_na,1-phi_0,0)))</f>
        <v>0.0684</v>
      </c>
    </row>
    <row r="74" customFormat="false" ht="17.15" hidden="false" customHeight="false" outlineLevel="0" collapsed="false">
      <c r="A74" s="2" t="s">
        <v>847</v>
      </c>
      <c r="B74" s="7" t="s">
        <v>76</v>
      </c>
      <c r="F74" s="21" t="n">
        <f aca="false">F71+F72+F73</f>
        <v>0.527979997072668</v>
      </c>
      <c r="G74" s="21" t="n">
        <f aca="false">G71+G72+G73</f>
        <v>0.527979997072668</v>
      </c>
      <c r="H74" s="21" t="n">
        <f aca="false">H71+H72+H73</f>
        <v>3.3126225015625</v>
      </c>
      <c r="I74" s="21" t="n">
        <f aca="false">I71+I72+I73</f>
        <v>8.33626870797426</v>
      </c>
      <c r="J74" s="21" t="n">
        <f aca="false">J71+J72+J73</f>
        <v>14.2134883511455</v>
      </c>
      <c r="K74" s="21" t="n">
        <f aca="false">K71+K72+K73</f>
        <v>20.792097346824</v>
      </c>
      <c r="L74" s="21" t="n">
        <f aca="false">L71+L72+L73</f>
        <v>27.8939663936355</v>
      </c>
      <c r="M74" s="21" t="n">
        <f aca="false">M71+M72+M73</f>
        <v>35.5618886116136</v>
      </c>
    </row>
    <row r="76" customFormat="false" ht="17.15" hidden="false" customHeight="false" outlineLevel="0" collapsed="false">
      <c r="A76" s="24" t="s">
        <v>850</v>
      </c>
    </row>
    <row r="77" customFormat="false" ht="15" hidden="false" customHeight="false" outlineLevel="0" collapsed="false">
      <c r="A77" s="3" t="s">
        <v>43</v>
      </c>
      <c r="B77" s="3" t="s">
        <v>44</v>
      </c>
      <c r="C77" s="14" t="s">
        <v>746</v>
      </c>
      <c r="D77" s="14" t="s">
        <v>747</v>
      </c>
      <c r="E77" s="14" t="s">
        <v>748</v>
      </c>
      <c r="F77" s="14" t="s">
        <v>749</v>
      </c>
      <c r="G77" s="14" t="s">
        <v>750</v>
      </c>
      <c r="H77" s="14" t="s">
        <v>751</v>
      </c>
      <c r="I77" s="14" t="s">
        <v>752</v>
      </c>
      <c r="J77" s="14" t="s">
        <v>753</v>
      </c>
      <c r="K77" s="14" t="s">
        <v>754</v>
      </c>
      <c r="L77" s="14" t="s">
        <v>755</v>
      </c>
      <c r="M77" s="14" t="s">
        <v>756</v>
      </c>
      <c r="N77" s="3" t="s">
        <v>50</v>
      </c>
    </row>
    <row r="78" customFormat="false" ht="17.15" hidden="false" customHeight="false" outlineLevel="0" collapsed="false">
      <c r="A78" s="0" t="s">
        <v>814</v>
      </c>
      <c r="B78" s="0" t="s">
        <v>99</v>
      </c>
      <c r="F78" s="19" t="n">
        <f aca="false">g0_search</f>
        <v>0.168013211016221</v>
      </c>
      <c r="H78" s="19" t="n">
        <f aca="false">g0_search+(gl_search-g0_search)*MIN(1,(2027-2026)/conv_n)</f>
        <v>0.146009908262166</v>
      </c>
      <c r="I78" s="19" t="n">
        <f aca="false">g0_search+(gl_search-g0_search)*MIN(1,(2028-2026)/conv_n)</f>
        <v>0.124006605508111</v>
      </c>
      <c r="J78" s="19" t="n">
        <f aca="false">g0_search+(gl_search-g0_search)*MIN(1,(2029-2026)/conv_n)</f>
        <v>0.102003302754055</v>
      </c>
      <c r="K78" s="19" t="n">
        <f aca="false">g0_search+(gl_search-g0_search)*MIN(1,(2030-2026)/conv_n)</f>
        <v>0.08</v>
      </c>
      <c r="L78" s="19" t="n">
        <f aca="false">g0_search+(gl_search-g0_search)*MIN(1,(2031-2026)/conv_n)</f>
        <v>0.08</v>
      </c>
      <c r="M78" s="19" t="n">
        <f aca="false">g0_search+(gl_search-g0_search)*MIN(1,(2032-2026)/conv_n)</f>
        <v>0.08</v>
      </c>
      <c r="N78" s="7" t="s">
        <v>815</v>
      </c>
    </row>
    <row r="79" customFormat="false" ht="17.15" hidden="false" customHeight="false" outlineLevel="0" collapsed="false">
      <c r="A79" s="0" t="s">
        <v>816</v>
      </c>
      <c r="B79" s="0" t="s">
        <v>76</v>
      </c>
      <c r="C79" s="21" t="n">
        <f aca="false">Q!J5</f>
        <v>198.084</v>
      </c>
      <c r="D79" s="21" t="n">
        <f aca="false">Q!K5</f>
        <v>224.532</v>
      </c>
      <c r="E79" s="21" t="n">
        <f aca="false">Q!L5</f>
        <v>123.67</v>
      </c>
      <c r="F79" s="21" t="n">
        <f aca="false">(Q!F5+Q!G5)*(1+F78)</f>
        <v>139.741100565981</v>
      </c>
      <c r="G79" s="21" t="n">
        <f aca="false">E79+F79</f>
        <v>263.411100565981</v>
      </c>
      <c r="H79" s="21" t="n">
        <f aca="false">G79*(1+H78)</f>
        <v>301.871731194856</v>
      </c>
      <c r="I79" s="21" t="n">
        <f aca="false">H79*(1+I78)</f>
        <v>339.305819879187</v>
      </c>
      <c r="J79" s="21" t="n">
        <f aca="false">I79*(1+J78)</f>
        <v>373.916134150536</v>
      </c>
      <c r="K79" s="21" t="n">
        <f aca="false">J79*(1+K78)</f>
        <v>403.829424882579</v>
      </c>
      <c r="L79" s="21" t="n">
        <f aca="false">K79*(1+L78)</f>
        <v>436.135778873185</v>
      </c>
      <c r="M79" s="21" t="n">
        <f aca="false">L79*(1+M78)</f>
        <v>471.02664118304</v>
      </c>
    </row>
    <row r="80" customFormat="false" ht="17.15" hidden="false" customHeight="false" outlineLevel="0" collapsed="false">
      <c r="A80" s="4" t="s">
        <v>817</v>
      </c>
      <c r="B80" s="0" t="s">
        <v>119</v>
      </c>
      <c r="F80" s="17" t="n">
        <v>0</v>
      </c>
      <c r="H80" s="18" t="n">
        <f aca="false">MIN(1,(2027-2026)/conv_n)</f>
        <v>0.25</v>
      </c>
      <c r="I80" s="18" t="n">
        <f aca="false">MIN(1,(2028-2026)/conv_n)</f>
        <v>0.5</v>
      </c>
      <c r="J80" s="18" t="n">
        <f aca="false">MIN(1,(2029-2026)/conv_n)</f>
        <v>0.75</v>
      </c>
      <c r="K80" s="18" t="n">
        <f aca="false">MIN(1,(2030-2026)/conv_n)</f>
        <v>1</v>
      </c>
      <c r="L80" s="18" t="n">
        <f aca="false">MIN(1,(2031-2026)/conv_n)</f>
        <v>1</v>
      </c>
      <c r="M80" s="18" t="n">
        <f aca="false">MIN(1,(2032-2026)/conv_n)</f>
        <v>1</v>
      </c>
    </row>
    <row r="81" customFormat="false" ht="17.15" hidden="false" customHeight="false" outlineLevel="0" collapsed="false">
      <c r="A81" s="4" t="s">
        <v>818</v>
      </c>
      <c r="B81" s="0" t="s">
        <v>99</v>
      </c>
      <c r="F81" s="19" t="n">
        <f aca="false">dC*F80</f>
        <v>0</v>
      </c>
      <c r="H81" s="19" t="n">
        <f aca="false">dC*H80</f>
        <v>0.05</v>
      </c>
      <c r="I81" s="19" t="n">
        <f aca="false">dC*I80</f>
        <v>0.1</v>
      </c>
      <c r="J81" s="19" t="n">
        <f aca="false">dC*J80</f>
        <v>0.15</v>
      </c>
      <c r="K81" s="19" t="n">
        <f aca="false">dC*K80</f>
        <v>0.2</v>
      </c>
      <c r="L81" s="19" t="n">
        <f aca="false">dC*L80</f>
        <v>0.2</v>
      </c>
      <c r="M81" s="19" t="n">
        <f aca="false">dC*M80</f>
        <v>0.2</v>
      </c>
      <c r="N81" s="7" t="s">
        <v>851</v>
      </c>
    </row>
    <row r="82" customFormat="false" ht="17.15" hidden="false" customHeight="false" outlineLevel="0" collapsed="false">
      <c r="A82" s="4" t="s">
        <v>820</v>
      </c>
      <c r="B82" s="0" t="s">
        <v>99</v>
      </c>
      <c r="F82" s="19" t="n">
        <f aca="false">mC*F80</f>
        <v>-0</v>
      </c>
      <c r="H82" s="19" t="n">
        <f aca="false">mC*H80</f>
        <v>-0.025</v>
      </c>
      <c r="I82" s="19" t="n">
        <f aca="false">mC*I80</f>
        <v>-0.05</v>
      </c>
      <c r="J82" s="19" t="n">
        <f aca="false">mC*J80</f>
        <v>-0.075</v>
      </c>
      <c r="K82" s="19" t="n">
        <f aca="false">mC*K80</f>
        <v>-0.1</v>
      </c>
      <c r="L82" s="19" t="n">
        <f aca="false">mC*L80</f>
        <v>-0.1</v>
      </c>
      <c r="M82" s="19" t="n">
        <f aca="false">mC*M80</f>
        <v>-0.1</v>
      </c>
    </row>
    <row r="83" customFormat="false" ht="15" hidden="false" customHeight="false" outlineLevel="0" collapsed="false">
      <c r="A83" s="5" t="s">
        <v>640</v>
      </c>
      <c r="B83" s="7" t="s">
        <v>76</v>
      </c>
      <c r="C83" s="21" t="n">
        <f aca="false">C79</f>
        <v>198.084</v>
      </c>
      <c r="D83" s="21" t="n">
        <f aca="false">D79</f>
        <v>224.532</v>
      </c>
      <c r="E83" s="21" t="n">
        <f aca="false">E79</f>
        <v>123.67</v>
      </c>
      <c r="F83" s="21" t="n">
        <f aca="false">F79*(1-F81)*(1+F82)</f>
        <v>139.741100565981</v>
      </c>
      <c r="G83" s="21" t="n">
        <f aca="false">E83+F83</f>
        <v>263.411100565981</v>
      </c>
      <c r="H83" s="21" t="n">
        <f aca="false">H79*(1-H81)*(1+H82)</f>
        <v>279.608691019235</v>
      </c>
      <c r="I83" s="21" t="n">
        <f aca="false">I79*(1-I81)*(1+I82)</f>
        <v>290.106475996705</v>
      </c>
      <c r="J83" s="21" t="n">
        <f aca="false">J79*(1-J81)*(1+J82)</f>
        <v>293.991560475859</v>
      </c>
      <c r="K83" s="21" t="n">
        <f aca="false">K79*(1-K81)*(1+K82)</f>
        <v>290.757185915457</v>
      </c>
      <c r="L83" s="21" t="n">
        <f aca="false">L79*(1-L81)*(1+L82)</f>
        <v>314.017760788694</v>
      </c>
      <c r="M83" s="21" t="n">
        <f aca="false">M79*(1-M81)*(1+M82)</f>
        <v>339.139181651789</v>
      </c>
    </row>
    <row r="84" customFormat="false" ht="17.15" hidden="false" customHeight="false" outlineLevel="0" collapsed="false">
      <c r="A84" s="0" t="s">
        <v>821</v>
      </c>
      <c r="B84" s="0" t="s">
        <v>99</v>
      </c>
      <c r="F84" s="19" t="n">
        <f aca="false">g0_yt</f>
        <v>0.117139334155364</v>
      </c>
      <c r="H84" s="19" t="n">
        <f aca="false">g0_yt+(gl_yt-g0_yt)*MIN(1,(2027-2026)/conv_n)</f>
        <v>0.107854500616523</v>
      </c>
      <c r="I84" s="19" t="n">
        <f aca="false">g0_yt+(gl_yt-g0_yt)*MIN(1,(2028-2026)/conv_n)</f>
        <v>0.0985696670776819</v>
      </c>
      <c r="J84" s="19" t="n">
        <f aca="false">g0_yt+(gl_yt-g0_yt)*MIN(1,(2029-2026)/conv_n)</f>
        <v>0.0892848335388409</v>
      </c>
      <c r="K84" s="19" t="n">
        <f aca="false">g0_yt+(gl_yt-g0_yt)*MIN(1,(2030-2026)/conv_n)</f>
        <v>0.08</v>
      </c>
      <c r="L84" s="19" t="n">
        <f aca="false">g0_yt+(gl_yt-g0_yt)*MIN(1,(2031-2026)/conv_n)</f>
        <v>0.08</v>
      </c>
      <c r="M84" s="19" t="n">
        <f aca="false">g0_yt+(gl_yt-g0_yt)*MIN(1,(2032-2026)/conv_n)</f>
        <v>0.08</v>
      </c>
      <c r="N84" s="4" t="s">
        <v>822</v>
      </c>
    </row>
    <row r="85" customFormat="false" ht="15" hidden="false" customHeight="false" outlineLevel="0" collapsed="false">
      <c r="A85" s="5" t="s">
        <v>643</v>
      </c>
      <c r="B85" s="7" t="s">
        <v>76</v>
      </c>
      <c r="C85" s="21" t="n">
        <f aca="false">Q!J6</f>
        <v>36.147</v>
      </c>
      <c r="D85" s="21" t="n">
        <f aca="false">Q!K6</f>
        <v>40.367</v>
      </c>
      <c r="E85" s="21" t="n">
        <f aca="false">Q!L6</f>
        <v>20.938</v>
      </c>
      <c r="F85" s="21" t="n">
        <f aca="false">(Q!F6+Q!G6)*(1+F84)</f>
        <v>24.1793637484587</v>
      </c>
      <c r="G85" s="21" t="n">
        <f aca="false">E85+F85</f>
        <v>45.1173637484587</v>
      </c>
      <c r="H85" s="21" t="n">
        <f aca="false">G85*(1+H84)</f>
        <v>49.9834744846827</v>
      </c>
      <c r="I85" s="21" t="n">
        <f aca="false">H85*(1+I84)</f>
        <v>54.9103289240237</v>
      </c>
      <c r="J85" s="21" t="n">
        <f aca="false">I85*(1+J84)</f>
        <v>59.8129885015682</v>
      </c>
      <c r="K85" s="21" t="n">
        <f aca="false">J85*(1+K84)</f>
        <v>64.5980275816936</v>
      </c>
      <c r="L85" s="21" t="n">
        <f aca="false">K85*(1+L84)</f>
        <v>69.7658697882291</v>
      </c>
      <c r="M85" s="21" t="n">
        <f aca="false">L85*(1+M84)</f>
        <v>75.3471393712874</v>
      </c>
    </row>
    <row r="86" customFormat="false" ht="17.15" hidden="false" customHeight="false" outlineLevel="0" collapsed="false">
      <c r="A86" s="0" t="s">
        <v>823</v>
      </c>
      <c r="B86" s="0" t="s">
        <v>99</v>
      </c>
      <c r="F86" s="19" t="n">
        <f aca="false">g0_net</f>
        <v>-0.0217853347502657</v>
      </c>
      <c r="H86" s="19" t="n">
        <f aca="false">g0_net+(gl_net-g0_net)*MIN(1,(2027-2026)/conv_n)</f>
        <v>-0.0163390010626993</v>
      </c>
      <c r="I86" s="19" t="n">
        <f aca="false">g0_net+(gl_net-g0_net)*MIN(1,(2028-2026)/conv_n)</f>
        <v>-0.0108926673751328</v>
      </c>
      <c r="J86" s="19" t="n">
        <f aca="false">g0_net+(gl_net-g0_net)*MIN(1,(2029-2026)/conv_n)</f>
        <v>-0.00544633368756642</v>
      </c>
      <c r="K86" s="19" t="n">
        <f aca="false">g0_net+(gl_net-g0_net)*MIN(1,(2030-2026)/conv_n)</f>
        <v>0</v>
      </c>
      <c r="L86" s="19" t="n">
        <f aca="false">g0_net+(gl_net-g0_net)*MIN(1,(2031-2026)/conv_n)</f>
        <v>0</v>
      </c>
      <c r="M86" s="19" t="n">
        <f aca="false">g0_net+(gl_net-g0_net)*MIN(1,(2032-2026)/conv_n)</f>
        <v>0</v>
      </c>
      <c r="N86" s="4" t="s">
        <v>822</v>
      </c>
    </row>
    <row r="87" customFormat="false" ht="15" hidden="false" customHeight="false" outlineLevel="0" collapsed="false">
      <c r="A87" s="5" t="s">
        <v>644</v>
      </c>
      <c r="B87" s="7" t="s">
        <v>76</v>
      </c>
      <c r="C87" s="21" t="n">
        <f aca="false">Q!J7</f>
        <v>30.359</v>
      </c>
      <c r="D87" s="21" t="n">
        <f aca="false">Q!K7</f>
        <v>29.792</v>
      </c>
      <c r="E87" s="21" t="n">
        <f aca="false">Q!L7</f>
        <v>14.274</v>
      </c>
      <c r="F87" s="21" t="n">
        <f aca="false">(Q!F7+Q!G7)*(1+F86)</f>
        <v>14.8512550478215</v>
      </c>
      <c r="G87" s="21" t="n">
        <f aca="false">E87+F87</f>
        <v>29.1252550478215</v>
      </c>
      <c r="H87" s="21" t="n">
        <f aca="false">G87*(1+H86)</f>
        <v>28.6493774746437</v>
      </c>
      <c r="I87" s="21" t="n">
        <f aca="false">H87*(1+I86)</f>
        <v>28.3373093353078</v>
      </c>
      <c r="J87" s="21" t="n">
        <f aca="false">I87*(1+J86)</f>
        <v>28.1829748928599</v>
      </c>
      <c r="K87" s="21" t="n">
        <f aca="false">J87*(1+K86)</f>
        <v>28.1829748928599</v>
      </c>
      <c r="L87" s="21" t="n">
        <f aca="false">K87*(1+L86)</f>
        <v>28.1829748928599</v>
      </c>
      <c r="M87" s="21" t="n">
        <f aca="false">L87*(1+M86)</f>
        <v>28.1829748928599</v>
      </c>
    </row>
    <row r="88" customFormat="false" ht="17.15" hidden="false" customHeight="false" outlineLevel="0" collapsed="false">
      <c r="A88" s="0" t="s">
        <v>824</v>
      </c>
      <c r="B88" s="0" t="s">
        <v>99</v>
      </c>
      <c r="F88" s="19" t="n">
        <f aca="false">g0_subs</f>
        <v>0.179435162180028</v>
      </c>
      <c r="H88" s="19" t="n">
        <f aca="false">g0_subs+(gl_subs-g0_subs)*MIN(1,(2027-2026)/conv_n)</f>
        <v>0.159576371635021</v>
      </c>
      <c r="I88" s="19" t="n">
        <f aca="false">g0_subs+(gl_subs-g0_subs)*MIN(1,(2028-2026)/conv_n)</f>
        <v>0.139717581090014</v>
      </c>
      <c r="J88" s="19" t="n">
        <f aca="false">g0_subs+(gl_subs-g0_subs)*MIN(1,(2029-2026)/conv_n)</f>
        <v>0.119858790545007</v>
      </c>
      <c r="K88" s="19" t="n">
        <f aca="false">g0_subs+(gl_subs-g0_subs)*MIN(1,(2030-2026)/conv_n)</f>
        <v>0.1</v>
      </c>
      <c r="L88" s="19" t="n">
        <f aca="false">g0_subs+(gl_subs-g0_subs)*MIN(1,(2031-2026)/conv_n)</f>
        <v>0.1</v>
      </c>
      <c r="M88" s="19" t="n">
        <f aca="false">g0_subs+(gl_subs-g0_subs)*MIN(1,(2032-2026)/conv_n)</f>
        <v>0.1</v>
      </c>
      <c r="N88" s="4" t="s">
        <v>822</v>
      </c>
    </row>
    <row r="89" customFormat="false" ht="15" hidden="false" customHeight="false" outlineLevel="0" collapsed="false">
      <c r="A89" s="5" t="s">
        <v>645</v>
      </c>
      <c r="B89" s="7" t="s">
        <v>76</v>
      </c>
      <c r="C89" s="21" t="n">
        <f aca="false">Q!J8</f>
        <v>40.34</v>
      </c>
      <c r="D89" s="21" t="n">
        <f aca="false">Q!K8</f>
        <v>48.03</v>
      </c>
      <c r="E89" s="21" t="n">
        <f aca="false">Q!L8</f>
        <v>25.295</v>
      </c>
      <c r="F89" s="21" t="n">
        <f aca="false">(Q!F8+Q!G8)*(1+F88)</f>
        <v>31.1937011693374</v>
      </c>
      <c r="G89" s="21" t="n">
        <f aca="false">E89+F89</f>
        <v>56.4887011693374</v>
      </c>
      <c r="H89" s="21" t="n">
        <f aca="false">G89*(1+H88)</f>
        <v>65.5029631403152</v>
      </c>
      <c r="I89" s="21" t="n">
        <f aca="false">H89*(1+I88)</f>
        <v>74.6548787045084</v>
      </c>
      <c r="J89" s="21" t="n">
        <f aca="false">I89*(1+J88)</f>
        <v>83.602922174315</v>
      </c>
      <c r="K89" s="21" t="n">
        <f aca="false">J89*(1+K88)</f>
        <v>91.9632143917465</v>
      </c>
      <c r="L89" s="21" t="n">
        <f aca="false">K89*(1+L88)</f>
        <v>101.159535830921</v>
      </c>
      <c r="M89" s="21" t="n">
        <f aca="false">L89*(1+M88)</f>
        <v>111.275489414013</v>
      </c>
    </row>
    <row r="90" customFormat="false" ht="15" hidden="false" customHeight="false" outlineLevel="0" collapsed="false">
      <c r="A90" s="25" t="s">
        <v>825</v>
      </c>
      <c r="B90" s="26" t="s">
        <v>76</v>
      </c>
      <c r="C90" s="27" t="n">
        <f aca="false">Q!J9</f>
        <v>304.93</v>
      </c>
      <c r="D90" s="27" t="n">
        <f aca="false">Q!K9</f>
        <v>342.721</v>
      </c>
      <c r="E90" s="27" t="n">
        <f aca="false">Q!L9</f>
        <v>184.177</v>
      </c>
      <c r="F90" s="27" t="n">
        <f aca="false">F83+F85+F87+F89</f>
        <v>209.965420531598</v>
      </c>
      <c r="G90" s="27" t="n">
        <f aca="false">E90+F90</f>
        <v>394.142420531598</v>
      </c>
      <c r="H90" s="27" t="n">
        <f aca="false">H83+H85+H87+H89</f>
        <v>423.744506118877</v>
      </c>
      <c r="I90" s="27" t="n">
        <f aca="false">I83+I85+I87+I89</f>
        <v>448.008992960544</v>
      </c>
      <c r="J90" s="27" t="n">
        <f aca="false">J83+J85+J87+J89</f>
        <v>465.590446044602</v>
      </c>
      <c r="K90" s="27" t="n">
        <f aca="false">K83+K85+K87+K89</f>
        <v>475.501402781757</v>
      </c>
      <c r="L90" s="27" t="n">
        <f aca="false">L83+L85+L87+L89</f>
        <v>513.126141300704</v>
      </c>
      <c r="M90" s="27" t="n">
        <f aca="false">M83+M85+M87+M89</f>
        <v>553.94478532995</v>
      </c>
      <c r="N90" s="26"/>
    </row>
    <row r="91" customFormat="false" ht="17.15" hidden="false" customHeight="false" outlineLevel="0" collapsed="false">
      <c r="A91" s="0" t="s">
        <v>826</v>
      </c>
      <c r="B91" s="0" t="s">
        <v>76</v>
      </c>
      <c r="E91" s="21" t="n">
        <f aca="false">Thesis!E38</f>
        <v>9.75837289307536</v>
      </c>
      <c r="F91" s="21" t="n">
        <f aca="false">Thesis!F38</f>
        <v>13.072238179387</v>
      </c>
      <c r="G91" s="21" t="n">
        <f aca="false">Thesis!G38</f>
        <v>22.8306110724624</v>
      </c>
      <c r="H91" s="21" t="n">
        <f aca="false">Thesis!H38</f>
        <v>38.882857987105</v>
      </c>
      <c r="I91" s="21" t="n">
        <f aca="false">Thesis!I38</f>
        <v>56.7035586757632</v>
      </c>
      <c r="J91" s="21" t="n">
        <f aca="false">Thesis!J38</f>
        <v>75.0259744749515</v>
      </c>
      <c r="K91" s="21" t="n">
        <f aca="false">Thesis!K38</f>
        <v>93.3483902741398</v>
      </c>
      <c r="L91" s="21" t="n">
        <f aca="false">Thesis!L38</f>
        <v>111.670806073328</v>
      </c>
      <c r="M91" s="21" t="n">
        <f aca="false">Thesis!M38</f>
        <v>129.993221872516</v>
      </c>
      <c r="N91" s="7" t="s">
        <v>827</v>
      </c>
    </row>
    <row r="92" customFormat="false" ht="17.15" hidden="false" customHeight="false" outlineLevel="0" collapsed="false">
      <c r="A92" s="0" t="s">
        <v>828</v>
      </c>
      <c r="B92" s="0" t="s">
        <v>76</v>
      </c>
      <c r="E92" s="23" t="n">
        <v>0</v>
      </c>
      <c r="F92" s="21" t="n">
        <f aca="false">tpu_2h</f>
        <v>1</v>
      </c>
      <c r="G92" s="21" t="n">
        <f aca="false">E92+F92</f>
        <v>1</v>
      </c>
      <c r="H92" s="21" t="n">
        <f aca="false">tpu_yr</f>
        <v>13</v>
      </c>
      <c r="I92" s="21" t="n">
        <f aca="false">tpu_yr</f>
        <v>13</v>
      </c>
      <c r="J92" s="21" t="n">
        <f aca="false">tpu_yr</f>
        <v>13</v>
      </c>
      <c r="K92" s="21" t="n">
        <f aca="false">tpu_yr</f>
        <v>13</v>
      </c>
      <c r="L92" s="21" t="n">
        <f aca="false">tpu_yr</f>
        <v>13</v>
      </c>
      <c r="M92" s="21" t="n">
        <f aca="false">tpu_yr</f>
        <v>13</v>
      </c>
      <c r="N92" s="7" t="s">
        <v>829</v>
      </c>
    </row>
    <row r="93" customFormat="false" ht="17.15" hidden="false" customHeight="false" outlineLevel="0" collapsed="false">
      <c r="A93" s="0" t="s">
        <v>830</v>
      </c>
      <c r="B93" s="0" t="s">
        <v>99</v>
      </c>
      <c r="F93" s="19" t="n">
        <f aca="false">g0_co</f>
        <v>0.463122459535209</v>
      </c>
      <c r="H93" s="19" t="n">
        <f aca="false">g0_co+(gl_co-g0_co)*MIN(1,(2027-2026)/conv_n)</f>
        <v>0.367341844651407</v>
      </c>
      <c r="I93" s="19" t="n">
        <f aca="false">g0_co+(gl_co-g0_co)*MIN(1,(2028-2026)/conv_n)</f>
        <v>0.271561229767605</v>
      </c>
      <c r="J93" s="19" t="n">
        <f aca="false">g0_co+(gl_co-g0_co)*MIN(1,(2029-2026)/conv_n)</f>
        <v>0.175780614883802</v>
      </c>
      <c r="K93" s="19" t="n">
        <f aca="false">g0_co+(gl_co-g0_co)*MIN(1,(2030-2026)/conv_n)</f>
        <v>0.08</v>
      </c>
      <c r="L93" s="19" t="n">
        <f aca="false">g0_co+(gl_co-g0_co)*MIN(1,(2031-2026)/conv_n)</f>
        <v>0.08</v>
      </c>
      <c r="M93" s="19" t="n">
        <f aca="false">g0_co+(gl_co-g0_co)*MIN(1,(2032-2026)/conv_n)</f>
        <v>0.08</v>
      </c>
      <c r="N93" s="4" t="s">
        <v>831</v>
      </c>
    </row>
    <row r="94" customFormat="false" ht="17.15" hidden="false" customHeight="false" outlineLevel="0" collapsed="false">
      <c r="A94" s="0" t="s">
        <v>832</v>
      </c>
      <c r="B94" s="0" t="s">
        <v>76</v>
      </c>
      <c r="E94" s="21" t="n">
        <f aca="false">Q!L11-E91-E92</f>
        <v>35.0376271069246</v>
      </c>
      <c r="F94" s="21" t="n">
        <f aca="false">E94*(1+F93)^0.5</f>
        <v>42.3813732550541</v>
      </c>
      <c r="G94" s="21" t="n">
        <f aca="false">E94+F94</f>
        <v>77.4190003619788</v>
      </c>
      <c r="H94" s="21" t="n">
        <f aca="false">G94*(1+H93)</f>
        <v>105.858238766016</v>
      </c>
      <c r="I94" s="21" t="n">
        <f aca="false">H94*(1+I93)</f>
        <v>134.605232266348</v>
      </c>
      <c r="J94" s="21" t="n">
        <f aca="false">I94*(1+J93)</f>
        <v>158.266222760704</v>
      </c>
      <c r="K94" s="21" t="n">
        <f aca="false">J94*(1+K93)</f>
        <v>170.92752058156</v>
      </c>
      <c r="L94" s="21" t="n">
        <f aca="false">K94*(1+L93)</f>
        <v>184.601722228085</v>
      </c>
      <c r="M94" s="21" t="n">
        <f aca="false">L94*(1+M93)</f>
        <v>199.369860006332</v>
      </c>
      <c r="N94" s="7" t="s">
        <v>833</v>
      </c>
    </row>
    <row r="95" customFormat="false" ht="15" hidden="false" customHeight="false" outlineLevel="0" collapsed="false">
      <c r="A95" s="25" t="s">
        <v>834</v>
      </c>
      <c r="B95" s="26" t="s">
        <v>76</v>
      </c>
      <c r="C95" s="27" t="n">
        <f aca="false">Q!J11</f>
        <v>43.229</v>
      </c>
      <c r="D95" s="27" t="n">
        <f aca="false">Q!K11</f>
        <v>58.705</v>
      </c>
      <c r="E95" s="27" t="n">
        <f aca="false">Q!L11</f>
        <v>44.796</v>
      </c>
      <c r="F95" s="27" t="n">
        <f aca="false">F91+F92+F94</f>
        <v>56.4536114344411</v>
      </c>
      <c r="G95" s="27" t="n">
        <f aca="false">E95+F95</f>
        <v>101.249611434441</v>
      </c>
      <c r="H95" s="27" t="n">
        <f aca="false">H91+H92+H94</f>
        <v>157.741096753121</v>
      </c>
      <c r="I95" s="27" t="n">
        <f aca="false">I91+I92+I94</f>
        <v>204.308790942111</v>
      </c>
      <c r="J95" s="27" t="n">
        <f aca="false">J91+J92+J94</f>
        <v>246.292197235655</v>
      </c>
      <c r="K95" s="27" t="n">
        <f aca="false">K91+K92+K94</f>
        <v>277.2759108557</v>
      </c>
      <c r="L95" s="27" t="n">
        <f aca="false">L91+L92+L94</f>
        <v>309.272528301413</v>
      </c>
      <c r="M95" s="27" t="n">
        <f aca="false">M91+M92+M94</f>
        <v>342.363081878848</v>
      </c>
      <c r="N95" s="26"/>
    </row>
    <row r="96" customFormat="false" ht="15" hidden="false" customHeight="false" outlineLevel="0" collapsed="false">
      <c r="A96" s="25" t="s">
        <v>835</v>
      </c>
      <c r="B96" s="26" t="s">
        <v>76</v>
      </c>
      <c r="C96" s="27" t="n">
        <f aca="false">Q!J12</f>
        <v>1.648</v>
      </c>
      <c r="D96" s="27" t="n">
        <f aca="false">Q!K12</f>
        <v>1.537</v>
      </c>
      <c r="E96" s="27" t="n">
        <f aca="false">Q!L12</f>
        <v>0.793</v>
      </c>
      <c r="F96" s="27" t="n">
        <f aca="false">ob_rev_2H</f>
        <v>0.75</v>
      </c>
      <c r="G96" s="27" t="n">
        <f aca="false">E96+F96</f>
        <v>1.543</v>
      </c>
      <c r="H96" s="27" t="n">
        <f aca="false">ob_rev_27</f>
        <v>1.6</v>
      </c>
      <c r="I96" s="27" t="n">
        <f aca="false">ob_rev_28</f>
        <v>1.8</v>
      </c>
      <c r="J96" s="27" t="n">
        <f aca="false">ob_rev_29</f>
        <v>2</v>
      </c>
      <c r="K96" s="27" t="n">
        <f aca="false">ob_rev_30</f>
        <v>2.2</v>
      </c>
      <c r="L96" s="27" t="n">
        <f aca="false">ob_rev_31</f>
        <v>2.4</v>
      </c>
      <c r="M96" s="27" t="n">
        <f aca="false">ob_rev_32</f>
        <v>2.6</v>
      </c>
      <c r="N96" s="26"/>
    </row>
    <row r="97" customFormat="false" ht="17.15" hidden="false" customHeight="false" outlineLevel="0" collapsed="false">
      <c r="A97" s="0" t="s">
        <v>836</v>
      </c>
      <c r="B97" s="0" t="s">
        <v>76</v>
      </c>
      <c r="C97" s="21" t="n">
        <f aca="false">Q!J13</f>
        <v>0.211</v>
      </c>
      <c r="D97" s="21" t="n">
        <f aca="false">Q!K13</f>
        <v>-0.127</v>
      </c>
      <c r="E97" s="21" t="n">
        <f aca="false">Q!L13</f>
        <v>-0.074</v>
      </c>
      <c r="F97" s="23" t="n">
        <v>0</v>
      </c>
      <c r="G97" s="21" t="n">
        <f aca="false">E97+F97</f>
        <v>-0.074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7" t="s">
        <v>837</v>
      </c>
    </row>
    <row r="98" customFormat="false" ht="15" hidden="false" customHeight="false" outlineLevel="0" collapsed="false">
      <c r="A98" s="2" t="s">
        <v>652</v>
      </c>
      <c r="B98" s="7" t="s">
        <v>76</v>
      </c>
      <c r="C98" s="21" t="n">
        <f aca="false">Q!J14</f>
        <v>350.018</v>
      </c>
      <c r="D98" s="21" t="n">
        <f aca="false">Q!K14</f>
        <v>402.836</v>
      </c>
      <c r="E98" s="21" t="n">
        <f aca="false">Q!L14</f>
        <v>229.692</v>
      </c>
      <c r="F98" s="21" t="n">
        <f aca="false">F90+F95+F96+F97</f>
        <v>267.169031966039</v>
      </c>
      <c r="G98" s="21" t="n">
        <f aca="false">E98+F98</f>
        <v>496.861031966039</v>
      </c>
      <c r="H98" s="21" t="n">
        <f aca="false">H90+H95+H96+H97</f>
        <v>583.085602871998</v>
      </c>
      <c r="I98" s="21" t="n">
        <f aca="false">I90+I95+I96+I97</f>
        <v>654.117783902656</v>
      </c>
      <c r="J98" s="21" t="n">
        <f aca="false">J90+J95+J96+J97</f>
        <v>713.882643280257</v>
      </c>
      <c r="K98" s="21" t="n">
        <f aca="false">K90+K95+K96+K97</f>
        <v>754.977313637457</v>
      </c>
      <c r="L98" s="21" t="n">
        <f aca="false">L90+L95+L96+L97</f>
        <v>824.798669602117</v>
      </c>
      <c r="M98" s="21" t="n">
        <f aca="false">M90+M95+M96+M97</f>
        <v>898.907867208798</v>
      </c>
    </row>
    <row r="99" customFormat="false" ht="17.15" hidden="false" customHeight="false" outlineLevel="0" collapsed="false">
      <c r="A99" s="4" t="s">
        <v>647</v>
      </c>
      <c r="B99" s="0" t="s">
        <v>76</v>
      </c>
      <c r="C99" s="16" t="n">
        <f aca="false">C83+C85+C87+C89-C90</f>
        <v>0</v>
      </c>
      <c r="D99" s="16" t="n">
        <f aca="false">D83+D85+D87+D89-D90</f>
        <v>0</v>
      </c>
      <c r="E99" s="16" t="n">
        <f aca="false">E83+E85+E87+E89-E90</f>
        <v>0</v>
      </c>
      <c r="F99" s="16" t="n">
        <f aca="false">F83+F85+F87+F89-F90</f>
        <v>0</v>
      </c>
      <c r="G99" s="16" t="n">
        <f aca="false">G83+G85+G87+G89-G90</f>
        <v>0</v>
      </c>
      <c r="H99" s="16" t="n">
        <f aca="false">H83+H85+H87+H89-H90</f>
        <v>0</v>
      </c>
      <c r="I99" s="16" t="n">
        <f aca="false">I83+I85+I87+I89-I90</f>
        <v>0</v>
      </c>
      <c r="J99" s="16" t="n">
        <f aca="false">J83+J85+J87+J89-J90</f>
        <v>0</v>
      </c>
      <c r="K99" s="16" t="n">
        <f aca="false">K83+K85+K87+K89-K90</f>
        <v>0</v>
      </c>
      <c r="L99" s="16" t="n">
        <f aca="false">L83+L85+L87+L89-L90</f>
        <v>0</v>
      </c>
      <c r="M99" s="16" t="n">
        <f aca="false">M83+M85+M87+M89-M90</f>
        <v>0</v>
      </c>
    </row>
    <row r="100" customFormat="false" ht="17.15" hidden="false" customHeight="false" outlineLevel="0" collapsed="false">
      <c r="A100" s="4" t="s">
        <v>838</v>
      </c>
      <c r="B100" s="0" t="s">
        <v>76</v>
      </c>
      <c r="E100" s="16" t="n">
        <f aca="false">E91+E92+E94-E95</f>
        <v>0</v>
      </c>
      <c r="F100" s="16" t="n">
        <f aca="false">F91+F92+F94-F95</f>
        <v>0</v>
      </c>
      <c r="G100" s="16" t="n">
        <f aca="false">G91+G92+G94-G95</f>
        <v>0</v>
      </c>
      <c r="H100" s="16" t="n">
        <f aca="false">H91+H92+H94-H95</f>
        <v>0</v>
      </c>
      <c r="I100" s="16" t="n">
        <f aca="false">I91+I92+I94-I95</f>
        <v>0</v>
      </c>
      <c r="J100" s="16" t="n">
        <f aca="false">J91+J92+J94-J95</f>
        <v>0</v>
      </c>
      <c r="K100" s="16" t="n">
        <f aca="false">K91+K92+K94-K95</f>
        <v>0</v>
      </c>
      <c r="L100" s="16" t="n">
        <f aca="false">L91+L92+L94-L95</f>
        <v>0</v>
      </c>
      <c r="M100" s="16" t="n">
        <f aca="false">M91+M92+M94-M95</f>
        <v>0</v>
      </c>
    </row>
    <row r="101" customFormat="false" ht="15" hidden="false" customHeight="false" outlineLevel="0" collapsed="false">
      <c r="A101" s="4" t="s">
        <v>653</v>
      </c>
      <c r="B101" s="0" t="s">
        <v>76</v>
      </c>
      <c r="C101" s="16" t="n">
        <f aca="false">C90+C95+C96+C97-C98</f>
        <v>0</v>
      </c>
      <c r="D101" s="16" t="n">
        <f aca="false">D90+D95+D96+D97-D98</f>
        <v>0</v>
      </c>
      <c r="E101" s="16" t="n">
        <f aca="false">E90+E95+E96+E97-E98</f>
        <v>0</v>
      </c>
      <c r="F101" s="16" t="n">
        <f aca="false">F90+F95+F96+F97-F98</f>
        <v>0</v>
      </c>
      <c r="G101" s="16" t="n">
        <f aca="false">G90+G95+G96+G97-G98</f>
        <v>0</v>
      </c>
      <c r="H101" s="16" t="n">
        <f aca="false">H90+H95+H96+H97-H98</f>
        <v>0</v>
      </c>
      <c r="I101" s="16" t="n">
        <f aca="false">I90+I95+I96+I97-I98</f>
        <v>0</v>
      </c>
      <c r="J101" s="16" t="n">
        <f aca="false">J90+J95+J96+J97-J98</f>
        <v>0</v>
      </c>
      <c r="K101" s="16" t="n">
        <f aca="false">K90+K95+K96+K97-K98</f>
        <v>0</v>
      </c>
      <c r="L101" s="16" t="n">
        <f aca="false">L90+L95+L96+L97-L98</f>
        <v>0</v>
      </c>
      <c r="M101" s="16" t="n">
        <f aca="false">M90+M95+M96+M97-M98</f>
        <v>0</v>
      </c>
    </row>
    <row r="102" customFormat="false" ht="17.15" hidden="false" customHeight="false" outlineLevel="0" collapsed="false">
      <c r="A102" s="4" t="s">
        <v>839</v>
      </c>
      <c r="B102" s="0" t="s">
        <v>76</v>
      </c>
      <c r="C102" s="16" t="n">
        <f aca="false">C98-Q!J14</f>
        <v>0</v>
      </c>
      <c r="D102" s="16" t="n">
        <f aca="false">D98-Q!K14</f>
        <v>0</v>
      </c>
      <c r="E102" s="16" t="n">
        <f aca="false">E98-Q!L14</f>
        <v>0</v>
      </c>
    </row>
    <row r="103" customFormat="false" ht="17.15" hidden="false" customHeight="false" outlineLevel="0" collapsed="false">
      <c r="A103" s="4" t="s">
        <v>840</v>
      </c>
      <c r="B103" s="0" t="s">
        <v>76</v>
      </c>
      <c r="F103" s="21" t="n">
        <f aca="false">F90*cx_svc</f>
        <v>12.5979252318959</v>
      </c>
      <c r="G103" s="21" t="n">
        <f aca="false">F103</f>
        <v>12.5979252318959</v>
      </c>
      <c r="H103" s="21" t="n">
        <f aca="false">H90*cx_svc</f>
        <v>25.4246703671326</v>
      </c>
      <c r="I103" s="21" t="n">
        <f aca="false">I90*cx_svc</f>
        <v>26.8805395776327</v>
      </c>
      <c r="J103" s="21" t="n">
        <f aca="false">J90*cx_svc</f>
        <v>27.9354267626761</v>
      </c>
      <c r="K103" s="21" t="n">
        <f aca="false">K90*cx_svc</f>
        <v>28.5300841669054</v>
      </c>
      <c r="L103" s="21" t="n">
        <f aca="false">L90*cx_svc</f>
        <v>30.7875684780422</v>
      </c>
      <c r="M103" s="21" t="n">
        <f aca="false">M90*cx_svc</f>
        <v>33.236687119797</v>
      </c>
    </row>
    <row r="104" customFormat="false" ht="17.15" hidden="false" customHeight="false" outlineLevel="0" collapsed="false">
      <c r="A104" s="4" t="s">
        <v>841</v>
      </c>
      <c r="B104" s="0" t="s">
        <v>76</v>
      </c>
      <c r="F104" s="21" t="n">
        <f aca="false">F94*cx_co</f>
        <v>8.47627465101083</v>
      </c>
      <c r="G104" s="21" t="n">
        <f aca="false">F104</f>
        <v>8.47627465101083</v>
      </c>
      <c r="H104" s="21" t="n">
        <f aca="false">H94*cx_co</f>
        <v>21.1716477532032</v>
      </c>
      <c r="I104" s="21" t="n">
        <f aca="false">I94*cx_co</f>
        <v>26.9210464532696</v>
      </c>
      <c r="J104" s="21" t="n">
        <f aca="false">J94*cx_co</f>
        <v>31.6532445521407</v>
      </c>
      <c r="K104" s="21" t="n">
        <f aca="false">K94*cx_co</f>
        <v>34.185504116312</v>
      </c>
      <c r="L104" s="21" t="n">
        <f aca="false">L94*cx_co</f>
        <v>36.920344445617</v>
      </c>
      <c r="M104" s="21" t="n">
        <f aca="false">M94*cx_co</f>
        <v>39.8739720012663</v>
      </c>
    </row>
    <row r="105" customFormat="false" ht="17.15" hidden="false" customHeight="false" outlineLevel="0" collapsed="false">
      <c r="A105" s="4" t="s">
        <v>842</v>
      </c>
      <c r="B105" s="0" t="s">
        <v>76</v>
      </c>
      <c r="F105" s="21" t="n">
        <f aca="false">F96*cx_ob</f>
        <v>0.045</v>
      </c>
      <c r="G105" s="21" t="n">
        <f aca="false">F105</f>
        <v>0.045</v>
      </c>
      <c r="H105" s="21" t="n">
        <f aca="false">H96*cx_ob</f>
        <v>0.096</v>
      </c>
      <c r="I105" s="21" t="n">
        <f aca="false">I96*cx_ob</f>
        <v>0.108</v>
      </c>
      <c r="J105" s="21" t="n">
        <f aca="false">J96*cx_ob</f>
        <v>0.12</v>
      </c>
      <c r="K105" s="21" t="n">
        <f aca="false">K96*cx_ob</f>
        <v>0.132</v>
      </c>
      <c r="L105" s="21" t="n">
        <f aca="false">L96*cx_ob</f>
        <v>0.144</v>
      </c>
      <c r="M105" s="21" t="n">
        <f aca="false">M96*cx_ob</f>
        <v>0.156</v>
      </c>
    </row>
    <row r="106" customFormat="false" ht="17.15" hidden="false" customHeight="false" outlineLevel="0" collapsed="false">
      <c r="A106" s="2" t="s">
        <v>843</v>
      </c>
      <c r="B106" s="7" t="s">
        <v>76</v>
      </c>
      <c r="F106" s="21" t="n">
        <f aca="false">F103+F104+F105</f>
        <v>21.1191998829067</v>
      </c>
      <c r="G106" s="21" t="n">
        <f aca="false">G103+G104+G105</f>
        <v>21.1191998829067</v>
      </c>
      <c r="H106" s="21" t="n">
        <f aca="false">H103+H104+H105</f>
        <v>46.6923181203358</v>
      </c>
      <c r="I106" s="21" t="n">
        <f aca="false">I103+I104+I105</f>
        <v>53.9095860309023</v>
      </c>
      <c r="J106" s="21" t="n">
        <f aca="false">J103+J104+J105</f>
        <v>59.7086713148169</v>
      </c>
      <c r="K106" s="21" t="n">
        <f aca="false">K103+K104+K105</f>
        <v>62.8475882832174</v>
      </c>
      <c r="L106" s="21" t="n">
        <f aca="false">L103+L104+L105</f>
        <v>67.8519129236592</v>
      </c>
      <c r="M106" s="21" t="n">
        <f aca="false">M103+M104+M105</f>
        <v>73.2666591210633</v>
      </c>
    </row>
    <row r="107" customFormat="false" ht="17.15" hidden="false" customHeight="false" outlineLevel="0" collapsed="false">
      <c r="A107" s="4" t="s">
        <v>844</v>
      </c>
      <c r="B107" s="0" t="s">
        <v>76</v>
      </c>
      <c r="F107" s="21" t="n">
        <f aca="false">$F$103/life_na*IF(0=0,phi_0,IF(0&lt;life_na,1,IF(0=life_na,1-phi_0,0)))</f>
        <v>0.314948130797397</v>
      </c>
      <c r="G107" s="21" t="n">
        <f aca="false">F107</f>
        <v>0.314948130797397</v>
      </c>
      <c r="H107" s="21" t="n">
        <f aca="false">$F$103/life_na*IF(1=0,phi_0,IF(1&lt;life_na,1,IF(1=life_na,1-phi_0,0)))+$H$103/life_na*IF(0=0,phi_0,IF(0&lt;life_na,1,IF(0=life_na,1-phi_0,0)))</f>
        <v>1.8954092823679</v>
      </c>
      <c r="I107" s="21" t="n">
        <f aca="false">$F$103/life_na*IF(2=0,phi_0,IF(2&lt;life_na,1,IF(2=life_na,1-phi_0,0)))+$H$103/life_na*IF(1=0,phi_0,IF(1&lt;life_na,1,IF(1=life_na,1-phi_0,0)))+$I$103/life_na*IF(0=0,phi_0,IF(0&lt;life_na,1,IF(0=life_na,1-phi_0,0)))</f>
        <v>4.47427304934367</v>
      </c>
      <c r="J107" s="21" t="n">
        <f aca="false">$F$103/life_na*IF(3=0,phi_0,IF(3&lt;life_na,1,IF(3=life_na,1-phi_0,0)))+$H$103/life_na*IF(2=0,phi_0,IF(2&lt;life_na,1,IF(2=life_na,1-phi_0,0)))+$I$103/life_na*IF(1=0,phi_0,IF(1&lt;life_na,1,IF(1=life_na,1-phi_0,0)))+$J$103/life_na*IF(0=0,phi_0,IF(0&lt;life_na,1,IF(0=life_na,1-phi_0,0)))</f>
        <v>7.18869918673302</v>
      </c>
      <c r="K107" s="21" t="n">
        <f aca="false">$F$103/life_na*IF(4=0,phi_0,IF(4&lt;life_na,1,IF(4=life_na,1-phi_0,0)))+$H$103/life_na*IF(3=0,phi_0,IF(3&lt;life_na,1,IF(3=life_na,1-phi_0,0)))+$I$103/life_na*IF(2=0,phi_0,IF(2&lt;life_na,1,IF(2=life_na,1-phi_0,0)))+$J$103/life_na*IF(1=0,phi_0,IF(1&lt;life_na,1,IF(1=life_na,1-phi_0,0)))+$K$103/life_na*IF(0=0,phi_0,IF(0&lt;life_na,1,IF(0=life_na,1-phi_0,0)))</f>
        <v>9.99710829810637</v>
      </c>
      <c r="L107" s="21" t="n">
        <f aca="false">$F$103/life_na*IF(5=0,phi_0,IF(5&lt;life_na,1,IF(5=life_na,1-phi_0,0)))+$H$103/life_na*IF(4=0,phi_0,IF(4&lt;life_na,1,IF(4=life_na,1-phi_0,0)))+$I$103/life_na*IF(3=0,phi_0,IF(3&lt;life_na,1,IF(3=life_na,1-phi_0,0)))+$J$103/life_na*IF(2=0,phi_0,IF(2&lt;life_na,1,IF(2=life_na,1-phi_0,0)))+$K$103/life_na*IF(1=0,phi_0,IF(1&lt;life_na,1,IF(1=life_na,1-phi_0,0)))+$L$103/life_na*IF(0=0,phi_0,IF(0&lt;life_na,1,IF(0=life_na,1-phi_0,0)))</f>
        <v>12.9065538225753</v>
      </c>
      <c r="M107" s="21" t="n">
        <f aca="false">$F$103/life_na*IF(6=0,phi_0,IF(6&lt;life_na,1,IF(6=life_na,1-phi_0,0)))+$H$103/life_na*IF(5=0,phi_0,IF(5&lt;life_na,1,IF(5=life_na,1-phi_0,0)))+$I$103/life_na*IF(4=0,phi_0,IF(4&lt;life_na,1,IF(4=life_na,1-phi_0,0)))+$J$103/life_na*IF(3=0,phi_0,IF(3&lt;life_na,1,IF(3=life_na,1-phi_0,0)))+$K$103/life_na*IF(2=0,phi_0,IF(2&lt;life_na,1,IF(2=life_na,1-phi_0,0)))+$L$103/life_na*IF(1=0,phi_0,IF(1&lt;life_na,1,IF(1=life_na,1-phi_0,0)))+$M$103/life_na*IF(0=0,phi_0,IF(0&lt;life_na,1,IF(0=life_na,1-phi_0,0)))</f>
        <v>16.0465386364234</v>
      </c>
    </row>
    <row r="108" customFormat="false" ht="17.15" hidden="false" customHeight="false" outlineLevel="0" collapsed="false">
      <c r="A108" s="4" t="s">
        <v>845</v>
      </c>
      <c r="B108" s="0" t="s">
        <v>76</v>
      </c>
      <c r="F108" s="21" t="n">
        <f aca="false">$F$104/life_na*IF(0=0,phi_0,IF(0&lt;life_na,1,IF(0=life_na,1-phi_0,0)))</f>
        <v>0.211906866275271</v>
      </c>
      <c r="G108" s="21" t="n">
        <f aca="false">F108</f>
        <v>0.211906866275271</v>
      </c>
      <c r="H108" s="21" t="n">
        <f aca="false">$F$104/life_na*IF(1=0,phi_0,IF(1&lt;life_na,1,IF(1=life_na,1-phi_0,0)))+$H$104/life_na*IF(0=0,phi_0,IF(0&lt;life_na,1,IF(0=life_na,1-phi_0,0)))</f>
        <v>1.37691865893116</v>
      </c>
      <c r="I108" s="21" t="n">
        <f aca="false">$F$104/life_na*IF(2=0,phi_0,IF(2&lt;life_na,1,IF(2=life_na,1-phi_0,0)))+$H$104/life_na*IF(1=0,phi_0,IF(1&lt;life_na,1,IF(1=life_na,1-phi_0,0)))+$I$104/life_na*IF(0=0,phi_0,IF(0&lt;life_na,1,IF(0=life_na,1-phi_0,0)))</f>
        <v>3.63781840175314</v>
      </c>
      <c r="J108" s="21" t="n">
        <f aca="false">$F$104/life_na*IF(3=0,phi_0,IF(3&lt;life_na,1,IF(3=life_na,1-phi_0,0)))+$H$104/life_na*IF(2=0,phi_0,IF(2&lt;life_na,1,IF(2=life_na,1-phi_0,0)))+$I$104/life_na*IF(1=0,phi_0,IF(1&lt;life_na,1,IF(1=life_na,1-phi_0,0)))+$J$104/life_na*IF(0=0,phi_0,IF(0&lt;life_na,1,IF(0=life_na,1-phi_0,0)))</f>
        <v>6.44822799955188</v>
      </c>
      <c r="K108" s="21" t="n">
        <f aca="false">$F$104/life_na*IF(4=0,phi_0,IF(4&lt;life_na,1,IF(4=life_na,1-phi_0,0)))+$H$104/life_na*IF(3=0,phi_0,IF(3&lt;life_na,1,IF(3=life_na,1-phi_0,0)))+$I$104/life_na*IF(2=0,phi_0,IF(2&lt;life_na,1,IF(2=life_na,1-phi_0,0)))+$J$104/life_na*IF(1=0,phi_0,IF(1&lt;life_na,1,IF(1=life_na,1-phi_0,0)))+$K$104/life_na*IF(0=0,phi_0,IF(0&lt;life_na,1,IF(0=life_na,1-phi_0,0)))</f>
        <v>9.67685894387024</v>
      </c>
      <c r="L108" s="21" t="n">
        <f aca="false">$F$104/life_na*IF(5=0,phi_0,IF(5&lt;life_na,1,IF(5=life_na,1-phi_0,0)))+$H$104/life_na*IF(4=0,phi_0,IF(4&lt;life_na,1,IF(4=life_na,1-phi_0,0)))+$I$104/life_na*IF(3=0,phi_0,IF(3&lt;life_na,1,IF(3=life_na,1-phi_0,0)))+$J$104/life_na*IF(2=0,phi_0,IF(2&lt;life_na,1,IF(2=life_na,1-phi_0,0)))+$K$104/life_na*IF(1=0,phi_0,IF(1&lt;life_na,1,IF(1=life_na,1-phi_0,0)))+$L$104/life_na*IF(0=0,phi_0,IF(0&lt;life_na,1,IF(0=life_na,1-phi_0,0)))</f>
        <v>13.1637803637341</v>
      </c>
      <c r="M108" s="21" t="n">
        <f aca="false">$F$104/life_na*IF(6=0,phi_0,IF(6&lt;life_na,1,IF(6=life_na,1-phi_0,0)))+$H$104/life_na*IF(5=0,phi_0,IF(5&lt;life_na,1,IF(5=life_na,1-phi_0,0)))+$I$104/life_na*IF(4=0,phi_0,IF(4&lt;life_na,1,IF(4=life_na,1-phi_0,0)))+$J$104/life_na*IF(3=0,phi_0,IF(3&lt;life_na,1,IF(3=life_na,1-phi_0,0)))+$K$104/life_na*IF(2=0,phi_0,IF(2&lt;life_na,1,IF(2=life_na,1-phi_0,0)))+$L$104/life_na*IF(1=0,phi_0,IF(1&lt;life_na,1,IF(1=life_na,1-phi_0,0)))+$M$104/life_na*IF(0=0,phi_0,IF(0&lt;life_na,1,IF(0=life_na,1-phi_0,0)))</f>
        <v>16.929655497187</v>
      </c>
    </row>
    <row r="109" customFormat="false" ht="17.15" hidden="false" customHeight="false" outlineLevel="0" collapsed="false">
      <c r="A109" s="4" t="s">
        <v>846</v>
      </c>
      <c r="B109" s="0" t="s">
        <v>76</v>
      </c>
      <c r="F109" s="21" t="n">
        <f aca="false">$F$105/life_na*IF(0=0,phi_0,IF(0&lt;life_na,1,IF(0=life_na,1-phi_0,0)))</f>
        <v>0.001125</v>
      </c>
      <c r="G109" s="21" t="n">
        <f aca="false">F109</f>
        <v>0.001125</v>
      </c>
      <c r="H109" s="21" t="n">
        <f aca="false">$F$105/life_na*IF(1=0,phi_0,IF(1&lt;life_na,1,IF(1=life_na,1-phi_0,0)))+$H$105/life_na*IF(0=0,phi_0,IF(0&lt;life_na,1,IF(0=life_na,1-phi_0,0)))</f>
        <v>0.0069</v>
      </c>
      <c r="I109" s="21" t="n">
        <f aca="false">$F$105/life_na*IF(2=0,phi_0,IF(2&lt;life_na,1,IF(2=life_na,1-phi_0,0)))+$H$105/life_na*IF(1=0,phi_0,IF(1&lt;life_na,1,IF(1=life_na,1-phi_0,0)))+$I$105/life_na*IF(0=0,phi_0,IF(0&lt;life_na,1,IF(0=life_na,1-phi_0,0)))</f>
        <v>0.0168</v>
      </c>
      <c r="J109" s="21" t="n">
        <f aca="false">$F$105/life_na*IF(3=0,phi_0,IF(3&lt;life_na,1,IF(3=life_na,1-phi_0,0)))+$H$105/life_na*IF(2=0,phi_0,IF(2&lt;life_na,1,IF(2=life_na,1-phi_0,0)))+$I$105/life_na*IF(1=0,phi_0,IF(1&lt;life_na,1,IF(1=life_na,1-phi_0,0)))+$J$105/life_na*IF(0=0,phi_0,IF(0&lt;life_na,1,IF(0=life_na,1-phi_0,0)))</f>
        <v>0.0279</v>
      </c>
      <c r="K109" s="21" t="n">
        <f aca="false">$F$105/life_na*IF(4=0,phi_0,IF(4&lt;life_na,1,IF(4=life_na,1-phi_0,0)))+$H$105/life_na*IF(3=0,phi_0,IF(3&lt;life_na,1,IF(3=life_na,1-phi_0,0)))+$I$105/life_na*IF(2=0,phi_0,IF(2&lt;life_na,1,IF(2=life_na,1-phi_0,0)))+$J$105/life_na*IF(1=0,phi_0,IF(1&lt;life_na,1,IF(1=life_na,1-phi_0,0)))+$K$105/life_na*IF(0=0,phi_0,IF(0&lt;life_na,1,IF(0=life_na,1-phi_0,0)))</f>
        <v>0.0402</v>
      </c>
      <c r="L109" s="21" t="n">
        <f aca="false">$F$105/life_na*IF(5=0,phi_0,IF(5&lt;life_na,1,IF(5=life_na,1-phi_0,0)))+$H$105/life_na*IF(4=0,phi_0,IF(4&lt;life_na,1,IF(4=life_na,1-phi_0,0)))+$I$105/life_na*IF(3=0,phi_0,IF(3&lt;life_na,1,IF(3=life_na,1-phi_0,0)))+$J$105/life_na*IF(2=0,phi_0,IF(2&lt;life_na,1,IF(2=life_na,1-phi_0,0)))+$K$105/life_na*IF(1=0,phi_0,IF(1&lt;life_na,1,IF(1=life_na,1-phi_0,0)))+$L$105/life_na*IF(0=0,phi_0,IF(0&lt;life_na,1,IF(0=life_na,1-phi_0,0)))</f>
        <v>0.0537</v>
      </c>
      <c r="M109" s="21" t="n">
        <f aca="false">$F$105/life_na*IF(6=0,phi_0,IF(6&lt;life_na,1,IF(6=life_na,1-phi_0,0)))+$H$105/life_na*IF(5=0,phi_0,IF(5&lt;life_na,1,IF(5=life_na,1-phi_0,0)))+$I$105/life_na*IF(4=0,phi_0,IF(4&lt;life_na,1,IF(4=life_na,1-phi_0,0)))+$J$105/life_na*IF(3=0,phi_0,IF(3&lt;life_na,1,IF(3=life_na,1-phi_0,0)))+$K$105/life_na*IF(2=0,phi_0,IF(2&lt;life_na,1,IF(2=life_na,1-phi_0,0)))+$L$105/life_na*IF(1=0,phi_0,IF(1&lt;life_na,1,IF(1=life_na,1-phi_0,0)))+$M$105/life_na*IF(0=0,phi_0,IF(0&lt;life_na,1,IF(0=life_na,1-phi_0,0)))</f>
        <v>0.0684</v>
      </c>
    </row>
    <row r="110" customFormat="false" ht="17.15" hidden="false" customHeight="false" outlineLevel="0" collapsed="false">
      <c r="A110" s="2" t="s">
        <v>847</v>
      </c>
      <c r="B110" s="7" t="s">
        <v>76</v>
      </c>
      <c r="F110" s="21" t="n">
        <f aca="false">F107+F108+F109</f>
        <v>0.527979997072668</v>
      </c>
      <c r="G110" s="21" t="n">
        <f aca="false">G107+G108+G109</f>
        <v>0.527979997072668</v>
      </c>
      <c r="H110" s="21" t="n">
        <f aca="false">H107+H108+H109</f>
        <v>3.27922794129907</v>
      </c>
      <c r="I110" s="21" t="n">
        <f aca="false">I107+I108+I109</f>
        <v>8.12889145109681</v>
      </c>
      <c r="J110" s="21" t="n">
        <f aca="false">J107+J108+J109</f>
        <v>13.6648271862849</v>
      </c>
      <c r="K110" s="21" t="n">
        <f aca="false">K107+K108+K109</f>
        <v>19.7141672419766</v>
      </c>
      <c r="L110" s="21" t="n">
        <f aca="false">L107+L108+L109</f>
        <v>26.1240341863094</v>
      </c>
      <c r="M110" s="21" t="n">
        <f aca="false">M107+M108+M109</f>
        <v>33.0445941336104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852</v>
      </c>
    </row>
    <row r="2" customFormat="false" ht="17.15" hidden="false" customHeight="false" outlineLevel="0" collapsed="false">
      <c r="A2" s="4" t="s">
        <v>853</v>
      </c>
    </row>
    <row r="4" customFormat="false" ht="17.15" hidden="false" customHeight="false" outlineLevel="0" collapsed="false">
      <c r="A4" s="2" t="s">
        <v>854</v>
      </c>
    </row>
    <row r="5" customFormat="false" ht="15" hidden="false" customHeight="false" outlineLevel="0" collapsed="false">
      <c r="A5" s="3" t="s">
        <v>43</v>
      </c>
      <c r="B5" s="3" t="s">
        <v>44</v>
      </c>
      <c r="C5" s="14" t="s">
        <v>746</v>
      </c>
      <c r="D5" s="14" t="s">
        <v>747</v>
      </c>
      <c r="E5" s="14" t="s">
        <v>748</v>
      </c>
      <c r="F5" s="14" t="s">
        <v>749</v>
      </c>
      <c r="G5" s="14" t="s">
        <v>750</v>
      </c>
      <c r="H5" s="14" t="s">
        <v>751</v>
      </c>
      <c r="I5" s="14" t="s">
        <v>752</v>
      </c>
      <c r="J5" s="14" t="s">
        <v>753</v>
      </c>
      <c r="K5" s="14" t="s">
        <v>754</v>
      </c>
      <c r="L5" s="14" t="s">
        <v>755</v>
      </c>
      <c r="M5" s="14" t="s">
        <v>756</v>
      </c>
      <c r="N5" s="3" t="s">
        <v>50</v>
      </c>
    </row>
    <row r="6" customFormat="false" ht="17.15" hidden="false" customHeight="false" outlineLevel="0" collapsed="false">
      <c r="A6" s="4" t="s">
        <v>647</v>
      </c>
      <c r="B6" s="0" t="s">
        <v>76</v>
      </c>
      <c r="C6" s="16" t="n">
        <f aca="false">MAX(ABS(C26),ABS(C82),ABS(C138))</f>
        <v>0</v>
      </c>
      <c r="D6" s="16" t="n">
        <f aca="false">MAX(ABS(D26),ABS(D82),ABS(D138))</f>
        <v>0</v>
      </c>
      <c r="E6" s="16" t="n">
        <f aca="false">MAX(ABS(E26),ABS(E82),ABS(E138))</f>
        <v>0</v>
      </c>
      <c r="F6" s="16" t="n">
        <f aca="false">MAX(ABS(F26),ABS(F82),ABS(F138))</f>
        <v>0</v>
      </c>
      <c r="G6" s="16" t="n">
        <f aca="false">MAX(ABS(G26),ABS(G82),ABS(G138))</f>
        <v>0</v>
      </c>
      <c r="H6" s="16" t="n">
        <f aca="false">MAX(ABS(H26),ABS(H82),ABS(H138))</f>
        <v>0</v>
      </c>
      <c r="I6" s="16" t="n">
        <f aca="false">MAX(ABS(I26),ABS(I82),ABS(I138))</f>
        <v>0</v>
      </c>
      <c r="J6" s="16" t="n">
        <f aca="false">MAX(ABS(J26),ABS(J82),ABS(J138))</f>
        <v>0</v>
      </c>
      <c r="K6" s="16" t="n">
        <f aca="false">MAX(ABS(K26),ABS(K82),ABS(K138))</f>
        <v>0</v>
      </c>
      <c r="L6" s="16" t="n">
        <f aca="false">MAX(ABS(L26),ABS(L82),ABS(L138))</f>
        <v>0</v>
      </c>
      <c r="M6" s="16" t="n">
        <f aca="false">MAX(ABS(M26),ABS(M82),ABS(M138))</f>
        <v>0</v>
      </c>
      <c r="N6" s="4" t="s">
        <v>855</v>
      </c>
    </row>
    <row r="7" customFormat="false" ht="17.15" hidden="false" customHeight="false" outlineLevel="0" collapsed="false">
      <c r="A7" s="4" t="s">
        <v>838</v>
      </c>
      <c r="B7" s="0" t="s">
        <v>76</v>
      </c>
      <c r="E7" s="16" t="n">
        <f aca="false">MAX(ABS(E27),ABS(E83),ABS(E139))</f>
        <v>0</v>
      </c>
      <c r="F7" s="16" t="n">
        <f aca="false">MAX(ABS(F27),ABS(F83),ABS(F139))</f>
        <v>0</v>
      </c>
      <c r="G7" s="16" t="n">
        <f aca="false">MAX(ABS(G27),ABS(G83),ABS(G139))</f>
        <v>0</v>
      </c>
      <c r="H7" s="16" t="n">
        <f aca="false">MAX(ABS(H27),ABS(H83),ABS(H139))</f>
        <v>0</v>
      </c>
      <c r="I7" s="16" t="n">
        <f aca="false">MAX(ABS(I27),ABS(I83),ABS(I139))</f>
        <v>0</v>
      </c>
      <c r="J7" s="16" t="n">
        <f aca="false">MAX(ABS(J27),ABS(J83),ABS(J139))</f>
        <v>0</v>
      </c>
      <c r="K7" s="16" t="n">
        <f aca="false">MAX(ABS(K27),ABS(K83),ABS(K139))</f>
        <v>0</v>
      </c>
      <c r="L7" s="16" t="n">
        <f aca="false">MAX(ABS(L27),ABS(L83),ABS(L139))</f>
        <v>0</v>
      </c>
      <c r="M7" s="16" t="n">
        <f aca="false">MAX(ABS(M27),ABS(M83),ABS(M139))</f>
        <v>0</v>
      </c>
      <c r="N7" s="4" t="s">
        <v>855</v>
      </c>
    </row>
    <row r="8" customFormat="false" ht="17.15" hidden="false" customHeight="false" outlineLevel="0" collapsed="false">
      <c r="A8" s="4" t="s">
        <v>653</v>
      </c>
      <c r="B8" s="0" t="s">
        <v>76</v>
      </c>
      <c r="C8" s="16" t="n">
        <f aca="false">MAX(ABS(C28),ABS(C84),ABS(C140))</f>
        <v>0</v>
      </c>
      <c r="D8" s="16" t="n">
        <f aca="false">MAX(ABS(D28),ABS(D84),ABS(D140))</f>
        <v>0</v>
      </c>
      <c r="E8" s="16" t="n">
        <f aca="false">MAX(ABS(E28),ABS(E84),ABS(E140))</f>
        <v>0</v>
      </c>
      <c r="F8" s="16" t="n">
        <f aca="false">MAX(ABS(F28),ABS(F84),ABS(F140))</f>
        <v>0</v>
      </c>
      <c r="G8" s="16" t="n">
        <f aca="false">MAX(ABS(G28),ABS(G84),ABS(G140))</f>
        <v>0</v>
      </c>
      <c r="H8" s="16" t="n">
        <f aca="false">MAX(ABS(H28),ABS(H84),ABS(H140))</f>
        <v>0</v>
      </c>
      <c r="I8" s="16" t="n">
        <f aca="false">MAX(ABS(I28),ABS(I84),ABS(I140))</f>
        <v>0</v>
      </c>
      <c r="J8" s="16" t="n">
        <f aca="false">MAX(ABS(J28),ABS(J84),ABS(J140))</f>
        <v>0</v>
      </c>
      <c r="K8" s="16" t="n">
        <f aca="false">MAX(ABS(K28),ABS(K84),ABS(K140))</f>
        <v>0</v>
      </c>
      <c r="L8" s="16" t="n">
        <f aca="false">MAX(ABS(L28),ABS(L84),ABS(L140))</f>
        <v>0</v>
      </c>
      <c r="M8" s="16" t="n">
        <f aca="false">MAX(ABS(M28),ABS(M84),ABS(M140))</f>
        <v>0</v>
      </c>
      <c r="N8" s="4" t="s">
        <v>855</v>
      </c>
    </row>
    <row r="9" customFormat="false" ht="17.15" hidden="false" customHeight="false" outlineLevel="0" collapsed="false">
      <c r="A9" s="4" t="s">
        <v>660</v>
      </c>
      <c r="B9" s="0" t="s">
        <v>76</v>
      </c>
      <c r="C9" s="16" t="n">
        <f aca="false">MAX(ABS(C47),ABS(C103),ABS(C159))</f>
        <v>0</v>
      </c>
      <c r="D9" s="16" t="n">
        <f aca="false">MAX(ABS(D47),ABS(D103),ABS(D159))</f>
        <v>0</v>
      </c>
      <c r="E9" s="16" t="n">
        <f aca="false">MAX(ABS(E47),ABS(E103),ABS(E159))</f>
        <v>0</v>
      </c>
      <c r="F9" s="16" t="n">
        <f aca="false">MAX(ABS(F47),ABS(F103),ABS(F159))</f>
        <v>0</v>
      </c>
      <c r="G9" s="16" t="n">
        <f aca="false">MAX(ABS(G47),ABS(G103),ABS(G159))</f>
        <v>0</v>
      </c>
      <c r="H9" s="16" t="n">
        <f aca="false">MAX(ABS(H47),ABS(H103),ABS(H159))</f>
        <v>0</v>
      </c>
      <c r="I9" s="16" t="n">
        <f aca="false">MAX(ABS(I47),ABS(I103),ABS(I159))</f>
        <v>0</v>
      </c>
      <c r="J9" s="16" t="n">
        <f aca="false">MAX(ABS(J47),ABS(J103),ABS(J159))</f>
        <v>0</v>
      </c>
      <c r="K9" s="16" t="n">
        <f aca="false">MAX(ABS(K47),ABS(K103),ABS(K159))</f>
        <v>0</v>
      </c>
      <c r="L9" s="16" t="n">
        <f aca="false">MAX(ABS(L47),ABS(L103),ABS(L159))</f>
        <v>0</v>
      </c>
      <c r="M9" s="16" t="n">
        <f aca="false">MAX(ABS(M47),ABS(M103),ABS(M159))</f>
        <v>0</v>
      </c>
      <c r="N9" s="4" t="s">
        <v>855</v>
      </c>
    </row>
    <row r="11" customFormat="false" ht="17.15" hidden="false" customHeight="false" outlineLevel="0" collapsed="false">
      <c r="A11" s="24" t="s">
        <v>813</v>
      </c>
    </row>
    <row r="12" customFormat="false" ht="15" hidden="false" customHeight="false" outlineLevel="0" collapsed="false">
      <c r="A12" s="3" t="s">
        <v>43</v>
      </c>
      <c r="B12" s="3" t="s">
        <v>44</v>
      </c>
      <c r="C12" s="14" t="s">
        <v>746</v>
      </c>
      <c r="D12" s="14" t="s">
        <v>747</v>
      </c>
      <c r="E12" s="14" t="s">
        <v>748</v>
      </c>
      <c r="F12" s="14" t="s">
        <v>749</v>
      </c>
      <c r="G12" s="14" t="s">
        <v>750</v>
      </c>
      <c r="H12" s="14" t="s">
        <v>751</v>
      </c>
      <c r="I12" s="14" t="s">
        <v>752</v>
      </c>
      <c r="J12" s="14" t="s">
        <v>753</v>
      </c>
      <c r="K12" s="14" t="s">
        <v>754</v>
      </c>
      <c r="L12" s="14" t="s">
        <v>755</v>
      </c>
      <c r="M12" s="14" t="s">
        <v>756</v>
      </c>
      <c r="N12" s="3" t="s">
        <v>50</v>
      </c>
    </row>
    <row r="13" customFormat="false" ht="15" hidden="false" customHeight="false" outlineLevel="0" collapsed="false">
      <c r="A13" s="0" t="s">
        <v>640</v>
      </c>
      <c r="B13" s="0" t="s">
        <v>76</v>
      </c>
      <c r="C13" s="21" t="n">
        <f aca="false">Seg!C11</f>
        <v>198.084</v>
      </c>
      <c r="D13" s="21" t="n">
        <f aca="false">Seg!D11</f>
        <v>224.532</v>
      </c>
      <c r="E13" s="21" t="n">
        <f aca="false">Seg!E11</f>
        <v>123.67</v>
      </c>
      <c r="F13" s="21" t="n">
        <f aca="false">Seg!F11</f>
        <v>139.741100565981</v>
      </c>
      <c r="G13" s="21" t="n">
        <f aca="false">Seg!G11</f>
        <v>263.411100565981</v>
      </c>
      <c r="H13" s="21" t="n">
        <f aca="false">Seg!H11</f>
        <v>313.286256030661</v>
      </c>
      <c r="I13" s="21" t="n">
        <f aca="false">Seg!I11</f>
        <v>365.177888644975</v>
      </c>
      <c r="J13" s="21" t="n">
        <f aca="false">Seg!J11</f>
        <v>417.03333836977</v>
      </c>
      <c r="K13" s="21" t="n">
        <f aca="false">Seg!K11</f>
        <v>466.422985739379</v>
      </c>
      <c r="L13" s="21" t="n">
        <f aca="false">Seg!L11</f>
        <v>503.736824598529</v>
      </c>
      <c r="M13" s="21" t="n">
        <f aca="false">Seg!M11</f>
        <v>544.035770566412</v>
      </c>
    </row>
    <row r="14" customFormat="false" ht="15" hidden="false" customHeight="false" outlineLevel="0" collapsed="false">
      <c r="A14" s="0" t="s">
        <v>643</v>
      </c>
      <c r="B14" s="0" t="s">
        <v>76</v>
      </c>
      <c r="C14" s="21" t="n">
        <f aca="false">Seg!C13</f>
        <v>36.147</v>
      </c>
      <c r="D14" s="21" t="n">
        <f aca="false">Seg!D13</f>
        <v>40.367</v>
      </c>
      <c r="E14" s="21" t="n">
        <f aca="false">Seg!E13</f>
        <v>20.938</v>
      </c>
      <c r="F14" s="21" t="n">
        <f aca="false">Seg!F13</f>
        <v>24.1793637484587</v>
      </c>
      <c r="G14" s="21" t="n">
        <f aca="false">Seg!G13</f>
        <v>45.1173637484587</v>
      </c>
      <c r="H14" s="21" t="n">
        <f aca="false">Seg!H13</f>
        <v>49.9834744846827</v>
      </c>
      <c r="I14" s="21" t="n">
        <f aca="false">Seg!I13</f>
        <v>54.9103289240237</v>
      </c>
      <c r="J14" s="21" t="n">
        <f aca="false">Seg!J13</f>
        <v>59.8129885015682</v>
      </c>
      <c r="K14" s="21" t="n">
        <f aca="false">Seg!K13</f>
        <v>64.5980275816936</v>
      </c>
      <c r="L14" s="21" t="n">
        <f aca="false">Seg!L13</f>
        <v>69.7658697882291</v>
      </c>
      <c r="M14" s="21" t="n">
        <f aca="false">Seg!M13</f>
        <v>75.3471393712874</v>
      </c>
    </row>
    <row r="15" customFormat="false" ht="15" hidden="false" customHeight="false" outlineLevel="0" collapsed="false">
      <c r="A15" s="0" t="s">
        <v>644</v>
      </c>
      <c r="B15" s="0" t="s">
        <v>76</v>
      </c>
      <c r="C15" s="21" t="n">
        <f aca="false">Seg!C15</f>
        <v>30.359</v>
      </c>
      <c r="D15" s="21" t="n">
        <f aca="false">Seg!D15</f>
        <v>29.792</v>
      </c>
      <c r="E15" s="21" t="n">
        <f aca="false">Seg!E15</f>
        <v>14.274</v>
      </c>
      <c r="F15" s="21" t="n">
        <f aca="false">Seg!F15</f>
        <v>14.8512550478215</v>
      </c>
      <c r="G15" s="21" t="n">
        <f aca="false">Seg!G15</f>
        <v>29.1252550478215</v>
      </c>
      <c r="H15" s="21" t="n">
        <f aca="false">Seg!H15</f>
        <v>28.6493774746437</v>
      </c>
      <c r="I15" s="21" t="n">
        <f aca="false">Seg!I15</f>
        <v>28.3373093353078</v>
      </c>
      <c r="J15" s="21" t="n">
        <f aca="false">Seg!J15</f>
        <v>28.1829748928599</v>
      </c>
      <c r="K15" s="21" t="n">
        <f aca="false">Seg!K15</f>
        <v>28.1829748928599</v>
      </c>
      <c r="L15" s="21" t="n">
        <f aca="false">Seg!L15</f>
        <v>28.1829748928599</v>
      </c>
      <c r="M15" s="21" t="n">
        <f aca="false">Seg!M15</f>
        <v>28.1829748928599</v>
      </c>
    </row>
    <row r="16" customFormat="false" ht="15" hidden="false" customHeight="false" outlineLevel="0" collapsed="false">
      <c r="A16" s="0" t="s">
        <v>645</v>
      </c>
      <c r="B16" s="0" t="s">
        <v>76</v>
      </c>
      <c r="C16" s="21" t="n">
        <f aca="false">Seg!C17</f>
        <v>40.34</v>
      </c>
      <c r="D16" s="21" t="n">
        <f aca="false">Seg!D17</f>
        <v>48.03</v>
      </c>
      <c r="E16" s="21" t="n">
        <f aca="false">Seg!E17</f>
        <v>25.295</v>
      </c>
      <c r="F16" s="21" t="n">
        <f aca="false">Seg!F17</f>
        <v>31.1937011693374</v>
      </c>
      <c r="G16" s="21" t="n">
        <f aca="false">Seg!G17</f>
        <v>56.4887011693374</v>
      </c>
      <c r="H16" s="21" t="n">
        <f aca="false">Seg!H17</f>
        <v>65.5029631403152</v>
      </c>
      <c r="I16" s="21" t="n">
        <f aca="false">Seg!I17</f>
        <v>74.6548787045084</v>
      </c>
      <c r="J16" s="21" t="n">
        <f aca="false">Seg!J17</f>
        <v>83.602922174315</v>
      </c>
      <c r="K16" s="21" t="n">
        <f aca="false">Seg!K17</f>
        <v>91.9632143917465</v>
      </c>
      <c r="L16" s="21" t="n">
        <f aca="false">Seg!L17</f>
        <v>101.159535830921</v>
      </c>
      <c r="M16" s="21" t="n">
        <f aca="false">Seg!M17</f>
        <v>111.275489414013</v>
      </c>
    </row>
    <row r="17" customFormat="false" ht="15" hidden="false" customHeight="false" outlineLevel="0" collapsed="false">
      <c r="A17" s="25" t="s">
        <v>825</v>
      </c>
      <c r="B17" s="26" t="s">
        <v>76</v>
      </c>
      <c r="C17" s="27" t="n">
        <f aca="false">Seg!C18</f>
        <v>304.93</v>
      </c>
      <c r="D17" s="27" t="n">
        <f aca="false">Seg!D18</f>
        <v>342.721</v>
      </c>
      <c r="E17" s="27" t="n">
        <f aca="false">Seg!E18</f>
        <v>184.177</v>
      </c>
      <c r="F17" s="27" t="n">
        <f aca="false">Seg!F18</f>
        <v>209.965420531598</v>
      </c>
      <c r="G17" s="27" t="n">
        <f aca="false">Seg!G18</f>
        <v>394.142420531598</v>
      </c>
      <c r="H17" s="27" t="n">
        <f aca="false">Seg!H18</f>
        <v>457.422071130303</v>
      </c>
      <c r="I17" s="27" t="n">
        <f aca="false">Seg!I18</f>
        <v>523.080405608814</v>
      </c>
      <c r="J17" s="27" t="n">
        <f aca="false">Seg!J18</f>
        <v>588.632223938513</v>
      </c>
      <c r="K17" s="27" t="n">
        <f aca="false">Seg!K18</f>
        <v>651.167202605679</v>
      </c>
      <c r="L17" s="27" t="n">
        <f aca="false">Seg!L18</f>
        <v>702.84520511054</v>
      </c>
      <c r="M17" s="27" t="n">
        <f aca="false">Seg!M18</f>
        <v>758.841374244572</v>
      </c>
      <c r="N17" s="26"/>
    </row>
    <row r="18" customFormat="false" ht="17.15" hidden="false" customHeight="false" outlineLevel="0" collapsed="false">
      <c r="A18" s="0" t="s">
        <v>826</v>
      </c>
      <c r="B18" s="0" t="s">
        <v>76</v>
      </c>
      <c r="E18" s="21" t="n">
        <f aca="false">Seg!E19</f>
        <v>9.75837289307536</v>
      </c>
      <c r="F18" s="21" t="n">
        <f aca="false">Seg!F19</f>
        <v>13.072238179387</v>
      </c>
      <c r="G18" s="21" t="n">
        <f aca="false">Seg!G19</f>
        <v>22.8306110724624</v>
      </c>
      <c r="H18" s="21" t="n">
        <f aca="false">Seg!H19</f>
        <v>38.882857987105</v>
      </c>
      <c r="I18" s="21" t="n">
        <f aca="false">Seg!I19</f>
        <v>56.7035586757632</v>
      </c>
      <c r="J18" s="21" t="n">
        <f aca="false">Seg!J19</f>
        <v>75.0259744749515</v>
      </c>
      <c r="K18" s="21" t="n">
        <f aca="false">Seg!K19</f>
        <v>93.3483902741398</v>
      </c>
      <c r="L18" s="21" t="n">
        <f aca="false">Seg!L19</f>
        <v>111.670806073328</v>
      </c>
      <c r="M18" s="21" t="n">
        <f aca="false">Seg!M19</f>
        <v>129.993221872516</v>
      </c>
    </row>
    <row r="19" customFormat="false" ht="17.15" hidden="false" customHeight="false" outlineLevel="0" collapsed="false">
      <c r="A19" s="0" t="s">
        <v>828</v>
      </c>
      <c r="B19" s="0" t="s">
        <v>76</v>
      </c>
      <c r="E19" s="21" t="n">
        <f aca="false">Seg!E20</f>
        <v>0</v>
      </c>
      <c r="F19" s="21" t="n">
        <f aca="false">Seg!F20</f>
        <v>1</v>
      </c>
      <c r="G19" s="21" t="n">
        <f aca="false">Seg!G20</f>
        <v>1</v>
      </c>
      <c r="H19" s="21" t="n">
        <f aca="false">Seg!H20</f>
        <v>13</v>
      </c>
      <c r="I19" s="21" t="n">
        <f aca="false">Seg!I20</f>
        <v>13</v>
      </c>
      <c r="J19" s="21" t="n">
        <f aca="false">Seg!J20</f>
        <v>13</v>
      </c>
      <c r="K19" s="21" t="n">
        <f aca="false">Seg!K20</f>
        <v>13</v>
      </c>
      <c r="L19" s="21" t="n">
        <f aca="false">Seg!L20</f>
        <v>13</v>
      </c>
      <c r="M19" s="21" t="n">
        <f aca="false">Seg!M20</f>
        <v>13</v>
      </c>
    </row>
    <row r="20" customFormat="false" ht="17.15" hidden="false" customHeight="false" outlineLevel="0" collapsed="false">
      <c r="A20" s="0" t="s">
        <v>832</v>
      </c>
      <c r="B20" s="0" t="s">
        <v>76</v>
      </c>
      <c r="E20" s="21" t="n">
        <f aca="false">Seg!E22</f>
        <v>35.0376271069246</v>
      </c>
      <c r="F20" s="21" t="n">
        <f aca="false">Seg!F22</f>
        <v>42.3813732550541</v>
      </c>
      <c r="G20" s="21" t="n">
        <f aca="false">Seg!G22</f>
        <v>77.4190003619788</v>
      </c>
      <c r="H20" s="21" t="n">
        <f aca="false">Seg!H22</f>
        <v>105.858238766016</v>
      </c>
      <c r="I20" s="21" t="n">
        <f aca="false">Seg!I22</f>
        <v>134.605232266348</v>
      </c>
      <c r="J20" s="21" t="n">
        <f aca="false">Seg!J22</f>
        <v>158.266222760704</v>
      </c>
      <c r="K20" s="21" t="n">
        <f aca="false">Seg!K22</f>
        <v>170.92752058156</v>
      </c>
      <c r="L20" s="21" t="n">
        <f aca="false">Seg!L22</f>
        <v>184.601722228085</v>
      </c>
      <c r="M20" s="21" t="n">
        <f aca="false">Seg!M22</f>
        <v>199.369860006332</v>
      </c>
    </row>
    <row r="21" customFormat="false" ht="15" hidden="false" customHeight="false" outlineLevel="0" collapsed="false">
      <c r="A21" s="25" t="s">
        <v>834</v>
      </c>
      <c r="B21" s="26" t="s">
        <v>76</v>
      </c>
      <c r="C21" s="27" t="n">
        <f aca="false">Seg!C23</f>
        <v>43.229</v>
      </c>
      <c r="D21" s="27" t="n">
        <f aca="false">Seg!D23</f>
        <v>58.705</v>
      </c>
      <c r="E21" s="27" t="n">
        <f aca="false">Seg!E23</f>
        <v>44.796</v>
      </c>
      <c r="F21" s="27" t="n">
        <f aca="false">Seg!F23</f>
        <v>56.4536114344411</v>
      </c>
      <c r="G21" s="27" t="n">
        <f aca="false">Seg!G23</f>
        <v>101.249611434441</v>
      </c>
      <c r="H21" s="27" t="n">
        <f aca="false">Seg!H23</f>
        <v>157.741096753121</v>
      </c>
      <c r="I21" s="27" t="n">
        <f aca="false">Seg!I23</f>
        <v>204.308790942111</v>
      </c>
      <c r="J21" s="27" t="n">
        <f aca="false">Seg!J23</f>
        <v>246.292197235655</v>
      </c>
      <c r="K21" s="27" t="n">
        <f aca="false">Seg!K23</f>
        <v>277.2759108557</v>
      </c>
      <c r="L21" s="27" t="n">
        <f aca="false">Seg!L23</f>
        <v>309.272528301413</v>
      </c>
      <c r="M21" s="27" t="n">
        <f aca="false">Seg!M23</f>
        <v>342.363081878848</v>
      </c>
      <c r="N21" s="26"/>
    </row>
    <row r="22" customFormat="false" ht="15" hidden="false" customHeight="false" outlineLevel="0" collapsed="false">
      <c r="A22" s="25" t="s">
        <v>835</v>
      </c>
      <c r="B22" s="26" t="s">
        <v>76</v>
      </c>
      <c r="C22" s="27" t="n">
        <f aca="false">Seg!C24</f>
        <v>1.648</v>
      </c>
      <c r="D22" s="27" t="n">
        <f aca="false">Seg!D24</f>
        <v>1.537</v>
      </c>
      <c r="E22" s="27" t="n">
        <f aca="false">Seg!E24</f>
        <v>0.793</v>
      </c>
      <c r="F22" s="27" t="n">
        <f aca="false">Seg!F24</f>
        <v>0.75</v>
      </c>
      <c r="G22" s="27" t="n">
        <f aca="false">Seg!G24</f>
        <v>1.543</v>
      </c>
      <c r="H22" s="27" t="n">
        <f aca="false">Seg!H24</f>
        <v>1.6</v>
      </c>
      <c r="I22" s="27" t="n">
        <f aca="false">Seg!I24</f>
        <v>1.8</v>
      </c>
      <c r="J22" s="27" t="n">
        <f aca="false">Seg!J24</f>
        <v>2</v>
      </c>
      <c r="K22" s="27" t="n">
        <f aca="false">Seg!K24</f>
        <v>2.2</v>
      </c>
      <c r="L22" s="27" t="n">
        <f aca="false">Seg!L24</f>
        <v>2.4</v>
      </c>
      <c r="M22" s="27" t="n">
        <f aca="false">Seg!M24</f>
        <v>2.6</v>
      </c>
      <c r="N22" s="26"/>
    </row>
    <row r="23" customFormat="false" ht="15" hidden="false" customHeight="false" outlineLevel="0" collapsed="false">
      <c r="A23" s="0" t="s">
        <v>836</v>
      </c>
      <c r="B23" s="0" t="s">
        <v>76</v>
      </c>
      <c r="C23" s="21" t="n">
        <f aca="false">Seg!C25</f>
        <v>0.211</v>
      </c>
      <c r="D23" s="21" t="n">
        <f aca="false">Seg!D25</f>
        <v>-0.127</v>
      </c>
      <c r="E23" s="21" t="n">
        <f aca="false">Seg!E25</f>
        <v>-0.074</v>
      </c>
      <c r="F23" s="21" t="n">
        <f aca="false">Seg!F25</f>
        <v>0</v>
      </c>
      <c r="G23" s="21" t="n">
        <f aca="false">Seg!G25</f>
        <v>-0.074</v>
      </c>
      <c r="H23" s="21" t="n">
        <f aca="false">Seg!H25</f>
        <v>0</v>
      </c>
      <c r="I23" s="21" t="n">
        <f aca="false">Seg!I25</f>
        <v>0</v>
      </c>
      <c r="J23" s="21" t="n">
        <f aca="false">Seg!J25</f>
        <v>0</v>
      </c>
      <c r="K23" s="21" t="n">
        <f aca="false">Seg!K25</f>
        <v>0</v>
      </c>
      <c r="L23" s="21" t="n">
        <f aca="false">Seg!L25</f>
        <v>0</v>
      </c>
      <c r="M23" s="21" t="n">
        <f aca="false">Seg!M25</f>
        <v>0</v>
      </c>
    </row>
    <row r="24" customFormat="false" ht="15" hidden="false" customHeight="false" outlineLevel="0" collapsed="false">
      <c r="A24" s="2" t="s">
        <v>652</v>
      </c>
      <c r="B24" s="7" t="s">
        <v>76</v>
      </c>
      <c r="C24" s="21" t="n">
        <f aca="false">Seg!C26</f>
        <v>350.018</v>
      </c>
      <c r="D24" s="21" t="n">
        <f aca="false">Seg!D26</f>
        <v>402.836</v>
      </c>
      <c r="E24" s="21" t="n">
        <f aca="false">Seg!E26</f>
        <v>229.692</v>
      </c>
      <c r="F24" s="21" t="n">
        <f aca="false">Seg!F26</f>
        <v>267.169031966039</v>
      </c>
      <c r="G24" s="21" t="n">
        <f aca="false">Seg!G26</f>
        <v>496.861031966039</v>
      </c>
      <c r="H24" s="21" t="n">
        <f aca="false">Seg!H26</f>
        <v>616.763167883424</v>
      </c>
      <c r="I24" s="21" t="n">
        <f aca="false">Seg!I26</f>
        <v>729.189196550926</v>
      </c>
      <c r="J24" s="21" t="n">
        <f aca="false">Seg!J26</f>
        <v>836.924421174168</v>
      </c>
      <c r="K24" s="21" t="n">
        <f aca="false">Seg!K26</f>
        <v>930.643113461379</v>
      </c>
      <c r="L24" s="21" t="n">
        <f aca="false">Seg!L26</f>
        <v>1014.51773341195</v>
      </c>
      <c r="M24" s="21" t="n">
        <f aca="false">Seg!M26</f>
        <v>1103.80445612342</v>
      </c>
    </row>
    <row r="25" customFormat="false" ht="15" hidden="false" customHeight="false" outlineLevel="0" collapsed="false">
      <c r="A25" s="4" t="s">
        <v>856</v>
      </c>
      <c r="B25" s="0" t="s">
        <v>99</v>
      </c>
      <c r="D25" s="19" t="n">
        <f aca="false">D24/C24-1</f>
        <v>0.150900810815444</v>
      </c>
      <c r="G25" s="19" t="n">
        <f aca="false">G24/D24-1</f>
        <v>0.233407719186069</v>
      </c>
      <c r="H25" s="19" t="n">
        <f aca="false">H24/G24-1</f>
        <v>0.241319258712927</v>
      </c>
      <c r="I25" s="19" t="n">
        <f aca="false">I24/H24-1</f>
        <v>0.182283953585166</v>
      </c>
      <c r="J25" s="19" t="n">
        <f aca="false">J24/I24-1</f>
        <v>0.147746600104378</v>
      </c>
      <c r="K25" s="19" t="n">
        <f aca="false">K24/J24-1</f>
        <v>0.111979875262485</v>
      </c>
      <c r="L25" s="19" t="n">
        <f aca="false">L24/K24-1</f>
        <v>0.0901254398569773</v>
      </c>
      <c r="M25" s="19" t="n">
        <f aca="false">M24/L24-1</f>
        <v>0.0880090310606845</v>
      </c>
    </row>
    <row r="26" customFormat="false" ht="17.15" hidden="false" customHeight="false" outlineLevel="0" collapsed="false">
      <c r="A26" s="4" t="s">
        <v>647</v>
      </c>
      <c r="B26" s="0" t="s">
        <v>76</v>
      </c>
      <c r="C26" s="16" t="n">
        <f aca="false">C13+C14+C15+C16-C17</f>
        <v>0</v>
      </c>
      <c r="D26" s="16" t="n">
        <f aca="false">D13+D14+D15+D16-D17</f>
        <v>0</v>
      </c>
      <c r="E26" s="16" t="n">
        <f aca="false">E13+E14+E15+E16-E17</f>
        <v>0</v>
      </c>
      <c r="F26" s="16" t="n">
        <f aca="false">F13+F14+F15+F16-F17</f>
        <v>0</v>
      </c>
      <c r="G26" s="16" t="n">
        <f aca="false">G13+G14+G15+G16-G17</f>
        <v>0</v>
      </c>
      <c r="H26" s="16" t="n">
        <f aca="false">H13+H14+H15+H16-H17</f>
        <v>0</v>
      </c>
      <c r="I26" s="16" t="n">
        <f aca="false">I13+I14+I15+I16-I17</f>
        <v>0</v>
      </c>
      <c r="J26" s="16" t="n">
        <f aca="false">J13+J14+J15+J16-J17</f>
        <v>0</v>
      </c>
      <c r="K26" s="16" t="n">
        <f aca="false">K13+K14+K15+K16-K17</f>
        <v>0</v>
      </c>
      <c r="L26" s="16" t="n">
        <f aca="false">L13+L14+L15+L16-L17</f>
        <v>0</v>
      </c>
      <c r="M26" s="16" t="n">
        <f aca="false">M13+M14+M15+M16-M17</f>
        <v>0</v>
      </c>
    </row>
    <row r="27" customFormat="false" ht="17.15" hidden="false" customHeight="false" outlineLevel="0" collapsed="false">
      <c r="A27" s="4" t="s">
        <v>838</v>
      </c>
      <c r="B27" s="0" t="s">
        <v>76</v>
      </c>
      <c r="E27" s="16" t="n">
        <f aca="false">E18+E19+E20-E21</f>
        <v>0</v>
      </c>
      <c r="F27" s="16" t="n">
        <f aca="false">F18+F19+F20-F21</f>
        <v>0</v>
      </c>
      <c r="G27" s="16" t="n">
        <f aca="false">G18+G19+G20-G21</f>
        <v>0</v>
      </c>
      <c r="H27" s="16" t="n">
        <f aca="false">H18+H19+H20-H21</f>
        <v>0</v>
      </c>
      <c r="I27" s="16" t="n">
        <f aca="false">I18+I19+I20-I21</f>
        <v>0</v>
      </c>
      <c r="J27" s="16" t="n">
        <f aca="false">J18+J19+J20-J21</f>
        <v>0</v>
      </c>
      <c r="K27" s="16" t="n">
        <f aca="false">K18+K19+K20-K21</f>
        <v>0</v>
      </c>
      <c r="L27" s="16" t="n">
        <f aca="false">L18+L19+L20-L21</f>
        <v>0</v>
      </c>
      <c r="M27" s="16" t="n">
        <f aca="false">M18+M19+M20-M21</f>
        <v>0</v>
      </c>
    </row>
    <row r="28" customFormat="false" ht="15" hidden="false" customHeight="false" outlineLevel="0" collapsed="false">
      <c r="A28" s="4" t="s">
        <v>653</v>
      </c>
      <c r="B28" s="0" t="s">
        <v>76</v>
      </c>
      <c r="C28" s="16" t="n">
        <f aca="false">C17+C21+C22+C23-C24</f>
        <v>0</v>
      </c>
      <c r="D28" s="16" t="n">
        <f aca="false">D17+D21+D22+D23-D24</f>
        <v>0</v>
      </c>
      <c r="E28" s="16" t="n">
        <f aca="false">E17+E21+E22+E23-E24</f>
        <v>0</v>
      </c>
      <c r="F28" s="16" t="n">
        <f aca="false">F17+F21+F22+F23-F24</f>
        <v>0</v>
      </c>
      <c r="G28" s="16" t="n">
        <f aca="false">G17+G21+G22+G23-G24</f>
        <v>0</v>
      </c>
      <c r="H28" s="16" t="n">
        <f aca="false">H17+H21+H22+H23-H24</f>
        <v>0</v>
      </c>
      <c r="I28" s="16" t="n">
        <f aca="false">I17+I21+I22+I23-I24</f>
        <v>0</v>
      </c>
      <c r="J28" s="16" t="n">
        <f aca="false">J17+J21+J22+J23-J24</f>
        <v>0</v>
      </c>
      <c r="K28" s="16" t="n">
        <f aca="false">K17+K21+K22+K23-K24</f>
        <v>0</v>
      </c>
      <c r="L28" s="16" t="n">
        <f aca="false">L17+L21+L22+L23-L24</f>
        <v>0</v>
      </c>
      <c r="M28" s="16" t="n">
        <f aca="false">M17+M21+M22+M23-M24</f>
        <v>0</v>
      </c>
    </row>
    <row r="29" customFormat="false" ht="17.15" hidden="false" customHeight="false" outlineLevel="0" collapsed="false">
      <c r="A29" s="0" t="s">
        <v>857</v>
      </c>
      <c r="B29" s="0" t="s">
        <v>76</v>
      </c>
      <c r="F29" s="21" t="n">
        <f aca="false">Seg!F11-Seg!F7</f>
        <v>0</v>
      </c>
      <c r="G29" s="21" t="n">
        <f aca="false">F29</f>
        <v>0</v>
      </c>
      <c r="H29" s="21" t="n">
        <f aca="false">Seg!H11-Seg!H7</f>
        <v>11.4145248358055</v>
      </c>
      <c r="I29" s="21" t="n">
        <f aca="false">Seg!I11-Seg!I7</f>
        <v>25.872068765788</v>
      </c>
      <c r="J29" s="21" t="n">
        <f aca="false">Seg!J11-Seg!J7</f>
        <v>43.1172042192337</v>
      </c>
      <c r="K29" s="21" t="n">
        <f aca="false">Seg!K11-Seg!K7</f>
        <v>62.5935608567999</v>
      </c>
      <c r="L29" s="21" t="n">
        <f aca="false">Seg!L11-Seg!L7</f>
        <v>67.6010457253438</v>
      </c>
      <c r="M29" s="21" t="n">
        <f aca="false">Seg!M11-Seg!M7</f>
        <v>73.0091293833713</v>
      </c>
    </row>
    <row r="30" customFormat="false" ht="17.15" hidden="false" customHeight="false" outlineLevel="0" collapsed="false">
      <c r="A30" s="0" t="s">
        <v>858</v>
      </c>
      <c r="B30" s="0" t="s">
        <v>76</v>
      </c>
      <c r="F30" s="21" t="n">
        <f aca="false">m_svc*(F17-F29)+inc_m*F29-svc_sh*(Thesis!F68+Thesis!F69)</f>
        <v>101.679428068742</v>
      </c>
      <c r="H30" s="21" t="n">
        <f aca="false">m_svc*(H17-H29)+inc_m*H29-svc_sh*(Thesis!H68+Thesis!H69)</f>
        <v>218.278306038919</v>
      </c>
      <c r="I30" s="21" t="n">
        <f aca="false">m_svc*(I17-I29)+inc_m*I29-svc_sh*(Thesis!I68+Thesis!I69)</f>
        <v>250.093823473721</v>
      </c>
      <c r="J30" s="21" t="n">
        <f aca="false">m_svc*(J17-J29)+inc_m*J29-svc_sh*(Thesis!J68+Thesis!J69)</f>
        <v>285.693918725645</v>
      </c>
      <c r="K30" s="21" t="n">
        <f aca="false">m_svc*(K17-K29)+inc_m*K29-svc_sh*(Thesis!K68+Thesis!K69)</f>
        <v>320.262189895499</v>
      </c>
      <c r="L30" s="21" t="n">
        <f aca="false">m_svc*(L17-L29)+inc_m*L29-svc_sh*(Thesis!L68+Thesis!L69)</f>
        <v>343.175309677809</v>
      </c>
      <c r="M30" s="21" t="n">
        <f aca="false">m_svc*(M17-M29)+inc_m*M29-svc_sh*(Thesis!M68+Thesis!M69)</f>
        <v>368.304975762371</v>
      </c>
      <c r="N30" s="7" t="s">
        <v>859</v>
      </c>
    </row>
    <row r="31" customFormat="false" ht="17.15" hidden="false" customHeight="false" outlineLevel="0" collapsed="false">
      <c r="A31" s="0" t="s">
        <v>860</v>
      </c>
      <c r="B31" s="0" t="s">
        <v>76</v>
      </c>
      <c r="F31" s="21" t="n">
        <f aca="false">da_base*0.5*sh_svc+Seg!F35+Thesis!F65*svc_sh</f>
        <v>14.9965690659575</v>
      </c>
      <c r="H31" s="21" t="n">
        <f aca="false">da_base*1*sh_svc+Seg!H35+Thesis!H65*svc_sh</f>
        <v>40.0717718926729</v>
      </c>
      <c r="I31" s="21" t="n">
        <f aca="false">da_base*1*sh_svc+Seg!I35+Thesis!I65*svc_sh</f>
        <v>54.2157397254276</v>
      </c>
      <c r="J31" s="21" t="n">
        <f aca="false">da_base*1*sh_svc+Seg!J35+Thesis!J65*svc_sh</f>
        <v>69.7563727621808</v>
      </c>
      <c r="K31" s="21" t="n">
        <f aca="false">da_base*1*sh_svc+Seg!K35+Thesis!K65*svc_sh</f>
        <v>87.5143674742184</v>
      </c>
      <c r="L31" s="21" t="n">
        <f aca="false">da_base*1*sh_svc+Seg!L35+Thesis!L65*svc_sh</f>
        <v>108.152353568064</v>
      </c>
      <c r="M31" s="21" t="n">
        <f aca="false">da_base*1*sh_svc+Seg!M35+Thesis!M65*svc_sh</f>
        <v>129.438397034286</v>
      </c>
    </row>
    <row r="32" customFormat="false" ht="17.15" hidden="false" customHeight="false" outlineLevel="0" collapsed="false">
      <c r="A32" s="5" t="s">
        <v>861</v>
      </c>
      <c r="B32" s="7" t="s">
        <v>76</v>
      </c>
      <c r="C32" s="21" t="n">
        <f aca="false">Q!J18</f>
        <v>121.263</v>
      </c>
      <c r="D32" s="21" t="n">
        <f aca="false">Q!K18</f>
        <v>139.404</v>
      </c>
      <c r="E32" s="21" t="n">
        <f aca="false">Q!L18</f>
        <v>80.133</v>
      </c>
      <c r="F32" s="21" t="n">
        <f aca="false">F30-F31</f>
        <v>86.6828590027843</v>
      </c>
      <c r="G32" s="21" t="n">
        <f aca="false">E32+F32</f>
        <v>166.815859002784</v>
      </c>
      <c r="H32" s="21" t="n">
        <f aca="false">H30-H31</f>
        <v>178.206534146247</v>
      </c>
      <c r="I32" s="21" t="n">
        <f aca="false">I30-I31</f>
        <v>195.878083748294</v>
      </c>
      <c r="J32" s="21" t="n">
        <f aca="false">J30-J31</f>
        <v>215.937545963464</v>
      </c>
      <c r="K32" s="21" t="n">
        <f aca="false">K30-K31</f>
        <v>232.74782242128</v>
      </c>
      <c r="L32" s="21" t="n">
        <f aca="false">L30-L31</f>
        <v>235.022956109746</v>
      </c>
      <c r="M32" s="21" t="n">
        <f aca="false">M30-M31</f>
        <v>238.866578728086</v>
      </c>
    </row>
    <row r="33" customFormat="false" ht="17.15" hidden="false" customHeight="false" outlineLevel="0" collapsed="false">
      <c r="A33" s="0" t="s">
        <v>862</v>
      </c>
      <c r="B33" s="0" t="s">
        <v>76</v>
      </c>
      <c r="F33" s="21" t="n">
        <f aca="false">Thesis!F41+F19*tpu_m+F20*m_co</f>
        <v>23.1804867072037</v>
      </c>
      <c r="H33" s="21" t="n">
        <f aca="false">Thesis!H41+H19*tpu_m+H20*m_co</f>
        <v>65.9102849718516</v>
      </c>
      <c r="I33" s="21" t="n">
        <f aca="false">Thesis!I41+I19*tpu_m+I20*m_co</f>
        <v>89.2627271785295</v>
      </c>
      <c r="J33" s="21" t="n">
        <f aca="false">Thesis!J41+J19*tpu_m+J20*m_co</f>
        <v>111.647518836136</v>
      </c>
      <c r="K33" s="21" t="n">
        <f aca="false">Thesis!K41+K19*tpu_m+K20*m_co</f>
        <v>130.929257383092</v>
      </c>
      <c r="L33" s="21" t="n">
        <f aca="false">Thesis!L41+L19*tpu_m+L20*m_co</f>
        <v>150.496739764929</v>
      </c>
      <c r="M33" s="21" t="n">
        <f aca="false">Thesis!M41+M19*tpu_m+M20*m_co</f>
        <v>170.372825488436</v>
      </c>
      <c r="N33" s="7" t="s">
        <v>863</v>
      </c>
    </row>
    <row r="34" customFormat="false" ht="17.15" hidden="false" customHeight="false" outlineLevel="0" collapsed="false">
      <c r="A34" s="0" t="s">
        <v>864</v>
      </c>
      <c r="B34" s="0" t="s">
        <v>76</v>
      </c>
      <c r="F34" s="21" t="n">
        <f aca="false">da_base*0.5*sh_cloud+Thesis!F64+Seg!F36</f>
        <v>4.82119327366453</v>
      </c>
      <c r="H34" s="21" t="n">
        <f aca="false">da_base*1*sh_cloud+Thesis!H64+Seg!H36</f>
        <v>16.8544946111865</v>
      </c>
      <c r="I34" s="21" t="n">
        <f aca="false">da_base*1*sh_cloud+Thesis!I64+Seg!I36</f>
        <v>27.187499999905</v>
      </c>
      <c r="J34" s="21" t="n">
        <f aca="false">da_base*1*sh_cloud+Thesis!J64+Seg!J36</f>
        <v>38.7863545088507</v>
      </c>
      <c r="K34" s="21" t="n">
        <f aca="false">da_base*1*sh_cloud+Thesis!K64+Seg!K36</f>
        <v>52.1095560963161</v>
      </c>
      <c r="L34" s="21" t="n">
        <f aca="false">da_base*1*sh_cloud+Thesis!L64+Seg!L36</f>
        <v>67.4918102836469</v>
      </c>
      <c r="M34" s="21" t="n">
        <f aca="false">da_base*1*sh_cloud+Thesis!M64+Seg!M36</f>
        <v>83.3898125469984</v>
      </c>
    </row>
    <row r="35" customFormat="false" ht="17.15" hidden="false" customHeight="false" outlineLevel="0" collapsed="false">
      <c r="A35" s="5" t="s">
        <v>865</v>
      </c>
      <c r="B35" s="7" t="s">
        <v>76</v>
      </c>
      <c r="C35" s="21" t="n">
        <f aca="false">Q!J19</f>
        <v>6.112</v>
      </c>
      <c r="D35" s="21" t="n">
        <f aca="false">Q!K19</f>
        <v>13.91</v>
      </c>
      <c r="E35" s="21" t="n">
        <f aca="false">Q!L19</f>
        <v>15.412</v>
      </c>
      <c r="F35" s="21" t="n">
        <f aca="false">F33-F34</f>
        <v>18.3592934335392</v>
      </c>
      <c r="G35" s="21" t="n">
        <f aca="false">E35+F35</f>
        <v>33.7712934335392</v>
      </c>
      <c r="H35" s="21" t="n">
        <f aca="false">H33-H34</f>
        <v>49.0557903606651</v>
      </c>
      <c r="I35" s="21" t="n">
        <f aca="false">I33-I34</f>
        <v>62.0752271786245</v>
      </c>
      <c r="J35" s="21" t="n">
        <f aca="false">J33-J34</f>
        <v>72.8611643272856</v>
      </c>
      <c r="K35" s="21" t="n">
        <f aca="false">K33-K34</f>
        <v>78.8197012867762</v>
      </c>
      <c r="L35" s="21" t="n">
        <f aca="false">L33-L34</f>
        <v>83.0049294812816</v>
      </c>
      <c r="M35" s="21" t="n">
        <f aca="false">M33-M34</f>
        <v>86.9830129414371</v>
      </c>
    </row>
    <row r="36" customFormat="false" ht="17.15" hidden="false" customHeight="false" outlineLevel="0" collapsed="false">
      <c r="A36" s="0" t="s">
        <v>866</v>
      </c>
      <c r="B36" s="0" t="s">
        <v>76</v>
      </c>
      <c r="F36" s="21" t="n">
        <f aca="false">da_base*0.5*sh_ob+Seg!F37</f>
        <v>0.0491096172809072</v>
      </c>
      <c r="H36" s="21" t="n">
        <f aca="false">da_base*1*sh_ob+Seg!H37</f>
        <v>0.102869234561814</v>
      </c>
      <c r="I36" s="21" t="n">
        <f aca="false">da_base*1*sh_ob+Seg!I37</f>
        <v>0.112769234561814</v>
      </c>
      <c r="J36" s="21" t="n">
        <f aca="false">da_base*1*sh_ob+Seg!J37</f>
        <v>0.123869234561814</v>
      </c>
      <c r="K36" s="21" t="n">
        <f aca="false">da_base*1*sh_ob+Seg!K37</f>
        <v>0.136169234561814</v>
      </c>
      <c r="L36" s="21" t="n">
        <f aca="false">da_base*1*sh_ob+Seg!L37</f>
        <v>0.149669234561814</v>
      </c>
      <c r="M36" s="21" t="n">
        <f aca="false">da_base*1*sh_ob+Seg!M37</f>
        <v>0.164369234561814</v>
      </c>
    </row>
    <row r="37" customFormat="false" ht="17.15" hidden="false" customHeight="false" outlineLevel="0" collapsed="false">
      <c r="A37" s="5" t="s">
        <v>867</v>
      </c>
      <c r="B37" s="7" t="s">
        <v>76</v>
      </c>
      <c r="C37" s="21" t="n">
        <f aca="false">Q!J20</f>
        <v>-4.444</v>
      </c>
      <c r="D37" s="21" t="n">
        <f aca="false">Q!K20</f>
        <v>-7.515</v>
      </c>
      <c r="E37" s="21" t="n">
        <f aca="false">Q!L20</f>
        <v>-3.899</v>
      </c>
      <c r="F37" s="21" t="n">
        <f aca="false">ob_oi*0.5</f>
        <v>-4.5</v>
      </c>
      <c r="G37" s="21" t="n">
        <f aca="false">E37+F37</f>
        <v>-8.399</v>
      </c>
      <c r="H37" s="21" t="n">
        <f aca="false">ob_oi*1</f>
        <v>-9</v>
      </c>
      <c r="I37" s="21" t="n">
        <f aca="false">ob_oi*1</f>
        <v>-9</v>
      </c>
      <c r="J37" s="21" t="n">
        <f aca="false">ob_oi*1</f>
        <v>-9</v>
      </c>
      <c r="K37" s="21" t="n">
        <f aca="false">ob_oi*1</f>
        <v>-9</v>
      </c>
      <c r="L37" s="21" t="n">
        <f aca="false">ob_oi*1</f>
        <v>-9</v>
      </c>
      <c r="M37" s="21" t="n">
        <f aca="false">ob_oi*1</f>
        <v>-9</v>
      </c>
    </row>
    <row r="38" customFormat="false" ht="15" hidden="false" customHeight="false" outlineLevel="0" collapsed="false">
      <c r="A38" s="0" t="s">
        <v>868</v>
      </c>
      <c r="B38" s="0" t="s">
        <v>76</v>
      </c>
      <c r="F38" s="21" t="n">
        <f aca="false">F37+F36</f>
        <v>-4.45089038271909</v>
      </c>
      <c r="H38" s="21" t="n">
        <f aca="false">H37+H36</f>
        <v>-8.89713076543819</v>
      </c>
      <c r="I38" s="21" t="n">
        <f aca="false">I37+I36</f>
        <v>-8.88723076543819</v>
      </c>
      <c r="J38" s="21" t="n">
        <f aca="false">J37+J36</f>
        <v>-8.87613076543819</v>
      </c>
      <c r="K38" s="21" t="n">
        <f aca="false">K37+K36</f>
        <v>-8.86383076543819</v>
      </c>
      <c r="L38" s="21" t="n">
        <f aca="false">L37+L36</f>
        <v>-8.85033076543819</v>
      </c>
      <c r="M38" s="21" t="n">
        <f aca="false">M37+M36</f>
        <v>-8.83563076543819</v>
      </c>
    </row>
    <row r="39" customFormat="false" ht="17.15" hidden="false" customHeight="false" outlineLevel="0" collapsed="false">
      <c r="A39" s="0" t="s">
        <v>869</v>
      </c>
      <c r="B39" s="0" t="s">
        <v>76</v>
      </c>
      <c r="F39" s="21" t="n">
        <f aca="false">Thesis!F65*(1-svc_sh)</f>
        <v>1.99534687326734</v>
      </c>
      <c r="H39" s="21" t="n">
        <f aca="false">Thesis!H65*(1-svc_sh)</f>
        <v>9.83243000817972</v>
      </c>
      <c r="I39" s="21" t="n">
        <f aca="false">Thesis!I65*(1-svc_sh)</f>
        <v>17.3663952776831</v>
      </c>
      <c r="J39" s="21" t="n">
        <f aca="false">Thesis!J65*(1-svc_sh)</f>
        <v>25.5689438614203</v>
      </c>
      <c r="K39" s="21" t="n">
        <f aca="false">Thesis!K65*(1-svc_sh)</f>
        <v>34.9905431283575</v>
      </c>
      <c r="L39" s="21" t="n">
        <f aca="false">Thesis!L65*(1-svc_sh)</f>
        <v>46.0928537113267</v>
      </c>
      <c r="M39" s="21" t="n">
        <f aca="false">Thesis!M65*(1-svc_sh)</f>
        <v>57.4161723658987</v>
      </c>
    </row>
    <row r="40" customFormat="false" ht="17.15" hidden="false" customHeight="false" outlineLevel="0" collapsed="false">
      <c r="A40" s="5" t="s">
        <v>870</v>
      </c>
      <c r="B40" s="7" t="s">
        <v>76</v>
      </c>
      <c r="C40" s="21" t="n">
        <f aca="false">Q!J21</f>
        <v>-10.541</v>
      </c>
      <c r="D40" s="21" t="n">
        <f aca="false">Q!K21</f>
        <v>-16.76</v>
      </c>
      <c r="E40" s="21" t="n">
        <f aca="false">Q!L21</f>
        <v>-11.18</v>
      </c>
      <c r="F40" s="21" t="n">
        <f aca="false">F23-abc_rate*F24-Thesis!F72</f>
        <v>-16.2922598465888</v>
      </c>
      <c r="G40" s="21" t="n">
        <f aca="false">E40+F40</f>
        <v>-27.4722598465888</v>
      </c>
      <c r="H40" s="21" t="n">
        <f aca="false">H23-abc_rate*H24-Thesis!H72</f>
        <v>-46.3795609370415</v>
      </c>
      <c r="I40" s="21" t="n">
        <f aca="false">I23-abc_rate*I24-Thesis!I72</f>
        <v>-61.7497334816744</v>
      </c>
      <c r="J40" s="21" t="n">
        <f aca="false">J23-abc_rate*J24-Thesis!J72</f>
        <v>-75.3862035904017</v>
      </c>
      <c r="K40" s="21" t="n">
        <f aca="false">K23-abc_rate*K24-Thesis!K72</f>
        <v>-89.5647258704987</v>
      </c>
      <c r="L40" s="21" t="n">
        <f aca="false">L23-abc_rate*L24-Thesis!L72</f>
        <v>-107.156490772768</v>
      </c>
      <c r="M40" s="21" t="n">
        <f aca="false">M23-abc_rate*M24-Thesis!M72</f>
        <v>-125.230668309992</v>
      </c>
    </row>
    <row r="41" customFormat="false" ht="15" hidden="false" customHeight="false" outlineLevel="0" collapsed="false">
      <c r="A41" s="0" t="s">
        <v>871</v>
      </c>
      <c r="B41" s="0" t="s">
        <v>76</v>
      </c>
      <c r="F41" s="21" t="n">
        <f aca="false">F40+F39</f>
        <v>-14.2969129733215</v>
      </c>
      <c r="H41" s="21" t="n">
        <f aca="false">H40+H39</f>
        <v>-36.5471309288618</v>
      </c>
      <c r="I41" s="21" t="n">
        <f aca="false">I40+I39</f>
        <v>-44.3833382039913</v>
      </c>
      <c r="J41" s="21" t="n">
        <f aca="false">J40+J39</f>
        <v>-49.8172597289814</v>
      </c>
      <c r="K41" s="21" t="n">
        <f aca="false">K40+K39</f>
        <v>-54.5741827421412</v>
      </c>
      <c r="L41" s="21" t="n">
        <f aca="false">L40+L39</f>
        <v>-61.0636370614414</v>
      </c>
      <c r="M41" s="21" t="n">
        <f aca="false">M40+M39</f>
        <v>-67.8144959440928</v>
      </c>
    </row>
    <row r="42" customFormat="false" ht="15" hidden="false" customHeight="false" outlineLevel="0" collapsed="false">
      <c r="A42" s="4" t="s">
        <v>872</v>
      </c>
      <c r="B42" s="0" t="s">
        <v>76</v>
      </c>
      <c r="C42" s="21" t="n">
        <f aca="false">C32+C35+C37+C40</f>
        <v>112.39</v>
      </c>
      <c r="D42" s="21" t="n">
        <f aca="false">D32+D35+D37+D40</f>
        <v>129.039</v>
      </c>
      <c r="E42" s="21" t="n">
        <f aca="false">E32+E35+E37+E40</f>
        <v>80.466</v>
      </c>
      <c r="F42" s="21" t="n">
        <f aca="false">F32+F35+F37+F40</f>
        <v>84.2498925897347</v>
      </c>
      <c r="G42" s="21" t="n">
        <f aca="false">G32+G35+G37+G40</f>
        <v>164.715892589735</v>
      </c>
      <c r="H42" s="21" t="n">
        <f aca="false">H32+H35+H37+H40</f>
        <v>171.88276356987</v>
      </c>
      <c r="I42" s="21" t="n">
        <f aca="false">I32+I35+I37+I40</f>
        <v>187.203577445244</v>
      </c>
      <c r="J42" s="21" t="n">
        <f aca="false">J32+J35+J37+J40</f>
        <v>204.412506700348</v>
      </c>
      <c r="K42" s="21" t="n">
        <f aca="false">K32+K35+K37+K40</f>
        <v>213.002797837558</v>
      </c>
      <c r="L42" s="21" t="n">
        <f aca="false">L32+L35+L37+L40</f>
        <v>201.871394818259</v>
      </c>
      <c r="M42" s="21" t="n">
        <f aca="false">M32+M35+M37+M40</f>
        <v>191.618923359531</v>
      </c>
    </row>
    <row r="43" customFormat="false" ht="17.15" hidden="false" customHeight="false" outlineLevel="0" collapsed="false">
      <c r="A43" s="4" t="s">
        <v>873</v>
      </c>
      <c r="B43" s="0" t="s">
        <v>76</v>
      </c>
      <c r="F43" s="21" t="n">
        <f aca="false">F30+F33+F38+F41</f>
        <v>106.112111419905</v>
      </c>
      <c r="H43" s="21" t="n">
        <f aca="false">H30+H33+H38+H41</f>
        <v>238.744329316471</v>
      </c>
      <c r="I43" s="21" t="n">
        <f aca="false">I30+I33+I38+I41</f>
        <v>286.085981682822</v>
      </c>
      <c r="J43" s="21" t="n">
        <f aca="false">J30+J33+J38+J41</f>
        <v>338.648047067361</v>
      </c>
      <c r="K43" s="21" t="n">
        <f aca="false">K30+K33+K38+K41</f>
        <v>387.753433771012</v>
      </c>
      <c r="L43" s="21" t="n">
        <f aca="false">L30+L33+L38+L41</f>
        <v>423.758081615858</v>
      </c>
      <c r="M43" s="21" t="n">
        <f aca="false">M30+M33+M38+M41</f>
        <v>462.027674541276</v>
      </c>
    </row>
    <row r="44" customFormat="false" ht="17.15" hidden="false" customHeight="false" outlineLevel="0" collapsed="false">
      <c r="A44" s="4" t="s">
        <v>874</v>
      </c>
      <c r="B44" s="0" t="s">
        <v>76</v>
      </c>
      <c r="C44" s="21" t="n">
        <f aca="false">Q!J43</f>
        <v>15.311</v>
      </c>
      <c r="D44" s="21" t="n">
        <f aca="false">Q!K43</f>
        <v>21.136</v>
      </c>
      <c r="E44" s="21" t="n">
        <f aca="false">Q!L43</f>
        <v>13.586</v>
      </c>
      <c r="F44" s="21" t="n">
        <f aca="false">da_base*0.5+Thesis!F63+Seg!F38</f>
        <v>21.8622188301703</v>
      </c>
      <c r="G44" s="21" t="n">
        <f aca="false">E44+F44</f>
        <v>35.4482188301703</v>
      </c>
      <c r="H44" s="21" t="n">
        <f aca="false">da_base*1+Thesis!H63+Seg!H38</f>
        <v>66.8615657466009</v>
      </c>
      <c r="I44" s="21" t="n">
        <f aca="false">da_base*1+Thesis!I63+Seg!I38</f>
        <v>98.8824042375775</v>
      </c>
      <c r="J44" s="21" t="n">
        <f aca="false">da_base*1+Thesis!J63+Seg!J38</f>
        <v>134.235540367014</v>
      </c>
      <c r="K44" s="21" t="n">
        <f aca="false">da_base*1+Thesis!K63+Seg!K38</f>
        <v>174.750635933454</v>
      </c>
      <c r="L44" s="21" t="n">
        <f aca="false">da_base*1+Thesis!L63+Seg!L38</f>
        <v>221.886686797599</v>
      </c>
      <c r="M44" s="21" t="n">
        <f aca="false">da_base*1+Thesis!M63+Seg!M38</f>
        <v>270.408751181745</v>
      </c>
      <c r="N44" s="7" t="s">
        <v>875</v>
      </c>
    </row>
    <row r="45" customFormat="false" ht="17.15" hidden="false" customHeight="false" outlineLevel="0" collapsed="false">
      <c r="A45" s="4" t="s">
        <v>876</v>
      </c>
      <c r="B45" s="0" t="s">
        <v>76</v>
      </c>
      <c r="F45" s="21" t="n">
        <f aca="false">Thesis!F63</f>
        <v>7.12623883309764</v>
      </c>
      <c r="G45" s="21" t="n">
        <f aca="false">F45</f>
        <v>7.12623883309764</v>
      </c>
      <c r="H45" s="21" t="n">
        <f aca="false">Thesis!H63</f>
        <v>35.1158214577847</v>
      </c>
      <c r="I45" s="21" t="n">
        <f aca="false">Thesis!I63</f>
        <v>62.0228402774397</v>
      </c>
      <c r="J45" s="21" t="n">
        <f aca="false">Thesis!J63</f>
        <v>91.3176566479297</v>
      </c>
      <c r="K45" s="21" t="n">
        <f aca="false">Thesis!K63</f>
        <v>124.96622545842</v>
      </c>
      <c r="L45" s="21" t="n">
        <f aca="false">Thesis!L63</f>
        <v>164.61733468331</v>
      </c>
      <c r="M45" s="21" t="n">
        <f aca="false">Thesis!M63</f>
        <v>205.057758449638</v>
      </c>
    </row>
    <row r="46" customFormat="false" ht="17.15" hidden="false" customHeight="false" outlineLevel="0" collapsed="false">
      <c r="A46" s="24" t="s">
        <v>659</v>
      </c>
      <c r="B46" s="26" t="s">
        <v>76</v>
      </c>
      <c r="C46" s="27" t="n">
        <f aca="false">Q!J22</f>
        <v>112.39</v>
      </c>
      <c r="D46" s="27" t="n">
        <f aca="false">Q!K22</f>
        <v>129.039</v>
      </c>
      <c r="E46" s="27" t="n">
        <f aca="false">Q!L22</f>
        <v>80.466</v>
      </c>
      <c r="F46" s="27" t="n">
        <f aca="false">F43-F44</f>
        <v>84.2498925897347</v>
      </c>
      <c r="G46" s="27" t="n">
        <f aca="false">E46+F46</f>
        <v>164.715892589735</v>
      </c>
      <c r="H46" s="27" t="n">
        <f aca="false">H43-H44</f>
        <v>171.88276356987</v>
      </c>
      <c r="I46" s="27" t="n">
        <f aca="false">I43-I44</f>
        <v>187.203577445244</v>
      </c>
      <c r="J46" s="27" t="n">
        <f aca="false">J43-J44</f>
        <v>204.412506700348</v>
      </c>
      <c r="K46" s="27" t="n">
        <f aca="false">K43-K44</f>
        <v>213.002797837558</v>
      </c>
      <c r="L46" s="27" t="n">
        <f aca="false">L43-L44</f>
        <v>201.871394818259</v>
      </c>
      <c r="M46" s="27" t="n">
        <f aca="false">M43-M44</f>
        <v>191.618923359531</v>
      </c>
      <c r="N46" s="28" t="s">
        <v>877</v>
      </c>
    </row>
    <row r="47" customFormat="false" ht="15" hidden="false" customHeight="false" outlineLevel="0" collapsed="false">
      <c r="A47" s="4" t="s">
        <v>660</v>
      </c>
      <c r="B47" s="0" t="s">
        <v>76</v>
      </c>
      <c r="C47" s="16" t="n">
        <f aca="false">C42-C46</f>
        <v>0</v>
      </c>
      <c r="D47" s="16" t="n">
        <f aca="false">D42-D46</f>
        <v>0</v>
      </c>
      <c r="E47" s="16" t="n">
        <f aca="false">E42-E46</f>
        <v>0</v>
      </c>
      <c r="F47" s="16" t="n">
        <f aca="false">F42-F46</f>
        <v>0</v>
      </c>
      <c r="G47" s="16" t="n">
        <f aca="false">G42-G46</f>
        <v>0</v>
      </c>
      <c r="H47" s="16" t="n">
        <f aca="false">H42-H46</f>
        <v>0</v>
      </c>
      <c r="I47" s="16" t="n">
        <f aca="false">I42-I46</f>
        <v>0</v>
      </c>
      <c r="J47" s="16" t="n">
        <f aca="false">J42-J46</f>
        <v>0</v>
      </c>
      <c r="K47" s="16" t="n">
        <f aca="false">K42-K46</f>
        <v>0</v>
      </c>
      <c r="L47" s="16" t="n">
        <f aca="false">L42-L46</f>
        <v>0</v>
      </c>
      <c r="M47" s="16" t="n">
        <f aca="false">M42-M46</f>
        <v>0</v>
      </c>
    </row>
    <row r="48" customFormat="false" ht="15" hidden="false" customHeight="false" outlineLevel="0" collapsed="false">
      <c r="A48" s="4" t="s">
        <v>878</v>
      </c>
      <c r="B48" s="0" t="s">
        <v>99</v>
      </c>
      <c r="C48" s="19" t="n">
        <f aca="false">C46/C24</f>
        <v>0.321097772114577</v>
      </c>
      <c r="D48" s="19" t="n">
        <f aca="false">D46/D24</f>
        <v>0.3203263859238</v>
      </c>
      <c r="E48" s="19" t="n">
        <f aca="false">E46/E24</f>
        <v>0.350321299827595</v>
      </c>
      <c r="F48" s="19" t="n">
        <f aca="false">F46/F24</f>
        <v>0.31534303197402</v>
      </c>
      <c r="G48" s="19" t="n">
        <f aca="false">G46/G24</f>
        <v>0.331513002615575</v>
      </c>
      <c r="H48" s="19" t="n">
        <f aca="false">H46/H24</f>
        <v>0.278685194772134</v>
      </c>
      <c r="I48" s="19" t="n">
        <f aca="false">I46/I24</f>
        <v>0.256728402355273</v>
      </c>
      <c r="J48" s="19" t="n">
        <f aca="false">J46/J24</f>
        <v>0.24424249254618</v>
      </c>
      <c r="K48" s="19" t="n">
        <f aca="false">K46/K24</f>
        <v>0.228876993507563</v>
      </c>
      <c r="L48" s="19" t="n">
        <f aca="false">L46/L24</f>
        <v>0.198982618213424</v>
      </c>
      <c r="M48" s="19" t="n">
        <f aca="false">M46/M24</f>
        <v>0.173598613682445</v>
      </c>
    </row>
    <row r="49" customFormat="false" ht="17.15" hidden="false" customHeight="false" outlineLevel="0" collapsed="false">
      <c r="A49" s="0" t="s">
        <v>879</v>
      </c>
      <c r="B49" s="0" t="s">
        <v>99</v>
      </c>
      <c r="C49" s="19" t="n">
        <f aca="false">C32/C17</f>
        <v>0.397674876201095</v>
      </c>
      <c r="D49" s="19" t="n">
        <f aca="false">D32/D17</f>
        <v>0.406756516233321</v>
      </c>
      <c r="E49" s="19" t="n">
        <f aca="false">E32/E17</f>
        <v>0.435086900101533</v>
      </c>
      <c r="F49" s="19" t="n">
        <f aca="false">F32/F17</f>
        <v>0.412843499578728</v>
      </c>
      <c r="G49" s="19" t="n">
        <f aca="false">G32/G17</f>
        <v>0.423237515966416</v>
      </c>
      <c r="H49" s="19" t="n">
        <f aca="false">H32/H17</f>
        <v>0.38958884014034</v>
      </c>
      <c r="I49" s="19" t="n">
        <f aca="false">I32/I17</f>
        <v>0.374470314024306</v>
      </c>
      <c r="J49" s="19" t="n">
        <f aca="false">J32/J17</f>
        <v>0.366846287344983</v>
      </c>
      <c r="K49" s="19" t="n">
        <f aca="false">K32/K17</f>
        <v>0.357431734107504</v>
      </c>
      <c r="L49" s="19" t="n">
        <f aca="false">L32/L17</f>
        <v>0.334387934072599</v>
      </c>
      <c r="M49" s="19" t="n">
        <f aca="false">M32/M17</f>
        <v>0.314778011367498</v>
      </c>
    </row>
    <row r="50" customFormat="false" ht="17.15" hidden="false" customHeight="false" outlineLevel="0" collapsed="false">
      <c r="A50" s="0" t="s">
        <v>880</v>
      </c>
      <c r="B50" s="0" t="s">
        <v>99</v>
      </c>
      <c r="C50" s="19" t="n">
        <f aca="false">C35/C21</f>
        <v>0.141386569201231</v>
      </c>
      <c r="D50" s="19" t="n">
        <f aca="false">D35/D21</f>
        <v>0.236947449109957</v>
      </c>
      <c r="E50" s="19" t="n">
        <f aca="false">E35/E21</f>
        <v>0.344048575765693</v>
      </c>
      <c r="F50" s="19" t="n">
        <f aca="false">F35/F21</f>
        <v>0.325210256120808</v>
      </c>
      <c r="G50" s="19" t="n">
        <f aca="false">G35/G21</f>
        <v>0.333544918889945</v>
      </c>
      <c r="H50" s="19" t="n">
        <f aca="false">H35/H21</f>
        <v>0.310989281616584</v>
      </c>
      <c r="I50" s="19" t="n">
        <f aca="false">I35/I21</f>
        <v>0.303830426935535</v>
      </c>
      <c r="J50" s="19" t="n">
        <f aca="false">J35/J21</f>
        <v>0.295832207211872</v>
      </c>
      <c r="K50" s="19" t="n">
        <f aca="false">K35/K21</f>
        <v>0.284264511271575</v>
      </c>
      <c r="L50" s="19" t="n">
        <f aca="false">L35/L21</f>
        <v>0.268387657763078</v>
      </c>
      <c r="M50" s="19" t="n">
        <f aca="false">M35/M21</f>
        <v>0.254066567177993</v>
      </c>
    </row>
    <row r="51" customFormat="false" ht="17.15" hidden="false" customHeight="false" outlineLevel="0" collapsed="false">
      <c r="A51" s="4" t="s">
        <v>881</v>
      </c>
      <c r="B51" s="0" t="s">
        <v>76</v>
      </c>
      <c r="F51" s="21" t="n">
        <f aca="false">r_cash*CF!F30*0.5</f>
        <v>2.952809</v>
      </c>
      <c r="G51" s="21" t="n">
        <f aca="false">F51</f>
        <v>2.952809</v>
      </c>
      <c r="H51" s="21" t="n">
        <f aca="false">r_cash*CF!H30*1</f>
        <v>6.39956355321569</v>
      </c>
      <c r="I51" s="21" t="n">
        <f aca="false">r_cash*CF!I30*1</f>
        <v>5.49838650044246</v>
      </c>
      <c r="J51" s="21" t="n">
        <f aca="false">r_cash*CF!J30*1</f>
        <v>5.6583456303299</v>
      </c>
      <c r="K51" s="21" t="n">
        <f aca="false">r_cash*CF!K30*1</f>
        <v>6.76411779279326</v>
      </c>
      <c r="L51" s="21" t="n">
        <f aca="false">r_cash*CF!L30*1</f>
        <v>8.24487230187748</v>
      </c>
      <c r="M51" s="21" t="n">
        <f aca="false">r_cash*CF!M30*1</f>
        <v>9.67363737752618</v>
      </c>
    </row>
    <row r="52" customFormat="false" ht="17.15" hidden="false" customHeight="false" outlineLevel="0" collapsed="false">
      <c r="A52" s="4" t="s">
        <v>882</v>
      </c>
      <c r="B52" s="0" t="s">
        <v>76</v>
      </c>
      <c r="F52" s="21" t="n">
        <f aca="false">r_debt*CF!F37*0.5</f>
        <v>2.42604</v>
      </c>
      <c r="G52" s="21" t="n">
        <f aca="false">F52</f>
        <v>2.42604</v>
      </c>
      <c r="H52" s="21" t="n">
        <f aca="false">r_debt*CF!H37*1</f>
        <v>5.95608</v>
      </c>
      <c r="I52" s="21" t="n">
        <f aca="false">r_debt*CF!I37*1</f>
        <v>5.90808</v>
      </c>
      <c r="J52" s="21" t="n">
        <f aca="false">r_debt*CF!J37*1</f>
        <v>5.779632</v>
      </c>
      <c r="K52" s="21" t="n">
        <f aca="false">r_debt*CF!K37*1</f>
        <v>5.69496</v>
      </c>
      <c r="L52" s="21" t="n">
        <f aca="false">r_debt*CF!L37*1</f>
        <v>5.350032</v>
      </c>
      <c r="M52" s="21" t="n">
        <f aca="false">r_debt*CF!M37*1</f>
        <v>5.110032</v>
      </c>
    </row>
    <row r="53" customFormat="false" ht="17.15" hidden="false" customHeight="false" outlineLevel="0" collapsed="false">
      <c r="A53" s="4" t="s">
        <v>883</v>
      </c>
      <c r="B53" s="0" t="s">
        <v>76</v>
      </c>
      <c r="D53" s="21" t="n">
        <f aca="false">SUM(Q!D33:G33)</f>
        <v>24.08</v>
      </c>
      <c r="E53" s="21" t="n">
        <f aca="false">Q!L33</f>
        <v>135.946</v>
      </c>
      <c r="F53" s="23" t="n">
        <v>0</v>
      </c>
      <c r="G53" s="21" t="n">
        <f aca="false">E53+F53</f>
        <v>135.946</v>
      </c>
      <c r="H53" s="23" t="n">
        <v>0</v>
      </c>
      <c r="I53" s="23" t="n">
        <v>0</v>
      </c>
      <c r="J53" s="23" t="n">
        <v>0</v>
      </c>
      <c r="K53" s="23" t="n">
        <v>0</v>
      </c>
      <c r="L53" s="23" t="n">
        <v>0</v>
      </c>
      <c r="M53" s="23" t="n">
        <v>0</v>
      </c>
      <c r="N53" s="7" t="s">
        <v>884</v>
      </c>
    </row>
    <row r="54" customFormat="false" ht="15" hidden="false" customHeight="false" outlineLevel="0" collapsed="false">
      <c r="A54" s="4" t="s">
        <v>885</v>
      </c>
      <c r="B54" s="0" t="s">
        <v>76</v>
      </c>
      <c r="C54" s="21" t="n">
        <f aca="false">Q!J32</f>
        <v>7.425</v>
      </c>
      <c r="D54" s="21" t="n">
        <f aca="false">Q!K32</f>
        <v>29.787</v>
      </c>
      <c r="E54" s="21" t="n">
        <f aca="false">Q!L32</f>
        <v>135.699</v>
      </c>
      <c r="F54" s="21" t="n">
        <f aca="false">F51-F52+F53</f>
        <v>0.526769</v>
      </c>
      <c r="G54" s="21" t="n">
        <f aca="false">E54+F54</f>
        <v>136.225769</v>
      </c>
      <c r="H54" s="21" t="n">
        <f aca="false">H51-H52+H53</f>
        <v>0.443483553215692</v>
      </c>
      <c r="I54" s="21" t="n">
        <f aca="false">I51-I52+I53</f>
        <v>-0.409693499557541</v>
      </c>
      <c r="J54" s="21" t="n">
        <f aca="false">J51-J52+J53</f>
        <v>-0.121286369670105</v>
      </c>
      <c r="K54" s="21" t="n">
        <f aca="false">K51-K52+K53</f>
        <v>1.06915779279326</v>
      </c>
      <c r="L54" s="21" t="n">
        <f aca="false">L51-L52+L53</f>
        <v>2.89484030187748</v>
      </c>
      <c r="M54" s="21" t="n">
        <f aca="false">M51-M52+M53</f>
        <v>4.56360537752618</v>
      </c>
    </row>
    <row r="55" customFormat="false" ht="15" hidden="false" customHeight="false" outlineLevel="0" collapsed="false">
      <c r="A55" s="4" t="s">
        <v>670</v>
      </c>
      <c r="B55" s="0" t="s">
        <v>76</v>
      </c>
      <c r="C55" s="21" t="n">
        <f aca="false">C46+C54</f>
        <v>119.815</v>
      </c>
      <c r="D55" s="21" t="n">
        <f aca="false">D46+D54</f>
        <v>158.826</v>
      </c>
      <c r="E55" s="21" t="n">
        <f aca="false">E46+E54</f>
        <v>216.165</v>
      </c>
      <c r="F55" s="21" t="n">
        <f aca="false">F46+F54</f>
        <v>84.7766615897347</v>
      </c>
      <c r="G55" s="21" t="n">
        <f aca="false">G46+G54</f>
        <v>300.941661589735</v>
      </c>
      <c r="H55" s="21" t="n">
        <f aca="false">H46+H54</f>
        <v>172.326247123086</v>
      </c>
      <c r="I55" s="21" t="n">
        <f aca="false">I46+I54</f>
        <v>186.793883945687</v>
      </c>
      <c r="J55" s="21" t="n">
        <f aca="false">J46+J54</f>
        <v>204.291220330678</v>
      </c>
      <c r="K55" s="21" t="n">
        <f aca="false">K46+K54</f>
        <v>214.071955630351</v>
      </c>
      <c r="L55" s="21" t="n">
        <f aca="false">L46+L54</f>
        <v>204.766235120137</v>
      </c>
      <c r="M55" s="21" t="n">
        <f aca="false">M46+M54</f>
        <v>196.182528737057</v>
      </c>
    </row>
    <row r="56" customFormat="false" ht="15" hidden="false" customHeight="false" outlineLevel="0" collapsed="false">
      <c r="A56" s="4" t="s">
        <v>672</v>
      </c>
      <c r="B56" s="0" t="s">
        <v>76</v>
      </c>
      <c r="C56" s="21" t="n">
        <f aca="false">Q!J36</f>
        <v>19.697</v>
      </c>
      <c r="D56" s="21" t="n">
        <f aca="false">Q!K36</f>
        <v>26.656</v>
      </c>
      <c r="E56" s="21" t="n">
        <f aca="false">Q!L36</f>
        <v>41.394</v>
      </c>
      <c r="F56" s="21" t="n">
        <f aca="false">F55*tax</f>
        <v>14.2424791470754</v>
      </c>
      <c r="G56" s="21" t="n">
        <f aca="false">E56+F56</f>
        <v>55.6364791470754</v>
      </c>
      <c r="H56" s="21" t="n">
        <f aca="false">H55*tax</f>
        <v>28.9508095166784</v>
      </c>
      <c r="I56" s="21" t="n">
        <f aca="false">I55*tax</f>
        <v>31.3813725028753</v>
      </c>
      <c r="J56" s="21" t="n">
        <f aca="false">J55*tax</f>
        <v>34.3209250155538</v>
      </c>
      <c r="K56" s="21" t="n">
        <f aca="false">K55*tax</f>
        <v>35.964088545899</v>
      </c>
      <c r="L56" s="21" t="n">
        <f aca="false">L55*tax</f>
        <v>34.4007275001829</v>
      </c>
      <c r="M56" s="21" t="n">
        <f aca="false">M55*tax</f>
        <v>32.9586648278256</v>
      </c>
    </row>
    <row r="57" customFormat="false" ht="15" hidden="false" customHeight="false" outlineLevel="0" collapsed="false">
      <c r="A57" s="2" t="s">
        <v>673</v>
      </c>
      <c r="B57" s="7" t="s">
        <v>76</v>
      </c>
      <c r="C57" s="21" t="n">
        <f aca="false">C55-C56</f>
        <v>100.118</v>
      </c>
      <c r="D57" s="21" t="n">
        <f aca="false">D55-D56</f>
        <v>132.17</v>
      </c>
      <c r="E57" s="21" t="n">
        <f aca="false">E55-E56</f>
        <v>174.771</v>
      </c>
      <c r="F57" s="21" t="n">
        <f aca="false">F55-F56</f>
        <v>70.5341824426593</v>
      </c>
      <c r="G57" s="21" t="n">
        <f aca="false">G55-G56</f>
        <v>245.305182442659</v>
      </c>
      <c r="H57" s="21" t="n">
        <f aca="false">H55-H56</f>
        <v>143.375437606407</v>
      </c>
      <c r="I57" s="21" t="n">
        <f aca="false">I55-I56</f>
        <v>155.412511442811</v>
      </c>
      <c r="J57" s="21" t="n">
        <f aca="false">J55-J56</f>
        <v>169.970295315124</v>
      </c>
      <c r="K57" s="21" t="n">
        <f aca="false">K55-K56</f>
        <v>178.107867084452</v>
      </c>
      <c r="L57" s="21" t="n">
        <f aca="false">L55-L56</f>
        <v>170.365507619954</v>
      </c>
      <c r="M57" s="21" t="n">
        <f aca="false">M55-M56</f>
        <v>163.223863909232</v>
      </c>
    </row>
    <row r="58" customFormat="false" ht="17.15" hidden="false" customHeight="false" outlineLevel="0" collapsed="false">
      <c r="A58" s="4" t="s">
        <v>886</v>
      </c>
      <c r="B58" s="0" t="s">
        <v>76</v>
      </c>
      <c r="C58" s="16" t="n">
        <f aca="false">C57-Q!J37</f>
        <v>0</v>
      </c>
      <c r="D58" s="16" t="n">
        <f aca="false">D57-Q!K37</f>
        <v>0</v>
      </c>
      <c r="E58" s="16" t="n">
        <f aca="false">E57-Q!L37</f>
        <v>0</v>
      </c>
    </row>
    <row r="59" customFormat="false" ht="15" hidden="false" customHeight="false" outlineLevel="0" collapsed="false">
      <c r="A59" s="4" t="s">
        <v>887</v>
      </c>
      <c r="B59" s="0" t="s">
        <v>76</v>
      </c>
      <c r="E59" s="23" t="n">
        <v>0</v>
      </c>
      <c r="F59" s="21" t="n">
        <f aca="false">pref_2H</f>
        <v>0.535</v>
      </c>
      <c r="G59" s="21" t="n">
        <f aca="false">E59+F59</f>
        <v>0.535</v>
      </c>
      <c r="H59" s="21" t="n">
        <f aca="false">pref_27</f>
        <v>1.203</v>
      </c>
      <c r="I59" s="21" t="n">
        <f aca="false">pref_28</f>
        <v>1.203</v>
      </c>
      <c r="J59" s="21" t="n">
        <f aca="false">pref_29</f>
        <v>0.602</v>
      </c>
      <c r="K59" s="23" t="n">
        <v>0</v>
      </c>
      <c r="L59" s="23" t="n">
        <v>0</v>
      </c>
      <c r="M59" s="23" t="n">
        <v>0</v>
      </c>
    </row>
    <row r="60" customFormat="false" ht="15" hidden="false" customHeight="false" outlineLevel="0" collapsed="false">
      <c r="A60" s="4" t="s">
        <v>888</v>
      </c>
      <c r="B60" s="0" t="s">
        <v>76</v>
      </c>
      <c r="E60" s="21" t="n">
        <f aca="false">E57-E59</f>
        <v>174.771</v>
      </c>
      <c r="F60" s="21" t="n">
        <f aca="false">F57-F59</f>
        <v>69.9991824426593</v>
      </c>
      <c r="G60" s="21" t="n">
        <f aca="false">G57-G59</f>
        <v>244.770182442659</v>
      </c>
      <c r="H60" s="21" t="n">
        <f aca="false">H57-H59</f>
        <v>142.172437606407</v>
      </c>
      <c r="I60" s="21" t="n">
        <f aca="false">I57-I59</f>
        <v>154.209511442811</v>
      </c>
      <c r="J60" s="21" t="n">
        <f aca="false">J57-J59</f>
        <v>169.368295315124</v>
      </c>
      <c r="K60" s="21" t="n">
        <f aca="false">K57-K59</f>
        <v>178.107867084452</v>
      </c>
      <c r="L60" s="21" t="n">
        <f aca="false">L57-L59</f>
        <v>170.365507619954</v>
      </c>
      <c r="M60" s="21" t="n">
        <f aca="false">M57-M59</f>
        <v>163.223863909232</v>
      </c>
    </row>
    <row r="61" customFormat="false" ht="17.15" hidden="false" customHeight="false" outlineLevel="0" collapsed="false">
      <c r="A61" s="4" t="s">
        <v>889</v>
      </c>
      <c r="B61" s="4" t="s">
        <v>60</v>
      </c>
      <c r="E61" s="16" t="n">
        <f aca="false">sh_dil_q2+(sh_out-sh_basic_q2)</f>
        <v>12.388</v>
      </c>
      <c r="F61" s="16" t="n">
        <f aca="false">E61*(1+dil*0.5)-CF!F33/CF!F40</f>
        <v>12.44994</v>
      </c>
      <c r="H61" s="16" t="n">
        <f aca="false">F61*(1+dil*1)-CF!H33/CF!H40</f>
        <v>12.5246650721624</v>
      </c>
      <c r="I61" s="16" t="n">
        <f aca="false">H61*(1+dil*1)-CF!I33/CF!I40</f>
        <v>12.6053598741363</v>
      </c>
      <c r="J61" s="16" t="n">
        <f aca="false">I61*(1+dil*1)-CF!J33/CF!J40+conv_sh</f>
        <v>12.7461361442812</v>
      </c>
      <c r="K61" s="16" t="n">
        <f aca="false">J61*(1+dil*1)-CF!K33/CF!K40</f>
        <v>12.8379042319166</v>
      </c>
      <c r="L61" s="16" t="n">
        <f aca="false">K61*(1+dil*1)-CF!L33/CF!L40</f>
        <v>12.9343350510237</v>
      </c>
      <c r="M61" s="16" t="n">
        <f aca="false">L61*(1+dil*1)-CF!M33/CF!M40</f>
        <v>13.0350822864253</v>
      </c>
      <c r="N61" s="7" t="s">
        <v>890</v>
      </c>
    </row>
    <row r="62" customFormat="false" ht="15" hidden="false" customHeight="false" outlineLevel="0" collapsed="false">
      <c r="A62" s="4" t="s">
        <v>891</v>
      </c>
      <c r="B62" s="4" t="s">
        <v>60</v>
      </c>
      <c r="C62" s="16" t="n">
        <f aca="false">Q!J39</f>
        <v>12.447</v>
      </c>
      <c r="D62" s="16" t="n">
        <f aca="false">Q!K39</f>
        <v>12.23</v>
      </c>
      <c r="E62" s="16" t="n">
        <f aca="false">Q!L39</f>
        <v>12.2735</v>
      </c>
      <c r="F62" s="16" t="n">
        <f aca="false">E61*(1+dil*0.25)</f>
        <v>12.41897</v>
      </c>
      <c r="G62" s="16" t="n">
        <f aca="false">(E62+F62)/2</f>
        <v>12.346235</v>
      </c>
      <c r="H62" s="16" t="n">
        <f aca="false">(F61+H61)/2</f>
        <v>12.4873025360812</v>
      </c>
      <c r="I62" s="16" t="n">
        <f aca="false">(H61+I61)/2</f>
        <v>12.5650124731493</v>
      </c>
      <c r="J62" s="16" t="n">
        <f aca="false">(I61+J61)/2</f>
        <v>12.6757480092088</v>
      </c>
      <c r="K62" s="16" t="n">
        <f aca="false">(J61+K61)/2</f>
        <v>12.7920201880989</v>
      </c>
      <c r="L62" s="16" t="n">
        <f aca="false">(K61+L61)/2</f>
        <v>12.8861196414702</v>
      </c>
      <c r="M62" s="16" t="n">
        <f aca="false">(L61+M61)/2</f>
        <v>12.9847086687245</v>
      </c>
    </row>
    <row r="63" customFormat="false" ht="17.15" hidden="false" customHeight="false" outlineLevel="0" collapsed="false">
      <c r="A63" s="5" t="s">
        <v>892</v>
      </c>
      <c r="B63" s="7" t="s">
        <v>54</v>
      </c>
      <c r="C63" s="18" t="n">
        <f aca="false">C57/C62</f>
        <v>8.04354462922793</v>
      </c>
      <c r="D63" s="18" t="n">
        <f aca="false">D57/D62</f>
        <v>10.807031888798</v>
      </c>
      <c r="E63" s="18" t="n">
        <f aca="false">E60/E62</f>
        <v>14.2397034260806</v>
      </c>
      <c r="F63" s="18" t="n">
        <f aca="false">F60/F62</f>
        <v>5.63647246451672</v>
      </c>
      <c r="G63" s="18" t="n">
        <f aca="false">G60/G62</f>
        <v>19.825491936826</v>
      </c>
      <c r="H63" s="18" t="n">
        <f aca="false">H60/H62</f>
        <v>11.3853602245649</v>
      </c>
      <c r="I63" s="18" t="n">
        <f aca="false">I60/I62</f>
        <v>12.2729294357923</v>
      </c>
      <c r="J63" s="18" t="n">
        <f aca="false">J60/J62</f>
        <v>13.3616016342452</v>
      </c>
      <c r="K63" s="18" t="n">
        <f aca="false">K60/K62</f>
        <v>13.9233572544042</v>
      </c>
      <c r="L63" s="18" t="n">
        <f aca="false">L60/L62</f>
        <v>13.2208540941745</v>
      </c>
      <c r="M63" s="18" t="n">
        <f aca="false">M60/M62</f>
        <v>12.5704679306652</v>
      </c>
    </row>
    <row r="64" customFormat="false" ht="17.15" hidden="false" customHeight="false" outlineLevel="0" collapsed="false">
      <c r="A64" s="0" t="s">
        <v>893</v>
      </c>
      <c r="B64" s="0" t="s">
        <v>54</v>
      </c>
      <c r="E64" s="18" t="n">
        <f aca="false">(E60-E53*(1-tax_eq))/E62</f>
        <v>5.48936000325906</v>
      </c>
      <c r="F64" s="18" t="n">
        <f aca="false">(F60-F53*(1-tax_eq))/F62</f>
        <v>5.63647246451672</v>
      </c>
      <c r="G64" s="18" t="n">
        <f aca="false">(G60-G53*(1-tax_eq))/G62</f>
        <v>11.1266991469593</v>
      </c>
      <c r="H64" s="18" t="n">
        <f aca="false">(H60-H53*(1-tax_eq))/H62</f>
        <v>11.3853602245649</v>
      </c>
      <c r="I64" s="18" t="n">
        <f aca="false">(I60-I53*(1-tax_eq))/I62</f>
        <v>12.2729294357923</v>
      </c>
      <c r="J64" s="18" t="n">
        <f aca="false">(J60-J53*(1-tax_eq))/J62</f>
        <v>13.3616016342452</v>
      </c>
      <c r="K64" s="18" t="n">
        <f aca="false">(K60-K53*(1-tax_eq))/K62</f>
        <v>13.9233572544042</v>
      </c>
      <c r="L64" s="18" t="n">
        <f aca="false">(L60-L53*(1-tax_eq))/L62</f>
        <v>13.2208540941745</v>
      </c>
      <c r="M64" s="18" t="n">
        <f aca="false">(M60-M53*(1-tax_eq))/M62</f>
        <v>12.5704679306652</v>
      </c>
      <c r="N64" s="4" t="s">
        <v>894</v>
      </c>
    </row>
    <row r="65" customFormat="false" ht="15" hidden="false" customHeight="false" outlineLevel="0" collapsed="false">
      <c r="A65" s="4" t="s">
        <v>895</v>
      </c>
      <c r="B65" s="0" t="s">
        <v>76</v>
      </c>
      <c r="C65" s="21" t="n">
        <f aca="false">Q!J44</f>
        <v>22.785</v>
      </c>
      <c r="D65" s="21" t="n">
        <f aca="false">Q!K44</f>
        <v>24.953</v>
      </c>
      <c r="E65" s="21" t="n">
        <f aca="false">Q!L44</f>
        <v>14.708</v>
      </c>
      <c r="F65" s="21" t="n">
        <f aca="false">F24*sbc_r</f>
        <v>16.8583659170571</v>
      </c>
      <c r="G65" s="21" t="n">
        <f aca="false">E65+F65</f>
        <v>31.5663659170571</v>
      </c>
      <c r="H65" s="21" t="n">
        <f aca="false">H24*sbc_r</f>
        <v>38.917755893444</v>
      </c>
      <c r="I65" s="21" t="n">
        <f aca="false">I24*sbc_r</f>
        <v>46.0118383023634</v>
      </c>
      <c r="J65" s="21" t="n">
        <f aca="false">J24*sbc_r</f>
        <v>52.80993097609</v>
      </c>
      <c r="K65" s="21" t="n">
        <f aca="false">K24*sbc_r</f>
        <v>58.723580459413</v>
      </c>
      <c r="L65" s="21" t="n">
        <f aca="false">L24*sbc_r</f>
        <v>64.0160689782942</v>
      </c>
      <c r="M65" s="21" t="n">
        <f aca="false">M24*sbc_r</f>
        <v>69.6500611813878</v>
      </c>
    </row>
    <row r="67" customFormat="false" ht="17.15" hidden="false" customHeight="false" outlineLevel="0" collapsed="false">
      <c r="A67" s="24" t="s">
        <v>848</v>
      </c>
    </row>
    <row r="68" customFormat="false" ht="15" hidden="false" customHeight="false" outlineLevel="0" collapsed="false">
      <c r="A68" s="3" t="s">
        <v>43</v>
      </c>
      <c r="B68" s="3" t="s">
        <v>44</v>
      </c>
      <c r="C68" s="14" t="s">
        <v>746</v>
      </c>
      <c r="D68" s="14" t="s">
        <v>747</v>
      </c>
      <c r="E68" s="14" t="s">
        <v>748</v>
      </c>
      <c r="F68" s="14" t="s">
        <v>749</v>
      </c>
      <c r="G68" s="14" t="s">
        <v>750</v>
      </c>
      <c r="H68" s="14" t="s">
        <v>751</v>
      </c>
      <c r="I68" s="14" t="s">
        <v>752</v>
      </c>
      <c r="J68" s="14" t="s">
        <v>753</v>
      </c>
      <c r="K68" s="14" t="s">
        <v>754</v>
      </c>
      <c r="L68" s="14" t="s">
        <v>755</v>
      </c>
      <c r="M68" s="14" t="s">
        <v>756</v>
      </c>
      <c r="N68" s="3" t="s">
        <v>50</v>
      </c>
    </row>
    <row r="69" customFormat="false" ht="15" hidden="false" customHeight="false" outlineLevel="0" collapsed="false">
      <c r="A69" s="0" t="s">
        <v>640</v>
      </c>
      <c r="B69" s="0" t="s">
        <v>76</v>
      </c>
      <c r="C69" s="21" t="n">
        <f aca="false">Seg!C47</f>
        <v>198.084</v>
      </c>
      <c r="D69" s="21" t="n">
        <f aca="false">Seg!D47</f>
        <v>224.532</v>
      </c>
      <c r="E69" s="21" t="n">
        <f aca="false">Seg!E47</f>
        <v>123.67</v>
      </c>
      <c r="F69" s="21" t="n">
        <f aca="false">Seg!F47</f>
        <v>139.741100565981</v>
      </c>
      <c r="G69" s="21" t="n">
        <f aca="false">Seg!G47</f>
        <v>263.411100565981</v>
      </c>
      <c r="H69" s="21" t="n">
        <f aca="false">Seg!H47</f>
        <v>301.871731194856</v>
      </c>
      <c r="I69" s="21" t="n">
        <f aca="false">Seg!I47</f>
        <v>339.305819879187</v>
      </c>
      <c r="J69" s="21" t="n">
        <f aca="false">Seg!J47</f>
        <v>373.916134150536</v>
      </c>
      <c r="K69" s="21" t="n">
        <f aca="false">Seg!K47</f>
        <v>403.829424882579</v>
      </c>
      <c r="L69" s="21" t="n">
        <f aca="false">Seg!L47</f>
        <v>436.135778873185</v>
      </c>
      <c r="M69" s="21" t="n">
        <f aca="false">Seg!M47</f>
        <v>471.02664118304</v>
      </c>
    </row>
    <row r="70" customFormat="false" ht="15" hidden="false" customHeight="false" outlineLevel="0" collapsed="false">
      <c r="A70" s="0" t="s">
        <v>643</v>
      </c>
      <c r="B70" s="0" t="s">
        <v>76</v>
      </c>
      <c r="C70" s="21" t="n">
        <f aca="false">Seg!C49</f>
        <v>36.147</v>
      </c>
      <c r="D70" s="21" t="n">
        <f aca="false">Seg!D49</f>
        <v>40.367</v>
      </c>
      <c r="E70" s="21" t="n">
        <f aca="false">Seg!E49</f>
        <v>20.938</v>
      </c>
      <c r="F70" s="21" t="n">
        <f aca="false">Seg!F49</f>
        <v>24.1793637484587</v>
      </c>
      <c r="G70" s="21" t="n">
        <f aca="false">Seg!G49</f>
        <v>45.1173637484587</v>
      </c>
      <c r="H70" s="21" t="n">
        <f aca="false">Seg!H49</f>
        <v>49.9834744846827</v>
      </c>
      <c r="I70" s="21" t="n">
        <f aca="false">Seg!I49</f>
        <v>54.9103289240237</v>
      </c>
      <c r="J70" s="21" t="n">
        <f aca="false">Seg!J49</f>
        <v>59.8129885015682</v>
      </c>
      <c r="K70" s="21" t="n">
        <f aca="false">Seg!K49</f>
        <v>64.5980275816936</v>
      </c>
      <c r="L70" s="21" t="n">
        <f aca="false">Seg!L49</f>
        <v>69.7658697882291</v>
      </c>
      <c r="M70" s="21" t="n">
        <f aca="false">Seg!M49</f>
        <v>75.3471393712874</v>
      </c>
    </row>
    <row r="71" customFormat="false" ht="15" hidden="false" customHeight="false" outlineLevel="0" collapsed="false">
      <c r="A71" s="0" t="s">
        <v>644</v>
      </c>
      <c r="B71" s="0" t="s">
        <v>76</v>
      </c>
      <c r="C71" s="21" t="n">
        <f aca="false">Seg!C51</f>
        <v>30.359</v>
      </c>
      <c r="D71" s="21" t="n">
        <f aca="false">Seg!D51</f>
        <v>29.792</v>
      </c>
      <c r="E71" s="21" t="n">
        <f aca="false">Seg!E51</f>
        <v>14.274</v>
      </c>
      <c r="F71" s="21" t="n">
        <f aca="false">Seg!F51</f>
        <v>14.8512550478215</v>
      </c>
      <c r="G71" s="21" t="n">
        <f aca="false">Seg!G51</f>
        <v>29.1252550478215</v>
      </c>
      <c r="H71" s="21" t="n">
        <f aca="false">Seg!H51</f>
        <v>28.6493774746437</v>
      </c>
      <c r="I71" s="21" t="n">
        <f aca="false">Seg!I51</f>
        <v>28.3373093353078</v>
      </c>
      <c r="J71" s="21" t="n">
        <f aca="false">Seg!J51</f>
        <v>28.1829748928599</v>
      </c>
      <c r="K71" s="21" t="n">
        <f aca="false">Seg!K51</f>
        <v>28.1829748928599</v>
      </c>
      <c r="L71" s="21" t="n">
        <f aca="false">Seg!L51</f>
        <v>28.1829748928599</v>
      </c>
      <c r="M71" s="21" t="n">
        <f aca="false">Seg!M51</f>
        <v>28.1829748928599</v>
      </c>
    </row>
    <row r="72" customFormat="false" ht="15" hidden="false" customHeight="false" outlineLevel="0" collapsed="false">
      <c r="A72" s="0" t="s">
        <v>645</v>
      </c>
      <c r="B72" s="0" t="s">
        <v>76</v>
      </c>
      <c r="C72" s="21" t="n">
        <f aca="false">Seg!C53</f>
        <v>40.34</v>
      </c>
      <c r="D72" s="21" t="n">
        <f aca="false">Seg!D53</f>
        <v>48.03</v>
      </c>
      <c r="E72" s="21" t="n">
        <f aca="false">Seg!E53</f>
        <v>25.295</v>
      </c>
      <c r="F72" s="21" t="n">
        <f aca="false">Seg!F53</f>
        <v>31.1937011693374</v>
      </c>
      <c r="G72" s="21" t="n">
        <f aca="false">Seg!G53</f>
        <v>56.4887011693374</v>
      </c>
      <c r="H72" s="21" t="n">
        <f aca="false">Seg!H53</f>
        <v>65.5029631403152</v>
      </c>
      <c r="I72" s="21" t="n">
        <f aca="false">Seg!I53</f>
        <v>74.6548787045084</v>
      </c>
      <c r="J72" s="21" t="n">
        <f aca="false">Seg!J53</f>
        <v>83.602922174315</v>
      </c>
      <c r="K72" s="21" t="n">
        <f aca="false">Seg!K53</f>
        <v>91.9632143917465</v>
      </c>
      <c r="L72" s="21" t="n">
        <f aca="false">Seg!L53</f>
        <v>101.159535830921</v>
      </c>
      <c r="M72" s="21" t="n">
        <f aca="false">Seg!M53</f>
        <v>111.275489414013</v>
      </c>
    </row>
    <row r="73" customFormat="false" ht="15" hidden="false" customHeight="false" outlineLevel="0" collapsed="false">
      <c r="A73" s="25" t="s">
        <v>825</v>
      </c>
      <c r="B73" s="26" t="s">
        <v>76</v>
      </c>
      <c r="C73" s="27" t="n">
        <f aca="false">Seg!C54</f>
        <v>304.93</v>
      </c>
      <c r="D73" s="27" t="n">
        <f aca="false">Seg!D54</f>
        <v>342.721</v>
      </c>
      <c r="E73" s="27" t="n">
        <f aca="false">Seg!E54</f>
        <v>184.177</v>
      </c>
      <c r="F73" s="27" t="n">
        <f aca="false">Seg!F54</f>
        <v>209.965420531598</v>
      </c>
      <c r="G73" s="27" t="n">
        <f aca="false">Seg!G54</f>
        <v>394.142420531598</v>
      </c>
      <c r="H73" s="27" t="n">
        <f aca="false">Seg!H54</f>
        <v>446.007546294497</v>
      </c>
      <c r="I73" s="27" t="n">
        <f aca="false">Seg!I54</f>
        <v>497.208336843026</v>
      </c>
      <c r="J73" s="27" t="n">
        <f aca="false">Seg!J54</f>
        <v>545.515019719279</v>
      </c>
      <c r="K73" s="27" t="n">
        <f aca="false">Seg!K54</f>
        <v>588.573641748879</v>
      </c>
      <c r="L73" s="27" t="n">
        <f aca="false">Seg!L54</f>
        <v>635.244159385196</v>
      </c>
      <c r="M73" s="27" t="n">
        <f aca="false">Seg!M54</f>
        <v>685.832244861201</v>
      </c>
      <c r="N73" s="26"/>
    </row>
    <row r="74" customFormat="false" ht="17.15" hidden="false" customHeight="false" outlineLevel="0" collapsed="false">
      <c r="A74" s="0" t="s">
        <v>826</v>
      </c>
      <c r="B74" s="0" t="s">
        <v>76</v>
      </c>
      <c r="E74" s="21" t="n">
        <f aca="false">Seg!E55</f>
        <v>9.75837289307536</v>
      </c>
      <c r="F74" s="21" t="n">
        <f aca="false">Seg!F55</f>
        <v>13.072238179387</v>
      </c>
      <c r="G74" s="21" t="n">
        <f aca="false">Seg!G55</f>
        <v>22.8306110724624</v>
      </c>
      <c r="H74" s="21" t="n">
        <f aca="false">Seg!H55</f>
        <v>38.882857987105</v>
      </c>
      <c r="I74" s="21" t="n">
        <f aca="false">Seg!I55</f>
        <v>56.7035586757632</v>
      </c>
      <c r="J74" s="21" t="n">
        <f aca="false">Seg!J55</f>
        <v>75.0259744749515</v>
      </c>
      <c r="K74" s="21" t="n">
        <f aca="false">Seg!K55</f>
        <v>93.3483902741398</v>
      </c>
      <c r="L74" s="21" t="n">
        <f aca="false">Seg!L55</f>
        <v>111.670806073328</v>
      </c>
      <c r="M74" s="21" t="n">
        <f aca="false">Seg!M55</f>
        <v>129.993221872516</v>
      </c>
    </row>
    <row r="75" customFormat="false" ht="17.15" hidden="false" customHeight="false" outlineLevel="0" collapsed="false">
      <c r="A75" s="0" t="s">
        <v>828</v>
      </c>
      <c r="B75" s="0" t="s">
        <v>76</v>
      </c>
      <c r="E75" s="21" t="n">
        <f aca="false">Seg!E56</f>
        <v>0</v>
      </c>
      <c r="F75" s="21" t="n">
        <f aca="false">Seg!F56</f>
        <v>1</v>
      </c>
      <c r="G75" s="21" t="n">
        <f aca="false">Seg!G56</f>
        <v>1</v>
      </c>
      <c r="H75" s="21" t="n">
        <f aca="false">Seg!H56</f>
        <v>13</v>
      </c>
      <c r="I75" s="21" t="n">
        <f aca="false">Seg!I56</f>
        <v>13</v>
      </c>
      <c r="J75" s="21" t="n">
        <f aca="false">Seg!J56</f>
        <v>13</v>
      </c>
      <c r="K75" s="21" t="n">
        <f aca="false">Seg!K56</f>
        <v>13</v>
      </c>
      <c r="L75" s="21" t="n">
        <f aca="false">Seg!L56</f>
        <v>13</v>
      </c>
      <c r="M75" s="21" t="n">
        <f aca="false">Seg!M56</f>
        <v>13</v>
      </c>
    </row>
    <row r="76" customFormat="false" ht="17.15" hidden="false" customHeight="false" outlineLevel="0" collapsed="false">
      <c r="A76" s="0" t="s">
        <v>832</v>
      </c>
      <c r="B76" s="0" t="s">
        <v>76</v>
      </c>
      <c r="E76" s="21" t="n">
        <f aca="false">Seg!E58</f>
        <v>35.0376271069246</v>
      </c>
      <c r="F76" s="21" t="n">
        <f aca="false">Seg!F58</f>
        <v>42.3813732550541</v>
      </c>
      <c r="G76" s="21" t="n">
        <f aca="false">Seg!G58</f>
        <v>77.4190003619788</v>
      </c>
      <c r="H76" s="21" t="n">
        <f aca="false">Seg!H58</f>
        <v>105.858238766016</v>
      </c>
      <c r="I76" s="21" t="n">
        <f aca="false">Seg!I58</f>
        <v>134.605232266348</v>
      </c>
      <c r="J76" s="21" t="n">
        <f aca="false">Seg!J58</f>
        <v>158.266222760704</v>
      </c>
      <c r="K76" s="21" t="n">
        <f aca="false">Seg!K58</f>
        <v>170.92752058156</v>
      </c>
      <c r="L76" s="21" t="n">
        <f aca="false">Seg!L58</f>
        <v>184.601722228085</v>
      </c>
      <c r="M76" s="21" t="n">
        <f aca="false">Seg!M58</f>
        <v>199.369860006332</v>
      </c>
    </row>
    <row r="77" customFormat="false" ht="15" hidden="false" customHeight="false" outlineLevel="0" collapsed="false">
      <c r="A77" s="25" t="s">
        <v>834</v>
      </c>
      <c r="B77" s="26" t="s">
        <v>76</v>
      </c>
      <c r="C77" s="27" t="n">
        <f aca="false">Seg!C59</f>
        <v>43.229</v>
      </c>
      <c r="D77" s="27" t="n">
        <f aca="false">Seg!D59</f>
        <v>58.705</v>
      </c>
      <c r="E77" s="27" t="n">
        <f aca="false">Seg!E59</f>
        <v>44.796</v>
      </c>
      <c r="F77" s="27" t="n">
        <f aca="false">Seg!F59</f>
        <v>56.4536114344411</v>
      </c>
      <c r="G77" s="27" t="n">
        <f aca="false">Seg!G59</f>
        <v>101.249611434441</v>
      </c>
      <c r="H77" s="27" t="n">
        <f aca="false">Seg!H59</f>
        <v>157.741096753121</v>
      </c>
      <c r="I77" s="27" t="n">
        <f aca="false">Seg!I59</f>
        <v>204.308790942111</v>
      </c>
      <c r="J77" s="27" t="n">
        <f aca="false">Seg!J59</f>
        <v>246.292197235655</v>
      </c>
      <c r="K77" s="27" t="n">
        <f aca="false">Seg!K59</f>
        <v>277.2759108557</v>
      </c>
      <c r="L77" s="27" t="n">
        <f aca="false">Seg!L59</f>
        <v>309.272528301413</v>
      </c>
      <c r="M77" s="27" t="n">
        <f aca="false">Seg!M59</f>
        <v>342.363081878848</v>
      </c>
      <c r="N77" s="26"/>
    </row>
    <row r="78" customFormat="false" ht="15" hidden="false" customHeight="false" outlineLevel="0" collapsed="false">
      <c r="A78" s="25" t="s">
        <v>835</v>
      </c>
      <c r="B78" s="26" t="s">
        <v>76</v>
      </c>
      <c r="C78" s="27" t="n">
        <f aca="false">Seg!C60</f>
        <v>1.648</v>
      </c>
      <c r="D78" s="27" t="n">
        <f aca="false">Seg!D60</f>
        <v>1.537</v>
      </c>
      <c r="E78" s="27" t="n">
        <f aca="false">Seg!E60</f>
        <v>0.793</v>
      </c>
      <c r="F78" s="27" t="n">
        <f aca="false">Seg!F60</f>
        <v>0.75</v>
      </c>
      <c r="G78" s="27" t="n">
        <f aca="false">Seg!G60</f>
        <v>1.543</v>
      </c>
      <c r="H78" s="27" t="n">
        <f aca="false">Seg!H60</f>
        <v>1.6</v>
      </c>
      <c r="I78" s="27" t="n">
        <f aca="false">Seg!I60</f>
        <v>1.8</v>
      </c>
      <c r="J78" s="27" t="n">
        <f aca="false">Seg!J60</f>
        <v>2</v>
      </c>
      <c r="K78" s="27" t="n">
        <f aca="false">Seg!K60</f>
        <v>2.2</v>
      </c>
      <c r="L78" s="27" t="n">
        <f aca="false">Seg!L60</f>
        <v>2.4</v>
      </c>
      <c r="M78" s="27" t="n">
        <f aca="false">Seg!M60</f>
        <v>2.6</v>
      </c>
      <c r="N78" s="26"/>
    </row>
    <row r="79" customFormat="false" ht="15" hidden="false" customHeight="false" outlineLevel="0" collapsed="false">
      <c r="A79" s="0" t="s">
        <v>836</v>
      </c>
      <c r="B79" s="0" t="s">
        <v>76</v>
      </c>
      <c r="C79" s="21" t="n">
        <f aca="false">Seg!C61</f>
        <v>0.211</v>
      </c>
      <c r="D79" s="21" t="n">
        <f aca="false">Seg!D61</f>
        <v>-0.127</v>
      </c>
      <c r="E79" s="21" t="n">
        <f aca="false">Seg!E61</f>
        <v>-0.074</v>
      </c>
      <c r="F79" s="21" t="n">
        <f aca="false">Seg!F61</f>
        <v>0</v>
      </c>
      <c r="G79" s="21" t="n">
        <f aca="false">Seg!G61</f>
        <v>-0.074</v>
      </c>
      <c r="H79" s="21" t="n">
        <f aca="false">Seg!H61</f>
        <v>0</v>
      </c>
      <c r="I79" s="21" t="n">
        <f aca="false">Seg!I61</f>
        <v>0</v>
      </c>
      <c r="J79" s="21" t="n">
        <f aca="false">Seg!J61</f>
        <v>0</v>
      </c>
      <c r="K79" s="21" t="n">
        <f aca="false">Seg!K61</f>
        <v>0</v>
      </c>
      <c r="L79" s="21" t="n">
        <f aca="false">Seg!L61</f>
        <v>0</v>
      </c>
      <c r="M79" s="21" t="n">
        <f aca="false">Seg!M61</f>
        <v>0</v>
      </c>
    </row>
    <row r="80" customFormat="false" ht="15" hidden="false" customHeight="false" outlineLevel="0" collapsed="false">
      <c r="A80" s="2" t="s">
        <v>652</v>
      </c>
      <c r="B80" s="7" t="s">
        <v>76</v>
      </c>
      <c r="C80" s="21" t="n">
        <f aca="false">Seg!C62</f>
        <v>350.018</v>
      </c>
      <c r="D80" s="21" t="n">
        <f aca="false">Seg!D62</f>
        <v>402.836</v>
      </c>
      <c r="E80" s="21" t="n">
        <f aca="false">Seg!E62</f>
        <v>229.692</v>
      </c>
      <c r="F80" s="21" t="n">
        <f aca="false">Seg!F62</f>
        <v>267.169031966039</v>
      </c>
      <c r="G80" s="21" t="n">
        <f aca="false">Seg!G62</f>
        <v>496.861031966039</v>
      </c>
      <c r="H80" s="21" t="n">
        <f aca="false">Seg!H62</f>
        <v>605.348643047618</v>
      </c>
      <c r="I80" s="21" t="n">
        <f aca="false">Seg!I62</f>
        <v>703.317127785138</v>
      </c>
      <c r="J80" s="21" t="n">
        <f aca="false">Seg!J62</f>
        <v>793.807216954934</v>
      </c>
      <c r="K80" s="21" t="n">
        <f aca="false">Seg!K62</f>
        <v>868.049552604579</v>
      </c>
      <c r="L80" s="21" t="n">
        <f aca="false">Seg!L62</f>
        <v>946.916687686609</v>
      </c>
      <c r="M80" s="21" t="n">
        <f aca="false">Seg!M62</f>
        <v>1030.79532674005</v>
      </c>
    </row>
    <row r="81" customFormat="false" ht="15" hidden="false" customHeight="false" outlineLevel="0" collapsed="false">
      <c r="A81" s="4" t="s">
        <v>856</v>
      </c>
      <c r="B81" s="0" t="s">
        <v>99</v>
      </c>
      <c r="D81" s="19" t="n">
        <f aca="false">D80/C80-1</f>
        <v>0.150900810815444</v>
      </c>
      <c r="G81" s="19" t="n">
        <f aca="false">G80/D80-1</f>
        <v>0.233407719186069</v>
      </c>
      <c r="H81" s="19" t="n">
        <f aca="false">H80/G80-1</f>
        <v>0.218345984293238</v>
      </c>
      <c r="I81" s="19" t="n">
        <f aca="false">I80/H80-1</f>
        <v>0.161838117360433</v>
      </c>
      <c r="J81" s="19" t="n">
        <f aca="false">J80/I80-1</f>
        <v>0.128661859060315</v>
      </c>
      <c r="K81" s="19" t="n">
        <f aca="false">K80/J80-1</f>
        <v>0.0935269093854299</v>
      </c>
      <c r="L81" s="19" t="n">
        <f aca="false">L80/K80-1</f>
        <v>0.0908555679170495</v>
      </c>
      <c r="M81" s="19" t="n">
        <f aca="false">M80/L80-1</f>
        <v>0.0885808013990783</v>
      </c>
    </row>
    <row r="82" customFormat="false" ht="17.15" hidden="false" customHeight="false" outlineLevel="0" collapsed="false">
      <c r="A82" s="4" t="s">
        <v>647</v>
      </c>
      <c r="B82" s="0" t="s">
        <v>76</v>
      </c>
      <c r="C82" s="16" t="n">
        <f aca="false">C69+C70+C71+C72-C73</f>
        <v>0</v>
      </c>
      <c r="D82" s="16" t="n">
        <f aca="false">D69+D70+D71+D72-D73</f>
        <v>0</v>
      </c>
      <c r="E82" s="16" t="n">
        <f aca="false">E69+E70+E71+E72-E73</f>
        <v>0</v>
      </c>
      <c r="F82" s="16" t="n">
        <f aca="false">F69+F70+F71+F72-F73</f>
        <v>0</v>
      </c>
      <c r="G82" s="16" t="n">
        <f aca="false">G69+G70+G71+G72-G73</f>
        <v>0</v>
      </c>
      <c r="H82" s="16" t="n">
        <f aca="false">H69+H70+H71+H72-H73</f>
        <v>0</v>
      </c>
      <c r="I82" s="16" t="n">
        <f aca="false">I69+I70+I71+I72-I73</f>
        <v>0</v>
      </c>
      <c r="J82" s="16" t="n">
        <f aca="false">J69+J70+J71+J72-J73</f>
        <v>0</v>
      </c>
      <c r="K82" s="16" t="n">
        <f aca="false">K69+K70+K71+K72-K73</f>
        <v>0</v>
      </c>
      <c r="L82" s="16" t="n">
        <f aca="false">L69+L70+L71+L72-L73</f>
        <v>0</v>
      </c>
      <c r="M82" s="16" t="n">
        <f aca="false">M69+M70+M71+M72-M73</f>
        <v>0</v>
      </c>
    </row>
    <row r="83" customFormat="false" ht="17.15" hidden="false" customHeight="false" outlineLevel="0" collapsed="false">
      <c r="A83" s="4" t="s">
        <v>838</v>
      </c>
      <c r="B83" s="0" t="s">
        <v>76</v>
      </c>
      <c r="E83" s="16" t="n">
        <f aca="false">E74+E75+E76-E77</f>
        <v>0</v>
      </c>
      <c r="F83" s="16" t="n">
        <f aca="false">F74+F75+F76-F77</f>
        <v>0</v>
      </c>
      <c r="G83" s="16" t="n">
        <f aca="false">G74+G75+G76-G77</f>
        <v>0</v>
      </c>
      <c r="H83" s="16" t="n">
        <f aca="false">H74+H75+H76-H77</f>
        <v>0</v>
      </c>
      <c r="I83" s="16" t="n">
        <f aca="false">I74+I75+I76-I77</f>
        <v>0</v>
      </c>
      <c r="J83" s="16" t="n">
        <f aca="false">J74+J75+J76-J77</f>
        <v>0</v>
      </c>
      <c r="K83" s="16" t="n">
        <f aca="false">K74+K75+K76-K77</f>
        <v>0</v>
      </c>
      <c r="L83" s="16" t="n">
        <f aca="false">L74+L75+L76-L77</f>
        <v>0</v>
      </c>
      <c r="M83" s="16" t="n">
        <f aca="false">M74+M75+M76-M77</f>
        <v>0</v>
      </c>
    </row>
    <row r="84" customFormat="false" ht="15" hidden="false" customHeight="false" outlineLevel="0" collapsed="false">
      <c r="A84" s="4" t="s">
        <v>653</v>
      </c>
      <c r="B84" s="0" t="s">
        <v>76</v>
      </c>
      <c r="C84" s="16" t="n">
        <f aca="false">C73+C77+C78+C79-C80</f>
        <v>0</v>
      </c>
      <c r="D84" s="16" t="n">
        <f aca="false">D73+D77+D78+D79-D80</f>
        <v>0</v>
      </c>
      <c r="E84" s="16" t="n">
        <f aca="false">E73+E77+E78+E79-E80</f>
        <v>0</v>
      </c>
      <c r="F84" s="16" t="n">
        <f aca="false">F73+F77+F78+F79-F80</f>
        <v>0</v>
      </c>
      <c r="G84" s="16" t="n">
        <f aca="false">G73+G77+G78+G79-G80</f>
        <v>0</v>
      </c>
      <c r="H84" s="16" t="n">
        <f aca="false">H73+H77+H78+H79-H80</f>
        <v>0</v>
      </c>
      <c r="I84" s="16" t="n">
        <f aca="false">I73+I77+I78+I79-I80</f>
        <v>0</v>
      </c>
      <c r="J84" s="16" t="n">
        <f aca="false">J73+J77+J78+J79-J80</f>
        <v>0</v>
      </c>
      <c r="K84" s="16" t="n">
        <f aca="false">K73+K77+K78+K79-K80</f>
        <v>0</v>
      </c>
      <c r="L84" s="16" t="n">
        <f aca="false">L73+L77+L78+L79-L80</f>
        <v>0</v>
      </c>
      <c r="M84" s="16" t="n">
        <f aca="false">M73+M77+M78+M79-M80</f>
        <v>0</v>
      </c>
    </row>
    <row r="85" customFormat="false" ht="17.15" hidden="false" customHeight="false" outlineLevel="0" collapsed="false">
      <c r="A85" s="0" t="s">
        <v>857</v>
      </c>
      <c r="B85" s="0" t="s">
        <v>76</v>
      </c>
      <c r="F85" s="21" t="n">
        <f aca="false">Seg!F47-Seg!F43</f>
        <v>0</v>
      </c>
      <c r="G85" s="21" t="n">
        <f aca="false">F85</f>
        <v>0</v>
      </c>
      <c r="H85" s="21" t="n">
        <f aca="false">Seg!H47-Seg!H43</f>
        <v>0</v>
      </c>
      <c r="I85" s="21" t="n">
        <f aca="false">Seg!I47-Seg!I43</f>
        <v>0</v>
      </c>
      <c r="J85" s="21" t="n">
        <f aca="false">Seg!J47-Seg!J43</f>
        <v>0</v>
      </c>
      <c r="K85" s="21" t="n">
        <f aca="false">Seg!K47-Seg!K43</f>
        <v>0</v>
      </c>
      <c r="L85" s="21" t="n">
        <f aca="false">Seg!L47-Seg!L43</f>
        <v>0</v>
      </c>
      <c r="M85" s="21" t="n">
        <f aca="false">Seg!M47-Seg!M43</f>
        <v>0</v>
      </c>
    </row>
    <row r="86" customFormat="false" ht="17.15" hidden="false" customHeight="false" outlineLevel="0" collapsed="false">
      <c r="A86" s="0" t="s">
        <v>858</v>
      </c>
      <c r="B86" s="0" t="s">
        <v>76</v>
      </c>
      <c r="F86" s="21" t="n">
        <f aca="false">m_svc*(F73-F85)+inc_m*F85-svc_sh*(Thesis!F68+Thesis!F69)</f>
        <v>101.679428068742</v>
      </c>
      <c r="H86" s="21" t="n">
        <f aca="false">m_svc*(H73-H85)+inc_m*H85-svc_sh*(Thesis!H68+Thesis!H69)</f>
        <v>210.288138653856</v>
      </c>
      <c r="I86" s="21" t="n">
        <f aca="false">m_svc*(I73-I85)+inc_m*I85-svc_sh*(Thesis!I68+Thesis!I69)</f>
        <v>231.98337533767</v>
      </c>
      <c r="J86" s="21" t="n">
        <f aca="false">m_svc*(J73-J85)+inc_m*J85-svc_sh*(Thesis!J68+Thesis!J69)</f>
        <v>255.511875772181</v>
      </c>
      <c r="K86" s="21" t="n">
        <f aca="false">m_svc*(K73-K85)+inc_m*K85-svc_sh*(Thesis!K68+Thesis!K69)</f>
        <v>276.446697295739</v>
      </c>
      <c r="L86" s="21" t="n">
        <f aca="false">m_svc*(L73-L85)+inc_m*L85-svc_sh*(Thesis!L68+Thesis!L69)</f>
        <v>295.854577670068</v>
      </c>
      <c r="M86" s="21" t="n">
        <f aca="false">m_svc*(M73-M85)+inc_m*M85-svc_sh*(Thesis!M68+Thesis!M69)</f>
        <v>317.198585194012</v>
      </c>
      <c r="N86" s="7" t="s">
        <v>859</v>
      </c>
    </row>
    <row r="87" customFormat="false" ht="17.15" hidden="false" customHeight="false" outlineLevel="0" collapsed="false">
      <c r="A87" s="0" t="s">
        <v>860</v>
      </c>
      <c r="B87" s="0" t="s">
        <v>76</v>
      </c>
      <c r="F87" s="21" t="n">
        <f aca="false">da_base*0.5*sh_svc+Seg!F71+Thesis!F65*svc_sh</f>
        <v>14.9965690659575</v>
      </c>
      <c r="H87" s="21" t="n">
        <f aca="false">da_base*1*sh_svc+Seg!H71+Thesis!H65*svc_sh</f>
        <v>40.0546501054192</v>
      </c>
      <c r="I87" s="21" t="n">
        <f aca="false">da_base*1*sh_svc+Seg!I71+Thesis!I65*svc_sh</f>
        <v>54.108444473264</v>
      </c>
      <c r="J87" s="21" t="n">
        <f aca="false">da_base*1*sh_svc+Seg!J71+Thesis!J65*svc_sh</f>
        <v>69.4679773942424</v>
      </c>
      <c r="K87" s="21" t="n">
        <f aca="false">da_base*1*sh_svc+Seg!K71+Thesis!K65*svc_sh</f>
        <v>86.9380543460082</v>
      </c>
      <c r="L87" s="21" t="n">
        <f aca="false">da_base*1*sh_svc+Seg!L71+Thesis!L65*svc_sh</f>
        <v>107.19296784741</v>
      </c>
      <c r="M87" s="21" t="n">
        <f aca="false">da_base*1*sh_svc+Seg!M71+Thesis!M65*svc_sh</f>
        <v>128.065292913793</v>
      </c>
    </row>
    <row r="88" customFormat="false" ht="17.15" hidden="false" customHeight="false" outlineLevel="0" collapsed="false">
      <c r="A88" s="5" t="s">
        <v>861</v>
      </c>
      <c r="B88" s="7" t="s">
        <v>76</v>
      </c>
      <c r="C88" s="21" t="n">
        <f aca="false">Q!J18</f>
        <v>121.263</v>
      </c>
      <c r="D88" s="21" t="n">
        <f aca="false">Q!K18</f>
        <v>139.404</v>
      </c>
      <c r="E88" s="21" t="n">
        <f aca="false">Q!L18</f>
        <v>80.133</v>
      </c>
      <c r="F88" s="21" t="n">
        <f aca="false">F86-F87</f>
        <v>86.6828590027843</v>
      </c>
      <c r="G88" s="21" t="n">
        <f aca="false">E88+F88</f>
        <v>166.815859002784</v>
      </c>
      <c r="H88" s="21" t="n">
        <f aca="false">H86-H87</f>
        <v>170.233488548436</v>
      </c>
      <c r="I88" s="21" t="n">
        <f aca="false">I86-I87</f>
        <v>177.874930864406</v>
      </c>
      <c r="J88" s="21" t="n">
        <f aca="false">J86-J87</f>
        <v>186.043898377939</v>
      </c>
      <c r="K88" s="21" t="n">
        <f aca="false">K86-K87</f>
        <v>189.508642949731</v>
      </c>
      <c r="L88" s="21" t="n">
        <f aca="false">L86-L87</f>
        <v>188.661609822659</v>
      </c>
      <c r="M88" s="21" t="n">
        <f aca="false">M86-M87</f>
        <v>189.133292280219</v>
      </c>
    </row>
    <row r="89" customFormat="false" ht="17.15" hidden="false" customHeight="false" outlineLevel="0" collapsed="false">
      <c r="A89" s="0" t="s">
        <v>862</v>
      </c>
      <c r="B89" s="0" t="s">
        <v>76</v>
      </c>
      <c r="F89" s="21" t="n">
        <f aca="false">Thesis!F41+F75*tpu_m+F76*m_co</f>
        <v>23.1804867072037</v>
      </c>
      <c r="H89" s="21" t="n">
        <f aca="false">Thesis!H41+H75*tpu_m+H76*m_co</f>
        <v>65.9102849718516</v>
      </c>
      <c r="I89" s="21" t="n">
        <f aca="false">Thesis!I41+I75*tpu_m+I76*m_co</f>
        <v>89.2627271785295</v>
      </c>
      <c r="J89" s="21" t="n">
        <f aca="false">Thesis!J41+J75*tpu_m+J76*m_co</f>
        <v>111.647518836136</v>
      </c>
      <c r="K89" s="21" t="n">
        <f aca="false">Thesis!K41+K75*tpu_m+K76*m_co</f>
        <v>130.929257383092</v>
      </c>
      <c r="L89" s="21" t="n">
        <f aca="false">Thesis!L41+L75*tpu_m+L76*m_co</f>
        <v>150.496739764929</v>
      </c>
      <c r="M89" s="21" t="n">
        <f aca="false">Thesis!M41+M75*tpu_m+M76*m_co</f>
        <v>170.372825488436</v>
      </c>
      <c r="N89" s="7" t="s">
        <v>863</v>
      </c>
    </row>
    <row r="90" customFormat="false" ht="17.15" hidden="false" customHeight="false" outlineLevel="0" collapsed="false">
      <c r="A90" s="0" t="s">
        <v>864</v>
      </c>
      <c r="B90" s="0" t="s">
        <v>76</v>
      </c>
      <c r="F90" s="21" t="n">
        <f aca="false">da_base*0.5*sh_cloud+Thesis!F64+Seg!F72</f>
        <v>4.82119327366453</v>
      </c>
      <c r="H90" s="21" t="n">
        <f aca="false">da_base*1*sh_cloud+Thesis!H64+Seg!H72</f>
        <v>16.8544946111865</v>
      </c>
      <c r="I90" s="21" t="n">
        <f aca="false">da_base*1*sh_cloud+Thesis!I64+Seg!I72</f>
        <v>27.187499999905</v>
      </c>
      <c r="J90" s="21" t="n">
        <f aca="false">da_base*1*sh_cloud+Thesis!J64+Seg!J72</f>
        <v>38.7863545088507</v>
      </c>
      <c r="K90" s="21" t="n">
        <f aca="false">da_base*1*sh_cloud+Thesis!K64+Seg!K72</f>
        <v>52.1095560963161</v>
      </c>
      <c r="L90" s="21" t="n">
        <f aca="false">da_base*1*sh_cloud+Thesis!L64+Seg!L72</f>
        <v>67.4918102836469</v>
      </c>
      <c r="M90" s="21" t="n">
        <f aca="false">da_base*1*sh_cloud+Thesis!M64+Seg!M72</f>
        <v>83.3898125469984</v>
      </c>
    </row>
    <row r="91" customFormat="false" ht="17.15" hidden="false" customHeight="false" outlineLevel="0" collapsed="false">
      <c r="A91" s="5" t="s">
        <v>865</v>
      </c>
      <c r="B91" s="7" t="s">
        <v>76</v>
      </c>
      <c r="C91" s="21" t="n">
        <f aca="false">Q!J19</f>
        <v>6.112</v>
      </c>
      <c r="D91" s="21" t="n">
        <f aca="false">Q!K19</f>
        <v>13.91</v>
      </c>
      <c r="E91" s="21" t="n">
        <f aca="false">Q!L19</f>
        <v>15.412</v>
      </c>
      <c r="F91" s="21" t="n">
        <f aca="false">F89-F90</f>
        <v>18.3592934335392</v>
      </c>
      <c r="G91" s="21" t="n">
        <f aca="false">E91+F91</f>
        <v>33.7712934335392</v>
      </c>
      <c r="H91" s="21" t="n">
        <f aca="false">H89-H90</f>
        <v>49.0557903606651</v>
      </c>
      <c r="I91" s="21" t="n">
        <f aca="false">I89-I90</f>
        <v>62.0752271786245</v>
      </c>
      <c r="J91" s="21" t="n">
        <f aca="false">J89-J90</f>
        <v>72.8611643272856</v>
      </c>
      <c r="K91" s="21" t="n">
        <f aca="false">K89-K90</f>
        <v>78.8197012867762</v>
      </c>
      <c r="L91" s="21" t="n">
        <f aca="false">L89-L90</f>
        <v>83.0049294812816</v>
      </c>
      <c r="M91" s="21" t="n">
        <f aca="false">M89-M90</f>
        <v>86.9830129414371</v>
      </c>
    </row>
    <row r="92" customFormat="false" ht="17.15" hidden="false" customHeight="false" outlineLevel="0" collapsed="false">
      <c r="A92" s="0" t="s">
        <v>866</v>
      </c>
      <c r="B92" s="0" t="s">
        <v>76</v>
      </c>
      <c r="F92" s="21" t="n">
        <f aca="false">da_base*0.5*sh_ob+Seg!F73</f>
        <v>0.0491096172809072</v>
      </c>
      <c r="H92" s="21" t="n">
        <f aca="false">da_base*1*sh_ob+Seg!H73</f>
        <v>0.102869234561814</v>
      </c>
      <c r="I92" s="21" t="n">
        <f aca="false">da_base*1*sh_ob+Seg!I73</f>
        <v>0.112769234561814</v>
      </c>
      <c r="J92" s="21" t="n">
        <f aca="false">da_base*1*sh_ob+Seg!J73</f>
        <v>0.123869234561814</v>
      </c>
      <c r="K92" s="21" t="n">
        <f aca="false">da_base*1*sh_ob+Seg!K73</f>
        <v>0.136169234561814</v>
      </c>
      <c r="L92" s="21" t="n">
        <f aca="false">da_base*1*sh_ob+Seg!L73</f>
        <v>0.149669234561814</v>
      </c>
      <c r="M92" s="21" t="n">
        <f aca="false">da_base*1*sh_ob+Seg!M73</f>
        <v>0.164369234561814</v>
      </c>
    </row>
    <row r="93" customFormat="false" ht="17.15" hidden="false" customHeight="false" outlineLevel="0" collapsed="false">
      <c r="A93" s="5" t="s">
        <v>867</v>
      </c>
      <c r="B93" s="7" t="s">
        <v>76</v>
      </c>
      <c r="C93" s="21" t="n">
        <f aca="false">Q!J20</f>
        <v>-4.444</v>
      </c>
      <c r="D93" s="21" t="n">
        <f aca="false">Q!K20</f>
        <v>-7.515</v>
      </c>
      <c r="E93" s="21" t="n">
        <f aca="false">Q!L20</f>
        <v>-3.899</v>
      </c>
      <c r="F93" s="21" t="n">
        <f aca="false">ob_oi*0.5</f>
        <v>-4.5</v>
      </c>
      <c r="G93" s="21" t="n">
        <f aca="false">E93+F93</f>
        <v>-8.399</v>
      </c>
      <c r="H93" s="21" t="n">
        <f aca="false">ob_oi*1</f>
        <v>-9</v>
      </c>
      <c r="I93" s="21" t="n">
        <f aca="false">ob_oi*1</f>
        <v>-9</v>
      </c>
      <c r="J93" s="21" t="n">
        <f aca="false">ob_oi*1</f>
        <v>-9</v>
      </c>
      <c r="K93" s="21" t="n">
        <f aca="false">ob_oi*1</f>
        <v>-9</v>
      </c>
      <c r="L93" s="21" t="n">
        <f aca="false">ob_oi*1</f>
        <v>-9</v>
      </c>
      <c r="M93" s="21" t="n">
        <f aca="false">ob_oi*1</f>
        <v>-9</v>
      </c>
    </row>
    <row r="94" customFormat="false" ht="15" hidden="false" customHeight="false" outlineLevel="0" collapsed="false">
      <c r="A94" s="0" t="s">
        <v>868</v>
      </c>
      <c r="B94" s="0" t="s">
        <v>76</v>
      </c>
      <c r="F94" s="21" t="n">
        <f aca="false">F93+F92</f>
        <v>-4.45089038271909</v>
      </c>
      <c r="H94" s="21" t="n">
        <f aca="false">H93+H92</f>
        <v>-8.89713076543819</v>
      </c>
      <c r="I94" s="21" t="n">
        <f aca="false">I93+I92</f>
        <v>-8.88723076543819</v>
      </c>
      <c r="J94" s="21" t="n">
        <f aca="false">J93+J92</f>
        <v>-8.87613076543819</v>
      </c>
      <c r="K94" s="21" t="n">
        <f aca="false">K93+K92</f>
        <v>-8.86383076543819</v>
      </c>
      <c r="L94" s="21" t="n">
        <f aca="false">L93+L92</f>
        <v>-8.85033076543819</v>
      </c>
      <c r="M94" s="21" t="n">
        <f aca="false">M93+M92</f>
        <v>-8.83563076543819</v>
      </c>
    </row>
    <row r="95" customFormat="false" ht="17.15" hidden="false" customHeight="false" outlineLevel="0" collapsed="false">
      <c r="A95" s="0" t="s">
        <v>869</v>
      </c>
      <c r="B95" s="0" t="s">
        <v>76</v>
      </c>
      <c r="F95" s="21" t="n">
        <f aca="false">Thesis!F65*(1-svc_sh)</f>
        <v>1.99534687326734</v>
      </c>
      <c r="H95" s="21" t="n">
        <f aca="false">Thesis!H65*(1-svc_sh)</f>
        <v>9.83243000817972</v>
      </c>
      <c r="I95" s="21" t="n">
        <f aca="false">Thesis!I65*(1-svc_sh)</f>
        <v>17.3663952776831</v>
      </c>
      <c r="J95" s="21" t="n">
        <f aca="false">Thesis!J65*(1-svc_sh)</f>
        <v>25.5689438614203</v>
      </c>
      <c r="K95" s="21" t="n">
        <f aca="false">Thesis!K65*(1-svc_sh)</f>
        <v>34.9905431283575</v>
      </c>
      <c r="L95" s="21" t="n">
        <f aca="false">Thesis!L65*(1-svc_sh)</f>
        <v>46.0928537113267</v>
      </c>
      <c r="M95" s="21" t="n">
        <f aca="false">Thesis!M65*(1-svc_sh)</f>
        <v>57.4161723658987</v>
      </c>
    </row>
    <row r="96" customFormat="false" ht="17.15" hidden="false" customHeight="false" outlineLevel="0" collapsed="false">
      <c r="A96" s="5" t="s">
        <v>870</v>
      </c>
      <c r="B96" s="7" t="s">
        <v>76</v>
      </c>
      <c r="C96" s="21" t="n">
        <f aca="false">Q!J21</f>
        <v>-10.541</v>
      </c>
      <c r="D96" s="21" t="n">
        <f aca="false">Q!K21</f>
        <v>-16.76</v>
      </c>
      <c r="E96" s="21" t="n">
        <f aca="false">Q!L21</f>
        <v>-11.18</v>
      </c>
      <c r="F96" s="21" t="n">
        <f aca="false">F79-abc_rate*F80-Thesis!F72</f>
        <v>-16.2922598465888</v>
      </c>
      <c r="G96" s="21" t="n">
        <f aca="false">E96+F96</f>
        <v>-27.4722598465888</v>
      </c>
      <c r="H96" s="21" t="n">
        <f aca="false">H79-abc_rate*H80-Thesis!H72</f>
        <v>-45.8282393874721</v>
      </c>
      <c r="I96" s="21" t="n">
        <f aca="false">I79-abc_rate*I80-Thesis!I72</f>
        <v>-60.5001125602868</v>
      </c>
      <c r="J96" s="21" t="n">
        <f aca="false">J79-abc_rate*J80-Thesis!J72</f>
        <v>-73.3036426266127</v>
      </c>
      <c r="K96" s="21" t="n">
        <f aca="false">K79-abc_rate*K80-Thesis!K72</f>
        <v>-86.5414568811153</v>
      </c>
      <c r="L96" s="21" t="n">
        <f aca="false">L79-abc_rate*L80-Thesis!L72</f>
        <v>-103.891360264234</v>
      </c>
      <c r="M96" s="21" t="n">
        <f aca="false">M79-abc_rate*M80-Thesis!M72</f>
        <v>-121.704327360775</v>
      </c>
    </row>
    <row r="97" customFormat="false" ht="15" hidden="false" customHeight="false" outlineLevel="0" collapsed="false">
      <c r="A97" s="0" t="s">
        <v>871</v>
      </c>
      <c r="B97" s="0" t="s">
        <v>76</v>
      </c>
      <c r="F97" s="21" t="n">
        <f aca="false">F96+F95</f>
        <v>-14.2969129733215</v>
      </c>
      <c r="H97" s="21" t="n">
        <f aca="false">H96+H95</f>
        <v>-35.9958093792924</v>
      </c>
      <c r="I97" s="21" t="n">
        <f aca="false">I96+I95</f>
        <v>-43.1337172826037</v>
      </c>
      <c r="J97" s="21" t="n">
        <f aca="false">J96+J95</f>
        <v>-47.7346987651924</v>
      </c>
      <c r="K97" s="21" t="n">
        <f aca="false">K96+K95</f>
        <v>-51.5509137527578</v>
      </c>
      <c r="L97" s="21" t="n">
        <f aca="false">L96+L95</f>
        <v>-57.7985065529073</v>
      </c>
      <c r="M97" s="21" t="n">
        <f aca="false">M96+M95</f>
        <v>-64.288154994876</v>
      </c>
    </row>
    <row r="98" customFormat="false" ht="15" hidden="false" customHeight="false" outlineLevel="0" collapsed="false">
      <c r="A98" s="4" t="s">
        <v>872</v>
      </c>
      <c r="B98" s="0" t="s">
        <v>76</v>
      </c>
      <c r="C98" s="21" t="n">
        <f aca="false">C88+C91+C93+C96</f>
        <v>112.39</v>
      </c>
      <c r="D98" s="21" t="n">
        <f aca="false">D88+D91+D93+D96</f>
        <v>129.039</v>
      </c>
      <c r="E98" s="21" t="n">
        <f aca="false">E88+E91+E93+E96</f>
        <v>80.466</v>
      </c>
      <c r="F98" s="21" t="n">
        <f aca="false">F88+F91+F93+F96</f>
        <v>84.2498925897347</v>
      </c>
      <c r="G98" s="21" t="n">
        <f aca="false">G88+G91+G93+G96</f>
        <v>164.715892589735</v>
      </c>
      <c r="H98" s="21" t="n">
        <f aca="false">H88+H91+H93+H96</f>
        <v>164.461039521629</v>
      </c>
      <c r="I98" s="21" t="n">
        <f aca="false">I88+I91+I93+I96</f>
        <v>170.450045482744</v>
      </c>
      <c r="J98" s="21" t="n">
        <f aca="false">J88+J91+J93+J96</f>
        <v>176.601420078611</v>
      </c>
      <c r="K98" s="21" t="n">
        <f aca="false">K88+K91+K93+K96</f>
        <v>172.786887355392</v>
      </c>
      <c r="L98" s="21" t="n">
        <f aca="false">L88+L91+L93+L96</f>
        <v>158.775179039706</v>
      </c>
      <c r="M98" s="21" t="n">
        <f aca="false">M88+M91+M93+M96</f>
        <v>145.411977860881</v>
      </c>
    </row>
    <row r="99" customFormat="false" ht="17.15" hidden="false" customHeight="false" outlineLevel="0" collapsed="false">
      <c r="A99" s="4" t="s">
        <v>873</v>
      </c>
      <c r="B99" s="0" t="s">
        <v>76</v>
      </c>
      <c r="F99" s="21" t="n">
        <f aca="false">F86+F89+F94+F97</f>
        <v>106.112111419905</v>
      </c>
      <c r="H99" s="21" t="n">
        <f aca="false">H86+H89+H94+H97</f>
        <v>231.305483480977</v>
      </c>
      <c r="I99" s="21" t="n">
        <f aca="false">I86+I89+I94+I97</f>
        <v>269.225154468158</v>
      </c>
      <c r="J99" s="21" t="n">
        <f aca="false">J86+J89+J94+J97</f>
        <v>310.548565077687</v>
      </c>
      <c r="K99" s="21" t="n">
        <f aca="false">K86+K89+K94+K97</f>
        <v>346.961210160635</v>
      </c>
      <c r="L99" s="21" t="n">
        <f aca="false">L86+L89+L94+L97</f>
        <v>379.702480116652</v>
      </c>
      <c r="M99" s="21" t="n">
        <f aca="false">M86+M89+M94+M97</f>
        <v>414.447624922133</v>
      </c>
    </row>
    <row r="100" customFormat="false" ht="17.15" hidden="false" customHeight="false" outlineLevel="0" collapsed="false">
      <c r="A100" s="4" t="s">
        <v>874</v>
      </c>
      <c r="B100" s="0" t="s">
        <v>76</v>
      </c>
      <c r="C100" s="21" t="n">
        <f aca="false">Q!J43</f>
        <v>15.311</v>
      </c>
      <c r="D100" s="21" t="n">
        <f aca="false">Q!K43</f>
        <v>21.136</v>
      </c>
      <c r="E100" s="21" t="n">
        <f aca="false">Q!L43</f>
        <v>13.586</v>
      </c>
      <c r="F100" s="21" t="n">
        <f aca="false">da_base*0.5+Thesis!F63+Seg!F74</f>
        <v>21.8622188301703</v>
      </c>
      <c r="G100" s="21" t="n">
        <f aca="false">E100+F100</f>
        <v>35.4482188301703</v>
      </c>
      <c r="H100" s="21" t="n">
        <f aca="false">da_base*1+Thesis!H63+Seg!H74</f>
        <v>66.8444439593472</v>
      </c>
      <c r="I100" s="21" t="n">
        <f aca="false">da_base*1+Thesis!I63+Seg!I74</f>
        <v>98.775108985414</v>
      </c>
      <c r="J100" s="21" t="n">
        <f aca="false">da_base*1+Thesis!J63+Seg!J74</f>
        <v>133.947144999075</v>
      </c>
      <c r="K100" s="21" t="n">
        <f aca="false">da_base*1+Thesis!K63+Seg!K74</f>
        <v>174.174322805244</v>
      </c>
      <c r="L100" s="21" t="n">
        <f aca="false">da_base*1+Thesis!L63+Seg!L74</f>
        <v>220.927301076945</v>
      </c>
      <c r="M100" s="21" t="n">
        <f aca="false">da_base*1+Thesis!M63+Seg!M74</f>
        <v>269.035647061252</v>
      </c>
      <c r="N100" s="7" t="s">
        <v>875</v>
      </c>
    </row>
    <row r="101" customFormat="false" ht="17.15" hidden="false" customHeight="false" outlineLevel="0" collapsed="false">
      <c r="A101" s="4" t="s">
        <v>876</v>
      </c>
      <c r="B101" s="0" t="s">
        <v>76</v>
      </c>
      <c r="F101" s="21" t="n">
        <f aca="false">Thesis!F63</f>
        <v>7.12623883309764</v>
      </c>
      <c r="G101" s="21" t="n">
        <f aca="false">F101</f>
        <v>7.12623883309764</v>
      </c>
      <c r="H101" s="21" t="n">
        <f aca="false">Thesis!H63</f>
        <v>35.1158214577847</v>
      </c>
      <c r="I101" s="21" t="n">
        <f aca="false">Thesis!I63</f>
        <v>62.0228402774397</v>
      </c>
      <c r="J101" s="21" t="n">
        <f aca="false">Thesis!J63</f>
        <v>91.3176566479297</v>
      </c>
      <c r="K101" s="21" t="n">
        <f aca="false">Thesis!K63</f>
        <v>124.96622545842</v>
      </c>
      <c r="L101" s="21" t="n">
        <f aca="false">Thesis!L63</f>
        <v>164.61733468331</v>
      </c>
      <c r="M101" s="21" t="n">
        <f aca="false">Thesis!M63</f>
        <v>205.057758449638</v>
      </c>
    </row>
    <row r="102" customFormat="false" ht="17.15" hidden="false" customHeight="false" outlineLevel="0" collapsed="false">
      <c r="A102" s="24" t="s">
        <v>659</v>
      </c>
      <c r="B102" s="26" t="s">
        <v>76</v>
      </c>
      <c r="C102" s="27" t="n">
        <f aca="false">Q!J22</f>
        <v>112.39</v>
      </c>
      <c r="D102" s="27" t="n">
        <f aca="false">Q!K22</f>
        <v>129.039</v>
      </c>
      <c r="E102" s="27" t="n">
        <f aca="false">Q!L22</f>
        <v>80.466</v>
      </c>
      <c r="F102" s="27" t="n">
        <f aca="false">F99-F100</f>
        <v>84.2498925897347</v>
      </c>
      <c r="G102" s="27" t="n">
        <f aca="false">E102+F102</f>
        <v>164.715892589735</v>
      </c>
      <c r="H102" s="27" t="n">
        <f aca="false">H99-H100</f>
        <v>164.461039521629</v>
      </c>
      <c r="I102" s="27" t="n">
        <f aca="false">I99-I100</f>
        <v>170.450045482744</v>
      </c>
      <c r="J102" s="27" t="n">
        <f aca="false">J99-J100</f>
        <v>176.601420078611</v>
      </c>
      <c r="K102" s="27" t="n">
        <f aca="false">K99-K100</f>
        <v>172.786887355392</v>
      </c>
      <c r="L102" s="27" t="n">
        <f aca="false">L99-L100</f>
        <v>158.775179039706</v>
      </c>
      <c r="M102" s="27" t="n">
        <f aca="false">M99-M100</f>
        <v>145.411977860881</v>
      </c>
      <c r="N102" s="28" t="s">
        <v>877</v>
      </c>
    </row>
    <row r="103" customFormat="false" ht="15" hidden="false" customHeight="false" outlineLevel="0" collapsed="false">
      <c r="A103" s="4" t="s">
        <v>660</v>
      </c>
      <c r="B103" s="0" t="s">
        <v>76</v>
      </c>
      <c r="C103" s="16" t="n">
        <f aca="false">C98-C102</f>
        <v>0</v>
      </c>
      <c r="D103" s="16" t="n">
        <f aca="false">D98-D102</f>
        <v>0</v>
      </c>
      <c r="E103" s="16" t="n">
        <f aca="false">E98-E102</f>
        <v>0</v>
      </c>
      <c r="F103" s="16" t="n">
        <f aca="false">F98-F102</f>
        <v>0</v>
      </c>
      <c r="G103" s="16" t="n">
        <f aca="false">G98-G102</f>
        <v>0</v>
      </c>
      <c r="H103" s="16" t="n">
        <f aca="false">H98-H102</f>
        <v>0</v>
      </c>
      <c r="I103" s="16" t="n">
        <f aca="false">I98-I102</f>
        <v>0</v>
      </c>
      <c r="J103" s="16" t="n">
        <f aca="false">J98-J102</f>
        <v>0</v>
      </c>
      <c r="K103" s="16" t="n">
        <f aca="false">K98-K102</f>
        <v>0</v>
      </c>
      <c r="L103" s="16" t="n">
        <f aca="false">L98-L102</f>
        <v>0</v>
      </c>
      <c r="M103" s="16" t="n">
        <f aca="false">M98-M102</f>
        <v>0</v>
      </c>
    </row>
    <row r="104" customFormat="false" ht="15" hidden="false" customHeight="false" outlineLevel="0" collapsed="false">
      <c r="A104" s="4" t="s">
        <v>878</v>
      </c>
      <c r="B104" s="0" t="s">
        <v>99</v>
      </c>
      <c r="C104" s="19" t="n">
        <f aca="false">C102/C80</f>
        <v>0.321097772114577</v>
      </c>
      <c r="D104" s="19" t="n">
        <f aca="false">D102/D80</f>
        <v>0.3203263859238</v>
      </c>
      <c r="E104" s="19" t="n">
        <f aca="false">E102/E80</f>
        <v>0.350321299827595</v>
      </c>
      <c r="F104" s="19" t="n">
        <f aca="false">F102/F80</f>
        <v>0.31534303197402</v>
      </c>
      <c r="G104" s="19" t="n">
        <f aca="false">G102/G80</f>
        <v>0.331513002615575</v>
      </c>
      <c r="H104" s="19" t="n">
        <f aca="false">H102/H80</f>
        <v>0.271679868139545</v>
      </c>
      <c r="I104" s="19" t="n">
        <f aca="false">I102/I80</f>
        <v>0.24235162027053</v>
      </c>
      <c r="J104" s="19" t="n">
        <f aca="false">J102/J80</f>
        <v>0.222473941161759</v>
      </c>
      <c r="K104" s="19" t="n">
        <f aca="false">K102/K80</f>
        <v>0.199051870756624</v>
      </c>
      <c r="L104" s="19" t="n">
        <f aca="false">L102/L80</f>
        <v>0.167675975198628</v>
      </c>
      <c r="M104" s="19" t="n">
        <f aca="false">M102/M80</f>
        <v>0.141067750394984</v>
      </c>
    </row>
    <row r="105" customFormat="false" ht="17.15" hidden="false" customHeight="false" outlineLevel="0" collapsed="false">
      <c r="A105" s="0" t="s">
        <v>879</v>
      </c>
      <c r="B105" s="0" t="s">
        <v>99</v>
      </c>
      <c r="C105" s="19" t="n">
        <f aca="false">C88/C73</f>
        <v>0.397674876201095</v>
      </c>
      <c r="D105" s="19" t="n">
        <f aca="false">D88/D73</f>
        <v>0.406756516233321</v>
      </c>
      <c r="E105" s="19" t="n">
        <f aca="false">E88/E73</f>
        <v>0.435086900101533</v>
      </c>
      <c r="F105" s="19" t="n">
        <f aca="false">F88/F73</f>
        <v>0.412843499578728</v>
      </c>
      <c r="G105" s="19" t="n">
        <f aca="false">G88/G73</f>
        <v>0.423237515966416</v>
      </c>
      <c r="H105" s="19" t="n">
        <f aca="false">H88/H73</f>
        <v>0.381682978153091</v>
      </c>
      <c r="I105" s="19" t="n">
        <f aca="false">I88/I73</f>
        <v>0.357747281539575</v>
      </c>
      <c r="J105" s="19" t="n">
        <f aca="false">J88/J73</f>
        <v>0.341042669134346</v>
      </c>
      <c r="K105" s="19" t="n">
        <f aca="false">K88/K73</f>
        <v>0.321979493316465</v>
      </c>
      <c r="L105" s="19" t="n">
        <f aca="false">L88/L73</f>
        <v>0.296990703551293</v>
      </c>
      <c r="M105" s="19" t="n">
        <f aca="false">M88/M73</f>
        <v>0.27577194524952</v>
      </c>
    </row>
    <row r="106" customFormat="false" ht="17.15" hidden="false" customHeight="false" outlineLevel="0" collapsed="false">
      <c r="A106" s="0" t="s">
        <v>880</v>
      </c>
      <c r="B106" s="0" t="s">
        <v>99</v>
      </c>
      <c r="C106" s="19" t="n">
        <f aca="false">C91/C77</f>
        <v>0.141386569201231</v>
      </c>
      <c r="D106" s="19" t="n">
        <f aca="false">D91/D77</f>
        <v>0.236947449109957</v>
      </c>
      <c r="E106" s="19" t="n">
        <f aca="false">E91/E77</f>
        <v>0.344048575765693</v>
      </c>
      <c r="F106" s="19" t="n">
        <f aca="false">F91/F77</f>
        <v>0.325210256120808</v>
      </c>
      <c r="G106" s="19" t="n">
        <f aca="false">G91/G77</f>
        <v>0.333544918889945</v>
      </c>
      <c r="H106" s="19" t="n">
        <f aca="false">H91/H77</f>
        <v>0.310989281616584</v>
      </c>
      <c r="I106" s="19" t="n">
        <f aca="false">I91/I77</f>
        <v>0.303830426935535</v>
      </c>
      <c r="J106" s="19" t="n">
        <f aca="false">J91/J77</f>
        <v>0.295832207211872</v>
      </c>
      <c r="K106" s="19" t="n">
        <f aca="false">K91/K77</f>
        <v>0.284264511271575</v>
      </c>
      <c r="L106" s="19" t="n">
        <f aca="false">L91/L77</f>
        <v>0.268387657763078</v>
      </c>
      <c r="M106" s="19" t="n">
        <f aca="false">M91/M77</f>
        <v>0.254066567177993</v>
      </c>
    </row>
    <row r="107" customFormat="false" ht="17.15" hidden="false" customHeight="false" outlineLevel="0" collapsed="false">
      <c r="A107" s="4" t="s">
        <v>881</v>
      </c>
      <c r="B107" s="0" t="s">
        <v>76</v>
      </c>
      <c r="F107" s="21" t="n">
        <f aca="false">r_cash*CF!F62*0.5</f>
        <v>2.952809</v>
      </c>
      <c r="G107" s="21" t="n">
        <f aca="false">F107</f>
        <v>2.952809</v>
      </c>
      <c r="H107" s="21" t="n">
        <f aca="false">r_cash*CF!H62*1</f>
        <v>6.39956355321569</v>
      </c>
      <c r="I107" s="21" t="n">
        <f aca="false">r_cash*CF!I62*1</f>
        <v>5.25667111624998</v>
      </c>
      <c r="J107" s="21" t="n">
        <f aca="false">r_cash*CF!J62*1</f>
        <v>4.86575573271028</v>
      </c>
      <c r="K107" s="21" t="n">
        <f aca="false">r_cash*CF!K62*1</f>
        <v>5.0434886404764</v>
      </c>
      <c r="L107" s="21" t="n">
        <f aca="false">r_cash*CF!L62*1</f>
        <v>5.16044490397483</v>
      </c>
      <c r="M107" s="21" t="n">
        <f aca="false">r_cash*CF!M62*1</f>
        <v>5.08251637661287</v>
      </c>
    </row>
    <row r="108" customFormat="false" ht="17.15" hidden="false" customHeight="false" outlineLevel="0" collapsed="false">
      <c r="A108" s="4" t="s">
        <v>882</v>
      </c>
      <c r="B108" s="0" t="s">
        <v>76</v>
      </c>
      <c r="F108" s="21" t="n">
        <f aca="false">r_debt*CF!F69*0.5</f>
        <v>2.42604</v>
      </c>
      <c r="G108" s="21" t="n">
        <f aca="false">F108</f>
        <v>2.42604</v>
      </c>
      <c r="H108" s="21" t="n">
        <f aca="false">r_debt*CF!H69*1</f>
        <v>5.95608</v>
      </c>
      <c r="I108" s="21" t="n">
        <f aca="false">r_debt*CF!I69*1</f>
        <v>5.90808</v>
      </c>
      <c r="J108" s="21" t="n">
        <f aca="false">r_debt*CF!J69*1</f>
        <v>5.779632</v>
      </c>
      <c r="K108" s="21" t="n">
        <f aca="false">r_debt*CF!K69*1</f>
        <v>5.69496</v>
      </c>
      <c r="L108" s="21" t="n">
        <f aca="false">r_debt*CF!L69*1</f>
        <v>5.350032</v>
      </c>
      <c r="M108" s="21" t="n">
        <f aca="false">r_debt*CF!M69*1</f>
        <v>5.110032</v>
      </c>
    </row>
    <row r="109" customFormat="false" ht="17.15" hidden="false" customHeight="false" outlineLevel="0" collapsed="false">
      <c r="A109" s="4" t="s">
        <v>883</v>
      </c>
      <c r="B109" s="0" t="s">
        <v>76</v>
      </c>
      <c r="D109" s="21" t="n">
        <f aca="false">SUM(Q!D33:G33)</f>
        <v>24.08</v>
      </c>
      <c r="E109" s="21" t="n">
        <f aca="false">Q!L33</f>
        <v>135.946</v>
      </c>
      <c r="F109" s="23" t="n">
        <v>0</v>
      </c>
      <c r="G109" s="21" t="n">
        <f aca="false">E109+F109</f>
        <v>135.946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7" t="s">
        <v>884</v>
      </c>
    </row>
    <row r="110" customFormat="false" ht="15" hidden="false" customHeight="false" outlineLevel="0" collapsed="false">
      <c r="A110" s="4" t="s">
        <v>885</v>
      </c>
      <c r="B110" s="0" t="s">
        <v>76</v>
      </c>
      <c r="C110" s="21" t="n">
        <f aca="false">Q!J32</f>
        <v>7.425</v>
      </c>
      <c r="D110" s="21" t="n">
        <f aca="false">Q!K32</f>
        <v>29.787</v>
      </c>
      <c r="E110" s="21" t="n">
        <f aca="false">Q!L32</f>
        <v>135.699</v>
      </c>
      <c r="F110" s="21" t="n">
        <f aca="false">F107-F108+F109</f>
        <v>0.526769</v>
      </c>
      <c r="G110" s="21" t="n">
        <f aca="false">E110+F110</f>
        <v>136.225769</v>
      </c>
      <c r="H110" s="21" t="n">
        <f aca="false">H107-H108+H109</f>
        <v>0.443483553215692</v>
      </c>
      <c r="I110" s="21" t="n">
        <f aca="false">I107-I108+I109</f>
        <v>-0.651408883750017</v>
      </c>
      <c r="J110" s="21" t="n">
        <f aca="false">J107-J108+J109</f>
        <v>-0.913876267289719</v>
      </c>
      <c r="K110" s="21" t="n">
        <f aca="false">K107-K108+K109</f>
        <v>-0.651471359523596</v>
      </c>
      <c r="L110" s="21" t="n">
        <f aca="false">L107-L108+L109</f>
        <v>-0.189587096025174</v>
      </c>
      <c r="M110" s="21" t="n">
        <f aca="false">M107-M108+M109</f>
        <v>-0.0275156233871332</v>
      </c>
    </row>
    <row r="111" customFormat="false" ht="15" hidden="false" customHeight="false" outlineLevel="0" collapsed="false">
      <c r="A111" s="4" t="s">
        <v>670</v>
      </c>
      <c r="B111" s="0" t="s">
        <v>76</v>
      </c>
      <c r="C111" s="21" t="n">
        <f aca="false">C102+C110</f>
        <v>119.815</v>
      </c>
      <c r="D111" s="21" t="n">
        <f aca="false">D102+D110</f>
        <v>158.826</v>
      </c>
      <c r="E111" s="21" t="n">
        <f aca="false">E102+E110</f>
        <v>216.165</v>
      </c>
      <c r="F111" s="21" t="n">
        <f aca="false">F102+F110</f>
        <v>84.7766615897347</v>
      </c>
      <c r="G111" s="21" t="n">
        <f aca="false">G102+G110</f>
        <v>300.941661589735</v>
      </c>
      <c r="H111" s="21" t="n">
        <f aca="false">H102+H110</f>
        <v>164.904523074845</v>
      </c>
      <c r="I111" s="21" t="n">
        <f aca="false">I102+I110</f>
        <v>169.798636598994</v>
      </c>
      <c r="J111" s="21" t="n">
        <f aca="false">J102+J110</f>
        <v>175.687543811322</v>
      </c>
      <c r="K111" s="21" t="n">
        <f aca="false">K102+K110</f>
        <v>172.135415995868</v>
      </c>
      <c r="L111" s="21" t="n">
        <f aca="false">L102+L110</f>
        <v>158.585591943681</v>
      </c>
      <c r="M111" s="21" t="n">
        <f aca="false">M102+M110</f>
        <v>145.384462237494</v>
      </c>
    </row>
    <row r="112" customFormat="false" ht="15" hidden="false" customHeight="false" outlineLevel="0" collapsed="false">
      <c r="A112" s="4" t="s">
        <v>672</v>
      </c>
      <c r="B112" s="0" t="s">
        <v>76</v>
      </c>
      <c r="C112" s="21" t="n">
        <f aca="false">Q!J36</f>
        <v>19.697</v>
      </c>
      <c r="D112" s="21" t="n">
        <f aca="false">Q!K36</f>
        <v>26.656</v>
      </c>
      <c r="E112" s="21" t="n">
        <f aca="false">Q!L36</f>
        <v>41.394</v>
      </c>
      <c r="F112" s="21" t="n">
        <f aca="false">F111*tax</f>
        <v>14.2424791470754</v>
      </c>
      <c r="G112" s="21" t="n">
        <f aca="false">E112+F112</f>
        <v>55.6364791470754</v>
      </c>
      <c r="H112" s="21" t="n">
        <f aca="false">H111*tax</f>
        <v>27.703959876574</v>
      </c>
      <c r="I112" s="21" t="n">
        <f aca="false">I111*tax</f>
        <v>28.5261709486309</v>
      </c>
      <c r="J112" s="21" t="n">
        <f aca="false">J111*tax</f>
        <v>29.515507360302</v>
      </c>
      <c r="K112" s="21" t="n">
        <f aca="false">K111*tax</f>
        <v>28.9187498873058</v>
      </c>
      <c r="L112" s="21" t="n">
        <f aca="false">L111*tax</f>
        <v>26.6423794465384</v>
      </c>
      <c r="M112" s="21" t="n">
        <f aca="false">M111*tax</f>
        <v>24.424589655899</v>
      </c>
    </row>
    <row r="113" customFormat="false" ht="15" hidden="false" customHeight="false" outlineLevel="0" collapsed="false">
      <c r="A113" s="2" t="s">
        <v>673</v>
      </c>
      <c r="B113" s="7" t="s">
        <v>76</v>
      </c>
      <c r="C113" s="21" t="n">
        <f aca="false">C111-C112</f>
        <v>100.118</v>
      </c>
      <c r="D113" s="21" t="n">
        <f aca="false">D111-D112</f>
        <v>132.17</v>
      </c>
      <c r="E113" s="21" t="n">
        <f aca="false">E111-E112</f>
        <v>174.771</v>
      </c>
      <c r="F113" s="21" t="n">
        <f aca="false">F111-F112</f>
        <v>70.5341824426593</v>
      </c>
      <c r="G113" s="21" t="n">
        <f aca="false">G111-G112</f>
        <v>245.305182442659</v>
      </c>
      <c r="H113" s="21" t="n">
        <f aca="false">H111-H112</f>
        <v>137.200563198271</v>
      </c>
      <c r="I113" s="21" t="n">
        <f aca="false">I111-I112</f>
        <v>141.272465650363</v>
      </c>
      <c r="J113" s="21" t="n">
        <f aca="false">J111-J112</f>
        <v>146.17203645102</v>
      </c>
      <c r="K113" s="21" t="n">
        <f aca="false">K111-K112</f>
        <v>143.216666108562</v>
      </c>
      <c r="L113" s="21" t="n">
        <f aca="false">L111-L112</f>
        <v>131.943212497143</v>
      </c>
      <c r="M113" s="21" t="n">
        <f aca="false">M111-M112</f>
        <v>120.959872581595</v>
      </c>
    </row>
    <row r="114" customFormat="false" ht="17.15" hidden="false" customHeight="false" outlineLevel="0" collapsed="false">
      <c r="A114" s="4" t="s">
        <v>886</v>
      </c>
      <c r="B114" s="0" t="s">
        <v>76</v>
      </c>
      <c r="C114" s="16" t="n">
        <f aca="false">C113-Q!J37</f>
        <v>0</v>
      </c>
      <c r="D114" s="16" t="n">
        <f aca="false">D113-Q!K37</f>
        <v>0</v>
      </c>
      <c r="E114" s="16" t="n">
        <f aca="false">E113-Q!L37</f>
        <v>0</v>
      </c>
    </row>
    <row r="115" customFormat="false" ht="15" hidden="false" customHeight="false" outlineLevel="0" collapsed="false">
      <c r="A115" s="4" t="s">
        <v>887</v>
      </c>
      <c r="B115" s="0" t="s">
        <v>76</v>
      </c>
      <c r="E115" s="23" t="n">
        <v>0</v>
      </c>
      <c r="F115" s="21" t="n">
        <f aca="false">pref_2H</f>
        <v>0.535</v>
      </c>
      <c r="G115" s="21" t="n">
        <f aca="false">E115+F115</f>
        <v>0.535</v>
      </c>
      <c r="H115" s="21" t="n">
        <f aca="false">pref_27</f>
        <v>1.203</v>
      </c>
      <c r="I115" s="21" t="n">
        <f aca="false">pref_28</f>
        <v>1.203</v>
      </c>
      <c r="J115" s="21" t="n">
        <f aca="false">pref_29</f>
        <v>0.602</v>
      </c>
      <c r="K115" s="23" t="n">
        <v>0</v>
      </c>
      <c r="L115" s="23" t="n">
        <v>0</v>
      </c>
      <c r="M115" s="23" t="n">
        <v>0</v>
      </c>
    </row>
    <row r="116" customFormat="false" ht="15" hidden="false" customHeight="false" outlineLevel="0" collapsed="false">
      <c r="A116" s="4" t="s">
        <v>888</v>
      </c>
      <c r="B116" s="0" t="s">
        <v>76</v>
      </c>
      <c r="E116" s="21" t="n">
        <f aca="false">E113-E115</f>
        <v>174.771</v>
      </c>
      <c r="F116" s="21" t="n">
        <f aca="false">F113-F115</f>
        <v>69.9991824426593</v>
      </c>
      <c r="G116" s="21" t="n">
        <f aca="false">G113-G115</f>
        <v>244.770182442659</v>
      </c>
      <c r="H116" s="21" t="n">
        <f aca="false">H113-H115</f>
        <v>135.997563198271</v>
      </c>
      <c r="I116" s="21" t="n">
        <f aca="false">I113-I115</f>
        <v>140.069465650363</v>
      </c>
      <c r="J116" s="21" t="n">
        <f aca="false">J113-J115</f>
        <v>145.57003645102</v>
      </c>
      <c r="K116" s="21" t="n">
        <f aca="false">K113-K115</f>
        <v>143.216666108562</v>
      </c>
      <c r="L116" s="21" t="n">
        <f aca="false">L113-L115</f>
        <v>131.943212497143</v>
      </c>
      <c r="M116" s="21" t="n">
        <f aca="false">M113-M115</f>
        <v>120.959872581595</v>
      </c>
    </row>
    <row r="117" customFormat="false" ht="17.15" hidden="false" customHeight="false" outlineLevel="0" collapsed="false">
      <c r="A117" s="4" t="s">
        <v>889</v>
      </c>
      <c r="B117" s="4" t="s">
        <v>60</v>
      </c>
      <c r="E117" s="16" t="n">
        <f aca="false">sh_dil_q2+(sh_out-sh_basic_q2)</f>
        <v>12.388</v>
      </c>
      <c r="F117" s="16" t="n">
        <f aca="false">E117*(1+dil*0.5)-CF!F65/CF!F72</f>
        <v>12.44994</v>
      </c>
      <c r="H117" s="16" t="n">
        <f aca="false">F117*(1+dil*1)-CF!H65/CF!H72</f>
        <v>12.5246650721624</v>
      </c>
      <c r="I117" s="16" t="n">
        <f aca="false">H117*(1+dil*1)-CF!I65/CF!I72</f>
        <v>12.6053598741363</v>
      </c>
      <c r="J117" s="16" t="n">
        <f aca="false">I117*(1+dil*1)-CF!J65/CF!J72+conv_sh</f>
        <v>12.7461361442812</v>
      </c>
      <c r="K117" s="16" t="n">
        <f aca="false">J117*(1+dil*1)-CF!K65/CF!K72</f>
        <v>12.8379042319166</v>
      </c>
      <c r="L117" s="16" t="n">
        <f aca="false">K117*(1+dil*1)-CF!L65/CF!L72</f>
        <v>12.9343350510237</v>
      </c>
      <c r="M117" s="16" t="n">
        <f aca="false">L117*(1+dil*1)-CF!M65/CF!M72</f>
        <v>13.0350822864253</v>
      </c>
      <c r="N117" s="7" t="s">
        <v>890</v>
      </c>
    </row>
    <row r="118" customFormat="false" ht="15" hidden="false" customHeight="false" outlineLevel="0" collapsed="false">
      <c r="A118" s="4" t="s">
        <v>891</v>
      </c>
      <c r="B118" s="4" t="s">
        <v>60</v>
      </c>
      <c r="C118" s="16" t="n">
        <f aca="false">Q!J39</f>
        <v>12.447</v>
      </c>
      <c r="D118" s="16" t="n">
        <f aca="false">Q!K39</f>
        <v>12.23</v>
      </c>
      <c r="E118" s="16" t="n">
        <f aca="false">Q!L39</f>
        <v>12.2735</v>
      </c>
      <c r="F118" s="16" t="n">
        <f aca="false">E117*(1+dil*0.25)</f>
        <v>12.41897</v>
      </c>
      <c r="G118" s="16" t="n">
        <f aca="false">(E118+F118)/2</f>
        <v>12.346235</v>
      </c>
      <c r="H118" s="16" t="n">
        <f aca="false">(F117+H117)/2</f>
        <v>12.4873025360812</v>
      </c>
      <c r="I118" s="16" t="n">
        <f aca="false">(H117+I117)/2</f>
        <v>12.5650124731493</v>
      </c>
      <c r="J118" s="16" t="n">
        <f aca="false">(I117+J117)/2</f>
        <v>12.6757480092088</v>
      </c>
      <c r="K118" s="16" t="n">
        <f aca="false">(J117+K117)/2</f>
        <v>12.7920201880989</v>
      </c>
      <c r="L118" s="16" t="n">
        <f aca="false">(K117+L117)/2</f>
        <v>12.8861196414702</v>
      </c>
      <c r="M118" s="16" t="n">
        <f aca="false">(L117+M117)/2</f>
        <v>12.9847086687245</v>
      </c>
    </row>
    <row r="119" customFormat="false" ht="17.15" hidden="false" customHeight="false" outlineLevel="0" collapsed="false">
      <c r="A119" s="5" t="s">
        <v>892</v>
      </c>
      <c r="B119" s="7" t="s">
        <v>54</v>
      </c>
      <c r="C119" s="18" t="n">
        <f aca="false">C113/C118</f>
        <v>8.04354462922793</v>
      </c>
      <c r="D119" s="18" t="n">
        <f aca="false">D113/D118</f>
        <v>10.807031888798</v>
      </c>
      <c r="E119" s="18" t="n">
        <f aca="false">E116/E118</f>
        <v>14.2397034260806</v>
      </c>
      <c r="F119" s="18" t="n">
        <f aca="false">F116/F118</f>
        <v>5.63647246451672</v>
      </c>
      <c r="G119" s="18" t="n">
        <f aca="false">G116/G118</f>
        <v>19.825491936826</v>
      </c>
      <c r="H119" s="18" t="n">
        <f aca="false">H116/H118</f>
        <v>10.8908679681073</v>
      </c>
      <c r="I119" s="18" t="n">
        <f aca="false">I116/I118</f>
        <v>11.1475787190568</v>
      </c>
      <c r="J119" s="18" t="n">
        <f aca="false">J116/J118</f>
        <v>11.4841377680643</v>
      </c>
      <c r="K119" s="18" t="n">
        <f aca="false">K116/K118</f>
        <v>11.1957817453888</v>
      </c>
      <c r="L119" s="18" t="n">
        <f aca="false">L116/L118</f>
        <v>10.239173325112</v>
      </c>
      <c r="M119" s="18" t="n">
        <f aca="false">M116/M118</f>
        <v>9.31556307250417</v>
      </c>
    </row>
    <row r="120" customFormat="false" ht="17.15" hidden="false" customHeight="false" outlineLevel="0" collapsed="false">
      <c r="A120" s="0" t="s">
        <v>893</v>
      </c>
      <c r="B120" s="0" t="s">
        <v>54</v>
      </c>
      <c r="E120" s="18" t="n">
        <f aca="false">(E116-E109*(1-tax_eq))/E118</f>
        <v>5.48936000325906</v>
      </c>
      <c r="F120" s="18" t="n">
        <f aca="false">(F116-F109*(1-tax_eq))/F118</f>
        <v>5.63647246451672</v>
      </c>
      <c r="G120" s="18" t="n">
        <f aca="false">(G116-G109*(1-tax_eq))/G118</f>
        <v>11.1266991469593</v>
      </c>
      <c r="H120" s="18" t="n">
        <f aca="false">(H116-H109*(1-tax_eq))/H118</f>
        <v>10.8908679681073</v>
      </c>
      <c r="I120" s="18" t="n">
        <f aca="false">(I116-I109*(1-tax_eq))/I118</f>
        <v>11.1475787190568</v>
      </c>
      <c r="J120" s="18" t="n">
        <f aca="false">(J116-J109*(1-tax_eq))/J118</f>
        <v>11.4841377680643</v>
      </c>
      <c r="K120" s="18" t="n">
        <f aca="false">(K116-K109*(1-tax_eq))/K118</f>
        <v>11.1957817453888</v>
      </c>
      <c r="L120" s="18" t="n">
        <f aca="false">(L116-L109*(1-tax_eq))/L118</f>
        <v>10.239173325112</v>
      </c>
      <c r="M120" s="18" t="n">
        <f aca="false">(M116-M109*(1-tax_eq))/M118</f>
        <v>9.31556307250417</v>
      </c>
      <c r="N120" s="4" t="s">
        <v>894</v>
      </c>
    </row>
    <row r="121" customFormat="false" ht="15" hidden="false" customHeight="false" outlineLevel="0" collapsed="false">
      <c r="A121" s="4" t="s">
        <v>895</v>
      </c>
      <c r="B121" s="0" t="s">
        <v>76</v>
      </c>
      <c r="C121" s="21" t="n">
        <f aca="false">Q!J44</f>
        <v>22.785</v>
      </c>
      <c r="D121" s="21" t="n">
        <f aca="false">Q!K44</f>
        <v>24.953</v>
      </c>
      <c r="E121" s="21" t="n">
        <f aca="false">Q!L44</f>
        <v>14.708</v>
      </c>
      <c r="F121" s="21" t="n">
        <f aca="false">F80*sbc_r</f>
        <v>16.8583659170571</v>
      </c>
      <c r="G121" s="21" t="n">
        <f aca="false">E121+F121</f>
        <v>31.5663659170571</v>
      </c>
      <c r="H121" s="21" t="n">
        <f aca="false">H80*sbc_r</f>
        <v>38.1974993763047</v>
      </c>
      <c r="I121" s="21" t="n">
        <f aca="false">I80*sbc_r</f>
        <v>44.3793107632422</v>
      </c>
      <c r="J121" s="21" t="n">
        <f aca="false">J80*sbc_r</f>
        <v>50.0892353898564</v>
      </c>
      <c r="K121" s="21" t="n">
        <f aca="false">K80*sbc_r</f>
        <v>54.7739267693489</v>
      </c>
      <c r="L121" s="21" t="n">
        <f aca="false">L80*sbc_r</f>
        <v>59.750442993025</v>
      </c>
      <c r="M121" s="21" t="n">
        <f aca="false">M80*sbc_r</f>
        <v>65.0431851172971</v>
      </c>
    </row>
    <row r="123" customFormat="false" ht="17.15" hidden="false" customHeight="false" outlineLevel="0" collapsed="false">
      <c r="A123" s="24" t="s">
        <v>850</v>
      </c>
    </row>
    <row r="124" customFormat="false" ht="15" hidden="false" customHeight="false" outlineLevel="0" collapsed="false">
      <c r="A124" s="3" t="s">
        <v>43</v>
      </c>
      <c r="B124" s="3" t="s">
        <v>44</v>
      </c>
      <c r="C124" s="14" t="s">
        <v>746</v>
      </c>
      <c r="D124" s="14" t="s">
        <v>747</v>
      </c>
      <c r="E124" s="14" t="s">
        <v>748</v>
      </c>
      <c r="F124" s="14" t="s">
        <v>749</v>
      </c>
      <c r="G124" s="14" t="s">
        <v>750</v>
      </c>
      <c r="H124" s="14" t="s">
        <v>751</v>
      </c>
      <c r="I124" s="14" t="s">
        <v>752</v>
      </c>
      <c r="J124" s="14" t="s">
        <v>753</v>
      </c>
      <c r="K124" s="14" t="s">
        <v>754</v>
      </c>
      <c r="L124" s="14" t="s">
        <v>755</v>
      </c>
      <c r="M124" s="14" t="s">
        <v>756</v>
      </c>
      <c r="N124" s="3" t="s">
        <v>50</v>
      </c>
    </row>
    <row r="125" customFormat="false" ht="15" hidden="false" customHeight="false" outlineLevel="0" collapsed="false">
      <c r="A125" s="0" t="s">
        <v>640</v>
      </c>
      <c r="B125" s="0" t="s">
        <v>76</v>
      </c>
      <c r="C125" s="21" t="n">
        <f aca="false">Seg!C83</f>
        <v>198.084</v>
      </c>
      <c r="D125" s="21" t="n">
        <f aca="false">Seg!D83</f>
        <v>224.532</v>
      </c>
      <c r="E125" s="21" t="n">
        <f aca="false">Seg!E83</f>
        <v>123.67</v>
      </c>
      <c r="F125" s="21" t="n">
        <f aca="false">Seg!F83</f>
        <v>139.741100565981</v>
      </c>
      <c r="G125" s="21" t="n">
        <f aca="false">Seg!G83</f>
        <v>263.411100565981</v>
      </c>
      <c r="H125" s="21" t="n">
        <f aca="false">Seg!H83</f>
        <v>279.608691019235</v>
      </c>
      <c r="I125" s="21" t="n">
        <f aca="false">Seg!I83</f>
        <v>290.106475996705</v>
      </c>
      <c r="J125" s="21" t="n">
        <f aca="false">Seg!J83</f>
        <v>293.991560475859</v>
      </c>
      <c r="K125" s="21" t="n">
        <f aca="false">Seg!K83</f>
        <v>290.757185915457</v>
      </c>
      <c r="L125" s="21" t="n">
        <f aca="false">Seg!L83</f>
        <v>314.017760788694</v>
      </c>
      <c r="M125" s="21" t="n">
        <f aca="false">Seg!M83</f>
        <v>339.139181651789</v>
      </c>
    </row>
    <row r="126" customFormat="false" ht="15" hidden="false" customHeight="false" outlineLevel="0" collapsed="false">
      <c r="A126" s="0" t="s">
        <v>643</v>
      </c>
      <c r="B126" s="0" t="s">
        <v>76</v>
      </c>
      <c r="C126" s="21" t="n">
        <f aca="false">Seg!C85</f>
        <v>36.147</v>
      </c>
      <c r="D126" s="21" t="n">
        <f aca="false">Seg!D85</f>
        <v>40.367</v>
      </c>
      <c r="E126" s="21" t="n">
        <f aca="false">Seg!E85</f>
        <v>20.938</v>
      </c>
      <c r="F126" s="21" t="n">
        <f aca="false">Seg!F85</f>
        <v>24.1793637484587</v>
      </c>
      <c r="G126" s="21" t="n">
        <f aca="false">Seg!G85</f>
        <v>45.1173637484587</v>
      </c>
      <c r="H126" s="21" t="n">
        <f aca="false">Seg!H85</f>
        <v>49.9834744846827</v>
      </c>
      <c r="I126" s="21" t="n">
        <f aca="false">Seg!I85</f>
        <v>54.9103289240237</v>
      </c>
      <c r="J126" s="21" t="n">
        <f aca="false">Seg!J85</f>
        <v>59.8129885015682</v>
      </c>
      <c r="K126" s="21" t="n">
        <f aca="false">Seg!K85</f>
        <v>64.5980275816936</v>
      </c>
      <c r="L126" s="21" t="n">
        <f aca="false">Seg!L85</f>
        <v>69.7658697882291</v>
      </c>
      <c r="M126" s="21" t="n">
        <f aca="false">Seg!M85</f>
        <v>75.3471393712874</v>
      </c>
    </row>
    <row r="127" customFormat="false" ht="15" hidden="false" customHeight="false" outlineLevel="0" collapsed="false">
      <c r="A127" s="0" t="s">
        <v>644</v>
      </c>
      <c r="B127" s="0" t="s">
        <v>76</v>
      </c>
      <c r="C127" s="21" t="n">
        <f aca="false">Seg!C87</f>
        <v>30.359</v>
      </c>
      <c r="D127" s="21" t="n">
        <f aca="false">Seg!D87</f>
        <v>29.792</v>
      </c>
      <c r="E127" s="21" t="n">
        <f aca="false">Seg!E87</f>
        <v>14.274</v>
      </c>
      <c r="F127" s="21" t="n">
        <f aca="false">Seg!F87</f>
        <v>14.8512550478215</v>
      </c>
      <c r="G127" s="21" t="n">
        <f aca="false">Seg!G87</f>
        <v>29.1252550478215</v>
      </c>
      <c r="H127" s="21" t="n">
        <f aca="false">Seg!H87</f>
        <v>28.6493774746437</v>
      </c>
      <c r="I127" s="21" t="n">
        <f aca="false">Seg!I87</f>
        <v>28.3373093353078</v>
      </c>
      <c r="J127" s="21" t="n">
        <f aca="false">Seg!J87</f>
        <v>28.1829748928599</v>
      </c>
      <c r="K127" s="21" t="n">
        <f aca="false">Seg!K87</f>
        <v>28.1829748928599</v>
      </c>
      <c r="L127" s="21" t="n">
        <f aca="false">Seg!L87</f>
        <v>28.1829748928599</v>
      </c>
      <c r="M127" s="21" t="n">
        <f aca="false">Seg!M87</f>
        <v>28.1829748928599</v>
      </c>
    </row>
    <row r="128" customFormat="false" ht="15" hidden="false" customHeight="false" outlineLevel="0" collapsed="false">
      <c r="A128" s="0" t="s">
        <v>645</v>
      </c>
      <c r="B128" s="0" t="s">
        <v>76</v>
      </c>
      <c r="C128" s="21" t="n">
        <f aca="false">Seg!C89</f>
        <v>40.34</v>
      </c>
      <c r="D128" s="21" t="n">
        <f aca="false">Seg!D89</f>
        <v>48.03</v>
      </c>
      <c r="E128" s="21" t="n">
        <f aca="false">Seg!E89</f>
        <v>25.295</v>
      </c>
      <c r="F128" s="21" t="n">
        <f aca="false">Seg!F89</f>
        <v>31.1937011693374</v>
      </c>
      <c r="G128" s="21" t="n">
        <f aca="false">Seg!G89</f>
        <v>56.4887011693374</v>
      </c>
      <c r="H128" s="21" t="n">
        <f aca="false">Seg!H89</f>
        <v>65.5029631403152</v>
      </c>
      <c r="I128" s="21" t="n">
        <f aca="false">Seg!I89</f>
        <v>74.6548787045084</v>
      </c>
      <c r="J128" s="21" t="n">
        <f aca="false">Seg!J89</f>
        <v>83.602922174315</v>
      </c>
      <c r="K128" s="21" t="n">
        <f aca="false">Seg!K89</f>
        <v>91.9632143917465</v>
      </c>
      <c r="L128" s="21" t="n">
        <f aca="false">Seg!L89</f>
        <v>101.159535830921</v>
      </c>
      <c r="M128" s="21" t="n">
        <f aca="false">Seg!M89</f>
        <v>111.275489414013</v>
      </c>
    </row>
    <row r="129" customFormat="false" ht="15" hidden="false" customHeight="false" outlineLevel="0" collapsed="false">
      <c r="A129" s="25" t="s">
        <v>825</v>
      </c>
      <c r="B129" s="26" t="s">
        <v>76</v>
      </c>
      <c r="C129" s="27" t="n">
        <f aca="false">Seg!C90</f>
        <v>304.93</v>
      </c>
      <c r="D129" s="27" t="n">
        <f aca="false">Seg!D90</f>
        <v>342.721</v>
      </c>
      <c r="E129" s="27" t="n">
        <f aca="false">Seg!E90</f>
        <v>184.177</v>
      </c>
      <c r="F129" s="27" t="n">
        <f aca="false">Seg!F90</f>
        <v>209.965420531598</v>
      </c>
      <c r="G129" s="27" t="n">
        <f aca="false">Seg!G90</f>
        <v>394.142420531598</v>
      </c>
      <c r="H129" s="27" t="n">
        <f aca="false">Seg!H90</f>
        <v>423.744506118877</v>
      </c>
      <c r="I129" s="27" t="n">
        <f aca="false">Seg!I90</f>
        <v>448.008992960544</v>
      </c>
      <c r="J129" s="27" t="n">
        <f aca="false">Seg!J90</f>
        <v>465.590446044602</v>
      </c>
      <c r="K129" s="27" t="n">
        <f aca="false">Seg!K90</f>
        <v>475.501402781757</v>
      </c>
      <c r="L129" s="27" t="n">
        <f aca="false">Seg!L90</f>
        <v>513.126141300704</v>
      </c>
      <c r="M129" s="27" t="n">
        <f aca="false">Seg!M90</f>
        <v>553.94478532995</v>
      </c>
      <c r="N129" s="26"/>
    </row>
    <row r="130" customFormat="false" ht="17.15" hidden="false" customHeight="false" outlineLevel="0" collapsed="false">
      <c r="A130" s="0" t="s">
        <v>826</v>
      </c>
      <c r="B130" s="0" t="s">
        <v>76</v>
      </c>
      <c r="E130" s="21" t="n">
        <f aca="false">Seg!E91</f>
        <v>9.75837289307536</v>
      </c>
      <c r="F130" s="21" t="n">
        <f aca="false">Seg!F91</f>
        <v>13.072238179387</v>
      </c>
      <c r="G130" s="21" t="n">
        <f aca="false">Seg!G91</f>
        <v>22.8306110724624</v>
      </c>
      <c r="H130" s="21" t="n">
        <f aca="false">Seg!H91</f>
        <v>38.882857987105</v>
      </c>
      <c r="I130" s="21" t="n">
        <f aca="false">Seg!I91</f>
        <v>56.7035586757632</v>
      </c>
      <c r="J130" s="21" t="n">
        <f aca="false">Seg!J91</f>
        <v>75.0259744749515</v>
      </c>
      <c r="K130" s="21" t="n">
        <f aca="false">Seg!K91</f>
        <v>93.3483902741398</v>
      </c>
      <c r="L130" s="21" t="n">
        <f aca="false">Seg!L91</f>
        <v>111.670806073328</v>
      </c>
      <c r="M130" s="21" t="n">
        <f aca="false">Seg!M91</f>
        <v>129.993221872516</v>
      </c>
    </row>
    <row r="131" customFormat="false" ht="17.15" hidden="false" customHeight="false" outlineLevel="0" collapsed="false">
      <c r="A131" s="0" t="s">
        <v>828</v>
      </c>
      <c r="B131" s="0" t="s">
        <v>76</v>
      </c>
      <c r="E131" s="21" t="n">
        <f aca="false">Seg!E92</f>
        <v>0</v>
      </c>
      <c r="F131" s="21" t="n">
        <f aca="false">Seg!F92</f>
        <v>1</v>
      </c>
      <c r="G131" s="21" t="n">
        <f aca="false">Seg!G92</f>
        <v>1</v>
      </c>
      <c r="H131" s="21" t="n">
        <f aca="false">Seg!H92</f>
        <v>13</v>
      </c>
      <c r="I131" s="21" t="n">
        <f aca="false">Seg!I92</f>
        <v>13</v>
      </c>
      <c r="J131" s="21" t="n">
        <f aca="false">Seg!J92</f>
        <v>13</v>
      </c>
      <c r="K131" s="21" t="n">
        <f aca="false">Seg!K92</f>
        <v>13</v>
      </c>
      <c r="L131" s="21" t="n">
        <f aca="false">Seg!L92</f>
        <v>13</v>
      </c>
      <c r="M131" s="21" t="n">
        <f aca="false">Seg!M92</f>
        <v>13</v>
      </c>
    </row>
    <row r="132" customFormat="false" ht="17.15" hidden="false" customHeight="false" outlineLevel="0" collapsed="false">
      <c r="A132" s="0" t="s">
        <v>832</v>
      </c>
      <c r="B132" s="0" t="s">
        <v>76</v>
      </c>
      <c r="E132" s="21" t="n">
        <f aca="false">Seg!E94</f>
        <v>35.0376271069246</v>
      </c>
      <c r="F132" s="21" t="n">
        <f aca="false">Seg!F94</f>
        <v>42.3813732550541</v>
      </c>
      <c r="G132" s="21" t="n">
        <f aca="false">Seg!G94</f>
        <v>77.4190003619788</v>
      </c>
      <c r="H132" s="21" t="n">
        <f aca="false">Seg!H94</f>
        <v>105.858238766016</v>
      </c>
      <c r="I132" s="21" t="n">
        <f aca="false">Seg!I94</f>
        <v>134.605232266348</v>
      </c>
      <c r="J132" s="21" t="n">
        <f aca="false">Seg!J94</f>
        <v>158.266222760704</v>
      </c>
      <c r="K132" s="21" t="n">
        <f aca="false">Seg!K94</f>
        <v>170.92752058156</v>
      </c>
      <c r="L132" s="21" t="n">
        <f aca="false">Seg!L94</f>
        <v>184.601722228085</v>
      </c>
      <c r="M132" s="21" t="n">
        <f aca="false">Seg!M94</f>
        <v>199.369860006332</v>
      </c>
    </row>
    <row r="133" customFormat="false" ht="15" hidden="false" customHeight="false" outlineLevel="0" collapsed="false">
      <c r="A133" s="25" t="s">
        <v>834</v>
      </c>
      <c r="B133" s="26" t="s">
        <v>76</v>
      </c>
      <c r="C133" s="27" t="n">
        <f aca="false">Seg!C95</f>
        <v>43.229</v>
      </c>
      <c r="D133" s="27" t="n">
        <f aca="false">Seg!D95</f>
        <v>58.705</v>
      </c>
      <c r="E133" s="27" t="n">
        <f aca="false">Seg!E95</f>
        <v>44.796</v>
      </c>
      <c r="F133" s="27" t="n">
        <f aca="false">Seg!F95</f>
        <v>56.4536114344411</v>
      </c>
      <c r="G133" s="27" t="n">
        <f aca="false">Seg!G95</f>
        <v>101.249611434441</v>
      </c>
      <c r="H133" s="27" t="n">
        <f aca="false">Seg!H95</f>
        <v>157.741096753121</v>
      </c>
      <c r="I133" s="27" t="n">
        <f aca="false">Seg!I95</f>
        <v>204.308790942111</v>
      </c>
      <c r="J133" s="27" t="n">
        <f aca="false">Seg!J95</f>
        <v>246.292197235655</v>
      </c>
      <c r="K133" s="27" t="n">
        <f aca="false">Seg!K95</f>
        <v>277.2759108557</v>
      </c>
      <c r="L133" s="27" t="n">
        <f aca="false">Seg!L95</f>
        <v>309.272528301413</v>
      </c>
      <c r="M133" s="27" t="n">
        <f aca="false">Seg!M95</f>
        <v>342.363081878848</v>
      </c>
      <c r="N133" s="26"/>
    </row>
    <row r="134" customFormat="false" ht="15" hidden="false" customHeight="false" outlineLevel="0" collapsed="false">
      <c r="A134" s="25" t="s">
        <v>835</v>
      </c>
      <c r="B134" s="26" t="s">
        <v>76</v>
      </c>
      <c r="C134" s="27" t="n">
        <f aca="false">Seg!C96</f>
        <v>1.648</v>
      </c>
      <c r="D134" s="27" t="n">
        <f aca="false">Seg!D96</f>
        <v>1.537</v>
      </c>
      <c r="E134" s="27" t="n">
        <f aca="false">Seg!E96</f>
        <v>0.793</v>
      </c>
      <c r="F134" s="27" t="n">
        <f aca="false">Seg!F96</f>
        <v>0.75</v>
      </c>
      <c r="G134" s="27" t="n">
        <f aca="false">Seg!G96</f>
        <v>1.543</v>
      </c>
      <c r="H134" s="27" t="n">
        <f aca="false">Seg!H96</f>
        <v>1.6</v>
      </c>
      <c r="I134" s="27" t="n">
        <f aca="false">Seg!I96</f>
        <v>1.8</v>
      </c>
      <c r="J134" s="27" t="n">
        <f aca="false">Seg!J96</f>
        <v>2</v>
      </c>
      <c r="K134" s="27" t="n">
        <f aca="false">Seg!K96</f>
        <v>2.2</v>
      </c>
      <c r="L134" s="27" t="n">
        <f aca="false">Seg!L96</f>
        <v>2.4</v>
      </c>
      <c r="M134" s="27" t="n">
        <f aca="false">Seg!M96</f>
        <v>2.6</v>
      </c>
      <c r="N134" s="26"/>
    </row>
    <row r="135" customFormat="false" ht="15" hidden="false" customHeight="false" outlineLevel="0" collapsed="false">
      <c r="A135" s="0" t="s">
        <v>836</v>
      </c>
      <c r="B135" s="0" t="s">
        <v>76</v>
      </c>
      <c r="C135" s="21" t="n">
        <f aca="false">Seg!C97</f>
        <v>0.211</v>
      </c>
      <c r="D135" s="21" t="n">
        <f aca="false">Seg!D97</f>
        <v>-0.127</v>
      </c>
      <c r="E135" s="21" t="n">
        <f aca="false">Seg!E97</f>
        <v>-0.074</v>
      </c>
      <c r="F135" s="21" t="n">
        <f aca="false">Seg!F97</f>
        <v>0</v>
      </c>
      <c r="G135" s="21" t="n">
        <f aca="false">Seg!G97</f>
        <v>-0.074</v>
      </c>
      <c r="H135" s="21" t="n">
        <f aca="false">Seg!H97</f>
        <v>0</v>
      </c>
      <c r="I135" s="21" t="n">
        <f aca="false">Seg!I97</f>
        <v>0</v>
      </c>
      <c r="J135" s="21" t="n">
        <f aca="false">Seg!J97</f>
        <v>0</v>
      </c>
      <c r="K135" s="21" t="n">
        <f aca="false">Seg!K97</f>
        <v>0</v>
      </c>
      <c r="L135" s="21" t="n">
        <f aca="false">Seg!L97</f>
        <v>0</v>
      </c>
      <c r="M135" s="21" t="n">
        <f aca="false">Seg!M97</f>
        <v>0</v>
      </c>
    </row>
    <row r="136" customFormat="false" ht="15" hidden="false" customHeight="false" outlineLevel="0" collapsed="false">
      <c r="A136" s="2" t="s">
        <v>652</v>
      </c>
      <c r="B136" s="7" t="s">
        <v>76</v>
      </c>
      <c r="C136" s="21" t="n">
        <f aca="false">Seg!C98</f>
        <v>350.018</v>
      </c>
      <c r="D136" s="21" t="n">
        <f aca="false">Seg!D98</f>
        <v>402.836</v>
      </c>
      <c r="E136" s="21" t="n">
        <f aca="false">Seg!E98</f>
        <v>229.692</v>
      </c>
      <c r="F136" s="21" t="n">
        <f aca="false">Seg!F98</f>
        <v>267.169031966039</v>
      </c>
      <c r="G136" s="21" t="n">
        <f aca="false">Seg!G98</f>
        <v>496.861031966039</v>
      </c>
      <c r="H136" s="21" t="n">
        <f aca="false">Seg!H98</f>
        <v>583.085602871998</v>
      </c>
      <c r="I136" s="21" t="n">
        <f aca="false">Seg!I98</f>
        <v>654.117783902656</v>
      </c>
      <c r="J136" s="21" t="n">
        <f aca="false">Seg!J98</f>
        <v>713.882643280257</v>
      </c>
      <c r="K136" s="21" t="n">
        <f aca="false">Seg!K98</f>
        <v>754.977313637457</v>
      </c>
      <c r="L136" s="21" t="n">
        <f aca="false">Seg!L98</f>
        <v>824.798669602117</v>
      </c>
      <c r="M136" s="21" t="n">
        <f aca="false">Seg!M98</f>
        <v>898.907867208798</v>
      </c>
    </row>
    <row r="137" customFormat="false" ht="15" hidden="false" customHeight="false" outlineLevel="0" collapsed="false">
      <c r="A137" s="4" t="s">
        <v>856</v>
      </c>
      <c r="B137" s="0" t="s">
        <v>99</v>
      </c>
      <c r="D137" s="19" t="n">
        <f aca="false">D136/C136-1</f>
        <v>0.150900810815444</v>
      </c>
      <c r="G137" s="19" t="n">
        <f aca="false">G136/D136-1</f>
        <v>0.233407719186069</v>
      </c>
      <c r="H137" s="19" t="n">
        <f aca="false">H136/G136-1</f>
        <v>0.173538606086242</v>
      </c>
      <c r="I137" s="19" t="n">
        <f aca="false">I136/H136-1</f>
        <v>0.12182118831401</v>
      </c>
      <c r="J137" s="19" t="n">
        <f aca="false">J136/I136-1</f>
        <v>0.0913671220204828</v>
      </c>
      <c r="K137" s="19" t="n">
        <f aca="false">K136/J136-1</f>
        <v>0.057565022408125</v>
      </c>
      <c r="L137" s="19" t="n">
        <f aca="false">L136/K136-1</f>
        <v>0.0924813960677344</v>
      </c>
      <c r="M137" s="19" t="n">
        <f aca="false">M136/L136-1</f>
        <v>0.0898512574498107</v>
      </c>
    </row>
    <row r="138" customFormat="false" ht="17.15" hidden="false" customHeight="false" outlineLevel="0" collapsed="false">
      <c r="A138" s="4" t="s">
        <v>647</v>
      </c>
      <c r="B138" s="0" t="s">
        <v>76</v>
      </c>
      <c r="C138" s="16" t="n">
        <f aca="false">C125+C126+C127+C128-C129</f>
        <v>0</v>
      </c>
      <c r="D138" s="16" t="n">
        <f aca="false">D125+D126+D127+D128-D129</f>
        <v>0</v>
      </c>
      <c r="E138" s="16" t="n">
        <f aca="false">E125+E126+E127+E128-E129</f>
        <v>0</v>
      </c>
      <c r="F138" s="16" t="n">
        <f aca="false">F125+F126+F127+F128-F129</f>
        <v>0</v>
      </c>
      <c r="G138" s="16" t="n">
        <f aca="false">G125+G126+G127+G128-G129</f>
        <v>0</v>
      </c>
      <c r="H138" s="16" t="n">
        <f aca="false">H125+H126+H127+H128-H129</f>
        <v>0</v>
      </c>
      <c r="I138" s="16" t="n">
        <f aca="false">I125+I126+I127+I128-I129</f>
        <v>0</v>
      </c>
      <c r="J138" s="16" t="n">
        <f aca="false">J125+J126+J127+J128-J129</f>
        <v>0</v>
      </c>
      <c r="K138" s="16" t="n">
        <f aca="false">K125+K126+K127+K128-K129</f>
        <v>0</v>
      </c>
      <c r="L138" s="16" t="n">
        <f aca="false">L125+L126+L127+L128-L129</f>
        <v>0</v>
      </c>
      <c r="M138" s="16" t="n">
        <f aca="false">M125+M126+M127+M128-M129</f>
        <v>0</v>
      </c>
    </row>
    <row r="139" customFormat="false" ht="17.15" hidden="false" customHeight="false" outlineLevel="0" collapsed="false">
      <c r="A139" s="4" t="s">
        <v>838</v>
      </c>
      <c r="B139" s="0" t="s">
        <v>76</v>
      </c>
      <c r="E139" s="16" t="n">
        <f aca="false">E130+E131+E132-E133</f>
        <v>0</v>
      </c>
      <c r="F139" s="16" t="n">
        <f aca="false">F130+F131+F132-F133</f>
        <v>0</v>
      </c>
      <c r="G139" s="16" t="n">
        <f aca="false">G130+G131+G132-G133</f>
        <v>0</v>
      </c>
      <c r="H139" s="16" t="n">
        <f aca="false">H130+H131+H132-H133</f>
        <v>0</v>
      </c>
      <c r="I139" s="16" t="n">
        <f aca="false">I130+I131+I132-I133</f>
        <v>0</v>
      </c>
      <c r="J139" s="16" t="n">
        <f aca="false">J130+J131+J132-J133</f>
        <v>0</v>
      </c>
      <c r="K139" s="16" t="n">
        <f aca="false">K130+K131+K132-K133</f>
        <v>0</v>
      </c>
      <c r="L139" s="16" t="n">
        <f aca="false">L130+L131+L132-L133</f>
        <v>0</v>
      </c>
      <c r="M139" s="16" t="n">
        <f aca="false">M130+M131+M132-M133</f>
        <v>0</v>
      </c>
    </row>
    <row r="140" customFormat="false" ht="15" hidden="false" customHeight="false" outlineLevel="0" collapsed="false">
      <c r="A140" s="4" t="s">
        <v>653</v>
      </c>
      <c r="B140" s="0" t="s">
        <v>76</v>
      </c>
      <c r="C140" s="16" t="n">
        <f aca="false">C129+C133+C134+C135-C136</f>
        <v>0</v>
      </c>
      <c r="D140" s="16" t="n">
        <f aca="false">D129+D133+D134+D135-D136</f>
        <v>0</v>
      </c>
      <c r="E140" s="16" t="n">
        <f aca="false">E129+E133+E134+E135-E136</f>
        <v>0</v>
      </c>
      <c r="F140" s="16" t="n">
        <f aca="false">F129+F133+F134+F135-F136</f>
        <v>0</v>
      </c>
      <c r="G140" s="16" t="n">
        <f aca="false">G129+G133+G134+G135-G136</f>
        <v>0</v>
      </c>
      <c r="H140" s="16" t="n">
        <f aca="false">H129+H133+H134+H135-H136</f>
        <v>0</v>
      </c>
      <c r="I140" s="16" t="n">
        <f aca="false">I129+I133+I134+I135-I136</f>
        <v>0</v>
      </c>
      <c r="J140" s="16" t="n">
        <f aca="false">J129+J133+J134+J135-J136</f>
        <v>0</v>
      </c>
      <c r="K140" s="16" t="n">
        <f aca="false">K129+K133+K134+K135-K136</f>
        <v>0</v>
      </c>
      <c r="L140" s="16" t="n">
        <f aca="false">L129+L133+L134+L135-L136</f>
        <v>0</v>
      </c>
      <c r="M140" s="16" t="n">
        <f aca="false">M129+M133+M134+M135-M136</f>
        <v>0</v>
      </c>
    </row>
    <row r="141" customFormat="false" ht="17.15" hidden="false" customHeight="false" outlineLevel="0" collapsed="false">
      <c r="A141" s="0" t="s">
        <v>857</v>
      </c>
      <c r="B141" s="0" t="s">
        <v>76</v>
      </c>
      <c r="F141" s="21" t="n">
        <f aca="false">Seg!F83-Seg!F79</f>
        <v>0</v>
      </c>
      <c r="G141" s="21" t="n">
        <f aca="false">F141</f>
        <v>0</v>
      </c>
      <c r="H141" s="21" t="n">
        <f aca="false">Seg!H83-Seg!H79</f>
        <v>-22.2630401756206</v>
      </c>
      <c r="I141" s="21" t="n">
        <f aca="false">Seg!I83-Seg!I79</f>
        <v>-49.199343882482</v>
      </c>
      <c r="J141" s="21" t="n">
        <f aca="false">Seg!J83-Seg!J79</f>
        <v>-79.9245736746771</v>
      </c>
      <c r="K141" s="21" t="n">
        <f aca="false">Seg!K83-Seg!K79</f>
        <v>-113.072238967122</v>
      </c>
      <c r="L141" s="21" t="n">
        <f aca="false">Seg!L83-Seg!L79</f>
        <v>-122.118018084492</v>
      </c>
      <c r="M141" s="21" t="n">
        <f aca="false">Seg!M83-Seg!M79</f>
        <v>-131.887459531251</v>
      </c>
    </row>
    <row r="142" customFormat="false" ht="17.15" hidden="false" customHeight="false" outlineLevel="0" collapsed="false">
      <c r="A142" s="0" t="s">
        <v>858</v>
      </c>
      <c r="B142" s="0" t="s">
        <v>76</v>
      </c>
      <c r="F142" s="21" t="n">
        <f aca="false">m_svc*(F129-F141)+inc_m*F141-svc_sh*(Thesis!F68+Thesis!F69)</f>
        <v>101.679428068742</v>
      </c>
      <c r="H142" s="21" t="n">
        <f aca="false">m_svc*(H129-H141)+inc_m*H141-svc_sh*(Thesis!H68+Thesis!H69)</f>
        <v>194.704010530921</v>
      </c>
      <c r="I142" s="21" t="n">
        <f aca="false">m_svc*(I129-I141)+inc_m*I141-svc_sh*(Thesis!I68+Thesis!I69)</f>
        <v>197.543834619932</v>
      </c>
      <c r="J142" s="21" t="n">
        <f aca="false">m_svc*(J129-J141)+inc_m*J141-svc_sh*(Thesis!J68+Thesis!J69)</f>
        <v>199.564674199907</v>
      </c>
      <c r="K142" s="21" t="n">
        <f aca="false">m_svc*(K129-K141)+inc_m*K141-svc_sh*(Thesis!K68+Thesis!K69)</f>
        <v>197.296130018753</v>
      </c>
      <c r="L142" s="21" t="n">
        <f aca="false">m_svc*(L129-L141)+inc_m*L141-svc_sh*(Thesis!L68+Thesis!L69)</f>
        <v>210.371965010924</v>
      </c>
      <c r="M142" s="21" t="n">
        <f aca="false">m_svc*(M129-M141)+inc_m*M141-svc_sh*(Thesis!M68+Thesis!M69)</f>
        <v>224.877363522136</v>
      </c>
      <c r="N142" s="7" t="s">
        <v>859</v>
      </c>
    </row>
    <row r="143" customFormat="false" ht="17.15" hidden="false" customHeight="false" outlineLevel="0" collapsed="false">
      <c r="A143" s="0" t="s">
        <v>860</v>
      </c>
      <c r="B143" s="0" t="s">
        <v>76</v>
      </c>
      <c r="F143" s="21" t="n">
        <f aca="false">da_base*0.5*sh_svc+Seg!F107+Thesis!F65*svc_sh</f>
        <v>14.9965690659575</v>
      </c>
      <c r="H143" s="21" t="n">
        <f aca="false">da_base*1*sh_svc+Seg!H107+Thesis!H65*svc_sh</f>
        <v>40.0212555451557</v>
      </c>
      <c r="I143" s="21" t="n">
        <f aca="false">da_base*1*sh_svc+Seg!I107+Thesis!I65*svc_sh</f>
        <v>53.9010672163866</v>
      </c>
      <c r="J143" s="21" t="n">
        <f aca="false">da_base*1*sh_svc+Seg!J107+Thesis!J65*svc_sh</f>
        <v>68.9193162293817</v>
      </c>
      <c r="K143" s="21" t="n">
        <f aca="false">da_base*1*sh_svc+Seg!K107+Thesis!K65*svc_sh</f>
        <v>85.8601242411609</v>
      </c>
      <c r="L143" s="21" t="n">
        <f aca="false">da_base*1*sh_svc+Seg!L107+Thesis!L65*svc_sh</f>
        <v>105.423035640084</v>
      </c>
      <c r="M143" s="21" t="n">
        <f aca="false">da_base*1*sh_svc+Seg!M107+Thesis!M65*svc_sh</f>
        <v>125.54799843579</v>
      </c>
    </row>
    <row r="144" customFormat="false" ht="17.15" hidden="false" customHeight="false" outlineLevel="0" collapsed="false">
      <c r="A144" s="5" t="s">
        <v>861</v>
      </c>
      <c r="B144" s="7" t="s">
        <v>76</v>
      </c>
      <c r="C144" s="21" t="n">
        <f aca="false">Q!J18</f>
        <v>121.263</v>
      </c>
      <c r="D144" s="21" t="n">
        <f aca="false">Q!K18</f>
        <v>139.404</v>
      </c>
      <c r="E144" s="21" t="n">
        <f aca="false">Q!L18</f>
        <v>80.133</v>
      </c>
      <c r="F144" s="21" t="n">
        <f aca="false">F142-F143</f>
        <v>86.6828590027843</v>
      </c>
      <c r="G144" s="21" t="n">
        <f aca="false">E144+F144</f>
        <v>166.815859002784</v>
      </c>
      <c r="H144" s="21" t="n">
        <f aca="false">H142-H143</f>
        <v>154.682754985765</v>
      </c>
      <c r="I144" s="21" t="n">
        <f aca="false">I142-I143</f>
        <v>143.642767403546</v>
      </c>
      <c r="J144" s="21" t="n">
        <f aca="false">J142-J143</f>
        <v>130.645357970525</v>
      </c>
      <c r="K144" s="21" t="n">
        <f aca="false">K142-K143</f>
        <v>111.436005777593</v>
      </c>
      <c r="L144" s="21" t="n">
        <f aca="false">L142-L143</f>
        <v>104.948929370841</v>
      </c>
      <c r="M144" s="21" t="n">
        <f aca="false">M142-M143</f>
        <v>99.3293650863459</v>
      </c>
    </row>
    <row r="145" customFormat="false" ht="17.15" hidden="false" customHeight="false" outlineLevel="0" collapsed="false">
      <c r="A145" s="0" t="s">
        <v>862</v>
      </c>
      <c r="B145" s="0" t="s">
        <v>76</v>
      </c>
      <c r="F145" s="21" t="n">
        <f aca="false">Thesis!F41+F131*tpu_m+F132*m_co</f>
        <v>23.1804867072037</v>
      </c>
      <c r="H145" s="21" t="n">
        <f aca="false">Thesis!H41+H131*tpu_m+H132*m_co</f>
        <v>65.9102849718516</v>
      </c>
      <c r="I145" s="21" t="n">
        <f aca="false">Thesis!I41+I131*tpu_m+I132*m_co</f>
        <v>89.2627271785295</v>
      </c>
      <c r="J145" s="21" t="n">
        <f aca="false">Thesis!J41+J131*tpu_m+J132*m_co</f>
        <v>111.647518836136</v>
      </c>
      <c r="K145" s="21" t="n">
        <f aca="false">Thesis!K41+K131*tpu_m+K132*m_co</f>
        <v>130.929257383092</v>
      </c>
      <c r="L145" s="21" t="n">
        <f aca="false">Thesis!L41+L131*tpu_m+L132*m_co</f>
        <v>150.496739764929</v>
      </c>
      <c r="M145" s="21" t="n">
        <f aca="false">Thesis!M41+M131*tpu_m+M132*m_co</f>
        <v>170.372825488436</v>
      </c>
      <c r="N145" s="7" t="s">
        <v>863</v>
      </c>
    </row>
    <row r="146" customFormat="false" ht="17.15" hidden="false" customHeight="false" outlineLevel="0" collapsed="false">
      <c r="A146" s="0" t="s">
        <v>864</v>
      </c>
      <c r="B146" s="0" t="s">
        <v>76</v>
      </c>
      <c r="F146" s="21" t="n">
        <f aca="false">da_base*0.5*sh_cloud+Thesis!F64+Seg!F108</f>
        <v>4.82119327366453</v>
      </c>
      <c r="H146" s="21" t="n">
        <f aca="false">da_base*1*sh_cloud+Thesis!H64+Seg!H108</f>
        <v>16.8544946111865</v>
      </c>
      <c r="I146" s="21" t="n">
        <f aca="false">da_base*1*sh_cloud+Thesis!I64+Seg!I108</f>
        <v>27.187499999905</v>
      </c>
      <c r="J146" s="21" t="n">
        <f aca="false">da_base*1*sh_cloud+Thesis!J64+Seg!J108</f>
        <v>38.7863545088507</v>
      </c>
      <c r="K146" s="21" t="n">
        <f aca="false">da_base*1*sh_cloud+Thesis!K64+Seg!K108</f>
        <v>52.1095560963161</v>
      </c>
      <c r="L146" s="21" t="n">
        <f aca="false">da_base*1*sh_cloud+Thesis!L64+Seg!L108</f>
        <v>67.4918102836469</v>
      </c>
      <c r="M146" s="21" t="n">
        <f aca="false">da_base*1*sh_cloud+Thesis!M64+Seg!M108</f>
        <v>83.3898125469984</v>
      </c>
    </row>
    <row r="147" customFormat="false" ht="17.15" hidden="false" customHeight="false" outlineLevel="0" collapsed="false">
      <c r="A147" s="5" t="s">
        <v>865</v>
      </c>
      <c r="B147" s="7" t="s">
        <v>76</v>
      </c>
      <c r="C147" s="21" t="n">
        <f aca="false">Q!J19</f>
        <v>6.112</v>
      </c>
      <c r="D147" s="21" t="n">
        <f aca="false">Q!K19</f>
        <v>13.91</v>
      </c>
      <c r="E147" s="21" t="n">
        <f aca="false">Q!L19</f>
        <v>15.412</v>
      </c>
      <c r="F147" s="21" t="n">
        <f aca="false">F145-F146</f>
        <v>18.3592934335392</v>
      </c>
      <c r="G147" s="21" t="n">
        <f aca="false">E147+F147</f>
        <v>33.7712934335392</v>
      </c>
      <c r="H147" s="21" t="n">
        <f aca="false">H145-H146</f>
        <v>49.0557903606651</v>
      </c>
      <c r="I147" s="21" t="n">
        <f aca="false">I145-I146</f>
        <v>62.0752271786245</v>
      </c>
      <c r="J147" s="21" t="n">
        <f aca="false">J145-J146</f>
        <v>72.8611643272856</v>
      </c>
      <c r="K147" s="21" t="n">
        <f aca="false">K145-K146</f>
        <v>78.8197012867762</v>
      </c>
      <c r="L147" s="21" t="n">
        <f aca="false">L145-L146</f>
        <v>83.0049294812816</v>
      </c>
      <c r="M147" s="21" t="n">
        <f aca="false">M145-M146</f>
        <v>86.9830129414371</v>
      </c>
    </row>
    <row r="148" customFormat="false" ht="17.15" hidden="false" customHeight="false" outlineLevel="0" collapsed="false">
      <c r="A148" s="0" t="s">
        <v>866</v>
      </c>
      <c r="B148" s="0" t="s">
        <v>76</v>
      </c>
      <c r="F148" s="21" t="n">
        <f aca="false">da_base*0.5*sh_ob+Seg!F109</f>
        <v>0.0491096172809072</v>
      </c>
      <c r="H148" s="21" t="n">
        <f aca="false">da_base*1*sh_ob+Seg!H109</f>
        <v>0.102869234561814</v>
      </c>
      <c r="I148" s="21" t="n">
        <f aca="false">da_base*1*sh_ob+Seg!I109</f>
        <v>0.112769234561814</v>
      </c>
      <c r="J148" s="21" t="n">
        <f aca="false">da_base*1*sh_ob+Seg!J109</f>
        <v>0.123869234561814</v>
      </c>
      <c r="K148" s="21" t="n">
        <f aca="false">da_base*1*sh_ob+Seg!K109</f>
        <v>0.136169234561814</v>
      </c>
      <c r="L148" s="21" t="n">
        <f aca="false">da_base*1*sh_ob+Seg!L109</f>
        <v>0.149669234561814</v>
      </c>
      <c r="M148" s="21" t="n">
        <f aca="false">da_base*1*sh_ob+Seg!M109</f>
        <v>0.164369234561814</v>
      </c>
    </row>
    <row r="149" customFormat="false" ht="17.15" hidden="false" customHeight="false" outlineLevel="0" collapsed="false">
      <c r="A149" s="5" t="s">
        <v>867</v>
      </c>
      <c r="B149" s="7" t="s">
        <v>76</v>
      </c>
      <c r="C149" s="21" t="n">
        <f aca="false">Q!J20</f>
        <v>-4.444</v>
      </c>
      <c r="D149" s="21" t="n">
        <f aca="false">Q!K20</f>
        <v>-7.515</v>
      </c>
      <c r="E149" s="21" t="n">
        <f aca="false">Q!L20</f>
        <v>-3.899</v>
      </c>
      <c r="F149" s="21" t="n">
        <f aca="false">ob_oi*0.5</f>
        <v>-4.5</v>
      </c>
      <c r="G149" s="21" t="n">
        <f aca="false">E149+F149</f>
        <v>-8.399</v>
      </c>
      <c r="H149" s="21" t="n">
        <f aca="false">ob_oi*1</f>
        <v>-9</v>
      </c>
      <c r="I149" s="21" t="n">
        <f aca="false">ob_oi*1</f>
        <v>-9</v>
      </c>
      <c r="J149" s="21" t="n">
        <f aca="false">ob_oi*1</f>
        <v>-9</v>
      </c>
      <c r="K149" s="21" t="n">
        <f aca="false">ob_oi*1</f>
        <v>-9</v>
      </c>
      <c r="L149" s="21" t="n">
        <f aca="false">ob_oi*1</f>
        <v>-9</v>
      </c>
      <c r="M149" s="21" t="n">
        <f aca="false">ob_oi*1</f>
        <v>-9</v>
      </c>
    </row>
    <row r="150" customFormat="false" ht="15" hidden="false" customHeight="false" outlineLevel="0" collapsed="false">
      <c r="A150" s="0" t="s">
        <v>868</v>
      </c>
      <c r="B150" s="0" t="s">
        <v>76</v>
      </c>
      <c r="F150" s="21" t="n">
        <f aca="false">F149+F148</f>
        <v>-4.45089038271909</v>
      </c>
      <c r="H150" s="21" t="n">
        <f aca="false">H149+H148</f>
        <v>-8.89713076543819</v>
      </c>
      <c r="I150" s="21" t="n">
        <f aca="false">I149+I148</f>
        <v>-8.88723076543819</v>
      </c>
      <c r="J150" s="21" t="n">
        <f aca="false">J149+J148</f>
        <v>-8.87613076543819</v>
      </c>
      <c r="K150" s="21" t="n">
        <f aca="false">K149+K148</f>
        <v>-8.86383076543819</v>
      </c>
      <c r="L150" s="21" t="n">
        <f aca="false">L149+L148</f>
        <v>-8.85033076543819</v>
      </c>
      <c r="M150" s="21" t="n">
        <f aca="false">M149+M148</f>
        <v>-8.83563076543819</v>
      </c>
    </row>
    <row r="151" customFormat="false" ht="17.15" hidden="false" customHeight="false" outlineLevel="0" collapsed="false">
      <c r="A151" s="0" t="s">
        <v>869</v>
      </c>
      <c r="B151" s="0" t="s">
        <v>76</v>
      </c>
      <c r="F151" s="21" t="n">
        <f aca="false">Thesis!F65*(1-svc_sh)</f>
        <v>1.99534687326734</v>
      </c>
      <c r="H151" s="21" t="n">
        <f aca="false">Thesis!H65*(1-svc_sh)</f>
        <v>9.83243000817972</v>
      </c>
      <c r="I151" s="21" t="n">
        <f aca="false">Thesis!I65*(1-svc_sh)</f>
        <v>17.3663952776831</v>
      </c>
      <c r="J151" s="21" t="n">
        <f aca="false">Thesis!J65*(1-svc_sh)</f>
        <v>25.5689438614203</v>
      </c>
      <c r="K151" s="21" t="n">
        <f aca="false">Thesis!K65*(1-svc_sh)</f>
        <v>34.9905431283575</v>
      </c>
      <c r="L151" s="21" t="n">
        <f aca="false">Thesis!L65*(1-svc_sh)</f>
        <v>46.0928537113267</v>
      </c>
      <c r="M151" s="21" t="n">
        <f aca="false">Thesis!M65*(1-svc_sh)</f>
        <v>57.4161723658987</v>
      </c>
    </row>
    <row r="152" customFormat="false" ht="17.15" hidden="false" customHeight="false" outlineLevel="0" collapsed="false">
      <c r="A152" s="5" t="s">
        <v>870</v>
      </c>
      <c r="B152" s="7" t="s">
        <v>76</v>
      </c>
      <c r="C152" s="21" t="n">
        <f aca="false">Q!J21</f>
        <v>-10.541</v>
      </c>
      <c r="D152" s="21" t="n">
        <f aca="false">Q!K21</f>
        <v>-16.76</v>
      </c>
      <c r="E152" s="21" t="n">
        <f aca="false">Q!L21</f>
        <v>-11.18</v>
      </c>
      <c r="F152" s="21" t="n">
        <f aca="false">F135-abc_rate*F136-Thesis!F72</f>
        <v>-16.2922598465888</v>
      </c>
      <c r="G152" s="21" t="n">
        <f aca="false">E152+F152</f>
        <v>-27.4722598465888</v>
      </c>
      <c r="H152" s="21" t="n">
        <f aca="false">H135-abc_rate*H136-Thesis!H72</f>
        <v>-44.7529345469896</v>
      </c>
      <c r="I152" s="21" t="n">
        <f aca="false">I135-abc_rate*I136-Thesis!I72</f>
        <v>-58.123784250763</v>
      </c>
      <c r="J152" s="21" t="n">
        <f aca="false">J135-abc_rate*J136-Thesis!J72</f>
        <v>-69.4432857181259</v>
      </c>
      <c r="K152" s="21" t="n">
        <f aca="false">K135-abc_rate*K136-Thesis!K72</f>
        <v>-81.0800677390033</v>
      </c>
      <c r="L152" s="21" t="n">
        <f aca="false">L135-abc_rate*L136-Thesis!L72</f>
        <v>-97.9930599907531</v>
      </c>
      <c r="M152" s="21" t="n">
        <f aca="false">M135-abc_rate*M136-Thesis!M72</f>
        <v>-115.334163065415</v>
      </c>
    </row>
    <row r="153" customFormat="false" ht="15" hidden="false" customHeight="false" outlineLevel="0" collapsed="false">
      <c r="A153" s="0" t="s">
        <v>871</v>
      </c>
      <c r="B153" s="0" t="s">
        <v>76</v>
      </c>
      <c r="F153" s="21" t="n">
        <f aca="false">F152+F151</f>
        <v>-14.2969129733215</v>
      </c>
      <c r="H153" s="21" t="n">
        <f aca="false">H152+H151</f>
        <v>-34.9205045388099</v>
      </c>
      <c r="I153" s="21" t="n">
        <f aca="false">I152+I151</f>
        <v>-40.7573889730798</v>
      </c>
      <c r="J153" s="21" t="n">
        <f aca="false">J152+J151</f>
        <v>-43.8743418567055</v>
      </c>
      <c r="K153" s="21" t="n">
        <f aca="false">K152+K151</f>
        <v>-46.0895246106458</v>
      </c>
      <c r="L153" s="21" t="n">
        <f aca="false">L152+L151</f>
        <v>-51.9002062794264</v>
      </c>
      <c r="M153" s="21" t="n">
        <f aca="false">M152+M151</f>
        <v>-57.9179906995166</v>
      </c>
    </row>
    <row r="154" customFormat="false" ht="15" hidden="false" customHeight="false" outlineLevel="0" collapsed="false">
      <c r="A154" s="4" t="s">
        <v>872</v>
      </c>
      <c r="B154" s="0" t="s">
        <v>76</v>
      </c>
      <c r="C154" s="21" t="n">
        <f aca="false">C144+C147+C149+C152</f>
        <v>112.39</v>
      </c>
      <c r="D154" s="21" t="n">
        <f aca="false">D144+D147+D149+D152</f>
        <v>129.039</v>
      </c>
      <c r="E154" s="21" t="n">
        <f aca="false">E144+E147+E149+E152</f>
        <v>80.466</v>
      </c>
      <c r="F154" s="21" t="n">
        <f aca="false">F144+F147+F149+F152</f>
        <v>84.2498925897347</v>
      </c>
      <c r="G154" s="21" t="n">
        <f aca="false">G144+G147+G149+G152</f>
        <v>164.715892589735</v>
      </c>
      <c r="H154" s="21" t="n">
        <f aca="false">H144+H147+H149+H152</f>
        <v>149.985610799441</v>
      </c>
      <c r="I154" s="21" t="n">
        <f aca="false">I144+I147+I149+I152</f>
        <v>138.594210331407</v>
      </c>
      <c r="J154" s="21" t="n">
        <f aca="false">J144+J147+J149+J152</f>
        <v>125.063236579685</v>
      </c>
      <c r="K154" s="21" t="n">
        <f aca="false">K144+K147+K149+K152</f>
        <v>100.175639325366</v>
      </c>
      <c r="L154" s="21" t="n">
        <f aca="false">L144+L147+L149+L152</f>
        <v>80.9607988613691</v>
      </c>
      <c r="M154" s="21" t="n">
        <f aca="false">M144+M147+M149+M152</f>
        <v>61.9782149623676</v>
      </c>
    </row>
    <row r="155" customFormat="false" ht="17.15" hidden="false" customHeight="false" outlineLevel="0" collapsed="false">
      <c r="A155" s="4" t="s">
        <v>873</v>
      </c>
      <c r="B155" s="0" t="s">
        <v>76</v>
      </c>
      <c r="F155" s="21" t="n">
        <f aca="false">F142+F145+F150+F153</f>
        <v>106.112111419905</v>
      </c>
      <c r="H155" s="21" t="n">
        <f aca="false">H142+H145+H150+H153</f>
        <v>216.796660198525</v>
      </c>
      <c r="I155" s="21" t="n">
        <f aca="false">I142+I145+I150+I153</f>
        <v>237.161942059944</v>
      </c>
      <c r="J155" s="21" t="n">
        <f aca="false">J142+J145+J150+J153</f>
        <v>258.4617204139</v>
      </c>
      <c r="K155" s="21" t="n">
        <f aca="false">K142+K145+K150+K153</f>
        <v>273.272032025762</v>
      </c>
      <c r="L155" s="21" t="n">
        <f aca="false">L142+L145+L150+L153</f>
        <v>300.118167730988</v>
      </c>
      <c r="M155" s="21" t="n">
        <f aca="false">M142+M145+M150+M153</f>
        <v>328.496567545616</v>
      </c>
    </row>
    <row r="156" customFormat="false" ht="17.15" hidden="false" customHeight="false" outlineLevel="0" collapsed="false">
      <c r="A156" s="4" t="s">
        <v>874</v>
      </c>
      <c r="B156" s="0" t="s">
        <v>76</v>
      </c>
      <c r="C156" s="21" t="n">
        <f aca="false">Q!J43</f>
        <v>15.311</v>
      </c>
      <c r="D156" s="21" t="n">
        <f aca="false">Q!K43</f>
        <v>21.136</v>
      </c>
      <c r="E156" s="21" t="n">
        <f aca="false">Q!L43</f>
        <v>13.586</v>
      </c>
      <c r="F156" s="21" t="n">
        <f aca="false">da_base*0.5+Thesis!F63+Seg!F110</f>
        <v>21.8622188301703</v>
      </c>
      <c r="G156" s="21" t="n">
        <f aca="false">E156+F156</f>
        <v>35.4482188301703</v>
      </c>
      <c r="H156" s="21" t="n">
        <f aca="false">da_base*1+Thesis!H63+Seg!H110</f>
        <v>66.8110493990838</v>
      </c>
      <c r="I156" s="21" t="n">
        <f aca="false">da_base*1+Thesis!I63+Seg!I110</f>
        <v>98.5677317285365</v>
      </c>
      <c r="J156" s="21" t="n">
        <f aca="false">da_base*1+Thesis!J63+Seg!J110</f>
        <v>133.398483834215</v>
      </c>
      <c r="K156" s="21" t="n">
        <f aca="false">da_base*1+Thesis!K63+Seg!K110</f>
        <v>173.096392700396</v>
      </c>
      <c r="L156" s="21" t="n">
        <f aca="false">da_base*1+Thesis!L63+Seg!L110</f>
        <v>219.157368869619</v>
      </c>
      <c r="M156" s="21" t="n">
        <f aca="false">da_base*1+Thesis!M63+Seg!M110</f>
        <v>266.518352583249</v>
      </c>
      <c r="N156" s="7" t="s">
        <v>875</v>
      </c>
    </row>
    <row r="157" customFormat="false" ht="17.15" hidden="false" customHeight="false" outlineLevel="0" collapsed="false">
      <c r="A157" s="4" t="s">
        <v>876</v>
      </c>
      <c r="B157" s="0" t="s">
        <v>76</v>
      </c>
      <c r="F157" s="21" t="n">
        <f aca="false">Thesis!F63</f>
        <v>7.12623883309764</v>
      </c>
      <c r="G157" s="21" t="n">
        <f aca="false">F157</f>
        <v>7.12623883309764</v>
      </c>
      <c r="H157" s="21" t="n">
        <f aca="false">Thesis!H63</f>
        <v>35.1158214577847</v>
      </c>
      <c r="I157" s="21" t="n">
        <f aca="false">Thesis!I63</f>
        <v>62.0228402774397</v>
      </c>
      <c r="J157" s="21" t="n">
        <f aca="false">Thesis!J63</f>
        <v>91.3176566479297</v>
      </c>
      <c r="K157" s="21" t="n">
        <f aca="false">Thesis!K63</f>
        <v>124.96622545842</v>
      </c>
      <c r="L157" s="21" t="n">
        <f aca="false">Thesis!L63</f>
        <v>164.61733468331</v>
      </c>
      <c r="M157" s="21" t="n">
        <f aca="false">Thesis!M63</f>
        <v>205.057758449638</v>
      </c>
    </row>
    <row r="158" customFormat="false" ht="17.15" hidden="false" customHeight="false" outlineLevel="0" collapsed="false">
      <c r="A158" s="24" t="s">
        <v>659</v>
      </c>
      <c r="B158" s="26" t="s">
        <v>76</v>
      </c>
      <c r="C158" s="27" t="n">
        <f aca="false">Q!J22</f>
        <v>112.39</v>
      </c>
      <c r="D158" s="27" t="n">
        <f aca="false">Q!K22</f>
        <v>129.039</v>
      </c>
      <c r="E158" s="27" t="n">
        <f aca="false">Q!L22</f>
        <v>80.466</v>
      </c>
      <c r="F158" s="27" t="n">
        <f aca="false">F155-F156</f>
        <v>84.2498925897347</v>
      </c>
      <c r="G158" s="27" t="n">
        <f aca="false">E158+F158</f>
        <v>164.715892589735</v>
      </c>
      <c r="H158" s="27" t="n">
        <f aca="false">H155-H156</f>
        <v>149.985610799441</v>
      </c>
      <c r="I158" s="27" t="n">
        <f aca="false">I155-I156</f>
        <v>138.594210331407</v>
      </c>
      <c r="J158" s="27" t="n">
        <f aca="false">J155-J156</f>
        <v>125.063236579685</v>
      </c>
      <c r="K158" s="27" t="n">
        <f aca="false">K155-K156</f>
        <v>100.175639325366</v>
      </c>
      <c r="L158" s="27" t="n">
        <f aca="false">L155-L156</f>
        <v>80.960798861369</v>
      </c>
      <c r="M158" s="27" t="n">
        <f aca="false">M155-M156</f>
        <v>61.9782149623676</v>
      </c>
      <c r="N158" s="28" t="s">
        <v>877</v>
      </c>
    </row>
    <row r="159" customFormat="false" ht="15" hidden="false" customHeight="false" outlineLevel="0" collapsed="false">
      <c r="A159" s="4" t="s">
        <v>660</v>
      </c>
      <c r="B159" s="0" t="s">
        <v>76</v>
      </c>
      <c r="C159" s="16" t="n">
        <f aca="false">C154-C158</f>
        <v>0</v>
      </c>
      <c r="D159" s="16" t="n">
        <f aca="false">D154-D158</f>
        <v>0</v>
      </c>
      <c r="E159" s="16" t="n">
        <f aca="false">E154-E158</f>
        <v>0</v>
      </c>
      <c r="F159" s="16" t="n">
        <f aca="false">F154-F158</f>
        <v>0</v>
      </c>
      <c r="G159" s="16" t="n">
        <f aca="false">G154-G158</f>
        <v>0</v>
      </c>
      <c r="H159" s="16" t="n">
        <f aca="false">H154-H158</f>
        <v>0</v>
      </c>
      <c r="I159" s="16" t="n">
        <f aca="false">I154-I158</f>
        <v>0</v>
      </c>
      <c r="J159" s="16" t="n">
        <f aca="false">J154-J158</f>
        <v>0</v>
      </c>
      <c r="K159" s="16" t="n">
        <f aca="false">K154-K158</f>
        <v>0</v>
      </c>
      <c r="L159" s="16" t="n">
        <f aca="false">L154-L158</f>
        <v>0</v>
      </c>
      <c r="M159" s="16" t="n">
        <f aca="false">M154-M158</f>
        <v>0</v>
      </c>
    </row>
    <row r="160" customFormat="false" ht="15" hidden="false" customHeight="false" outlineLevel="0" collapsed="false">
      <c r="A160" s="4" t="s">
        <v>878</v>
      </c>
      <c r="B160" s="0" t="s">
        <v>99</v>
      </c>
      <c r="C160" s="19" t="n">
        <f aca="false">C158/C136</f>
        <v>0.321097772114577</v>
      </c>
      <c r="D160" s="19" t="n">
        <f aca="false">D158/D136</f>
        <v>0.3203263859238</v>
      </c>
      <c r="E160" s="19" t="n">
        <f aca="false">E158/E136</f>
        <v>0.350321299827595</v>
      </c>
      <c r="F160" s="19" t="n">
        <f aca="false">F158/F136</f>
        <v>0.31534303197402</v>
      </c>
      <c r="G160" s="19" t="n">
        <f aca="false">G158/G136</f>
        <v>0.331513002615575</v>
      </c>
      <c r="H160" s="19" t="n">
        <f aca="false">H158/H136</f>
        <v>0.257227429490086</v>
      </c>
      <c r="I160" s="19" t="n">
        <f aca="false">I158/I136</f>
        <v>0.211879593770581</v>
      </c>
      <c r="J160" s="19" t="n">
        <f aca="false">J158/J136</f>
        <v>0.175187389351596</v>
      </c>
      <c r="K160" s="19" t="n">
        <f aca="false">K158/K136</f>
        <v>0.132686952992961</v>
      </c>
      <c r="L160" s="19" t="n">
        <f aca="false">L158/L136</f>
        <v>0.0981582558813105</v>
      </c>
      <c r="M160" s="19" t="n">
        <f aca="false">M158/M136</f>
        <v>0.068948350796858</v>
      </c>
    </row>
    <row r="161" customFormat="false" ht="17.15" hidden="false" customHeight="false" outlineLevel="0" collapsed="false">
      <c r="A161" s="0" t="s">
        <v>879</v>
      </c>
      <c r="B161" s="0" t="s">
        <v>99</v>
      </c>
      <c r="C161" s="19" t="n">
        <f aca="false">C144/C129</f>
        <v>0.397674876201095</v>
      </c>
      <c r="D161" s="19" t="n">
        <f aca="false">D144/D129</f>
        <v>0.406756516233321</v>
      </c>
      <c r="E161" s="19" t="n">
        <f aca="false">E144/E129</f>
        <v>0.435086900101533</v>
      </c>
      <c r="F161" s="19" t="n">
        <f aca="false">F144/F129</f>
        <v>0.412843499578728</v>
      </c>
      <c r="G161" s="19" t="n">
        <f aca="false">G144/G129</f>
        <v>0.423237515966416</v>
      </c>
      <c r="H161" s="19" t="n">
        <f aca="false">H144/H129</f>
        <v>0.365037782796341</v>
      </c>
      <c r="I161" s="19" t="n">
        <f aca="false">I144/I129</f>
        <v>0.320624741156025</v>
      </c>
      <c r="J161" s="19" t="n">
        <f aca="false">J144/J129</f>
        <v>0.280601457956055</v>
      </c>
      <c r="K161" s="19" t="n">
        <f aca="false">K144/K129</f>
        <v>0.234354736128379</v>
      </c>
      <c r="L161" s="19" t="n">
        <f aca="false">L144/L129</f>
        <v>0.204528518279754</v>
      </c>
      <c r="M161" s="19" t="n">
        <f aca="false">M144/M129</f>
        <v>0.179312754117149</v>
      </c>
    </row>
    <row r="162" customFormat="false" ht="17.15" hidden="false" customHeight="false" outlineLevel="0" collapsed="false">
      <c r="A162" s="0" t="s">
        <v>880</v>
      </c>
      <c r="B162" s="0" t="s">
        <v>99</v>
      </c>
      <c r="C162" s="19" t="n">
        <f aca="false">C147/C133</f>
        <v>0.141386569201231</v>
      </c>
      <c r="D162" s="19" t="n">
        <f aca="false">D147/D133</f>
        <v>0.236947449109957</v>
      </c>
      <c r="E162" s="19" t="n">
        <f aca="false">E147/E133</f>
        <v>0.344048575765693</v>
      </c>
      <c r="F162" s="19" t="n">
        <f aca="false">F147/F133</f>
        <v>0.325210256120808</v>
      </c>
      <c r="G162" s="19" t="n">
        <f aca="false">G147/G133</f>
        <v>0.333544918889945</v>
      </c>
      <c r="H162" s="19" t="n">
        <f aca="false">H147/H133</f>
        <v>0.310989281616584</v>
      </c>
      <c r="I162" s="19" t="n">
        <f aca="false">I147/I133</f>
        <v>0.303830426935535</v>
      </c>
      <c r="J162" s="19" t="n">
        <f aca="false">J147/J133</f>
        <v>0.295832207211872</v>
      </c>
      <c r="K162" s="19" t="n">
        <f aca="false">K147/K133</f>
        <v>0.284264511271575</v>
      </c>
      <c r="L162" s="19" t="n">
        <f aca="false">L147/L133</f>
        <v>0.268387657763078</v>
      </c>
      <c r="M162" s="19" t="n">
        <f aca="false">M147/M133</f>
        <v>0.254066567177993</v>
      </c>
    </row>
    <row r="163" customFormat="false" ht="17.15" hidden="false" customHeight="false" outlineLevel="0" collapsed="false">
      <c r="A163" s="4" t="s">
        <v>881</v>
      </c>
      <c r="B163" s="0" t="s">
        <v>76</v>
      </c>
      <c r="F163" s="21" t="n">
        <f aca="false">r_cash*CF!F94*0.5</f>
        <v>2.952809</v>
      </c>
      <c r="G163" s="21" t="n">
        <f aca="false">F163</f>
        <v>2.952809</v>
      </c>
      <c r="H163" s="21" t="n">
        <f aca="false">r_cash*CF!H94*1</f>
        <v>6.39956355321569</v>
      </c>
      <c r="I163" s="21" t="n">
        <f aca="false">r_cash*CF!I94*1</f>
        <v>4.78522623468449</v>
      </c>
      <c r="J163" s="21" t="n">
        <f aca="false">r_cash*CF!J94*1</f>
        <v>3.3465996665258</v>
      </c>
      <c r="K163" s="21" t="n">
        <f aca="false">r_cash*CF!K94*1</f>
        <v>1.9</v>
      </c>
      <c r="L163" s="21" t="n">
        <f aca="false">r_cash*CF!L94*1</f>
        <v>1.9</v>
      </c>
      <c r="M163" s="21" t="n">
        <f aca="false">r_cash*CF!M94*1</f>
        <v>1.9</v>
      </c>
    </row>
    <row r="164" customFormat="false" ht="17.15" hidden="false" customHeight="false" outlineLevel="0" collapsed="false">
      <c r="A164" s="4" t="s">
        <v>882</v>
      </c>
      <c r="B164" s="0" t="s">
        <v>76</v>
      </c>
      <c r="F164" s="21" t="n">
        <f aca="false">r_debt*CF!F101*0.5</f>
        <v>2.42604</v>
      </c>
      <c r="G164" s="21" t="n">
        <f aca="false">F164</f>
        <v>2.42604</v>
      </c>
      <c r="H164" s="21" t="n">
        <f aca="false">r_debt*CF!H101*1</f>
        <v>5.95608</v>
      </c>
      <c r="I164" s="21" t="n">
        <f aca="false">r_debt*CF!I101*1</f>
        <v>5.90808</v>
      </c>
      <c r="J164" s="21" t="n">
        <f aca="false">r_debt*CF!J101*1</f>
        <v>5.779632</v>
      </c>
      <c r="K164" s="21" t="n">
        <f aca="false">r_debt*CF!K101*1</f>
        <v>5.69496</v>
      </c>
      <c r="L164" s="21" t="n">
        <f aca="false">r_debt*CF!L101*1</f>
        <v>7.49898400275546</v>
      </c>
      <c r="M164" s="21" t="n">
        <f aca="false">r_debt*CF!M101*1</f>
        <v>9.97535919475767</v>
      </c>
    </row>
    <row r="165" customFormat="false" ht="17.15" hidden="false" customHeight="false" outlineLevel="0" collapsed="false">
      <c r="A165" s="4" t="s">
        <v>883</v>
      </c>
      <c r="B165" s="0" t="s">
        <v>76</v>
      </c>
      <c r="D165" s="21" t="n">
        <f aca="false">SUM(Q!D33:G33)</f>
        <v>24.08</v>
      </c>
      <c r="E165" s="21" t="n">
        <f aca="false">Q!L33</f>
        <v>135.946</v>
      </c>
      <c r="F165" s="23" t="n">
        <v>0</v>
      </c>
      <c r="G165" s="21" t="n">
        <f aca="false">E165+F165</f>
        <v>135.946</v>
      </c>
      <c r="H165" s="23" t="n">
        <v>0</v>
      </c>
      <c r="I165" s="23" t="n">
        <v>0</v>
      </c>
      <c r="J165" s="23" t="n">
        <v>0</v>
      </c>
      <c r="K165" s="23" t="n">
        <v>0</v>
      </c>
      <c r="L165" s="23" t="n">
        <v>0</v>
      </c>
      <c r="M165" s="23" t="n">
        <v>0</v>
      </c>
      <c r="N165" s="7" t="s">
        <v>884</v>
      </c>
    </row>
    <row r="166" customFormat="false" ht="15" hidden="false" customHeight="false" outlineLevel="0" collapsed="false">
      <c r="A166" s="4" t="s">
        <v>885</v>
      </c>
      <c r="B166" s="0" t="s">
        <v>76</v>
      </c>
      <c r="C166" s="21" t="n">
        <f aca="false">Q!J32</f>
        <v>7.425</v>
      </c>
      <c r="D166" s="21" t="n">
        <f aca="false">Q!K32</f>
        <v>29.787</v>
      </c>
      <c r="E166" s="21" t="n">
        <f aca="false">Q!L32</f>
        <v>135.699</v>
      </c>
      <c r="F166" s="21" t="n">
        <f aca="false">F163-F164+F165</f>
        <v>0.526769</v>
      </c>
      <c r="G166" s="21" t="n">
        <f aca="false">E166+F166</f>
        <v>136.225769</v>
      </c>
      <c r="H166" s="21" t="n">
        <f aca="false">H163-H164+H165</f>
        <v>0.443483553215692</v>
      </c>
      <c r="I166" s="21" t="n">
        <f aca="false">I163-I164+I165</f>
        <v>-1.12285376531551</v>
      </c>
      <c r="J166" s="21" t="n">
        <f aca="false">J163-J164+J165</f>
        <v>-2.4330323334742</v>
      </c>
      <c r="K166" s="21" t="n">
        <f aca="false">K163-K164+K165</f>
        <v>-3.79496</v>
      </c>
      <c r="L166" s="21" t="n">
        <f aca="false">L163-L164+L165</f>
        <v>-5.59898400275546</v>
      </c>
      <c r="M166" s="21" t="n">
        <f aca="false">M163-M164+M165</f>
        <v>-8.07535919475767</v>
      </c>
    </row>
    <row r="167" customFormat="false" ht="15" hidden="false" customHeight="false" outlineLevel="0" collapsed="false">
      <c r="A167" s="4" t="s">
        <v>670</v>
      </c>
      <c r="B167" s="0" t="s">
        <v>76</v>
      </c>
      <c r="C167" s="21" t="n">
        <f aca="false">C158+C166</f>
        <v>119.815</v>
      </c>
      <c r="D167" s="21" t="n">
        <f aca="false">D158+D166</f>
        <v>158.826</v>
      </c>
      <c r="E167" s="21" t="n">
        <f aca="false">E158+E166</f>
        <v>216.165</v>
      </c>
      <c r="F167" s="21" t="n">
        <f aca="false">F158+F166</f>
        <v>84.7766615897347</v>
      </c>
      <c r="G167" s="21" t="n">
        <f aca="false">G158+G166</f>
        <v>300.941661589735</v>
      </c>
      <c r="H167" s="21" t="n">
        <f aca="false">H158+H166</f>
        <v>150.429094352657</v>
      </c>
      <c r="I167" s="21" t="n">
        <f aca="false">I158+I166</f>
        <v>137.471356566092</v>
      </c>
      <c r="J167" s="21" t="n">
        <f aca="false">J158+J166</f>
        <v>122.630204246211</v>
      </c>
      <c r="K167" s="21" t="n">
        <f aca="false">K158+K166</f>
        <v>96.3806793253655</v>
      </c>
      <c r="L167" s="21" t="n">
        <f aca="false">L158+L166</f>
        <v>75.3618148586136</v>
      </c>
      <c r="M167" s="21" t="n">
        <f aca="false">M158+M166</f>
        <v>53.90285576761</v>
      </c>
    </row>
    <row r="168" customFormat="false" ht="15" hidden="false" customHeight="false" outlineLevel="0" collapsed="false">
      <c r="A168" s="4" t="s">
        <v>672</v>
      </c>
      <c r="B168" s="0" t="s">
        <v>76</v>
      </c>
      <c r="C168" s="21" t="n">
        <f aca="false">Q!J36</f>
        <v>19.697</v>
      </c>
      <c r="D168" s="21" t="n">
        <f aca="false">Q!K36</f>
        <v>26.656</v>
      </c>
      <c r="E168" s="21" t="n">
        <f aca="false">Q!L36</f>
        <v>41.394</v>
      </c>
      <c r="F168" s="21" t="n">
        <f aca="false">F167*tax</f>
        <v>14.2424791470754</v>
      </c>
      <c r="G168" s="21" t="n">
        <f aca="false">E168+F168</f>
        <v>55.6364791470754</v>
      </c>
      <c r="H168" s="21" t="n">
        <f aca="false">H167*tax</f>
        <v>25.2720878512463</v>
      </c>
      <c r="I168" s="21" t="n">
        <f aca="false">I167*tax</f>
        <v>23.0951879031034</v>
      </c>
      <c r="J168" s="21" t="n">
        <f aca="false">J167*tax</f>
        <v>20.6018743133634</v>
      </c>
      <c r="K168" s="21" t="n">
        <f aca="false">K167*tax</f>
        <v>16.1919541266614</v>
      </c>
      <c r="L168" s="21" t="n">
        <f aca="false">L167*tax</f>
        <v>12.6607848962471</v>
      </c>
      <c r="M168" s="21" t="n">
        <f aca="false">M167*tax</f>
        <v>9.05567976895848</v>
      </c>
    </row>
    <row r="169" customFormat="false" ht="15" hidden="false" customHeight="false" outlineLevel="0" collapsed="false">
      <c r="A169" s="2" t="s">
        <v>673</v>
      </c>
      <c r="B169" s="7" t="s">
        <v>76</v>
      </c>
      <c r="C169" s="21" t="n">
        <f aca="false">C167-C168</f>
        <v>100.118</v>
      </c>
      <c r="D169" s="21" t="n">
        <f aca="false">D167-D168</f>
        <v>132.17</v>
      </c>
      <c r="E169" s="21" t="n">
        <f aca="false">E167-E168</f>
        <v>174.771</v>
      </c>
      <c r="F169" s="21" t="n">
        <f aca="false">F167-F168</f>
        <v>70.5341824426593</v>
      </c>
      <c r="G169" s="21" t="n">
        <f aca="false">G167-G168</f>
        <v>245.305182442659</v>
      </c>
      <c r="H169" s="21" t="n">
        <f aca="false">H167-H168</f>
        <v>125.15700650141</v>
      </c>
      <c r="I169" s="21" t="n">
        <f aca="false">I167-I168</f>
        <v>114.376168662988</v>
      </c>
      <c r="J169" s="21" t="n">
        <f aca="false">J167-J168</f>
        <v>102.028329932847</v>
      </c>
      <c r="K169" s="21" t="n">
        <f aca="false">K167-K168</f>
        <v>80.1887251987041</v>
      </c>
      <c r="L169" s="21" t="n">
        <f aca="false">L167-L168</f>
        <v>62.7010299623665</v>
      </c>
      <c r="M169" s="21" t="n">
        <f aca="false">M167-M168</f>
        <v>44.8471759986515</v>
      </c>
    </row>
    <row r="170" customFormat="false" ht="17.15" hidden="false" customHeight="false" outlineLevel="0" collapsed="false">
      <c r="A170" s="4" t="s">
        <v>886</v>
      </c>
      <c r="B170" s="0" t="s">
        <v>76</v>
      </c>
      <c r="C170" s="16" t="n">
        <f aca="false">C169-Q!J37</f>
        <v>0</v>
      </c>
      <c r="D170" s="16" t="n">
        <f aca="false">D169-Q!K37</f>
        <v>0</v>
      </c>
      <c r="E170" s="16" t="n">
        <f aca="false">E169-Q!L37</f>
        <v>0</v>
      </c>
    </row>
    <row r="171" customFormat="false" ht="15" hidden="false" customHeight="false" outlineLevel="0" collapsed="false">
      <c r="A171" s="4" t="s">
        <v>887</v>
      </c>
      <c r="B171" s="0" t="s">
        <v>76</v>
      </c>
      <c r="E171" s="23" t="n">
        <v>0</v>
      </c>
      <c r="F171" s="21" t="n">
        <f aca="false">pref_2H</f>
        <v>0.535</v>
      </c>
      <c r="G171" s="21" t="n">
        <f aca="false">E171+F171</f>
        <v>0.535</v>
      </c>
      <c r="H171" s="21" t="n">
        <f aca="false">pref_27</f>
        <v>1.203</v>
      </c>
      <c r="I171" s="21" t="n">
        <f aca="false">pref_28</f>
        <v>1.203</v>
      </c>
      <c r="J171" s="21" t="n">
        <f aca="false">pref_29</f>
        <v>0.602</v>
      </c>
      <c r="K171" s="23" t="n">
        <v>0</v>
      </c>
      <c r="L171" s="23" t="n">
        <v>0</v>
      </c>
      <c r="M171" s="23" t="n">
        <v>0</v>
      </c>
    </row>
    <row r="172" customFormat="false" ht="15" hidden="false" customHeight="false" outlineLevel="0" collapsed="false">
      <c r="A172" s="4" t="s">
        <v>888</v>
      </c>
      <c r="B172" s="0" t="s">
        <v>76</v>
      </c>
      <c r="E172" s="21" t="n">
        <f aca="false">E169-E171</f>
        <v>174.771</v>
      </c>
      <c r="F172" s="21" t="n">
        <f aca="false">F169-F171</f>
        <v>69.9991824426593</v>
      </c>
      <c r="G172" s="21" t="n">
        <f aca="false">G169-G171</f>
        <v>244.770182442659</v>
      </c>
      <c r="H172" s="21" t="n">
        <f aca="false">H169-H171</f>
        <v>123.95400650141</v>
      </c>
      <c r="I172" s="21" t="n">
        <f aca="false">I169-I171</f>
        <v>113.173168662988</v>
      </c>
      <c r="J172" s="21" t="n">
        <f aca="false">J169-J171</f>
        <v>101.426329932847</v>
      </c>
      <c r="K172" s="21" t="n">
        <f aca="false">K169-K171</f>
        <v>80.1887251987041</v>
      </c>
      <c r="L172" s="21" t="n">
        <f aca="false">L169-L171</f>
        <v>62.7010299623665</v>
      </c>
      <c r="M172" s="21" t="n">
        <f aca="false">M169-M171</f>
        <v>44.8471759986515</v>
      </c>
    </row>
    <row r="173" customFormat="false" ht="17.15" hidden="false" customHeight="false" outlineLevel="0" collapsed="false">
      <c r="A173" s="4" t="s">
        <v>889</v>
      </c>
      <c r="B173" s="4" t="s">
        <v>60</v>
      </c>
      <c r="E173" s="16" t="n">
        <f aca="false">sh_dil_q2+(sh_out-sh_basic_q2)</f>
        <v>12.388</v>
      </c>
      <c r="F173" s="16" t="n">
        <f aca="false">E173*(1+dil*0.5)-CF!F97/CF!F104</f>
        <v>12.44994</v>
      </c>
      <c r="H173" s="16" t="n">
        <f aca="false">F173*(1+dil*1)-CF!H97/CF!H104</f>
        <v>12.5246650721624</v>
      </c>
      <c r="I173" s="16" t="n">
        <f aca="false">H173*(1+dil*1)-CF!I97/CF!I104</f>
        <v>12.6053598741363</v>
      </c>
      <c r="J173" s="16" t="n">
        <f aca="false">I173*(1+dil*1)-CF!J97/CF!J104+conv_sh</f>
        <v>12.7521261280345</v>
      </c>
      <c r="K173" s="16" t="n">
        <f aca="false">J173*(1+dil*1)-CF!K97/CF!K104</f>
        <v>12.8796473893149</v>
      </c>
      <c r="L173" s="16" t="n">
        <f aca="false">K173*(1+dil*1)-CF!L97/CF!L104</f>
        <v>13.008443863208</v>
      </c>
      <c r="M173" s="16" t="n">
        <f aca="false">L173*(1+dil*1)-CF!M97/CF!M104</f>
        <v>13.1385283018401</v>
      </c>
      <c r="N173" s="7" t="s">
        <v>890</v>
      </c>
    </row>
    <row r="174" customFormat="false" ht="15" hidden="false" customHeight="false" outlineLevel="0" collapsed="false">
      <c r="A174" s="4" t="s">
        <v>891</v>
      </c>
      <c r="B174" s="4" t="s">
        <v>60</v>
      </c>
      <c r="C174" s="16" t="n">
        <f aca="false">Q!J39</f>
        <v>12.447</v>
      </c>
      <c r="D174" s="16" t="n">
        <f aca="false">Q!K39</f>
        <v>12.23</v>
      </c>
      <c r="E174" s="16" t="n">
        <f aca="false">Q!L39</f>
        <v>12.2735</v>
      </c>
      <c r="F174" s="16" t="n">
        <f aca="false">E173*(1+dil*0.25)</f>
        <v>12.41897</v>
      </c>
      <c r="G174" s="16" t="n">
        <f aca="false">(E174+F174)/2</f>
        <v>12.346235</v>
      </c>
      <c r="H174" s="16" t="n">
        <f aca="false">(F173+H173)/2</f>
        <v>12.4873025360812</v>
      </c>
      <c r="I174" s="16" t="n">
        <f aca="false">(H173+I173)/2</f>
        <v>12.5650124731493</v>
      </c>
      <c r="J174" s="16" t="n">
        <f aca="false">(I173+J173)/2</f>
        <v>12.6787430010854</v>
      </c>
      <c r="K174" s="16" t="n">
        <f aca="false">(J173+K173)/2</f>
        <v>12.8158867586747</v>
      </c>
      <c r="L174" s="16" t="n">
        <f aca="false">(K173+L173)/2</f>
        <v>12.9440456262614</v>
      </c>
      <c r="M174" s="16" t="n">
        <f aca="false">(L173+M173)/2</f>
        <v>13.073486082524</v>
      </c>
    </row>
    <row r="175" customFormat="false" ht="17.15" hidden="false" customHeight="false" outlineLevel="0" collapsed="false">
      <c r="A175" s="5" t="s">
        <v>892</v>
      </c>
      <c r="B175" s="7" t="s">
        <v>54</v>
      </c>
      <c r="C175" s="18" t="n">
        <f aca="false">C169/C174</f>
        <v>8.04354462922793</v>
      </c>
      <c r="D175" s="18" t="n">
        <f aca="false">D169/D174</f>
        <v>10.807031888798</v>
      </c>
      <c r="E175" s="18" t="n">
        <f aca="false">E172/E174</f>
        <v>14.2397034260806</v>
      </c>
      <c r="F175" s="18" t="n">
        <f aca="false">F172/F174</f>
        <v>5.63647246451672</v>
      </c>
      <c r="G175" s="18" t="n">
        <f aca="false">G172/G174</f>
        <v>19.825491936826</v>
      </c>
      <c r="H175" s="18" t="n">
        <f aca="false">H172/H174</f>
        <v>9.92640373237164</v>
      </c>
      <c r="I175" s="18" t="n">
        <f aca="false">I172/I174</f>
        <v>9.00700806344862</v>
      </c>
      <c r="J175" s="18" t="n">
        <f aca="false">J172/J174</f>
        <v>7.99971494998871</v>
      </c>
      <c r="K175" s="18" t="n">
        <f aca="false">K172/K174</f>
        <v>6.2569782886406</v>
      </c>
      <c r="L175" s="18" t="n">
        <f aca="false">L172/L174</f>
        <v>4.84400563569986</v>
      </c>
      <c r="M175" s="18" t="n">
        <f aca="false">M172/M174</f>
        <v>3.43039153562881</v>
      </c>
    </row>
    <row r="176" customFormat="false" ht="17.15" hidden="false" customHeight="false" outlineLevel="0" collapsed="false">
      <c r="A176" s="0" t="s">
        <v>893</v>
      </c>
      <c r="B176" s="0" t="s">
        <v>54</v>
      </c>
      <c r="E176" s="18" t="n">
        <f aca="false">(E172-E165*(1-tax_eq))/E174</f>
        <v>5.48936000325906</v>
      </c>
      <c r="F176" s="18" t="n">
        <f aca="false">(F172-F165*(1-tax_eq))/F174</f>
        <v>5.63647246451672</v>
      </c>
      <c r="G176" s="18" t="n">
        <f aca="false">(G172-G165*(1-tax_eq))/G174</f>
        <v>11.1266991469593</v>
      </c>
      <c r="H176" s="18" t="n">
        <f aca="false">(H172-H165*(1-tax_eq))/H174</f>
        <v>9.92640373237164</v>
      </c>
      <c r="I176" s="18" t="n">
        <f aca="false">(I172-I165*(1-tax_eq))/I174</f>
        <v>9.00700806344862</v>
      </c>
      <c r="J176" s="18" t="n">
        <f aca="false">(J172-J165*(1-tax_eq))/J174</f>
        <v>7.99971494998871</v>
      </c>
      <c r="K176" s="18" t="n">
        <f aca="false">(K172-K165*(1-tax_eq))/K174</f>
        <v>6.2569782886406</v>
      </c>
      <c r="L176" s="18" t="n">
        <f aca="false">(L172-L165*(1-tax_eq))/L174</f>
        <v>4.84400563569986</v>
      </c>
      <c r="M176" s="18" t="n">
        <f aca="false">(M172-M165*(1-tax_eq))/M174</f>
        <v>3.43039153562881</v>
      </c>
      <c r="N176" s="4" t="s">
        <v>894</v>
      </c>
    </row>
    <row r="177" customFormat="false" ht="15" hidden="false" customHeight="false" outlineLevel="0" collapsed="false">
      <c r="A177" s="4" t="s">
        <v>895</v>
      </c>
      <c r="B177" s="0" t="s">
        <v>76</v>
      </c>
      <c r="C177" s="21" t="n">
        <f aca="false">Q!J44</f>
        <v>22.785</v>
      </c>
      <c r="D177" s="21" t="n">
        <f aca="false">Q!K44</f>
        <v>24.953</v>
      </c>
      <c r="E177" s="21" t="n">
        <f aca="false">Q!L44</f>
        <v>14.708</v>
      </c>
      <c r="F177" s="21" t="n">
        <f aca="false">F136*sbc_r</f>
        <v>16.8583659170571</v>
      </c>
      <c r="G177" s="21" t="n">
        <f aca="false">E177+F177</f>
        <v>31.5663659170571</v>
      </c>
      <c r="H177" s="21" t="n">
        <f aca="false">H136*sbc_r</f>
        <v>36.7927015412231</v>
      </c>
      <c r="I177" s="21" t="n">
        <f aca="false">I136*sbc_r</f>
        <v>41.2748321642576</v>
      </c>
      <c r="J177" s="21" t="n">
        <f aca="false">J136*sbc_r</f>
        <v>45.0459947909842</v>
      </c>
      <c r="K177" s="21" t="n">
        <f aca="false">K136*sbc_r</f>
        <v>47.6390684905235</v>
      </c>
      <c r="L177" s="21" t="n">
        <f aca="false">L136*sbc_r</f>
        <v>52.0447960518936</v>
      </c>
      <c r="M177" s="21" t="n">
        <f aca="false">M136*sbc_r</f>
        <v>56.7210864208751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896</v>
      </c>
    </row>
    <row r="2" customFormat="false" ht="17.15" hidden="false" customHeight="false" outlineLevel="0" collapsed="false">
      <c r="A2" s="0" t="s">
        <v>897</v>
      </c>
    </row>
    <row r="4" customFormat="false" ht="17.15" hidden="false" customHeight="false" outlineLevel="0" collapsed="false">
      <c r="A4" s="2" t="s">
        <v>898</v>
      </c>
    </row>
    <row r="5" customFormat="false" ht="17.15" hidden="false" customHeight="false" outlineLevel="0" collapsed="false">
      <c r="A5" s="3" t="s">
        <v>43</v>
      </c>
      <c r="B5" s="3" t="s">
        <v>899</v>
      </c>
      <c r="C5" s="3" t="s">
        <v>900</v>
      </c>
      <c r="D5" s="3" t="s">
        <v>901</v>
      </c>
      <c r="E5" s="3" t="s">
        <v>50</v>
      </c>
    </row>
    <row r="6" customFormat="false" ht="17.15" hidden="false" customHeight="false" outlineLevel="0" collapsed="false">
      <c r="A6" s="4" t="s">
        <v>902</v>
      </c>
      <c r="B6" s="20" t="n">
        <f aca="false">SUM(G25:K25)</f>
        <v>137.385323733618</v>
      </c>
      <c r="C6" s="20" t="n">
        <f aca="false">SUM(G57:K57)</f>
        <v>56.216181683548</v>
      </c>
      <c r="D6" s="20" t="n">
        <f aca="false">SUM(G89:K89)</f>
        <v>-93.911858380418</v>
      </c>
      <c r="E6" s="7" t="s">
        <v>903</v>
      </c>
    </row>
    <row r="7" customFormat="false" ht="15" hidden="false" customHeight="false" outlineLevel="0" collapsed="false">
      <c r="A7" s="4" t="s">
        <v>904</v>
      </c>
      <c r="B7" s="20" t="n">
        <f aca="false">SUM(G34:K34)</f>
        <v>0</v>
      </c>
      <c r="C7" s="20" t="n">
        <f aca="false">SUM(G66:K66)</f>
        <v>0</v>
      </c>
      <c r="D7" s="20" t="n">
        <f aca="false">SUM(G98:K98)</f>
        <v>44.7698333907388</v>
      </c>
    </row>
    <row r="8" customFormat="false" ht="17.15" hidden="false" customHeight="false" outlineLevel="0" collapsed="false">
      <c r="A8" s="4" t="s">
        <v>905</v>
      </c>
      <c r="B8" s="20" t="n">
        <f aca="false">SUM(G33:K33)</f>
        <v>68.012</v>
      </c>
      <c r="C8" s="20" t="n">
        <f aca="false">SUM(G65:K65)</f>
        <v>68.012</v>
      </c>
      <c r="D8" s="20" t="n">
        <f aca="false">SUM(G97:K97)</f>
        <v>48.4549750103207</v>
      </c>
    </row>
    <row r="9" customFormat="false" ht="17.15" hidden="false" customHeight="false" outlineLevel="0" collapsed="false">
      <c r="A9" s="4" t="s">
        <v>906</v>
      </c>
      <c r="B9" s="0" t="str">
        <f aca="false">IF(B7&gt;0.001,"需要舉債"&amp;IF(B8&lt;4*bb_t-0.001,"且減少回購",""),IF(B8&lt;4*bb_t-0.001,"不需舉債，但須減少回購","不需舉債，回購照目標"))</f>
        <v>不需舉債，回購照目標</v>
      </c>
      <c r="C9" s="0" t="str">
        <f aca="false">IF(C7&gt;0.001,"需要舉債"&amp;IF(C8&lt;4*bb_t-0.001,"且減少回購",""),IF(C8&lt;4*bb_t-0.001,"不需舉債，但須減少回購","不需舉債，回購照目標"))</f>
        <v>不需舉債，回購照目標</v>
      </c>
      <c r="D9" s="0" t="str">
        <f aca="false">IF(D7&gt;0.001,"需要舉債"&amp;IF(D8&lt;4*bb_t-0.001,"且減少回購",""),IF(D8&lt;4*bb_t-0.001,"不需舉債，但須減少回購","不需舉債，回購照目標"))</f>
        <v>需要舉債且減少回購</v>
      </c>
      <c r="E9" s="4" t="s">
        <v>907</v>
      </c>
    </row>
    <row r="10" customFormat="false" ht="17.15" hidden="false" customHeight="false" outlineLevel="0" collapsed="false">
      <c r="A10" s="24" t="s">
        <v>813</v>
      </c>
    </row>
    <row r="11" customFormat="false" ht="15" hidden="false" customHeight="false" outlineLevel="0" collapsed="false">
      <c r="A11" s="3" t="s">
        <v>43</v>
      </c>
      <c r="B11" s="3" t="s">
        <v>44</v>
      </c>
      <c r="C11" s="14" t="s">
        <v>746</v>
      </c>
      <c r="D11" s="14" t="s">
        <v>747</v>
      </c>
      <c r="E11" s="14" t="s">
        <v>748</v>
      </c>
      <c r="F11" s="14" t="s">
        <v>749</v>
      </c>
      <c r="G11" s="14" t="s">
        <v>750</v>
      </c>
      <c r="H11" s="14" t="s">
        <v>751</v>
      </c>
      <c r="I11" s="14" t="s">
        <v>752</v>
      </c>
      <c r="J11" s="14" t="s">
        <v>753</v>
      </c>
      <c r="K11" s="14" t="s">
        <v>754</v>
      </c>
      <c r="L11" s="14" t="s">
        <v>755</v>
      </c>
      <c r="M11" s="14" t="s">
        <v>756</v>
      </c>
      <c r="N11" s="3" t="s">
        <v>50</v>
      </c>
    </row>
    <row r="12" customFormat="false" ht="15" hidden="false" customHeight="false" outlineLevel="0" collapsed="false">
      <c r="A12" s="4" t="s">
        <v>673</v>
      </c>
      <c r="B12" s="0" t="s">
        <v>76</v>
      </c>
      <c r="C12" s="21" t="n">
        <f aca="false">PL!C57</f>
        <v>100.118</v>
      </c>
      <c r="D12" s="21" t="n">
        <f aca="false">PL!D57</f>
        <v>132.17</v>
      </c>
      <c r="E12" s="21" t="n">
        <f aca="false">PL!E57</f>
        <v>174.771</v>
      </c>
      <c r="F12" s="21" t="n">
        <f aca="false">PL!F57</f>
        <v>70.5341824426593</v>
      </c>
      <c r="G12" s="21" t="n">
        <f aca="false">PL!G57</f>
        <v>245.305182442659</v>
      </c>
      <c r="H12" s="21" t="n">
        <f aca="false">PL!H57</f>
        <v>143.375437606407</v>
      </c>
      <c r="I12" s="21" t="n">
        <f aca="false">PL!I57</f>
        <v>155.412511442811</v>
      </c>
      <c r="J12" s="21" t="n">
        <f aca="false">PL!J57</f>
        <v>169.970295315124</v>
      </c>
      <c r="K12" s="21" t="n">
        <f aca="false">PL!K57</f>
        <v>178.107867084452</v>
      </c>
      <c r="L12" s="21" t="n">
        <f aca="false">PL!L57</f>
        <v>170.365507619954</v>
      </c>
      <c r="M12" s="21" t="n">
        <f aca="false">PL!M57</f>
        <v>163.223863909232</v>
      </c>
    </row>
    <row r="13" customFormat="false" ht="15" hidden="false" customHeight="false" outlineLevel="0" collapsed="false">
      <c r="A13" s="4" t="s">
        <v>908</v>
      </c>
      <c r="B13" s="0" t="s">
        <v>76</v>
      </c>
      <c r="C13" s="21" t="n">
        <f aca="false">PL!C44</f>
        <v>15.311</v>
      </c>
      <c r="D13" s="21" t="n">
        <f aca="false">PL!D44</f>
        <v>21.136</v>
      </c>
      <c r="E13" s="21" t="n">
        <f aca="false">PL!E44</f>
        <v>13.586</v>
      </c>
      <c r="F13" s="21" t="n">
        <f aca="false">PL!F44</f>
        <v>21.8622188301703</v>
      </c>
      <c r="G13" s="21" t="n">
        <f aca="false">PL!G44</f>
        <v>35.4482188301703</v>
      </c>
      <c r="H13" s="21" t="n">
        <f aca="false">PL!H44</f>
        <v>66.8615657466009</v>
      </c>
      <c r="I13" s="21" t="n">
        <f aca="false">PL!I44</f>
        <v>98.8824042375775</v>
      </c>
      <c r="J13" s="21" t="n">
        <f aca="false">PL!J44</f>
        <v>134.235540367014</v>
      </c>
      <c r="K13" s="21" t="n">
        <f aca="false">PL!K44</f>
        <v>174.750635933454</v>
      </c>
      <c r="L13" s="21" t="n">
        <f aca="false">PL!L44</f>
        <v>221.886686797599</v>
      </c>
      <c r="M13" s="21" t="n">
        <f aca="false">PL!M44</f>
        <v>270.408751181745</v>
      </c>
    </row>
    <row r="14" customFormat="false" ht="15" hidden="false" customHeight="false" outlineLevel="0" collapsed="false">
      <c r="A14" s="4" t="s">
        <v>909</v>
      </c>
      <c r="B14" s="0" t="s">
        <v>76</v>
      </c>
      <c r="C14" s="21" t="n">
        <f aca="false">PL!C65</f>
        <v>22.785</v>
      </c>
      <c r="D14" s="21" t="n">
        <f aca="false">PL!D65</f>
        <v>24.953</v>
      </c>
      <c r="E14" s="21" t="n">
        <f aca="false">PL!E65</f>
        <v>14.708</v>
      </c>
      <c r="F14" s="21" t="n">
        <f aca="false">PL!F65</f>
        <v>16.8583659170571</v>
      </c>
      <c r="G14" s="21" t="n">
        <f aca="false">PL!G65</f>
        <v>31.5663659170571</v>
      </c>
      <c r="H14" s="21" t="n">
        <f aca="false">PL!H65</f>
        <v>38.917755893444</v>
      </c>
      <c r="I14" s="21" t="n">
        <f aca="false">PL!I65</f>
        <v>46.0118383023634</v>
      </c>
      <c r="J14" s="21" t="n">
        <f aca="false">PL!J65</f>
        <v>52.80993097609</v>
      </c>
      <c r="K14" s="21" t="n">
        <f aca="false">PL!K65</f>
        <v>58.723580459413</v>
      </c>
      <c r="L14" s="21" t="n">
        <f aca="false">PL!L65</f>
        <v>64.0160689782942</v>
      </c>
      <c r="M14" s="21" t="n">
        <f aca="false">PL!M65</f>
        <v>69.6500611813878</v>
      </c>
    </row>
    <row r="15" customFormat="false" ht="17.15" hidden="false" customHeight="false" outlineLevel="0" collapsed="false">
      <c r="A15" s="4" t="s">
        <v>910</v>
      </c>
      <c r="B15" s="0" t="s">
        <v>76</v>
      </c>
      <c r="F15" s="21" t="n">
        <f aca="false">wc_2h</f>
        <v>8.49</v>
      </c>
      <c r="G15" s="21" t="n">
        <f aca="false">F15</f>
        <v>8.49</v>
      </c>
      <c r="H15" s="21" t="n">
        <f aca="false">wc_k*(PL!H24-PL!G24)</f>
        <v>1.4028549902334</v>
      </c>
      <c r="I15" s="21" t="n">
        <f aca="false">wc_k*(PL!I24-PL!H24)</f>
        <v>1.31538453540977</v>
      </c>
      <c r="J15" s="21" t="n">
        <f aca="false">wc_k*(PL!J24-PL!I24)</f>
        <v>1.26050212809194</v>
      </c>
      <c r="K15" s="21" t="n">
        <f aca="false">wc_k*(PL!K24-PL!J24)</f>
        <v>1.09650869976037</v>
      </c>
      <c r="L15" s="21" t="n">
        <f aca="false">wc_k*(PL!L24-PL!K24)</f>
        <v>0.981333053421711</v>
      </c>
      <c r="M15" s="21" t="n">
        <f aca="false">wc_k*(PL!M24-PL!L24)</f>
        <v>1.04465465572417</v>
      </c>
      <c r="N15" s="7" t="s">
        <v>911</v>
      </c>
    </row>
    <row r="16" customFormat="false" ht="15" hidden="false" customHeight="false" outlineLevel="0" collapsed="false">
      <c r="A16" s="4" t="s">
        <v>912</v>
      </c>
      <c r="B16" s="0" t="s">
        <v>76</v>
      </c>
      <c r="C16" s="21" t="n">
        <f aca="false">Q!J45-C12-C13-C14</f>
        <v>-12.915</v>
      </c>
      <c r="D16" s="21" t="n">
        <f aca="false">Q!K45-D12-D13-D14</f>
        <v>-13.546</v>
      </c>
      <c r="E16" s="21" t="n">
        <f aca="false">Q!L45-E12-E13-E14</f>
        <v>-118.206</v>
      </c>
      <c r="F16" s="23" t="n">
        <v>0</v>
      </c>
      <c r="G16" s="21" t="n">
        <f aca="false">E16+F16</f>
        <v>-118.206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</row>
    <row r="17" customFormat="false" ht="15" hidden="false" customHeight="false" outlineLevel="0" collapsed="false">
      <c r="A17" s="2" t="s">
        <v>680</v>
      </c>
      <c r="B17" s="7" t="s">
        <v>76</v>
      </c>
      <c r="C17" s="21" t="n">
        <f aca="false">C12+C13+C14+C15+C16</f>
        <v>125.299</v>
      </c>
      <c r="D17" s="21" t="n">
        <f aca="false">D12+D13+D14+D15+D16</f>
        <v>164.713</v>
      </c>
      <c r="E17" s="21" t="n">
        <f aca="false">E12+E13+E14+E15+E16</f>
        <v>84.859</v>
      </c>
      <c r="F17" s="21" t="n">
        <f aca="false">F12+F13+F14+F15+F16</f>
        <v>117.744767189887</v>
      </c>
      <c r="G17" s="21" t="n">
        <f aca="false">G12+G13+G14+G15+G16</f>
        <v>202.603767189887</v>
      </c>
      <c r="H17" s="21" t="n">
        <f aca="false">H12+H13+H14+H15+H16</f>
        <v>250.557614236686</v>
      </c>
      <c r="I17" s="21" t="n">
        <f aca="false">I12+I13+I14+I15+I16</f>
        <v>301.622138518162</v>
      </c>
      <c r="J17" s="21" t="n">
        <f aca="false">J12+J13+J14+J15+J16</f>
        <v>358.276268786319</v>
      </c>
      <c r="K17" s="21" t="n">
        <f aca="false">K12+K13+K14+K15+K16</f>
        <v>412.678592177079</v>
      </c>
      <c r="L17" s="21" t="n">
        <f aca="false">L12+L13+L14+L15+L16</f>
        <v>457.249596449269</v>
      </c>
      <c r="M17" s="21" t="n">
        <f aca="false">M12+M13+M14+M15+M16</f>
        <v>504.327330928089</v>
      </c>
    </row>
    <row r="18" customFormat="false" ht="17.15" hidden="false" customHeight="false" outlineLevel="0" collapsed="false">
      <c r="A18" s="4" t="s">
        <v>913</v>
      </c>
      <c r="B18" s="0" t="s">
        <v>76</v>
      </c>
      <c r="F18" s="21" t="n">
        <f aca="false">Thesis!F52</f>
        <v>98.2828001170933</v>
      </c>
      <c r="G18" s="21" t="n">
        <f aca="false">F18</f>
        <v>98.2828001170933</v>
      </c>
      <c r="H18" s="21" t="n">
        <f aca="false">Thesis!H52</f>
        <v>190.01908325496</v>
      </c>
      <c r="I18" s="21" t="n">
        <f aca="false">Thesis!I52</f>
        <v>201.14438688884</v>
      </c>
      <c r="J18" s="21" t="n">
        <f aca="false">Thesis!J52</f>
        <v>225.07561720724</v>
      </c>
      <c r="K18" s="21" t="n">
        <f aca="false">Thesis!K52</f>
        <v>257.77198481204</v>
      </c>
      <c r="L18" s="21" t="n">
        <f aca="false">Thesis!L52</f>
        <v>303.74385194324</v>
      </c>
      <c r="M18" s="21" t="n">
        <f aca="false">Thesis!M52</f>
        <v>334.34421662876</v>
      </c>
    </row>
    <row r="19" customFormat="false" ht="17.15" hidden="false" customHeight="false" outlineLevel="0" collapsed="false">
      <c r="A19" s="4" t="s">
        <v>914</v>
      </c>
      <c r="B19" s="0" t="s">
        <v>76</v>
      </c>
      <c r="F19" s="21" t="n">
        <f aca="false">Seg!F34</f>
        <v>21.1191998829067</v>
      </c>
      <c r="G19" s="21" t="n">
        <f aca="false">F19</f>
        <v>21.1191998829067</v>
      </c>
      <c r="H19" s="21" t="n">
        <f aca="false">Seg!H34</f>
        <v>48.7129720210214</v>
      </c>
      <c r="I19" s="21" t="n">
        <f aca="false">Seg!I34</f>
        <v>58.4138707897985</v>
      </c>
      <c r="J19" s="21" t="n">
        <f aca="false">Seg!J34</f>
        <v>67.0911779884515</v>
      </c>
      <c r="K19" s="21" t="n">
        <f aca="false">Seg!K34</f>
        <v>73.3875362726527</v>
      </c>
      <c r="L19" s="21" t="n">
        <f aca="false">Seg!L34</f>
        <v>79.2350567522493</v>
      </c>
      <c r="M19" s="21" t="n">
        <f aca="false">Seg!M34</f>
        <v>85.5604544559407</v>
      </c>
    </row>
    <row r="20" customFormat="false" ht="15" hidden="false" customHeight="false" outlineLevel="0" collapsed="false">
      <c r="A20" s="2" t="s">
        <v>915</v>
      </c>
      <c r="B20" s="7" t="s">
        <v>76</v>
      </c>
      <c r="C20" s="21" t="n">
        <f aca="false">Q!J46</f>
        <v>52.535</v>
      </c>
      <c r="D20" s="21" t="n">
        <f aca="false">Q!K46</f>
        <v>91.447</v>
      </c>
      <c r="E20" s="21" t="n">
        <f aca="false">Q!L46</f>
        <v>80.598</v>
      </c>
      <c r="F20" s="21" t="n">
        <f aca="false">F18+F19</f>
        <v>119.402</v>
      </c>
      <c r="G20" s="21" t="n">
        <f aca="false">E20+F20</f>
        <v>200</v>
      </c>
      <c r="H20" s="21" t="n">
        <f aca="false">H18+H19</f>
        <v>238.732055275981</v>
      </c>
      <c r="I20" s="21" t="n">
        <f aca="false">I18+I19</f>
        <v>259.558257678638</v>
      </c>
      <c r="J20" s="21" t="n">
        <f aca="false">J18+J19</f>
        <v>292.166795195691</v>
      </c>
      <c r="K20" s="21" t="n">
        <f aca="false">K18+K19</f>
        <v>331.159521084693</v>
      </c>
      <c r="L20" s="21" t="n">
        <f aca="false">L18+L19</f>
        <v>382.978908695489</v>
      </c>
      <c r="M20" s="21" t="n">
        <f aca="false">M18+M19</f>
        <v>419.904671084701</v>
      </c>
    </row>
    <row r="21" customFormat="false" ht="17.15" hidden="false" customHeight="false" outlineLevel="0" collapsed="false">
      <c r="A21" s="4" t="s">
        <v>916</v>
      </c>
      <c r="B21" s="0" t="s">
        <v>76</v>
      </c>
      <c r="E21" s="23" t="n">
        <v>0.84</v>
      </c>
      <c r="F21" s="21" t="n">
        <f aca="false">lease_2H</f>
        <v>0.206</v>
      </c>
      <c r="G21" s="21" t="n">
        <f aca="false">E21+F21</f>
        <v>1.046</v>
      </c>
      <c r="H21" s="21" t="n">
        <f aca="false">lease_27</f>
        <v>0.387</v>
      </c>
      <c r="I21" s="21" t="n">
        <f aca="false">lease_28</f>
        <v>0.377</v>
      </c>
      <c r="J21" s="21" t="n">
        <f aca="false">lease_29</f>
        <v>0.356</v>
      </c>
      <c r="K21" s="21" t="n">
        <f aca="false">lease_30</f>
        <v>0.285</v>
      </c>
      <c r="L21" s="21" t="n">
        <f aca="false">lease_31</f>
        <v>0.25</v>
      </c>
      <c r="M21" s="21" t="n">
        <f aca="false">lease_32</f>
        <v>0.25</v>
      </c>
      <c r="N21" s="7" t="s">
        <v>917</v>
      </c>
    </row>
    <row r="22" customFormat="false" ht="15" hidden="false" customHeight="false" outlineLevel="0" collapsed="false">
      <c r="A22" s="24" t="s">
        <v>918</v>
      </c>
      <c r="B22" s="26" t="s">
        <v>76</v>
      </c>
      <c r="C22" s="27" t="n">
        <f aca="false">C17-C20-N(C21)</f>
        <v>72.764</v>
      </c>
      <c r="D22" s="27" t="n">
        <f aca="false">D17-D20-N(D21)</f>
        <v>73.266</v>
      </c>
      <c r="E22" s="27" t="n">
        <f aca="false">E17-E20-N(E21)</f>
        <v>3.42100000000002</v>
      </c>
      <c r="F22" s="27" t="n">
        <f aca="false">F17-F20-N(F21)</f>
        <v>-1.86323281011337</v>
      </c>
      <c r="G22" s="27" t="n">
        <f aca="false">G17-G20-N(G21)</f>
        <v>1.55776718988664</v>
      </c>
      <c r="H22" s="27" t="n">
        <f aca="false">H17-H20-N(H21)</f>
        <v>11.4385589607044</v>
      </c>
      <c r="I22" s="27" t="n">
        <f aca="false">I17-I20-N(I21)</f>
        <v>41.6868808395234</v>
      </c>
      <c r="J22" s="27" t="n">
        <f aca="false">J17-J20-N(J21)</f>
        <v>65.7534735906279</v>
      </c>
      <c r="K22" s="27" t="n">
        <f aca="false">K17-K20-N(K21)</f>
        <v>81.2340710923868</v>
      </c>
      <c r="L22" s="27" t="n">
        <f aca="false">L17-L20-N(L21)</f>
        <v>74.0206877537792</v>
      </c>
      <c r="M22" s="27" t="n">
        <f aca="false">M17-M20-N(M21)</f>
        <v>84.1726598433879</v>
      </c>
      <c r="N22" s="26"/>
    </row>
    <row r="23" customFormat="false" ht="17.15" hidden="false" customHeight="false" outlineLevel="0" collapsed="false">
      <c r="A23" s="4" t="s">
        <v>685</v>
      </c>
      <c r="B23" s="0" t="s">
        <v>76</v>
      </c>
      <c r="C23" s="21" t="n">
        <f aca="false">Q!J50</f>
        <v>7.363</v>
      </c>
      <c r="D23" s="21" t="n">
        <f aca="false">Q!K50</f>
        <v>10.049</v>
      </c>
      <c r="E23" s="21" t="n">
        <f aca="false">Q!L50</f>
        <v>5.231</v>
      </c>
      <c r="F23" s="21" t="n">
        <f aca="false">dps/2*sh_out</f>
        <v>5.3812</v>
      </c>
      <c r="G23" s="21" t="n">
        <f aca="false">E23+F23</f>
        <v>10.6122</v>
      </c>
      <c r="H23" s="21" t="n">
        <f aca="false">dps*(1+dps_g)^(2027-2026)*PL!F61</f>
        <v>11.50374456</v>
      </c>
      <c r="I23" s="21" t="n">
        <f aca="false">dps*(1+dps_g)^(2028-2026)*PL!H61</f>
        <v>12.151430053012</v>
      </c>
      <c r="J23" s="21" t="n">
        <f aca="false">dps*(1+dps_g)^(2029-2026)*PL!I61</f>
        <v>12.8412061573813</v>
      </c>
      <c r="K23" s="21" t="n">
        <f aca="false">dps*(1+dps_g)^(2030-2026)*PL!J61</f>
        <v>13.6338471691178</v>
      </c>
      <c r="L23" s="21" t="n">
        <f aca="false">dps*(1+dps_g)^(2031-2026)*PL!K61</f>
        <v>14.4186068156556</v>
      </c>
      <c r="M23" s="21" t="n">
        <f aca="false">dps*(1+dps_g)^(2032-2026)*PL!L61</f>
        <v>15.2532564943088</v>
      </c>
      <c r="N23" s="7" t="s">
        <v>919</v>
      </c>
    </row>
    <row r="24" customFormat="false" ht="15" hidden="false" customHeight="false" outlineLevel="0" collapsed="false">
      <c r="A24" s="4" t="s">
        <v>887</v>
      </c>
      <c r="B24" s="0" t="s">
        <v>76</v>
      </c>
      <c r="E24" s="21" t="n">
        <f aca="false">PL!E59</f>
        <v>0</v>
      </c>
      <c r="F24" s="21" t="n">
        <f aca="false">PL!F59</f>
        <v>0.535</v>
      </c>
      <c r="G24" s="21" t="n">
        <f aca="false">PL!G59</f>
        <v>0.535</v>
      </c>
      <c r="H24" s="21" t="n">
        <f aca="false">PL!H59</f>
        <v>1.203</v>
      </c>
      <c r="I24" s="21" t="n">
        <f aca="false">PL!I59</f>
        <v>1.203</v>
      </c>
      <c r="J24" s="21" t="n">
        <f aca="false">PL!J59</f>
        <v>0.602</v>
      </c>
      <c r="K24" s="21" t="n">
        <f aca="false">PL!K59</f>
        <v>0</v>
      </c>
      <c r="L24" s="21" t="n">
        <f aca="false">PL!L59</f>
        <v>0</v>
      </c>
      <c r="M24" s="21" t="n">
        <f aca="false">PL!M59</f>
        <v>0</v>
      </c>
    </row>
    <row r="25" customFormat="false" ht="15" hidden="false" customHeight="false" outlineLevel="0" collapsed="false">
      <c r="A25" s="2" t="s">
        <v>920</v>
      </c>
      <c r="B25" s="7" t="s">
        <v>76</v>
      </c>
      <c r="C25" s="21" t="n">
        <f aca="false">C22-C23-N(C24)</f>
        <v>65.401</v>
      </c>
      <c r="D25" s="21" t="n">
        <f aca="false">D22-D23-N(D24)</f>
        <v>63.217</v>
      </c>
      <c r="E25" s="21" t="n">
        <f aca="false">E22-E23-N(E24)</f>
        <v>-1.80999999999998</v>
      </c>
      <c r="F25" s="21" t="n">
        <f aca="false">F22-F23-N(F24)</f>
        <v>-7.77943281011337</v>
      </c>
      <c r="G25" s="21" t="n">
        <f aca="false">G22-G23-N(G24)</f>
        <v>-9.58943281011336</v>
      </c>
      <c r="H25" s="21" t="n">
        <f aca="false">H22-H23-N(H24)</f>
        <v>-1.2681855992956</v>
      </c>
      <c r="I25" s="21" t="n">
        <f aca="false">I22-I23-N(I24)</f>
        <v>28.3324507865114</v>
      </c>
      <c r="J25" s="21" t="n">
        <f aca="false">J22-J23-N(J24)</f>
        <v>52.3102674332465</v>
      </c>
      <c r="K25" s="21" t="n">
        <f aca="false">K22-K23-N(K24)</f>
        <v>67.600223923269</v>
      </c>
      <c r="L25" s="21" t="n">
        <f aca="false">L22-L23-N(L24)</f>
        <v>59.6020809381237</v>
      </c>
      <c r="M25" s="21" t="n">
        <f aca="false">M22-M23-N(M24)</f>
        <v>68.9194033490791</v>
      </c>
    </row>
    <row r="26" customFormat="false" ht="17.15" hidden="false" customHeight="false" outlineLevel="0" collapsed="false">
      <c r="A26" s="4" t="s">
        <v>921</v>
      </c>
      <c r="B26" s="0" t="s">
        <v>76</v>
      </c>
      <c r="E26" s="23" t="n">
        <v>55.44</v>
      </c>
      <c r="F26" s="21" t="n">
        <f aca="false">anth_2H</f>
        <v>2.222</v>
      </c>
      <c r="G26" s="21" t="n">
        <f aca="false">E26+F26</f>
        <v>57.662</v>
      </c>
      <c r="H26" s="21" t="n">
        <f aca="false">anth_27</f>
        <v>4.444</v>
      </c>
      <c r="I26" s="21" t="n">
        <f aca="false">anth_28</f>
        <v>4.444</v>
      </c>
      <c r="J26" s="21" t="n">
        <f aca="false">anth_29</f>
        <v>4.444</v>
      </c>
      <c r="K26" s="21" t="n">
        <f aca="false">anth_30</f>
        <v>4.444</v>
      </c>
      <c r="L26" s="21" t="n">
        <f aca="false">anth_31</f>
        <v>0</v>
      </c>
      <c r="M26" s="21" t="n">
        <f aca="false">anth_32</f>
        <v>0</v>
      </c>
      <c r="N26" s="7" t="s">
        <v>922</v>
      </c>
    </row>
    <row r="27" customFormat="false" ht="17.15" hidden="false" customHeight="false" outlineLevel="0" collapsed="false">
      <c r="A27" s="4" t="s">
        <v>923</v>
      </c>
      <c r="B27" s="0" t="s">
        <v>76</v>
      </c>
      <c r="E27" s="23" t="n">
        <v>5.253</v>
      </c>
      <c r="F27" s="21" t="n">
        <f aca="false">mat_2H</f>
        <v>2</v>
      </c>
      <c r="G27" s="21" t="n">
        <f aca="false">E27+F27</f>
        <v>7.253</v>
      </c>
      <c r="H27" s="21" t="n">
        <f aca="false">mat_27</f>
        <v>1</v>
      </c>
      <c r="I27" s="21" t="n">
        <f aca="false">mat_28</f>
        <v>2.676</v>
      </c>
      <c r="J27" s="21" t="n">
        <f aca="false">mat_29</f>
        <v>1.764</v>
      </c>
      <c r="K27" s="21" t="n">
        <f aca="false">mat_30</f>
        <v>7.186</v>
      </c>
      <c r="L27" s="21" t="n">
        <f aca="false">mat_31</f>
        <v>5</v>
      </c>
      <c r="M27" s="21" t="n">
        <f aca="false">mat_32</f>
        <v>5</v>
      </c>
      <c r="N27" s="7" t="s">
        <v>924</v>
      </c>
    </row>
    <row r="28" customFormat="false" ht="17.15" hidden="false" customHeight="false" outlineLevel="0" collapsed="false">
      <c r="A28" s="4" t="s">
        <v>925</v>
      </c>
      <c r="B28" s="0" t="s">
        <v>76</v>
      </c>
      <c r="E28" s="23" t="n">
        <v>56.226</v>
      </c>
      <c r="F28" s="21" t="n">
        <f aca="false">debt_new_2h</f>
        <v>25</v>
      </c>
      <c r="G28" s="21" t="n">
        <f aca="false">E28+F28</f>
        <v>81.226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7" t="s">
        <v>926</v>
      </c>
    </row>
    <row r="29" customFormat="false" ht="17.15" hidden="false" customHeight="false" outlineLevel="0" collapsed="false">
      <c r="A29" s="4" t="s">
        <v>927</v>
      </c>
      <c r="B29" s="0" t="s">
        <v>76</v>
      </c>
      <c r="E29" s="23" t="n">
        <v>49.562</v>
      </c>
      <c r="F29" s="23" t="n">
        <v>0</v>
      </c>
      <c r="G29" s="21" t="n">
        <f aca="false">E29+F29</f>
        <v>49.562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7" t="s">
        <v>928</v>
      </c>
    </row>
    <row r="30" customFormat="false" ht="15" hidden="false" customHeight="false" outlineLevel="0" collapsed="false">
      <c r="A30" s="4" t="s">
        <v>929</v>
      </c>
      <c r="B30" s="0" t="s">
        <v>76</v>
      </c>
      <c r="E30" s="21" t="n">
        <f aca="false">cash_ye25</f>
        <v>120.53</v>
      </c>
      <c r="F30" s="21" t="n">
        <f aca="false">E35</f>
        <v>155.411</v>
      </c>
      <c r="H30" s="21" t="n">
        <f aca="false">F35</f>
        <v>168.409567189887</v>
      </c>
      <c r="I30" s="21" t="n">
        <f aca="false">H35</f>
        <v>144.694381590591</v>
      </c>
      <c r="J30" s="21" t="n">
        <f aca="false">I35</f>
        <v>148.903832377103</v>
      </c>
      <c r="K30" s="21" t="n">
        <f aca="false">J35</f>
        <v>178.003099810349</v>
      </c>
      <c r="L30" s="21" t="n">
        <f aca="false">K35</f>
        <v>216.970323733618</v>
      </c>
      <c r="M30" s="21" t="n">
        <f aca="false">L35</f>
        <v>254.569404671742</v>
      </c>
    </row>
    <row r="31" customFormat="false" ht="17.15" hidden="false" customHeight="false" outlineLevel="0" collapsed="false">
      <c r="A31" s="4" t="s">
        <v>930</v>
      </c>
      <c r="B31" s="0" t="s">
        <v>76</v>
      </c>
      <c r="E31" s="21" t="n">
        <f aca="false">cash_0-(E30+E22-E23-E24-E26-E27+E28+E29)</f>
        <v>-8.40400000000003</v>
      </c>
      <c r="F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</row>
    <row r="32" customFormat="false" ht="15" hidden="false" customHeight="false" outlineLevel="0" collapsed="false">
      <c r="A32" s="4" t="s">
        <v>931</v>
      </c>
      <c r="B32" s="0" t="s">
        <v>76</v>
      </c>
      <c r="E32" s="21" t="n">
        <f aca="false">E30+E22-E23-E24-E26-E27+E28+E29+E31</f>
        <v>155.411</v>
      </c>
      <c r="F32" s="21" t="n">
        <f aca="false">F30+F22-F23-F24-F26-F27+F28+F29+F31</f>
        <v>168.409567189887</v>
      </c>
      <c r="H32" s="21" t="n">
        <f aca="false">H30+H22-H23-H24-H26-H27+H28+H29+H31</f>
        <v>161.697381590591</v>
      </c>
      <c r="I32" s="21" t="n">
        <f aca="false">I30+I22-I23-I24-I26-I27+I28+I29+I31</f>
        <v>165.906832377103</v>
      </c>
      <c r="J32" s="21" t="n">
        <f aca="false">J30+J22-J23-J24-J26-J27+J28+J29+J31</f>
        <v>195.006099810349</v>
      </c>
      <c r="K32" s="21" t="n">
        <f aca="false">K30+K22-K23-K24-K26-K27+K28+K29+K31</f>
        <v>233.973323733618</v>
      </c>
      <c r="L32" s="21" t="n">
        <f aca="false">L30+L22-L23-L24-L26-L27+L28+L29+L31</f>
        <v>271.572404671742</v>
      </c>
      <c r="M32" s="21" t="n">
        <f aca="false">M30+M22-M23-M24-M26-M27+M28+M29+M31</f>
        <v>318.488808020821</v>
      </c>
    </row>
    <row r="33" customFormat="false" ht="17.15" hidden="false" customHeight="false" outlineLevel="0" collapsed="false">
      <c r="A33" s="4" t="s">
        <v>684</v>
      </c>
      <c r="B33" s="0" t="s">
        <v>76</v>
      </c>
      <c r="E33" s="21" t="n">
        <f aca="false">Q!L49</f>
        <v>0</v>
      </c>
      <c r="F33" s="23" t="n">
        <v>0</v>
      </c>
      <c r="G33" s="21" t="n">
        <f aca="false">E33+F33</f>
        <v>0</v>
      </c>
      <c r="H33" s="21" t="n">
        <f aca="false">MAX(0,MIN(bb_t,H32-min_cash))</f>
        <v>17.003</v>
      </c>
      <c r="I33" s="21" t="n">
        <f aca="false">MAX(0,MIN(bb_t,I32-min_cash))</f>
        <v>17.003</v>
      </c>
      <c r="J33" s="21" t="n">
        <f aca="false">MAX(0,MIN(bb_t,J32-min_cash))</f>
        <v>17.003</v>
      </c>
      <c r="K33" s="21" t="n">
        <f aca="false">MAX(0,MIN(bb_t,K32-min_cash))</f>
        <v>17.003</v>
      </c>
      <c r="L33" s="21" t="n">
        <f aca="false">MAX(0,MIN(bb_t,L32-min_cash))</f>
        <v>17.003</v>
      </c>
      <c r="M33" s="21" t="n">
        <f aca="false">MAX(0,MIN(bb_t,M32-min_cash))</f>
        <v>17.003</v>
      </c>
      <c r="N33" s="7" t="s">
        <v>932</v>
      </c>
    </row>
    <row r="34" customFormat="false" ht="15" hidden="false" customHeight="false" outlineLevel="0" collapsed="false">
      <c r="A34" s="4" t="s">
        <v>933</v>
      </c>
      <c r="B34" s="0" t="s">
        <v>76</v>
      </c>
      <c r="E34" s="23" t="n">
        <v>0</v>
      </c>
      <c r="F34" s="21" t="n">
        <f aca="false">MAX(0,min_cash-(F32-F33))</f>
        <v>0</v>
      </c>
      <c r="G34" s="21" t="n">
        <f aca="false">E34+F34</f>
        <v>0</v>
      </c>
      <c r="H34" s="21" t="n">
        <f aca="false">MAX(0,min_cash-(H32-H33))</f>
        <v>0</v>
      </c>
      <c r="I34" s="21" t="n">
        <f aca="false">MAX(0,min_cash-(I32-I33))</f>
        <v>0</v>
      </c>
      <c r="J34" s="21" t="n">
        <f aca="false">MAX(0,min_cash-(J32-J33))</f>
        <v>0</v>
      </c>
      <c r="K34" s="21" t="n">
        <f aca="false">MAX(0,min_cash-(K32-K33))</f>
        <v>0</v>
      </c>
      <c r="L34" s="21" t="n">
        <f aca="false">MAX(0,min_cash-(L32-L33))</f>
        <v>0</v>
      </c>
      <c r="M34" s="21" t="n">
        <f aca="false">MAX(0,min_cash-(M32-M33))</f>
        <v>0</v>
      </c>
    </row>
    <row r="35" customFormat="false" ht="15" hidden="false" customHeight="false" outlineLevel="0" collapsed="false">
      <c r="A35" s="4" t="s">
        <v>934</v>
      </c>
      <c r="B35" s="0" t="s">
        <v>76</v>
      </c>
      <c r="E35" s="21" t="n">
        <f aca="false">E32-E33+E34</f>
        <v>155.411</v>
      </c>
      <c r="F35" s="21" t="n">
        <f aca="false">F32-F33+F34</f>
        <v>168.409567189887</v>
      </c>
      <c r="H35" s="21" t="n">
        <f aca="false">H32-H33+H34</f>
        <v>144.694381590591</v>
      </c>
      <c r="I35" s="21" t="n">
        <f aca="false">I32-I33+I34</f>
        <v>148.903832377103</v>
      </c>
      <c r="J35" s="21" t="n">
        <f aca="false">J32-J33+J34</f>
        <v>178.003099810349</v>
      </c>
      <c r="K35" s="21" t="n">
        <f aca="false">K32-K33+K34</f>
        <v>216.970323733618</v>
      </c>
      <c r="L35" s="21" t="n">
        <f aca="false">L32-L33+L34</f>
        <v>254.569404671742</v>
      </c>
      <c r="M35" s="21" t="n">
        <f aca="false">M32-M33+M34</f>
        <v>301.485808020821</v>
      </c>
    </row>
    <row r="36" customFormat="false" ht="17.15" hidden="false" customHeight="false" outlineLevel="0" collapsed="false">
      <c r="A36" s="4" t="s">
        <v>935</v>
      </c>
      <c r="B36" s="0" t="s">
        <v>76</v>
      </c>
      <c r="E36" s="16" t="n">
        <f aca="false">E35-cash_0</f>
        <v>0</v>
      </c>
    </row>
    <row r="37" customFormat="false" ht="17.15" hidden="false" customHeight="false" outlineLevel="0" collapsed="false">
      <c r="A37" s="4" t="s">
        <v>936</v>
      </c>
      <c r="B37" s="0" t="s">
        <v>76</v>
      </c>
      <c r="E37" s="23" t="n">
        <v>49.085</v>
      </c>
      <c r="F37" s="21" t="n">
        <f aca="false">E38</f>
        <v>101.085</v>
      </c>
      <c r="H37" s="21" t="n">
        <f aca="false">F38</f>
        <v>124.085</v>
      </c>
      <c r="I37" s="21" t="n">
        <f aca="false">H38</f>
        <v>123.085</v>
      </c>
      <c r="J37" s="21" t="n">
        <f aca="false">I38</f>
        <v>120.409</v>
      </c>
      <c r="K37" s="21" t="n">
        <f aca="false">J38</f>
        <v>118.645</v>
      </c>
      <c r="L37" s="21" t="n">
        <f aca="false">K38</f>
        <v>111.459</v>
      </c>
      <c r="M37" s="21" t="n">
        <f aca="false">L38</f>
        <v>106.459</v>
      </c>
      <c r="N37" s="7" t="s">
        <v>937</v>
      </c>
    </row>
    <row r="38" customFormat="false" ht="17.15" hidden="false" customHeight="false" outlineLevel="0" collapsed="false">
      <c r="A38" s="4" t="s">
        <v>938</v>
      </c>
      <c r="B38" s="0" t="s">
        <v>76</v>
      </c>
      <c r="E38" s="21" t="n">
        <f aca="false">debt_0</f>
        <v>101.085</v>
      </c>
      <c r="F38" s="21" t="n">
        <f aca="false">F37-F27+F28+F34</f>
        <v>124.085</v>
      </c>
      <c r="H38" s="21" t="n">
        <f aca="false">H37-H27+H28+H34</f>
        <v>123.085</v>
      </c>
      <c r="I38" s="21" t="n">
        <f aca="false">I37-I27+I28+I34</f>
        <v>120.409</v>
      </c>
      <c r="J38" s="21" t="n">
        <f aca="false">J37-J27+J28+J34</f>
        <v>118.645</v>
      </c>
      <c r="K38" s="21" t="n">
        <f aca="false">K37-K27+K28+K34</f>
        <v>111.459</v>
      </c>
      <c r="L38" s="21" t="n">
        <f aca="false">L37-L27+L28+L34</f>
        <v>106.459</v>
      </c>
      <c r="M38" s="21" t="n">
        <f aca="false">M37-M27+M28+M34</f>
        <v>101.459</v>
      </c>
      <c r="N38" s="7" t="s">
        <v>939</v>
      </c>
    </row>
    <row r="39" customFormat="false" ht="15" hidden="false" customHeight="false" outlineLevel="0" collapsed="false">
      <c r="A39" s="4" t="s">
        <v>940</v>
      </c>
      <c r="B39" s="0" t="s">
        <v>76</v>
      </c>
      <c r="E39" s="21" t="n">
        <f aca="false">E35-E38</f>
        <v>54.326</v>
      </c>
      <c r="F39" s="21" t="n">
        <f aca="false">F35-F38</f>
        <v>44.3245671898866</v>
      </c>
      <c r="H39" s="21" t="n">
        <f aca="false">H35-H38</f>
        <v>21.609381590591</v>
      </c>
      <c r="I39" s="21" t="n">
        <f aca="false">I35-I38</f>
        <v>28.4948323771025</v>
      </c>
      <c r="J39" s="21" t="n">
        <f aca="false">J35-J38</f>
        <v>59.3580998103491</v>
      </c>
      <c r="K39" s="21" t="n">
        <f aca="false">K35-K38</f>
        <v>105.511323733618</v>
      </c>
      <c r="L39" s="21" t="n">
        <f aca="false">L35-L38</f>
        <v>148.110404671742</v>
      </c>
      <c r="M39" s="21" t="n">
        <f aca="false">M35-M38</f>
        <v>200.026808020821</v>
      </c>
    </row>
    <row r="40" customFormat="false" ht="17.15" hidden="false" customHeight="false" outlineLevel="0" collapsed="false">
      <c r="A40" s="4" t="s">
        <v>941</v>
      </c>
      <c r="B40" s="0" t="s">
        <v>54</v>
      </c>
      <c r="F40" s="18" t="n">
        <f aca="false">px</f>
        <v>316.8</v>
      </c>
      <c r="H40" s="18" t="n">
        <f aca="false">px*(1+ke)^(2027.5-2026.82)</f>
        <v>341.601800339247</v>
      </c>
      <c r="I40" s="18" t="n">
        <f aca="false">px*(1+ke)^(2028.5-2026.82)</f>
        <v>381.645217379514</v>
      </c>
      <c r="J40" s="18" t="n">
        <f aca="false">px*(1+ke)^(2029.5-2026.82)</f>
        <v>426.382623873784</v>
      </c>
      <c r="K40" s="18" t="n">
        <f aca="false">px*(1+ke)^(2030.5-2026.82)</f>
        <v>476.364261000829</v>
      </c>
      <c r="L40" s="18" t="n">
        <f aca="false">px*(1+ke)^(2031.5-2026.82)</f>
        <v>532.204870585998</v>
      </c>
      <c r="M40" s="18" t="n">
        <f aca="false">px*(1+ke)^(2032.5-2026.82)</f>
        <v>594.591256028265</v>
      </c>
    </row>
    <row r="42" customFormat="false" ht="17.15" hidden="false" customHeight="false" outlineLevel="0" collapsed="false">
      <c r="A42" s="24" t="s">
        <v>848</v>
      </c>
    </row>
    <row r="43" customFormat="false" ht="15" hidden="false" customHeight="false" outlineLevel="0" collapsed="false">
      <c r="A43" s="3" t="s">
        <v>43</v>
      </c>
      <c r="B43" s="3" t="s">
        <v>44</v>
      </c>
      <c r="C43" s="14" t="s">
        <v>746</v>
      </c>
      <c r="D43" s="14" t="s">
        <v>747</v>
      </c>
      <c r="E43" s="14" t="s">
        <v>748</v>
      </c>
      <c r="F43" s="14" t="s">
        <v>749</v>
      </c>
      <c r="G43" s="14" t="s">
        <v>750</v>
      </c>
      <c r="H43" s="14" t="s">
        <v>751</v>
      </c>
      <c r="I43" s="14" t="s">
        <v>752</v>
      </c>
      <c r="J43" s="14" t="s">
        <v>753</v>
      </c>
      <c r="K43" s="14" t="s">
        <v>754</v>
      </c>
      <c r="L43" s="14" t="s">
        <v>755</v>
      </c>
      <c r="M43" s="14" t="s">
        <v>756</v>
      </c>
      <c r="N43" s="3" t="s">
        <v>50</v>
      </c>
    </row>
    <row r="44" customFormat="false" ht="15" hidden="false" customHeight="false" outlineLevel="0" collapsed="false">
      <c r="A44" s="4" t="s">
        <v>673</v>
      </c>
      <c r="B44" s="0" t="s">
        <v>76</v>
      </c>
      <c r="C44" s="21" t="n">
        <f aca="false">PL!C113</f>
        <v>100.118</v>
      </c>
      <c r="D44" s="21" t="n">
        <f aca="false">PL!D113</f>
        <v>132.17</v>
      </c>
      <c r="E44" s="21" t="n">
        <f aca="false">PL!E113</f>
        <v>174.771</v>
      </c>
      <c r="F44" s="21" t="n">
        <f aca="false">PL!F113</f>
        <v>70.5341824426593</v>
      </c>
      <c r="G44" s="21" t="n">
        <f aca="false">PL!G113</f>
        <v>245.305182442659</v>
      </c>
      <c r="H44" s="21" t="n">
        <f aca="false">PL!H113</f>
        <v>137.200563198271</v>
      </c>
      <c r="I44" s="21" t="n">
        <f aca="false">PL!I113</f>
        <v>141.272465650363</v>
      </c>
      <c r="J44" s="21" t="n">
        <f aca="false">PL!J113</f>
        <v>146.17203645102</v>
      </c>
      <c r="K44" s="21" t="n">
        <f aca="false">PL!K113</f>
        <v>143.216666108562</v>
      </c>
      <c r="L44" s="21" t="n">
        <f aca="false">PL!L113</f>
        <v>131.943212497143</v>
      </c>
      <c r="M44" s="21" t="n">
        <f aca="false">PL!M113</f>
        <v>120.959872581595</v>
      </c>
    </row>
    <row r="45" customFormat="false" ht="15" hidden="false" customHeight="false" outlineLevel="0" collapsed="false">
      <c r="A45" s="4" t="s">
        <v>908</v>
      </c>
      <c r="B45" s="0" t="s">
        <v>76</v>
      </c>
      <c r="C45" s="21" t="n">
        <f aca="false">PL!C100</f>
        <v>15.311</v>
      </c>
      <c r="D45" s="21" t="n">
        <f aca="false">PL!D100</f>
        <v>21.136</v>
      </c>
      <c r="E45" s="21" t="n">
        <f aca="false">PL!E100</f>
        <v>13.586</v>
      </c>
      <c r="F45" s="21" t="n">
        <f aca="false">PL!F100</f>
        <v>21.8622188301703</v>
      </c>
      <c r="G45" s="21" t="n">
        <f aca="false">PL!G100</f>
        <v>35.4482188301703</v>
      </c>
      <c r="H45" s="21" t="n">
        <f aca="false">PL!H100</f>
        <v>66.8444439593472</v>
      </c>
      <c r="I45" s="21" t="n">
        <f aca="false">PL!I100</f>
        <v>98.775108985414</v>
      </c>
      <c r="J45" s="21" t="n">
        <f aca="false">PL!J100</f>
        <v>133.947144999075</v>
      </c>
      <c r="K45" s="21" t="n">
        <f aca="false">PL!K100</f>
        <v>174.174322805244</v>
      </c>
      <c r="L45" s="21" t="n">
        <f aca="false">PL!L100</f>
        <v>220.927301076945</v>
      </c>
      <c r="M45" s="21" t="n">
        <f aca="false">PL!M100</f>
        <v>269.035647061252</v>
      </c>
    </row>
    <row r="46" customFormat="false" ht="15" hidden="false" customHeight="false" outlineLevel="0" collapsed="false">
      <c r="A46" s="4" t="s">
        <v>909</v>
      </c>
      <c r="B46" s="0" t="s">
        <v>76</v>
      </c>
      <c r="C46" s="21" t="n">
        <f aca="false">PL!C121</f>
        <v>22.785</v>
      </c>
      <c r="D46" s="21" t="n">
        <f aca="false">PL!D121</f>
        <v>24.953</v>
      </c>
      <c r="E46" s="21" t="n">
        <f aca="false">PL!E121</f>
        <v>14.708</v>
      </c>
      <c r="F46" s="21" t="n">
        <f aca="false">PL!F121</f>
        <v>16.8583659170571</v>
      </c>
      <c r="G46" s="21" t="n">
        <f aca="false">PL!G121</f>
        <v>31.5663659170571</v>
      </c>
      <c r="H46" s="21" t="n">
        <f aca="false">PL!H121</f>
        <v>38.1974993763047</v>
      </c>
      <c r="I46" s="21" t="n">
        <f aca="false">PL!I121</f>
        <v>44.3793107632422</v>
      </c>
      <c r="J46" s="21" t="n">
        <f aca="false">PL!J121</f>
        <v>50.0892353898564</v>
      </c>
      <c r="K46" s="21" t="n">
        <f aca="false">PL!K121</f>
        <v>54.7739267693489</v>
      </c>
      <c r="L46" s="21" t="n">
        <f aca="false">PL!L121</f>
        <v>59.750442993025</v>
      </c>
      <c r="M46" s="21" t="n">
        <f aca="false">PL!M121</f>
        <v>65.0431851172971</v>
      </c>
    </row>
    <row r="47" customFormat="false" ht="17.15" hidden="false" customHeight="false" outlineLevel="0" collapsed="false">
      <c r="A47" s="4" t="s">
        <v>910</v>
      </c>
      <c r="B47" s="0" t="s">
        <v>76</v>
      </c>
      <c r="F47" s="21" t="n">
        <f aca="false">wc_2h</f>
        <v>8.49</v>
      </c>
      <c r="G47" s="21" t="n">
        <f aca="false">F47</f>
        <v>8.49</v>
      </c>
      <c r="H47" s="21" t="n">
        <f aca="false">wc_k*(PL!H80-PL!G80)</f>
        <v>1.26930504965447</v>
      </c>
      <c r="I47" s="21" t="n">
        <f aca="false">wc_k*(PL!I80-PL!H80)</f>
        <v>1.14623127142898</v>
      </c>
      <c r="J47" s="21" t="n">
        <f aca="false">wc_k*(PL!J80-PL!I80)</f>
        <v>1.05873404328662</v>
      </c>
      <c r="K47" s="21" t="n">
        <f aca="false">wc_k*(PL!K80-PL!J80)</f>
        <v>0.86863532710084</v>
      </c>
      <c r="L47" s="21" t="n">
        <f aca="false">wc_k*(PL!L80-PL!K80)</f>
        <v>0.922745480459747</v>
      </c>
      <c r="M47" s="21" t="n">
        <f aca="false">wc_k*(PL!M80-PL!L80)</f>
        <v>0.981380076925253</v>
      </c>
      <c r="N47" s="7" t="s">
        <v>911</v>
      </c>
    </row>
    <row r="48" customFormat="false" ht="15" hidden="false" customHeight="false" outlineLevel="0" collapsed="false">
      <c r="A48" s="4" t="s">
        <v>912</v>
      </c>
      <c r="B48" s="0" t="s">
        <v>76</v>
      </c>
      <c r="C48" s="21" t="n">
        <f aca="false">Q!J45-C44-C45-C46</f>
        <v>-12.915</v>
      </c>
      <c r="D48" s="21" t="n">
        <f aca="false">Q!K45-D44-D45-D46</f>
        <v>-13.546</v>
      </c>
      <c r="E48" s="21" t="n">
        <f aca="false">Q!L45-E44-E45-E46</f>
        <v>-118.206</v>
      </c>
      <c r="F48" s="23" t="n">
        <v>0</v>
      </c>
      <c r="G48" s="21" t="n">
        <f aca="false">E48+F48</f>
        <v>-118.206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</row>
    <row r="49" customFormat="false" ht="15" hidden="false" customHeight="false" outlineLevel="0" collapsed="false">
      <c r="A49" s="2" t="s">
        <v>680</v>
      </c>
      <c r="B49" s="7" t="s">
        <v>76</v>
      </c>
      <c r="C49" s="21" t="n">
        <f aca="false">C44+C45+C46+C47+C48</f>
        <v>125.299</v>
      </c>
      <c r="D49" s="21" t="n">
        <f aca="false">D44+D45+D46+D47+D48</f>
        <v>164.713</v>
      </c>
      <c r="E49" s="21" t="n">
        <f aca="false">E44+E45+E46+E47+E48</f>
        <v>84.859</v>
      </c>
      <c r="F49" s="21" t="n">
        <f aca="false">F44+F45+F46+F47+F48</f>
        <v>117.744767189887</v>
      </c>
      <c r="G49" s="21" t="n">
        <f aca="false">G44+G45+G46+G47+G48</f>
        <v>202.603767189887</v>
      </c>
      <c r="H49" s="21" t="n">
        <f aca="false">H44+H45+H46+H47+H48</f>
        <v>243.511811583578</v>
      </c>
      <c r="I49" s="21" t="n">
        <f aca="false">I44+I45+I46+I47+I48</f>
        <v>285.573116670448</v>
      </c>
      <c r="J49" s="21" t="n">
        <f aca="false">J44+J45+J46+J47+J48</f>
        <v>331.267150883238</v>
      </c>
      <c r="K49" s="21" t="n">
        <f aca="false">K44+K45+K46+K47+K48</f>
        <v>373.033551010256</v>
      </c>
      <c r="L49" s="21" t="n">
        <f aca="false">L44+L45+L46+L47+L48</f>
        <v>413.543702047573</v>
      </c>
      <c r="M49" s="21" t="n">
        <f aca="false">M44+M45+M46+M47+M48</f>
        <v>456.020084837069</v>
      </c>
    </row>
    <row r="50" customFormat="false" ht="17.15" hidden="false" customHeight="false" outlineLevel="0" collapsed="false">
      <c r="A50" s="4" t="s">
        <v>913</v>
      </c>
      <c r="B50" s="0" t="s">
        <v>76</v>
      </c>
      <c r="F50" s="21" t="n">
        <f aca="false">Thesis!F52</f>
        <v>98.2828001170933</v>
      </c>
      <c r="G50" s="21" t="n">
        <f aca="false">F50</f>
        <v>98.2828001170933</v>
      </c>
      <c r="H50" s="21" t="n">
        <f aca="false">Thesis!H52</f>
        <v>190.01908325496</v>
      </c>
      <c r="I50" s="21" t="n">
        <f aca="false">Thesis!I52</f>
        <v>201.14438688884</v>
      </c>
      <c r="J50" s="21" t="n">
        <f aca="false">Thesis!J52</f>
        <v>225.07561720724</v>
      </c>
      <c r="K50" s="21" t="n">
        <f aca="false">Thesis!K52</f>
        <v>257.77198481204</v>
      </c>
      <c r="L50" s="21" t="n">
        <f aca="false">Thesis!L52</f>
        <v>303.74385194324</v>
      </c>
      <c r="M50" s="21" t="n">
        <f aca="false">Thesis!M52</f>
        <v>334.34421662876</v>
      </c>
    </row>
    <row r="51" customFormat="false" ht="17.15" hidden="false" customHeight="false" outlineLevel="0" collapsed="false">
      <c r="A51" s="4" t="s">
        <v>914</v>
      </c>
      <c r="B51" s="0" t="s">
        <v>76</v>
      </c>
      <c r="F51" s="21" t="n">
        <f aca="false">Seg!F70</f>
        <v>21.1191998829067</v>
      </c>
      <c r="G51" s="21" t="n">
        <f aca="false">F51</f>
        <v>21.1191998829067</v>
      </c>
      <c r="H51" s="21" t="n">
        <f aca="false">Seg!H70</f>
        <v>48.028100530873</v>
      </c>
      <c r="I51" s="21" t="n">
        <f aca="false">Seg!I70</f>
        <v>56.8615466638512</v>
      </c>
      <c r="J51" s="21" t="n">
        <f aca="false">Seg!J70</f>
        <v>64.5041457352975</v>
      </c>
      <c r="K51" s="21" t="n">
        <f aca="false">Seg!K70</f>
        <v>69.6319226212447</v>
      </c>
      <c r="L51" s="21" t="n">
        <f aca="false">Seg!L70</f>
        <v>75.1789940087287</v>
      </c>
      <c r="M51" s="21" t="n">
        <f aca="false">Seg!M70</f>
        <v>81.1799066929384</v>
      </c>
    </row>
    <row r="52" customFormat="false" ht="15" hidden="false" customHeight="false" outlineLevel="0" collapsed="false">
      <c r="A52" s="2" t="s">
        <v>915</v>
      </c>
      <c r="B52" s="7" t="s">
        <v>76</v>
      </c>
      <c r="C52" s="21" t="n">
        <f aca="false">Q!J46</f>
        <v>52.535</v>
      </c>
      <c r="D52" s="21" t="n">
        <f aca="false">Q!K46</f>
        <v>91.447</v>
      </c>
      <c r="E52" s="21" t="n">
        <f aca="false">Q!L46</f>
        <v>80.598</v>
      </c>
      <c r="F52" s="21" t="n">
        <f aca="false">F50+F51</f>
        <v>119.402</v>
      </c>
      <c r="G52" s="21" t="n">
        <f aca="false">E52+F52</f>
        <v>200</v>
      </c>
      <c r="H52" s="21" t="n">
        <f aca="false">H50+H51</f>
        <v>238.047183785833</v>
      </c>
      <c r="I52" s="21" t="n">
        <f aca="false">I50+I51</f>
        <v>258.005933552691</v>
      </c>
      <c r="J52" s="21" t="n">
        <f aca="false">J50+J51</f>
        <v>289.579762942537</v>
      </c>
      <c r="K52" s="21" t="n">
        <f aca="false">K50+K51</f>
        <v>327.403907433285</v>
      </c>
      <c r="L52" s="21" t="n">
        <f aca="false">L50+L51</f>
        <v>378.922845951969</v>
      </c>
      <c r="M52" s="21" t="n">
        <f aca="false">M50+M51</f>
        <v>415.524123321698</v>
      </c>
    </row>
    <row r="53" customFormat="false" ht="17.15" hidden="false" customHeight="false" outlineLevel="0" collapsed="false">
      <c r="A53" s="4" t="s">
        <v>916</v>
      </c>
      <c r="B53" s="0" t="s">
        <v>76</v>
      </c>
      <c r="E53" s="23" t="n">
        <v>0.84</v>
      </c>
      <c r="F53" s="21" t="n">
        <f aca="false">lease_2H</f>
        <v>0.206</v>
      </c>
      <c r="G53" s="21" t="n">
        <f aca="false">E53+F53</f>
        <v>1.046</v>
      </c>
      <c r="H53" s="21" t="n">
        <f aca="false">lease_27</f>
        <v>0.387</v>
      </c>
      <c r="I53" s="21" t="n">
        <f aca="false">lease_28</f>
        <v>0.377</v>
      </c>
      <c r="J53" s="21" t="n">
        <f aca="false">lease_29</f>
        <v>0.356</v>
      </c>
      <c r="K53" s="21" t="n">
        <f aca="false">lease_30</f>
        <v>0.285</v>
      </c>
      <c r="L53" s="21" t="n">
        <f aca="false">lease_31</f>
        <v>0.25</v>
      </c>
      <c r="M53" s="21" t="n">
        <f aca="false">lease_32</f>
        <v>0.25</v>
      </c>
      <c r="N53" s="7" t="s">
        <v>917</v>
      </c>
    </row>
    <row r="54" customFormat="false" ht="15" hidden="false" customHeight="false" outlineLevel="0" collapsed="false">
      <c r="A54" s="24" t="s">
        <v>918</v>
      </c>
      <c r="B54" s="26" t="s">
        <v>76</v>
      </c>
      <c r="C54" s="27" t="n">
        <f aca="false">C49-C52-N(C53)</f>
        <v>72.764</v>
      </c>
      <c r="D54" s="27" t="n">
        <f aca="false">D49-D52-N(D53)</f>
        <v>73.266</v>
      </c>
      <c r="E54" s="27" t="n">
        <f aca="false">E49-E52-N(E53)</f>
        <v>3.42100000000002</v>
      </c>
      <c r="F54" s="27" t="n">
        <f aca="false">F49-F52-N(F53)</f>
        <v>-1.86323281011337</v>
      </c>
      <c r="G54" s="27" t="n">
        <f aca="false">G49-G52-N(G53)</f>
        <v>1.55776718988664</v>
      </c>
      <c r="H54" s="27" t="n">
        <f aca="false">H49-H52-N(H53)</f>
        <v>5.0776277977445</v>
      </c>
      <c r="I54" s="27" t="n">
        <f aca="false">I49-I52-N(I53)</f>
        <v>27.1901831177566</v>
      </c>
      <c r="J54" s="27" t="n">
        <f aca="false">J49-J52-N(J53)</f>
        <v>41.3313879407004</v>
      </c>
      <c r="K54" s="27" t="n">
        <f aca="false">K49-K52-N(K53)</f>
        <v>45.344643576971</v>
      </c>
      <c r="L54" s="27" t="n">
        <f aca="false">L49-L52-N(L53)</f>
        <v>34.370856095604</v>
      </c>
      <c r="M54" s="27" t="n">
        <f aca="false">M49-M52-N(M53)</f>
        <v>40.2459615153707</v>
      </c>
      <c r="N54" s="26"/>
    </row>
    <row r="55" customFormat="false" ht="17.15" hidden="false" customHeight="false" outlineLevel="0" collapsed="false">
      <c r="A55" s="4" t="s">
        <v>685</v>
      </c>
      <c r="B55" s="0" t="s">
        <v>76</v>
      </c>
      <c r="C55" s="21" t="n">
        <f aca="false">Q!J50</f>
        <v>7.363</v>
      </c>
      <c r="D55" s="21" t="n">
        <f aca="false">Q!K50</f>
        <v>10.049</v>
      </c>
      <c r="E55" s="21" t="n">
        <f aca="false">Q!L50</f>
        <v>5.231</v>
      </c>
      <c r="F55" s="21" t="n">
        <f aca="false">dps/2*sh_out</f>
        <v>5.3812</v>
      </c>
      <c r="G55" s="21" t="n">
        <f aca="false">E55+F55</f>
        <v>10.6122</v>
      </c>
      <c r="H55" s="21" t="n">
        <f aca="false">dps*(1+dps_g)^(2027-2026)*PL!F117</f>
        <v>11.50374456</v>
      </c>
      <c r="I55" s="21" t="n">
        <f aca="false">dps*(1+dps_g)^(2028-2026)*PL!H117</f>
        <v>12.151430053012</v>
      </c>
      <c r="J55" s="21" t="n">
        <f aca="false">dps*(1+dps_g)^(2029-2026)*PL!I117</f>
        <v>12.8412061573813</v>
      </c>
      <c r="K55" s="21" t="n">
        <f aca="false">dps*(1+dps_g)^(2030-2026)*PL!J117</f>
        <v>13.6338471691178</v>
      </c>
      <c r="L55" s="21" t="n">
        <f aca="false">dps*(1+dps_g)^(2031-2026)*PL!K117</f>
        <v>14.4186068156556</v>
      </c>
      <c r="M55" s="21" t="n">
        <f aca="false">dps*(1+dps_g)^(2032-2026)*PL!L117</f>
        <v>15.2532564943088</v>
      </c>
      <c r="N55" s="7" t="s">
        <v>919</v>
      </c>
    </row>
    <row r="56" customFormat="false" ht="15" hidden="false" customHeight="false" outlineLevel="0" collapsed="false">
      <c r="A56" s="4" t="s">
        <v>887</v>
      </c>
      <c r="B56" s="0" t="s">
        <v>76</v>
      </c>
      <c r="E56" s="21" t="n">
        <f aca="false">PL!E115</f>
        <v>0</v>
      </c>
      <c r="F56" s="21" t="n">
        <f aca="false">PL!F115</f>
        <v>0.535</v>
      </c>
      <c r="G56" s="21" t="n">
        <f aca="false">PL!G115</f>
        <v>0.535</v>
      </c>
      <c r="H56" s="21" t="n">
        <f aca="false">PL!H115</f>
        <v>1.203</v>
      </c>
      <c r="I56" s="21" t="n">
        <f aca="false">PL!I115</f>
        <v>1.203</v>
      </c>
      <c r="J56" s="21" t="n">
        <f aca="false">PL!J115</f>
        <v>0.602</v>
      </c>
      <c r="K56" s="21" t="n">
        <f aca="false">PL!K115</f>
        <v>0</v>
      </c>
      <c r="L56" s="21" t="n">
        <f aca="false">PL!L115</f>
        <v>0</v>
      </c>
      <c r="M56" s="21" t="n">
        <f aca="false">PL!M115</f>
        <v>0</v>
      </c>
    </row>
    <row r="57" customFormat="false" ht="15" hidden="false" customHeight="false" outlineLevel="0" collapsed="false">
      <c r="A57" s="2" t="s">
        <v>920</v>
      </c>
      <c r="B57" s="7" t="s">
        <v>76</v>
      </c>
      <c r="C57" s="21" t="n">
        <f aca="false">C54-C55-N(C56)</f>
        <v>65.401</v>
      </c>
      <c r="D57" s="21" t="n">
        <f aca="false">D54-D55-N(D56)</f>
        <v>63.217</v>
      </c>
      <c r="E57" s="21" t="n">
        <f aca="false">E54-E55-N(E56)</f>
        <v>-1.80999999999998</v>
      </c>
      <c r="F57" s="21" t="n">
        <f aca="false">F54-F55-N(F56)</f>
        <v>-7.77943281011337</v>
      </c>
      <c r="G57" s="21" t="n">
        <f aca="false">G54-G55-N(G56)</f>
        <v>-9.58943281011336</v>
      </c>
      <c r="H57" s="21" t="n">
        <f aca="false">H54-H55-N(H56)</f>
        <v>-7.6291167622555</v>
      </c>
      <c r="I57" s="21" t="n">
        <f aca="false">I54-I55-N(I56)</f>
        <v>13.8357530647446</v>
      </c>
      <c r="J57" s="21" t="n">
        <f aca="false">J54-J55-N(J56)</f>
        <v>27.888181783319</v>
      </c>
      <c r="K57" s="21" t="n">
        <f aca="false">K54-K55-N(K56)</f>
        <v>31.7107964078532</v>
      </c>
      <c r="L57" s="21" t="n">
        <f aca="false">L54-L55-N(L56)</f>
        <v>19.9522492799484</v>
      </c>
      <c r="M57" s="21" t="n">
        <f aca="false">M54-M55-N(M56)</f>
        <v>24.9927050210619</v>
      </c>
    </row>
    <row r="58" customFormat="false" ht="17.15" hidden="false" customHeight="false" outlineLevel="0" collapsed="false">
      <c r="A58" s="4" t="s">
        <v>921</v>
      </c>
      <c r="B58" s="0" t="s">
        <v>76</v>
      </c>
      <c r="E58" s="23" t="n">
        <v>55.44</v>
      </c>
      <c r="F58" s="21" t="n">
        <f aca="false">anth_2H</f>
        <v>2.222</v>
      </c>
      <c r="G58" s="21" t="n">
        <f aca="false">E58+F58</f>
        <v>57.662</v>
      </c>
      <c r="H58" s="21" t="n">
        <f aca="false">anth_27</f>
        <v>4.444</v>
      </c>
      <c r="I58" s="21" t="n">
        <f aca="false">anth_28</f>
        <v>4.444</v>
      </c>
      <c r="J58" s="21" t="n">
        <f aca="false">anth_29</f>
        <v>4.444</v>
      </c>
      <c r="K58" s="21" t="n">
        <f aca="false">anth_30</f>
        <v>4.444</v>
      </c>
      <c r="L58" s="21" t="n">
        <f aca="false">anth_31</f>
        <v>0</v>
      </c>
      <c r="M58" s="21" t="n">
        <f aca="false">anth_32</f>
        <v>0</v>
      </c>
      <c r="N58" s="7" t="s">
        <v>922</v>
      </c>
    </row>
    <row r="59" customFormat="false" ht="17.15" hidden="false" customHeight="false" outlineLevel="0" collapsed="false">
      <c r="A59" s="4" t="s">
        <v>923</v>
      </c>
      <c r="B59" s="0" t="s">
        <v>76</v>
      </c>
      <c r="E59" s="23" t="n">
        <v>5.253</v>
      </c>
      <c r="F59" s="21" t="n">
        <f aca="false">mat_2H</f>
        <v>2</v>
      </c>
      <c r="G59" s="21" t="n">
        <f aca="false">E59+F59</f>
        <v>7.253</v>
      </c>
      <c r="H59" s="21" t="n">
        <f aca="false">mat_27</f>
        <v>1</v>
      </c>
      <c r="I59" s="21" t="n">
        <f aca="false">mat_28</f>
        <v>2.676</v>
      </c>
      <c r="J59" s="21" t="n">
        <f aca="false">mat_29</f>
        <v>1.764</v>
      </c>
      <c r="K59" s="21" t="n">
        <f aca="false">mat_30</f>
        <v>7.186</v>
      </c>
      <c r="L59" s="21" t="n">
        <f aca="false">mat_31</f>
        <v>5</v>
      </c>
      <c r="M59" s="21" t="n">
        <f aca="false">mat_32</f>
        <v>5</v>
      </c>
      <c r="N59" s="7" t="s">
        <v>924</v>
      </c>
    </row>
    <row r="60" customFormat="false" ht="17.15" hidden="false" customHeight="false" outlineLevel="0" collapsed="false">
      <c r="A60" s="4" t="s">
        <v>925</v>
      </c>
      <c r="B60" s="0" t="s">
        <v>76</v>
      </c>
      <c r="E60" s="23" t="n">
        <v>56.226</v>
      </c>
      <c r="F60" s="21" t="n">
        <f aca="false">debt_new_2h</f>
        <v>25</v>
      </c>
      <c r="G60" s="21" t="n">
        <f aca="false">E60+F60</f>
        <v>81.226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7" t="s">
        <v>926</v>
      </c>
    </row>
    <row r="61" customFormat="false" ht="17.15" hidden="false" customHeight="false" outlineLevel="0" collapsed="false">
      <c r="A61" s="4" t="s">
        <v>927</v>
      </c>
      <c r="B61" s="0" t="s">
        <v>76</v>
      </c>
      <c r="E61" s="23" t="n">
        <v>49.562</v>
      </c>
      <c r="F61" s="23" t="n">
        <v>0</v>
      </c>
      <c r="G61" s="21" t="n">
        <f aca="false">E61+F61</f>
        <v>49.562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7" t="s">
        <v>928</v>
      </c>
    </row>
    <row r="62" customFormat="false" ht="15" hidden="false" customHeight="false" outlineLevel="0" collapsed="false">
      <c r="A62" s="4" t="s">
        <v>929</v>
      </c>
      <c r="B62" s="0" t="s">
        <v>76</v>
      </c>
      <c r="E62" s="21" t="n">
        <f aca="false">cash_ye25</f>
        <v>120.53</v>
      </c>
      <c r="F62" s="21" t="n">
        <f aca="false">E67</f>
        <v>155.411</v>
      </c>
      <c r="H62" s="21" t="n">
        <f aca="false">F67</f>
        <v>168.409567189887</v>
      </c>
      <c r="I62" s="21" t="n">
        <f aca="false">H67</f>
        <v>138.333450427631</v>
      </c>
      <c r="J62" s="21" t="n">
        <f aca="false">I67</f>
        <v>128.046203492376</v>
      </c>
      <c r="K62" s="21" t="n">
        <f aca="false">J67</f>
        <v>132.723385275695</v>
      </c>
      <c r="L62" s="21" t="n">
        <f aca="false">K67</f>
        <v>135.801181683548</v>
      </c>
      <c r="M62" s="21" t="n">
        <f aca="false">L67</f>
        <v>133.750430963497</v>
      </c>
    </row>
    <row r="63" customFormat="false" ht="17.15" hidden="false" customHeight="false" outlineLevel="0" collapsed="false">
      <c r="A63" s="4" t="s">
        <v>930</v>
      </c>
      <c r="B63" s="0" t="s">
        <v>76</v>
      </c>
      <c r="E63" s="21" t="n">
        <f aca="false">cash_0-(E62+E54-E55-E56-E58-E59+E60+E61)</f>
        <v>-8.40400000000003</v>
      </c>
      <c r="F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</row>
    <row r="64" customFormat="false" ht="15" hidden="false" customHeight="false" outlineLevel="0" collapsed="false">
      <c r="A64" s="4" t="s">
        <v>931</v>
      </c>
      <c r="B64" s="0" t="s">
        <v>76</v>
      </c>
      <c r="E64" s="21" t="n">
        <f aca="false">E62+E54-E55-E56-E58-E59+E60+E61+E63</f>
        <v>155.411</v>
      </c>
      <c r="F64" s="21" t="n">
        <f aca="false">F62+F54-F55-F56-F58-F59+F60+F61+F63</f>
        <v>168.409567189887</v>
      </c>
      <c r="H64" s="21" t="n">
        <f aca="false">H62+H54-H55-H56-H58-H59+H60+H61+H63</f>
        <v>155.336450427631</v>
      </c>
      <c r="I64" s="21" t="n">
        <f aca="false">I62+I54-I55-I56-I58-I59+I60+I61+I63</f>
        <v>145.049203492376</v>
      </c>
      <c r="J64" s="21" t="n">
        <f aca="false">J62+J54-J55-J56-J58-J59+J60+J61+J63</f>
        <v>149.726385275695</v>
      </c>
      <c r="K64" s="21" t="n">
        <f aca="false">K62+K54-K55-K56-K58-K59+K60+K61+K63</f>
        <v>152.804181683548</v>
      </c>
      <c r="L64" s="21" t="n">
        <f aca="false">L62+L54-L55-L56-L58-L59+L60+L61+L63</f>
        <v>150.753430963497</v>
      </c>
      <c r="M64" s="21" t="n">
        <f aca="false">M62+M54-M55-M56-M58-M59+M60+M61+M63</f>
        <v>153.743135984558</v>
      </c>
    </row>
    <row r="65" customFormat="false" ht="17.15" hidden="false" customHeight="false" outlineLevel="0" collapsed="false">
      <c r="A65" s="4" t="s">
        <v>684</v>
      </c>
      <c r="B65" s="0" t="s">
        <v>76</v>
      </c>
      <c r="E65" s="21" t="n">
        <f aca="false">Q!L49</f>
        <v>0</v>
      </c>
      <c r="F65" s="23" t="n">
        <v>0</v>
      </c>
      <c r="G65" s="21" t="n">
        <f aca="false">E65+F65</f>
        <v>0</v>
      </c>
      <c r="H65" s="21" t="n">
        <f aca="false">MAX(0,MIN(bb_t,H64-min_cash))</f>
        <v>17.003</v>
      </c>
      <c r="I65" s="21" t="n">
        <f aca="false">MAX(0,MIN(bb_t,I64-min_cash))</f>
        <v>17.003</v>
      </c>
      <c r="J65" s="21" t="n">
        <f aca="false">MAX(0,MIN(bb_t,J64-min_cash))</f>
        <v>17.003</v>
      </c>
      <c r="K65" s="21" t="n">
        <f aca="false">MAX(0,MIN(bb_t,K64-min_cash))</f>
        <v>17.003</v>
      </c>
      <c r="L65" s="21" t="n">
        <f aca="false">MAX(0,MIN(bb_t,L64-min_cash))</f>
        <v>17.003</v>
      </c>
      <c r="M65" s="21" t="n">
        <f aca="false">MAX(0,MIN(bb_t,M64-min_cash))</f>
        <v>17.003</v>
      </c>
      <c r="N65" s="7" t="s">
        <v>932</v>
      </c>
    </row>
    <row r="66" customFormat="false" ht="15" hidden="false" customHeight="false" outlineLevel="0" collapsed="false">
      <c r="A66" s="4" t="s">
        <v>933</v>
      </c>
      <c r="B66" s="0" t="s">
        <v>76</v>
      </c>
      <c r="E66" s="23" t="n">
        <v>0</v>
      </c>
      <c r="F66" s="21" t="n">
        <f aca="false">MAX(0,min_cash-(F64-F65))</f>
        <v>0</v>
      </c>
      <c r="G66" s="21" t="n">
        <f aca="false">E66+F66</f>
        <v>0</v>
      </c>
      <c r="H66" s="21" t="n">
        <f aca="false">MAX(0,min_cash-(H64-H65))</f>
        <v>0</v>
      </c>
      <c r="I66" s="21" t="n">
        <f aca="false">MAX(0,min_cash-(I64-I65))</f>
        <v>0</v>
      </c>
      <c r="J66" s="21" t="n">
        <f aca="false">MAX(0,min_cash-(J64-J65))</f>
        <v>0</v>
      </c>
      <c r="K66" s="21" t="n">
        <f aca="false">MAX(0,min_cash-(K64-K65))</f>
        <v>0</v>
      </c>
      <c r="L66" s="21" t="n">
        <f aca="false">MAX(0,min_cash-(L64-L65))</f>
        <v>0</v>
      </c>
      <c r="M66" s="21" t="n">
        <f aca="false">MAX(0,min_cash-(M64-M65))</f>
        <v>0</v>
      </c>
    </row>
    <row r="67" customFormat="false" ht="15" hidden="false" customHeight="false" outlineLevel="0" collapsed="false">
      <c r="A67" s="4" t="s">
        <v>934</v>
      </c>
      <c r="B67" s="0" t="s">
        <v>76</v>
      </c>
      <c r="E67" s="21" t="n">
        <f aca="false">E64-E65+E66</f>
        <v>155.411</v>
      </c>
      <c r="F67" s="21" t="n">
        <f aca="false">F64-F65+F66</f>
        <v>168.409567189887</v>
      </c>
      <c r="H67" s="21" t="n">
        <f aca="false">H64-H65+H66</f>
        <v>138.333450427631</v>
      </c>
      <c r="I67" s="21" t="n">
        <f aca="false">I64-I65+I66</f>
        <v>128.046203492376</v>
      </c>
      <c r="J67" s="21" t="n">
        <f aca="false">J64-J65+J66</f>
        <v>132.723385275695</v>
      </c>
      <c r="K67" s="21" t="n">
        <f aca="false">K64-K65+K66</f>
        <v>135.801181683548</v>
      </c>
      <c r="L67" s="21" t="n">
        <f aca="false">L64-L65+L66</f>
        <v>133.750430963497</v>
      </c>
      <c r="M67" s="21" t="n">
        <f aca="false">M64-M65+M66</f>
        <v>136.740135984558</v>
      </c>
    </row>
    <row r="68" customFormat="false" ht="17.15" hidden="false" customHeight="false" outlineLevel="0" collapsed="false">
      <c r="A68" s="4" t="s">
        <v>935</v>
      </c>
      <c r="B68" s="0" t="s">
        <v>76</v>
      </c>
      <c r="E68" s="16" t="n">
        <f aca="false">E67-cash_0</f>
        <v>0</v>
      </c>
    </row>
    <row r="69" customFormat="false" ht="17.15" hidden="false" customHeight="false" outlineLevel="0" collapsed="false">
      <c r="A69" s="4" t="s">
        <v>936</v>
      </c>
      <c r="B69" s="0" t="s">
        <v>76</v>
      </c>
      <c r="E69" s="23" t="n">
        <v>49.085</v>
      </c>
      <c r="F69" s="21" t="n">
        <f aca="false">E70</f>
        <v>101.085</v>
      </c>
      <c r="H69" s="21" t="n">
        <f aca="false">F70</f>
        <v>124.085</v>
      </c>
      <c r="I69" s="21" t="n">
        <f aca="false">H70</f>
        <v>123.085</v>
      </c>
      <c r="J69" s="21" t="n">
        <f aca="false">I70</f>
        <v>120.409</v>
      </c>
      <c r="K69" s="21" t="n">
        <f aca="false">J70</f>
        <v>118.645</v>
      </c>
      <c r="L69" s="21" t="n">
        <f aca="false">K70</f>
        <v>111.459</v>
      </c>
      <c r="M69" s="21" t="n">
        <f aca="false">L70</f>
        <v>106.459</v>
      </c>
      <c r="N69" s="7" t="s">
        <v>937</v>
      </c>
    </row>
    <row r="70" customFormat="false" ht="17.15" hidden="false" customHeight="false" outlineLevel="0" collapsed="false">
      <c r="A70" s="4" t="s">
        <v>938</v>
      </c>
      <c r="B70" s="0" t="s">
        <v>76</v>
      </c>
      <c r="E70" s="21" t="n">
        <f aca="false">debt_0</f>
        <v>101.085</v>
      </c>
      <c r="F70" s="21" t="n">
        <f aca="false">F69-F59+F60+F66</f>
        <v>124.085</v>
      </c>
      <c r="H70" s="21" t="n">
        <f aca="false">H69-H59+H60+H66</f>
        <v>123.085</v>
      </c>
      <c r="I70" s="21" t="n">
        <f aca="false">I69-I59+I60+I66</f>
        <v>120.409</v>
      </c>
      <c r="J70" s="21" t="n">
        <f aca="false">J69-J59+J60+J66</f>
        <v>118.645</v>
      </c>
      <c r="K70" s="21" t="n">
        <f aca="false">K69-K59+K60+K66</f>
        <v>111.459</v>
      </c>
      <c r="L70" s="21" t="n">
        <f aca="false">L69-L59+L60+L66</f>
        <v>106.459</v>
      </c>
      <c r="M70" s="21" t="n">
        <f aca="false">M69-M59+M60+M66</f>
        <v>101.459</v>
      </c>
      <c r="N70" s="7" t="s">
        <v>939</v>
      </c>
    </row>
    <row r="71" customFormat="false" ht="15" hidden="false" customHeight="false" outlineLevel="0" collapsed="false">
      <c r="A71" s="4" t="s">
        <v>940</v>
      </c>
      <c r="B71" s="0" t="s">
        <v>76</v>
      </c>
      <c r="E71" s="21" t="n">
        <f aca="false">E67-E70</f>
        <v>54.326</v>
      </c>
      <c r="F71" s="21" t="n">
        <f aca="false">F67-F70</f>
        <v>44.3245671898866</v>
      </c>
      <c r="H71" s="21" t="n">
        <f aca="false">H67-H70</f>
        <v>15.2484504276311</v>
      </c>
      <c r="I71" s="21" t="n">
        <f aca="false">I67-I70</f>
        <v>7.63720349237582</v>
      </c>
      <c r="J71" s="21" t="n">
        <f aca="false">J67-J70</f>
        <v>14.0783852756949</v>
      </c>
      <c r="K71" s="21" t="n">
        <f aca="false">K67-K70</f>
        <v>24.3421816835481</v>
      </c>
      <c r="L71" s="21" t="n">
        <f aca="false">L67-L70</f>
        <v>27.2914309634965</v>
      </c>
      <c r="M71" s="21" t="n">
        <f aca="false">M67-M70</f>
        <v>35.2811359845584</v>
      </c>
    </row>
    <row r="72" customFormat="false" ht="17.15" hidden="false" customHeight="false" outlineLevel="0" collapsed="false">
      <c r="A72" s="4" t="s">
        <v>941</v>
      </c>
      <c r="B72" s="0" t="s">
        <v>54</v>
      </c>
      <c r="F72" s="18" t="n">
        <f aca="false">px</f>
        <v>316.8</v>
      </c>
      <c r="H72" s="18" t="n">
        <f aca="false">px*(1+ke)^(2027.5-2026.82)</f>
        <v>341.601800339247</v>
      </c>
      <c r="I72" s="18" t="n">
        <f aca="false">px*(1+ke)^(2028.5-2026.82)</f>
        <v>381.645217379514</v>
      </c>
      <c r="J72" s="18" t="n">
        <f aca="false">px*(1+ke)^(2029.5-2026.82)</f>
        <v>426.382623873784</v>
      </c>
      <c r="K72" s="18" t="n">
        <f aca="false">px*(1+ke)^(2030.5-2026.82)</f>
        <v>476.364261000829</v>
      </c>
      <c r="L72" s="18" t="n">
        <f aca="false">px*(1+ke)^(2031.5-2026.82)</f>
        <v>532.204870585998</v>
      </c>
      <c r="M72" s="18" t="n">
        <f aca="false">px*(1+ke)^(2032.5-2026.82)</f>
        <v>594.591256028265</v>
      </c>
    </row>
    <row r="74" customFormat="false" ht="17.15" hidden="false" customHeight="false" outlineLevel="0" collapsed="false">
      <c r="A74" s="24" t="s">
        <v>850</v>
      </c>
    </row>
    <row r="75" customFormat="false" ht="15" hidden="false" customHeight="false" outlineLevel="0" collapsed="false">
      <c r="A75" s="3" t="s">
        <v>43</v>
      </c>
      <c r="B75" s="3" t="s">
        <v>44</v>
      </c>
      <c r="C75" s="14" t="s">
        <v>746</v>
      </c>
      <c r="D75" s="14" t="s">
        <v>747</v>
      </c>
      <c r="E75" s="14" t="s">
        <v>748</v>
      </c>
      <c r="F75" s="14" t="s">
        <v>749</v>
      </c>
      <c r="G75" s="14" t="s">
        <v>750</v>
      </c>
      <c r="H75" s="14" t="s">
        <v>751</v>
      </c>
      <c r="I75" s="14" t="s">
        <v>752</v>
      </c>
      <c r="J75" s="14" t="s">
        <v>753</v>
      </c>
      <c r="K75" s="14" t="s">
        <v>754</v>
      </c>
      <c r="L75" s="14" t="s">
        <v>755</v>
      </c>
      <c r="M75" s="14" t="s">
        <v>756</v>
      </c>
      <c r="N75" s="3" t="s">
        <v>50</v>
      </c>
    </row>
    <row r="76" customFormat="false" ht="15" hidden="false" customHeight="false" outlineLevel="0" collapsed="false">
      <c r="A76" s="4" t="s">
        <v>673</v>
      </c>
      <c r="B76" s="0" t="s">
        <v>76</v>
      </c>
      <c r="C76" s="21" t="n">
        <f aca="false">PL!C169</f>
        <v>100.118</v>
      </c>
      <c r="D76" s="21" t="n">
        <f aca="false">PL!D169</f>
        <v>132.17</v>
      </c>
      <c r="E76" s="21" t="n">
        <f aca="false">PL!E169</f>
        <v>174.771</v>
      </c>
      <c r="F76" s="21" t="n">
        <f aca="false">PL!F169</f>
        <v>70.5341824426593</v>
      </c>
      <c r="G76" s="21" t="n">
        <f aca="false">PL!G169</f>
        <v>245.305182442659</v>
      </c>
      <c r="H76" s="21" t="n">
        <f aca="false">PL!H169</f>
        <v>125.15700650141</v>
      </c>
      <c r="I76" s="21" t="n">
        <f aca="false">PL!I169</f>
        <v>114.376168662988</v>
      </c>
      <c r="J76" s="21" t="n">
        <f aca="false">PL!J169</f>
        <v>102.028329932847</v>
      </c>
      <c r="K76" s="21" t="n">
        <f aca="false">PL!K169</f>
        <v>80.1887251987041</v>
      </c>
      <c r="L76" s="21" t="n">
        <f aca="false">PL!L169</f>
        <v>62.7010299623665</v>
      </c>
      <c r="M76" s="21" t="n">
        <f aca="false">PL!M169</f>
        <v>44.8471759986515</v>
      </c>
    </row>
    <row r="77" customFormat="false" ht="15" hidden="false" customHeight="false" outlineLevel="0" collapsed="false">
      <c r="A77" s="4" t="s">
        <v>908</v>
      </c>
      <c r="B77" s="0" t="s">
        <v>76</v>
      </c>
      <c r="C77" s="21" t="n">
        <f aca="false">PL!C156</f>
        <v>15.311</v>
      </c>
      <c r="D77" s="21" t="n">
        <f aca="false">PL!D156</f>
        <v>21.136</v>
      </c>
      <c r="E77" s="21" t="n">
        <f aca="false">PL!E156</f>
        <v>13.586</v>
      </c>
      <c r="F77" s="21" t="n">
        <f aca="false">PL!F156</f>
        <v>21.8622188301703</v>
      </c>
      <c r="G77" s="21" t="n">
        <f aca="false">PL!G156</f>
        <v>35.4482188301703</v>
      </c>
      <c r="H77" s="21" t="n">
        <f aca="false">PL!H156</f>
        <v>66.8110493990838</v>
      </c>
      <c r="I77" s="21" t="n">
        <f aca="false">PL!I156</f>
        <v>98.5677317285365</v>
      </c>
      <c r="J77" s="21" t="n">
        <f aca="false">PL!J156</f>
        <v>133.398483834215</v>
      </c>
      <c r="K77" s="21" t="n">
        <f aca="false">PL!K156</f>
        <v>173.096392700396</v>
      </c>
      <c r="L77" s="21" t="n">
        <f aca="false">PL!L156</f>
        <v>219.157368869619</v>
      </c>
      <c r="M77" s="21" t="n">
        <f aca="false">PL!M156</f>
        <v>266.518352583249</v>
      </c>
    </row>
    <row r="78" customFormat="false" ht="15" hidden="false" customHeight="false" outlineLevel="0" collapsed="false">
      <c r="A78" s="4" t="s">
        <v>909</v>
      </c>
      <c r="B78" s="0" t="s">
        <v>76</v>
      </c>
      <c r="C78" s="21" t="n">
        <f aca="false">PL!C177</f>
        <v>22.785</v>
      </c>
      <c r="D78" s="21" t="n">
        <f aca="false">PL!D177</f>
        <v>24.953</v>
      </c>
      <c r="E78" s="21" t="n">
        <f aca="false">PL!E177</f>
        <v>14.708</v>
      </c>
      <c r="F78" s="21" t="n">
        <f aca="false">PL!F177</f>
        <v>16.8583659170571</v>
      </c>
      <c r="G78" s="21" t="n">
        <f aca="false">PL!G177</f>
        <v>31.5663659170571</v>
      </c>
      <c r="H78" s="21" t="n">
        <f aca="false">PL!H177</f>
        <v>36.7927015412231</v>
      </c>
      <c r="I78" s="21" t="n">
        <f aca="false">PL!I177</f>
        <v>41.2748321642576</v>
      </c>
      <c r="J78" s="21" t="n">
        <f aca="false">PL!J177</f>
        <v>45.0459947909842</v>
      </c>
      <c r="K78" s="21" t="n">
        <f aca="false">PL!K177</f>
        <v>47.6390684905235</v>
      </c>
      <c r="L78" s="21" t="n">
        <f aca="false">PL!L177</f>
        <v>52.0447960518936</v>
      </c>
      <c r="M78" s="21" t="n">
        <f aca="false">PL!M177</f>
        <v>56.7210864208751</v>
      </c>
    </row>
    <row r="79" customFormat="false" ht="17.15" hidden="false" customHeight="false" outlineLevel="0" collapsed="false">
      <c r="A79" s="4" t="s">
        <v>910</v>
      </c>
      <c r="B79" s="0" t="s">
        <v>76</v>
      </c>
      <c r="F79" s="21" t="n">
        <f aca="false">wc_2h</f>
        <v>8.49</v>
      </c>
      <c r="G79" s="21" t="n">
        <f aca="false">F79</f>
        <v>8.49</v>
      </c>
      <c r="H79" s="21" t="n">
        <f aca="false">wc_k*(PL!H136-PL!G136)</f>
        <v>1.00882747959971</v>
      </c>
      <c r="I79" s="21" t="n">
        <f aca="false">wc_k*(PL!I136-PL!H136)</f>
        <v>0.831076518058697</v>
      </c>
      <c r="J79" s="21" t="n">
        <f aca="false">wc_k*(PL!J136-PL!I136)</f>
        <v>0.69924885471794</v>
      </c>
      <c r="K79" s="21" t="n">
        <f aca="false">wc_k*(PL!K136-PL!J136)</f>
        <v>0.480807643179234</v>
      </c>
      <c r="L79" s="21" t="n">
        <f aca="false">wc_k*(PL!L136-PL!K136)</f>
        <v>0.81690986478652</v>
      </c>
      <c r="M79" s="21" t="n">
        <f aca="false">wc_k*(PL!M136-PL!L136)</f>
        <v>0.867077611998168</v>
      </c>
      <c r="N79" s="7" t="s">
        <v>911</v>
      </c>
    </row>
    <row r="80" customFormat="false" ht="15" hidden="false" customHeight="false" outlineLevel="0" collapsed="false">
      <c r="A80" s="4" t="s">
        <v>912</v>
      </c>
      <c r="B80" s="0" t="s">
        <v>76</v>
      </c>
      <c r="C80" s="21" t="n">
        <f aca="false">Q!J45-C76-C77-C78</f>
        <v>-12.915</v>
      </c>
      <c r="D80" s="21" t="n">
        <f aca="false">Q!K45-D76-D77-D78</f>
        <v>-13.546</v>
      </c>
      <c r="E80" s="21" t="n">
        <f aca="false">Q!L45-E76-E77-E78</f>
        <v>-118.206</v>
      </c>
      <c r="F80" s="23" t="n">
        <v>0</v>
      </c>
      <c r="G80" s="21" t="n">
        <f aca="false">E80+F80</f>
        <v>-118.206</v>
      </c>
      <c r="H80" s="23" t="n">
        <v>0</v>
      </c>
      <c r="I80" s="23" t="n">
        <v>0</v>
      </c>
      <c r="J80" s="23" t="n">
        <v>0</v>
      </c>
      <c r="K80" s="23" t="n">
        <v>0</v>
      </c>
      <c r="L80" s="23" t="n">
        <v>0</v>
      </c>
      <c r="M80" s="23" t="n">
        <v>0</v>
      </c>
    </row>
    <row r="81" customFormat="false" ht="15" hidden="false" customHeight="false" outlineLevel="0" collapsed="false">
      <c r="A81" s="2" t="s">
        <v>680</v>
      </c>
      <c r="B81" s="7" t="s">
        <v>76</v>
      </c>
      <c r="C81" s="21" t="n">
        <f aca="false">C76+C77+C78+C79+C80</f>
        <v>125.299</v>
      </c>
      <c r="D81" s="21" t="n">
        <f aca="false">D76+D77+D78+D79+D80</f>
        <v>164.713</v>
      </c>
      <c r="E81" s="21" t="n">
        <f aca="false">E76+E77+E78+E79+E80</f>
        <v>84.859</v>
      </c>
      <c r="F81" s="21" t="n">
        <f aca="false">F76+F77+F78+F79+F80</f>
        <v>117.744767189887</v>
      </c>
      <c r="G81" s="21" t="n">
        <f aca="false">G76+G77+G78+G79+G80</f>
        <v>202.603767189887</v>
      </c>
      <c r="H81" s="21" t="n">
        <f aca="false">H76+H77+H78+H79+H80</f>
        <v>229.769584921317</v>
      </c>
      <c r="I81" s="21" t="n">
        <f aca="false">I76+I77+I78+I79+I80</f>
        <v>255.049809073841</v>
      </c>
      <c r="J81" s="21" t="n">
        <f aca="false">J76+J77+J78+J79+J80</f>
        <v>281.172057412764</v>
      </c>
      <c r="K81" s="21" t="n">
        <f aca="false">K76+K77+K78+K79+K80</f>
        <v>301.404994032803</v>
      </c>
      <c r="L81" s="21" t="n">
        <f aca="false">L76+L77+L78+L79+L80</f>
        <v>334.720104748666</v>
      </c>
      <c r="M81" s="21" t="n">
        <f aca="false">M76+M77+M78+M79+M80</f>
        <v>368.953692614774</v>
      </c>
    </row>
    <row r="82" customFormat="false" ht="17.15" hidden="false" customHeight="false" outlineLevel="0" collapsed="false">
      <c r="A82" s="4" t="s">
        <v>913</v>
      </c>
      <c r="B82" s="0" t="s">
        <v>76</v>
      </c>
      <c r="F82" s="21" t="n">
        <f aca="false">Thesis!F52</f>
        <v>98.2828001170933</v>
      </c>
      <c r="G82" s="21" t="n">
        <f aca="false">F82</f>
        <v>98.2828001170933</v>
      </c>
      <c r="H82" s="21" t="n">
        <f aca="false">Thesis!H52</f>
        <v>190.01908325496</v>
      </c>
      <c r="I82" s="21" t="n">
        <f aca="false">Thesis!I52</f>
        <v>201.14438688884</v>
      </c>
      <c r="J82" s="21" t="n">
        <f aca="false">Thesis!J52</f>
        <v>225.07561720724</v>
      </c>
      <c r="K82" s="21" t="n">
        <f aca="false">Thesis!K52</f>
        <v>257.77198481204</v>
      </c>
      <c r="L82" s="21" t="n">
        <f aca="false">Thesis!L52</f>
        <v>303.74385194324</v>
      </c>
      <c r="M82" s="21" t="n">
        <f aca="false">Thesis!M52</f>
        <v>334.34421662876</v>
      </c>
    </row>
    <row r="83" customFormat="false" ht="17.15" hidden="false" customHeight="false" outlineLevel="0" collapsed="false">
      <c r="A83" s="4" t="s">
        <v>914</v>
      </c>
      <c r="B83" s="0" t="s">
        <v>76</v>
      </c>
      <c r="F83" s="21" t="n">
        <f aca="false">Seg!F106</f>
        <v>21.1191998829067</v>
      </c>
      <c r="G83" s="21" t="n">
        <f aca="false">F83</f>
        <v>21.1191998829067</v>
      </c>
      <c r="H83" s="21" t="n">
        <f aca="false">Seg!H106</f>
        <v>46.6923181203358</v>
      </c>
      <c r="I83" s="21" t="n">
        <f aca="false">Seg!I106</f>
        <v>53.9095860309023</v>
      </c>
      <c r="J83" s="21" t="n">
        <f aca="false">Seg!J106</f>
        <v>59.7086713148169</v>
      </c>
      <c r="K83" s="21" t="n">
        <f aca="false">Seg!K106</f>
        <v>62.8475882832174</v>
      </c>
      <c r="L83" s="21" t="n">
        <f aca="false">Seg!L106</f>
        <v>67.8519129236592</v>
      </c>
      <c r="M83" s="21" t="n">
        <f aca="false">Seg!M106</f>
        <v>73.2666591210633</v>
      </c>
    </row>
    <row r="84" customFormat="false" ht="15" hidden="false" customHeight="false" outlineLevel="0" collapsed="false">
      <c r="A84" s="2" t="s">
        <v>915</v>
      </c>
      <c r="B84" s="7" t="s">
        <v>76</v>
      </c>
      <c r="C84" s="21" t="n">
        <f aca="false">Q!J46</f>
        <v>52.535</v>
      </c>
      <c r="D84" s="21" t="n">
        <f aca="false">Q!K46</f>
        <v>91.447</v>
      </c>
      <c r="E84" s="21" t="n">
        <f aca="false">Q!L46</f>
        <v>80.598</v>
      </c>
      <c r="F84" s="21" t="n">
        <f aca="false">F82+F83</f>
        <v>119.402</v>
      </c>
      <c r="G84" s="21" t="n">
        <f aca="false">E84+F84</f>
        <v>200</v>
      </c>
      <c r="H84" s="21" t="n">
        <f aca="false">H82+H83</f>
        <v>236.711401375296</v>
      </c>
      <c r="I84" s="21" t="n">
        <f aca="false">I82+I83</f>
        <v>255.053972919742</v>
      </c>
      <c r="J84" s="21" t="n">
        <f aca="false">J82+J83</f>
        <v>284.784288522057</v>
      </c>
      <c r="K84" s="21" t="n">
        <f aca="false">K82+K83</f>
        <v>320.619573095257</v>
      </c>
      <c r="L84" s="21" t="n">
        <f aca="false">L82+L83</f>
        <v>371.595764866899</v>
      </c>
      <c r="M84" s="21" t="n">
        <f aca="false">M82+M83</f>
        <v>407.610875749823</v>
      </c>
    </row>
    <row r="85" customFormat="false" ht="17.15" hidden="false" customHeight="false" outlineLevel="0" collapsed="false">
      <c r="A85" s="4" t="s">
        <v>916</v>
      </c>
      <c r="B85" s="0" t="s">
        <v>76</v>
      </c>
      <c r="E85" s="23" t="n">
        <v>0.84</v>
      </c>
      <c r="F85" s="21" t="n">
        <f aca="false">lease_2H</f>
        <v>0.206</v>
      </c>
      <c r="G85" s="21" t="n">
        <f aca="false">E85+F85</f>
        <v>1.046</v>
      </c>
      <c r="H85" s="21" t="n">
        <f aca="false">lease_27</f>
        <v>0.387</v>
      </c>
      <c r="I85" s="21" t="n">
        <f aca="false">lease_28</f>
        <v>0.377</v>
      </c>
      <c r="J85" s="21" t="n">
        <f aca="false">lease_29</f>
        <v>0.356</v>
      </c>
      <c r="K85" s="21" t="n">
        <f aca="false">lease_30</f>
        <v>0.285</v>
      </c>
      <c r="L85" s="21" t="n">
        <f aca="false">lease_31</f>
        <v>0.25</v>
      </c>
      <c r="M85" s="21" t="n">
        <f aca="false">lease_32</f>
        <v>0.25</v>
      </c>
      <c r="N85" s="7" t="s">
        <v>917</v>
      </c>
    </row>
    <row r="86" customFormat="false" ht="15" hidden="false" customHeight="false" outlineLevel="0" collapsed="false">
      <c r="A86" s="24" t="s">
        <v>918</v>
      </c>
      <c r="B86" s="26" t="s">
        <v>76</v>
      </c>
      <c r="C86" s="27" t="n">
        <f aca="false">C81-C84-N(C85)</f>
        <v>72.764</v>
      </c>
      <c r="D86" s="27" t="n">
        <f aca="false">D81-D84-N(D85)</f>
        <v>73.266</v>
      </c>
      <c r="E86" s="27" t="n">
        <f aca="false">E81-E84-N(E85)</f>
        <v>3.42100000000002</v>
      </c>
      <c r="F86" s="27" t="n">
        <f aca="false">F81-F84-N(F85)</f>
        <v>-1.86323281011337</v>
      </c>
      <c r="G86" s="27" t="n">
        <f aca="false">G81-G84-N(G85)</f>
        <v>1.55776718988664</v>
      </c>
      <c r="H86" s="27" t="n">
        <f aca="false">H81-H84-N(H85)</f>
        <v>-7.32881645397896</v>
      </c>
      <c r="I86" s="27" t="n">
        <f aca="false">I81-I84-N(I85)</f>
        <v>-0.381163845901019</v>
      </c>
      <c r="J86" s="27" t="n">
        <f aca="false">J81-J84-N(J85)</f>
        <v>-3.96823110929262</v>
      </c>
      <c r="K86" s="27" t="n">
        <f aca="false">K81-K84-N(K85)</f>
        <v>-19.4995790624542</v>
      </c>
      <c r="L86" s="27" t="n">
        <f aca="false">L81-L84-N(L85)</f>
        <v>-37.1256601182336</v>
      </c>
      <c r="M86" s="27" t="n">
        <f aca="false">M81-M84-N(M85)</f>
        <v>-38.9071831350497</v>
      </c>
      <c r="N86" s="26"/>
    </row>
    <row r="87" customFormat="false" ht="17.15" hidden="false" customHeight="false" outlineLevel="0" collapsed="false">
      <c r="A87" s="4" t="s">
        <v>685</v>
      </c>
      <c r="B87" s="0" t="s">
        <v>76</v>
      </c>
      <c r="C87" s="21" t="n">
        <f aca="false">Q!J50</f>
        <v>7.363</v>
      </c>
      <c r="D87" s="21" t="n">
        <f aca="false">Q!K50</f>
        <v>10.049</v>
      </c>
      <c r="E87" s="21" t="n">
        <f aca="false">Q!L50</f>
        <v>5.231</v>
      </c>
      <c r="F87" s="21" t="n">
        <f aca="false">dps/2*sh_out</f>
        <v>5.3812</v>
      </c>
      <c r="G87" s="21" t="n">
        <f aca="false">E87+F87</f>
        <v>10.6122</v>
      </c>
      <c r="H87" s="21" t="n">
        <f aca="false">dps*(1+dps_g)^(2027-2026)*PL!F173</f>
        <v>11.50374456</v>
      </c>
      <c r="I87" s="21" t="n">
        <f aca="false">dps*(1+dps_g)^(2028-2026)*PL!H173</f>
        <v>12.151430053012</v>
      </c>
      <c r="J87" s="21" t="n">
        <f aca="false">dps*(1+dps_g)^(2029-2026)*PL!I173</f>
        <v>12.8412061573813</v>
      </c>
      <c r="K87" s="21" t="n">
        <f aca="false">dps*(1+dps_g)^(2030-2026)*PL!J173</f>
        <v>13.6402543282845</v>
      </c>
      <c r="L87" s="21" t="n">
        <f aca="false">dps*(1+dps_g)^(2031-2026)*PL!K173</f>
        <v>14.4654897151458</v>
      </c>
      <c r="M87" s="21" t="n">
        <f aca="false">dps*(1+dps_g)^(2032-2026)*PL!L173</f>
        <v>15.3406518429121</v>
      </c>
      <c r="N87" s="7" t="s">
        <v>919</v>
      </c>
    </row>
    <row r="88" customFormat="false" ht="15" hidden="false" customHeight="false" outlineLevel="0" collapsed="false">
      <c r="A88" s="4" t="s">
        <v>887</v>
      </c>
      <c r="B88" s="0" t="s">
        <v>76</v>
      </c>
      <c r="E88" s="21" t="n">
        <f aca="false">PL!E171</f>
        <v>0</v>
      </c>
      <c r="F88" s="21" t="n">
        <f aca="false">PL!F171</f>
        <v>0.535</v>
      </c>
      <c r="G88" s="21" t="n">
        <f aca="false">PL!G171</f>
        <v>0.535</v>
      </c>
      <c r="H88" s="21" t="n">
        <f aca="false">PL!H171</f>
        <v>1.203</v>
      </c>
      <c r="I88" s="21" t="n">
        <f aca="false">PL!I171</f>
        <v>1.203</v>
      </c>
      <c r="J88" s="21" t="n">
        <f aca="false">PL!J171</f>
        <v>0.602</v>
      </c>
      <c r="K88" s="21" t="n">
        <f aca="false">PL!K171</f>
        <v>0</v>
      </c>
      <c r="L88" s="21" t="n">
        <f aca="false">PL!L171</f>
        <v>0</v>
      </c>
      <c r="M88" s="21" t="n">
        <f aca="false">PL!M171</f>
        <v>0</v>
      </c>
    </row>
    <row r="89" customFormat="false" ht="15" hidden="false" customHeight="false" outlineLevel="0" collapsed="false">
      <c r="A89" s="2" t="s">
        <v>920</v>
      </c>
      <c r="B89" s="7" t="s">
        <v>76</v>
      </c>
      <c r="C89" s="21" t="n">
        <f aca="false">C86-C87-N(C88)</f>
        <v>65.401</v>
      </c>
      <c r="D89" s="21" t="n">
        <f aca="false">D86-D87-N(D88)</f>
        <v>63.217</v>
      </c>
      <c r="E89" s="21" t="n">
        <f aca="false">E86-E87-N(E88)</f>
        <v>-1.80999999999998</v>
      </c>
      <c r="F89" s="21" t="n">
        <f aca="false">F86-F87-N(F88)</f>
        <v>-7.77943281011337</v>
      </c>
      <c r="G89" s="21" t="n">
        <f aca="false">G86-G87-N(G88)</f>
        <v>-9.58943281011336</v>
      </c>
      <c r="H89" s="21" t="n">
        <f aca="false">H86-H87-N(H88)</f>
        <v>-20.035561013979</v>
      </c>
      <c r="I89" s="21" t="n">
        <f aca="false">I86-I87-N(I88)</f>
        <v>-13.735593898913</v>
      </c>
      <c r="J89" s="21" t="n">
        <f aca="false">J86-J87-N(J88)</f>
        <v>-17.411437266674</v>
      </c>
      <c r="K89" s="21" t="n">
        <f aca="false">K86-K87-N(K88)</f>
        <v>-33.1398333907388</v>
      </c>
      <c r="L89" s="21" t="n">
        <f aca="false">L86-L87-N(L88)</f>
        <v>-51.5911498333793</v>
      </c>
      <c r="M89" s="21" t="n">
        <f aca="false">M86-M87-N(M88)</f>
        <v>-54.2478349779618</v>
      </c>
    </row>
    <row r="90" customFormat="false" ht="17.15" hidden="false" customHeight="false" outlineLevel="0" collapsed="false">
      <c r="A90" s="4" t="s">
        <v>921</v>
      </c>
      <c r="B90" s="0" t="s">
        <v>76</v>
      </c>
      <c r="E90" s="23" t="n">
        <v>55.44</v>
      </c>
      <c r="F90" s="21" t="n">
        <f aca="false">anth_2H</f>
        <v>2.222</v>
      </c>
      <c r="G90" s="21" t="n">
        <f aca="false">E90+F90</f>
        <v>57.662</v>
      </c>
      <c r="H90" s="21" t="n">
        <f aca="false">anth_27</f>
        <v>4.444</v>
      </c>
      <c r="I90" s="21" t="n">
        <f aca="false">anth_28</f>
        <v>4.444</v>
      </c>
      <c r="J90" s="21" t="n">
        <f aca="false">anth_29</f>
        <v>4.444</v>
      </c>
      <c r="K90" s="21" t="n">
        <f aca="false">anth_30</f>
        <v>4.444</v>
      </c>
      <c r="L90" s="21" t="n">
        <f aca="false">anth_31</f>
        <v>0</v>
      </c>
      <c r="M90" s="21" t="n">
        <f aca="false">anth_32</f>
        <v>0</v>
      </c>
      <c r="N90" s="7" t="s">
        <v>922</v>
      </c>
    </row>
    <row r="91" customFormat="false" ht="17.15" hidden="false" customHeight="false" outlineLevel="0" collapsed="false">
      <c r="A91" s="4" t="s">
        <v>923</v>
      </c>
      <c r="B91" s="0" t="s">
        <v>76</v>
      </c>
      <c r="E91" s="23" t="n">
        <v>5.253</v>
      </c>
      <c r="F91" s="21" t="n">
        <f aca="false">mat_2H</f>
        <v>2</v>
      </c>
      <c r="G91" s="21" t="n">
        <f aca="false">E91+F91</f>
        <v>7.253</v>
      </c>
      <c r="H91" s="21" t="n">
        <f aca="false">mat_27</f>
        <v>1</v>
      </c>
      <c r="I91" s="21" t="n">
        <f aca="false">mat_28</f>
        <v>2.676</v>
      </c>
      <c r="J91" s="21" t="n">
        <f aca="false">mat_29</f>
        <v>1.764</v>
      </c>
      <c r="K91" s="21" t="n">
        <f aca="false">mat_30</f>
        <v>7.186</v>
      </c>
      <c r="L91" s="21" t="n">
        <f aca="false">mat_31</f>
        <v>5</v>
      </c>
      <c r="M91" s="21" t="n">
        <f aca="false">mat_32</f>
        <v>5</v>
      </c>
      <c r="N91" s="7" t="s">
        <v>924</v>
      </c>
    </row>
    <row r="92" customFormat="false" ht="17.15" hidden="false" customHeight="false" outlineLevel="0" collapsed="false">
      <c r="A92" s="4" t="s">
        <v>925</v>
      </c>
      <c r="B92" s="0" t="s">
        <v>76</v>
      </c>
      <c r="E92" s="23" t="n">
        <v>56.226</v>
      </c>
      <c r="F92" s="21" t="n">
        <f aca="false">debt_new_2h</f>
        <v>25</v>
      </c>
      <c r="G92" s="21" t="n">
        <f aca="false">E92+F92</f>
        <v>81.226</v>
      </c>
      <c r="H92" s="23" t="n">
        <v>0</v>
      </c>
      <c r="I92" s="23" t="n">
        <v>0</v>
      </c>
      <c r="J92" s="23" t="n">
        <v>0</v>
      </c>
      <c r="K92" s="23" t="n">
        <v>0</v>
      </c>
      <c r="L92" s="23" t="n">
        <v>0</v>
      </c>
      <c r="M92" s="23" t="n">
        <v>0</v>
      </c>
      <c r="N92" s="7" t="s">
        <v>926</v>
      </c>
    </row>
    <row r="93" customFormat="false" ht="17.15" hidden="false" customHeight="false" outlineLevel="0" collapsed="false">
      <c r="A93" s="4" t="s">
        <v>927</v>
      </c>
      <c r="B93" s="0" t="s">
        <v>76</v>
      </c>
      <c r="E93" s="23" t="n">
        <v>49.562</v>
      </c>
      <c r="F93" s="23" t="n">
        <v>0</v>
      </c>
      <c r="G93" s="21" t="n">
        <f aca="false">E93+F93</f>
        <v>49.562</v>
      </c>
      <c r="H93" s="23" t="n">
        <v>0</v>
      </c>
      <c r="I93" s="23" t="n">
        <v>0</v>
      </c>
      <c r="J93" s="23" t="n">
        <v>0</v>
      </c>
      <c r="K93" s="23" t="n">
        <v>0</v>
      </c>
      <c r="L93" s="23" t="n">
        <v>0</v>
      </c>
      <c r="M93" s="23" t="n">
        <v>0</v>
      </c>
      <c r="N93" s="7" t="s">
        <v>928</v>
      </c>
    </row>
    <row r="94" customFormat="false" ht="15" hidden="false" customHeight="false" outlineLevel="0" collapsed="false">
      <c r="A94" s="4" t="s">
        <v>929</v>
      </c>
      <c r="B94" s="0" t="s">
        <v>76</v>
      </c>
      <c r="E94" s="21" t="n">
        <f aca="false">cash_ye25</f>
        <v>120.53</v>
      </c>
      <c r="F94" s="21" t="n">
        <f aca="false">E99</f>
        <v>155.411</v>
      </c>
      <c r="H94" s="21" t="n">
        <f aca="false">F99</f>
        <v>168.409567189887</v>
      </c>
      <c r="I94" s="21" t="n">
        <f aca="false">H99</f>
        <v>125.927006175908</v>
      </c>
      <c r="J94" s="21" t="n">
        <f aca="false">I99</f>
        <v>88.0684122769947</v>
      </c>
      <c r="K94" s="21" t="n">
        <f aca="false">J99</f>
        <v>50</v>
      </c>
      <c r="L94" s="21" t="n">
        <f aca="false">K99</f>
        <v>50</v>
      </c>
      <c r="M94" s="21" t="n">
        <f aca="false">L99</f>
        <v>50</v>
      </c>
    </row>
    <row r="95" customFormat="false" ht="17.15" hidden="false" customHeight="false" outlineLevel="0" collapsed="false">
      <c r="A95" s="4" t="s">
        <v>930</v>
      </c>
      <c r="B95" s="0" t="s">
        <v>76</v>
      </c>
      <c r="E95" s="21" t="n">
        <f aca="false">cash_0-(E94+E86-E87-E88-E90-E91+E92+E93)</f>
        <v>-8.40400000000003</v>
      </c>
      <c r="F95" s="23" t="n">
        <v>0</v>
      </c>
      <c r="H95" s="23" t="n">
        <v>0</v>
      </c>
      <c r="I95" s="23" t="n">
        <v>0</v>
      </c>
      <c r="J95" s="23" t="n">
        <v>0</v>
      </c>
      <c r="K95" s="23" t="n">
        <v>0</v>
      </c>
      <c r="L95" s="23" t="n">
        <v>0</v>
      </c>
      <c r="M95" s="23" t="n">
        <v>0</v>
      </c>
    </row>
    <row r="96" customFormat="false" ht="15" hidden="false" customHeight="false" outlineLevel="0" collapsed="false">
      <c r="A96" s="4" t="s">
        <v>931</v>
      </c>
      <c r="B96" s="0" t="s">
        <v>76</v>
      </c>
      <c r="E96" s="21" t="n">
        <f aca="false">E94+E86-E87-E88-E90-E91+E92+E93+E95</f>
        <v>155.411</v>
      </c>
      <c r="F96" s="21" t="n">
        <f aca="false">F94+F86-F87-F88-F90-F91+F92+F93+F95</f>
        <v>168.409567189887</v>
      </c>
      <c r="H96" s="21" t="n">
        <f aca="false">H94+H86-H87-H88-H90-H91+H92+H93+H95</f>
        <v>142.930006175908</v>
      </c>
      <c r="I96" s="21" t="n">
        <f aca="false">I94+I86-I87-I88-I90-I91+I92+I93+I95</f>
        <v>105.071412276995</v>
      </c>
      <c r="J96" s="21" t="n">
        <f aca="false">J94+J86-J87-J88-J90-J91+J92+J93+J95</f>
        <v>64.4489750103207</v>
      </c>
      <c r="K96" s="21" t="n">
        <f aca="false">K94+K86-K87-K88-K90-K91+K92+K93+K95</f>
        <v>5.23016660926124</v>
      </c>
      <c r="L96" s="21" t="n">
        <f aca="false">L94+L86-L87-L88-L90-L91+L92+L93+L95</f>
        <v>-6.59114983337931</v>
      </c>
      <c r="M96" s="21" t="n">
        <f aca="false">M94+M86-M87-M88-M90-M91+M92+M93+M95</f>
        <v>-9.24783497796178</v>
      </c>
    </row>
    <row r="97" customFormat="false" ht="17.15" hidden="false" customHeight="false" outlineLevel="0" collapsed="false">
      <c r="A97" s="4" t="s">
        <v>684</v>
      </c>
      <c r="B97" s="0" t="s">
        <v>76</v>
      </c>
      <c r="E97" s="21" t="n">
        <f aca="false">Q!L49</f>
        <v>0</v>
      </c>
      <c r="F97" s="23" t="n">
        <v>0</v>
      </c>
      <c r="G97" s="21" t="n">
        <f aca="false">E97+F97</f>
        <v>0</v>
      </c>
      <c r="H97" s="21" t="n">
        <f aca="false">MAX(0,MIN(bb_t,H96-min_cash))</f>
        <v>17.003</v>
      </c>
      <c r="I97" s="21" t="n">
        <f aca="false">MAX(0,MIN(bb_t,I96-min_cash))</f>
        <v>17.003</v>
      </c>
      <c r="J97" s="21" t="n">
        <f aca="false">MAX(0,MIN(bb_t,J96-min_cash))</f>
        <v>14.4489750103207</v>
      </c>
      <c r="K97" s="21" t="n">
        <f aca="false">MAX(0,MIN(bb_t,K96-min_cash))</f>
        <v>0</v>
      </c>
      <c r="L97" s="21" t="n">
        <f aca="false">MAX(0,MIN(bb_t,L96-min_cash))</f>
        <v>0</v>
      </c>
      <c r="M97" s="21" t="n">
        <f aca="false">MAX(0,MIN(bb_t,M96-min_cash))</f>
        <v>0</v>
      </c>
      <c r="N97" s="7" t="s">
        <v>932</v>
      </c>
    </row>
    <row r="98" customFormat="false" ht="15" hidden="false" customHeight="false" outlineLevel="0" collapsed="false">
      <c r="A98" s="4" t="s">
        <v>933</v>
      </c>
      <c r="B98" s="0" t="s">
        <v>76</v>
      </c>
      <c r="E98" s="23" t="n">
        <v>0</v>
      </c>
      <c r="F98" s="21" t="n">
        <f aca="false">MAX(0,min_cash-(F96-F97))</f>
        <v>0</v>
      </c>
      <c r="G98" s="21" t="n">
        <f aca="false">E98+F98</f>
        <v>0</v>
      </c>
      <c r="H98" s="21" t="n">
        <f aca="false">MAX(0,min_cash-(H96-H97))</f>
        <v>0</v>
      </c>
      <c r="I98" s="21" t="n">
        <f aca="false">MAX(0,min_cash-(I96-I97))</f>
        <v>0</v>
      </c>
      <c r="J98" s="21" t="n">
        <f aca="false">MAX(0,min_cash-(J96-J97))</f>
        <v>0</v>
      </c>
      <c r="K98" s="21" t="n">
        <f aca="false">MAX(0,min_cash-(K96-K97))</f>
        <v>44.7698333907388</v>
      </c>
      <c r="L98" s="21" t="n">
        <f aca="false">MAX(0,min_cash-(L96-L97))</f>
        <v>56.5911498333793</v>
      </c>
      <c r="M98" s="21" t="n">
        <f aca="false">MAX(0,min_cash-(M96-M97))</f>
        <v>59.2478349779618</v>
      </c>
    </row>
    <row r="99" customFormat="false" ht="15" hidden="false" customHeight="false" outlineLevel="0" collapsed="false">
      <c r="A99" s="4" t="s">
        <v>934</v>
      </c>
      <c r="B99" s="0" t="s">
        <v>76</v>
      </c>
      <c r="E99" s="21" t="n">
        <f aca="false">E96-E97+E98</f>
        <v>155.411</v>
      </c>
      <c r="F99" s="21" t="n">
        <f aca="false">F96-F97+F98</f>
        <v>168.409567189887</v>
      </c>
      <c r="H99" s="21" t="n">
        <f aca="false">H96-H97+H98</f>
        <v>125.927006175908</v>
      </c>
      <c r="I99" s="21" t="n">
        <f aca="false">I96-I97+I98</f>
        <v>88.0684122769947</v>
      </c>
      <c r="J99" s="21" t="n">
        <f aca="false">J96-J97+J98</f>
        <v>50</v>
      </c>
      <c r="K99" s="21" t="n">
        <f aca="false">K96-K97+K98</f>
        <v>50</v>
      </c>
      <c r="L99" s="21" t="n">
        <f aca="false">L96-L97+L98</f>
        <v>50</v>
      </c>
      <c r="M99" s="21" t="n">
        <f aca="false">M96-M97+M98</f>
        <v>50</v>
      </c>
    </row>
    <row r="100" customFormat="false" ht="17.15" hidden="false" customHeight="false" outlineLevel="0" collapsed="false">
      <c r="A100" s="4" t="s">
        <v>935</v>
      </c>
      <c r="B100" s="0" t="s">
        <v>76</v>
      </c>
      <c r="E100" s="16" t="n">
        <f aca="false">E99-cash_0</f>
        <v>0</v>
      </c>
    </row>
    <row r="101" customFormat="false" ht="17.15" hidden="false" customHeight="false" outlineLevel="0" collapsed="false">
      <c r="A101" s="4" t="s">
        <v>936</v>
      </c>
      <c r="B101" s="0" t="s">
        <v>76</v>
      </c>
      <c r="E101" s="23" t="n">
        <v>49.085</v>
      </c>
      <c r="F101" s="21" t="n">
        <f aca="false">E102</f>
        <v>101.085</v>
      </c>
      <c r="H101" s="21" t="n">
        <f aca="false">F102</f>
        <v>124.085</v>
      </c>
      <c r="I101" s="21" t="n">
        <f aca="false">H102</f>
        <v>123.085</v>
      </c>
      <c r="J101" s="21" t="n">
        <f aca="false">I102</f>
        <v>120.409</v>
      </c>
      <c r="K101" s="21" t="n">
        <f aca="false">J102</f>
        <v>118.645</v>
      </c>
      <c r="L101" s="21" t="n">
        <f aca="false">K102</f>
        <v>156.228833390739</v>
      </c>
      <c r="M101" s="21" t="n">
        <f aca="false">L102</f>
        <v>207.819983224118</v>
      </c>
      <c r="N101" s="7" t="s">
        <v>937</v>
      </c>
    </row>
    <row r="102" customFormat="false" ht="17.15" hidden="false" customHeight="false" outlineLevel="0" collapsed="false">
      <c r="A102" s="4" t="s">
        <v>938</v>
      </c>
      <c r="B102" s="0" t="s">
        <v>76</v>
      </c>
      <c r="E102" s="21" t="n">
        <f aca="false">debt_0</f>
        <v>101.085</v>
      </c>
      <c r="F102" s="21" t="n">
        <f aca="false">F101-F91+F92+F98</f>
        <v>124.085</v>
      </c>
      <c r="H102" s="21" t="n">
        <f aca="false">H101-H91+H92+H98</f>
        <v>123.085</v>
      </c>
      <c r="I102" s="21" t="n">
        <f aca="false">I101-I91+I92+I98</f>
        <v>120.409</v>
      </c>
      <c r="J102" s="21" t="n">
        <f aca="false">J101-J91+J92+J98</f>
        <v>118.645</v>
      </c>
      <c r="K102" s="21" t="n">
        <f aca="false">K101-K91+K92+K98</f>
        <v>156.228833390739</v>
      </c>
      <c r="L102" s="21" t="n">
        <f aca="false">L101-L91+L92+L98</f>
        <v>207.819983224118</v>
      </c>
      <c r="M102" s="21" t="n">
        <f aca="false">M101-M91+M92+M98</f>
        <v>262.06781820208</v>
      </c>
      <c r="N102" s="7" t="s">
        <v>939</v>
      </c>
    </row>
    <row r="103" customFormat="false" ht="15" hidden="false" customHeight="false" outlineLevel="0" collapsed="false">
      <c r="A103" s="4" t="s">
        <v>940</v>
      </c>
      <c r="B103" s="0" t="s">
        <v>76</v>
      </c>
      <c r="E103" s="21" t="n">
        <f aca="false">E99-E102</f>
        <v>54.326</v>
      </c>
      <c r="F103" s="21" t="n">
        <f aca="false">F99-F102</f>
        <v>44.3245671898866</v>
      </c>
      <c r="H103" s="21" t="n">
        <f aca="false">H99-H102</f>
        <v>2.84200617590767</v>
      </c>
      <c r="I103" s="21" t="n">
        <f aca="false">I99-I102</f>
        <v>-32.3405877230053</v>
      </c>
      <c r="J103" s="21" t="n">
        <f aca="false">J99-J102</f>
        <v>-68.645</v>
      </c>
      <c r="K103" s="21" t="n">
        <f aca="false">K99-K102</f>
        <v>-106.228833390739</v>
      </c>
      <c r="L103" s="21" t="n">
        <f aca="false">L99-L102</f>
        <v>-157.819983224118</v>
      </c>
      <c r="M103" s="21" t="n">
        <f aca="false">M99-M102</f>
        <v>-212.06781820208</v>
      </c>
    </row>
    <row r="104" customFormat="false" ht="17.15" hidden="false" customHeight="false" outlineLevel="0" collapsed="false">
      <c r="A104" s="4" t="s">
        <v>941</v>
      </c>
      <c r="B104" s="0" t="s">
        <v>54</v>
      </c>
      <c r="F104" s="18" t="n">
        <f aca="false">px</f>
        <v>316.8</v>
      </c>
      <c r="H104" s="18" t="n">
        <f aca="false">px*(1+ke)^(2027.5-2026.82)</f>
        <v>341.601800339247</v>
      </c>
      <c r="I104" s="18" t="n">
        <f aca="false">px*(1+ke)^(2028.5-2026.82)</f>
        <v>381.645217379514</v>
      </c>
      <c r="J104" s="18" t="n">
        <f aca="false">px*(1+ke)^(2029.5-2026.82)</f>
        <v>426.382623873784</v>
      </c>
      <c r="K104" s="18" t="n">
        <f aca="false">px*(1+ke)^(2030.5-2026.82)</f>
        <v>476.364261000829</v>
      </c>
      <c r="L104" s="18" t="n">
        <f aca="false">px*(1+ke)^(2031.5-2026.82)</f>
        <v>532.204870585998</v>
      </c>
      <c r="M104" s="18" t="n">
        <f aca="false">px*(1+ke)^(2032.5-2026.82)</f>
        <v>594.591256028265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3"/>
    <col collapsed="false" customWidth="true" hidden="false" outlineLevel="0" max="5" min="5" style="0" width="60"/>
    <col collapsed="false" customWidth="true" hidden="false" outlineLevel="0" max="13" min="6" style="0" width="12"/>
  </cols>
  <sheetData>
    <row r="1" customFormat="false" ht="17.15" hidden="false" customHeight="false" outlineLevel="0" collapsed="false">
      <c r="A1" s="0" t="s">
        <v>942</v>
      </c>
    </row>
    <row r="2" customFormat="false" ht="17.15" hidden="false" customHeight="false" outlineLevel="0" collapsed="false">
      <c r="A2" s="0" t="s">
        <v>943</v>
      </c>
    </row>
    <row r="4" customFormat="false" ht="17.15" hidden="false" customHeight="false" outlineLevel="0" collapsed="false">
      <c r="A4" s="5" t="s">
        <v>944</v>
      </c>
    </row>
    <row r="5" customFormat="false" ht="15" hidden="false" customHeight="false" outlineLevel="0" collapsed="false">
      <c r="A5" s="3" t="s">
        <v>43</v>
      </c>
      <c r="B5" s="3" t="s">
        <v>690</v>
      </c>
      <c r="C5" s="3" t="s">
        <v>945</v>
      </c>
      <c r="D5" s="3" t="s">
        <v>945</v>
      </c>
      <c r="E5" s="3" t="s">
        <v>50</v>
      </c>
    </row>
    <row r="6" customFormat="false" ht="17.15" hidden="false" customHeight="false" outlineLevel="0" collapsed="false">
      <c r="A6" s="9" t="s">
        <v>946</v>
      </c>
      <c r="B6" s="29" t="n">
        <f aca="false">tp_wA*B79+tp_wB*C79+tp_wC*D79</f>
        <v>56.9203717177862</v>
      </c>
      <c r="C6" s="9"/>
      <c r="D6" s="9"/>
      <c r="E6" s="9"/>
    </row>
    <row r="7" customFormat="false" ht="17.15" hidden="false" customHeight="false" outlineLevel="0" collapsed="false">
      <c r="A7" s="0" t="s">
        <v>947</v>
      </c>
      <c r="B7" s="21" t="n">
        <f aca="false">tp_wA*B105+tp_wB*C105+tp_wC*D105</f>
        <v>213.637063493445</v>
      </c>
      <c r="E7" s="4" t="s">
        <v>948</v>
      </c>
    </row>
    <row r="8" customFormat="false" ht="17.15" hidden="false" customHeight="false" outlineLevel="0" collapsed="false">
      <c r="A8" s="30" t="s">
        <v>949</v>
      </c>
      <c r="B8" s="29" t="n">
        <f aca="false">w_dcf*B6+(1-w_dcf)*B7</f>
        <v>135.278717605616</v>
      </c>
      <c r="C8" s="9"/>
      <c r="D8" s="9"/>
      <c r="E8" s="9" t="str">
        <f aca="false">"DCF 權重 "&amp;TEXT(w_dcf,"0%")&amp;"、分部加總 "&amp;TEXT(1-w_dcf,"0%")&amp;"（In 頁 w_dcf，Andy 可改）"</f>
        <v>DCF 權重 50%、分部加總 50%（In 頁 w_dcf，Andy 可改）</v>
      </c>
    </row>
    <row r="9" customFormat="false" ht="17.15" hidden="false" customHeight="false" outlineLevel="0" collapsed="false">
      <c r="A9" s="4" t="s">
        <v>53</v>
      </c>
      <c r="B9" s="21" t="n">
        <f aca="false">px</f>
        <v>316.8</v>
      </c>
      <c r="E9" s="7" t="s">
        <v>950</v>
      </c>
    </row>
    <row r="10" customFormat="false" ht="17.15" hidden="false" customHeight="false" outlineLevel="0" collapsed="false">
      <c r="A10" s="4" t="s">
        <v>951</v>
      </c>
      <c r="B10" s="21" t="n">
        <f aca="false">cons_tp</f>
        <v>429.12</v>
      </c>
      <c r="E10" s="7" t="s">
        <v>952</v>
      </c>
    </row>
    <row r="11" customFormat="false" ht="15" hidden="false" customHeight="false" outlineLevel="0" collapsed="false">
      <c r="A11" s="30" t="s">
        <v>953</v>
      </c>
      <c r="B11" s="31" t="n">
        <f aca="false">B8/px-1</f>
        <v>-0.57298384594187</v>
      </c>
      <c r="C11" s="9"/>
      <c r="D11" s="9"/>
      <c r="E11" s="9"/>
    </row>
    <row r="12" customFormat="false" ht="17.15" hidden="false" customHeight="false" outlineLevel="0" collapsed="false">
      <c r="A12" s="4" t="s">
        <v>954</v>
      </c>
      <c r="B12" s="19" t="n">
        <f aca="false">B7/px-1</f>
        <v>-0.325640582407056</v>
      </c>
    </row>
    <row r="13" customFormat="false" ht="17.15" hidden="false" customHeight="false" outlineLevel="0" collapsed="false">
      <c r="A13" s="4" t="s">
        <v>955</v>
      </c>
      <c r="B13" s="32" t="str">
        <f aca="false">IF(B11&gt;0.5,"大於 50%",IF(B11&gt;0.25,"25%–50%",IF(B11&gt;=0,"0%–25%",IF(B11&gt;=-0.25,"0%～−25%",IF(B11&gt;=-0.5,"−25%～−50%","小於 −50%")))))</f>
        <v>小於 −50%</v>
      </c>
      <c r="E13" s="4" t="s">
        <v>956</v>
      </c>
    </row>
    <row r="14" customFormat="false" ht="17.15" hidden="false" customHeight="false" outlineLevel="0" collapsed="false">
      <c r="A14" s="30" t="s">
        <v>957</v>
      </c>
      <c r="B14" s="33" t="str">
        <f aca="false">IF(B11&gt;=0.5,"強力買進",IF(B11&gt;=0.25,"買進",IF(B11&gt;-0.25,"中立",IF(B11&gt;-0.5,"放空","強力放空"))))</f>
        <v>強力放空</v>
      </c>
      <c r="C14" s="9"/>
      <c r="D14" s="9"/>
      <c r="E14" s="10" t="s">
        <v>958</v>
      </c>
    </row>
    <row r="15" customFormat="false" ht="17.15" hidden="false" customHeight="false" outlineLevel="0" collapsed="false">
      <c r="A15" s="4" t="s">
        <v>959</v>
      </c>
      <c r="B15" s="21" t="n">
        <f aca="false">D79</f>
        <v>18.2577155755089</v>
      </c>
      <c r="C15" s="21" t="n">
        <f aca="false">B79</f>
        <v>85.8033271183542</v>
      </c>
      <c r="E15" s="7" t="s">
        <v>960</v>
      </c>
    </row>
    <row r="16" customFormat="false" ht="17.15" hidden="false" customHeight="false" outlineLevel="0" collapsed="false">
      <c r="A16" s="4" t="s">
        <v>961</v>
      </c>
      <c r="B16" s="21" t="n">
        <f aca="false">D79</f>
        <v>18.2577155755089</v>
      </c>
      <c r="E16" s="4" t="s">
        <v>962</v>
      </c>
    </row>
    <row r="17" customFormat="false" ht="17.15" hidden="false" customHeight="false" outlineLevel="0" collapsed="false">
      <c r="A17" s="4" t="s">
        <v>963</v>
      </c>
      <c r="B17" s="21" t="n">
        <f aca="false">w_dcf*B79+(1-w_dcf)*B105</f>
        <v>156.775937713606</v>
      </c>
      <c r="C17" s="21" t="n">
        <f aca="false">w_dcf*C79+(1-w_dcf)*C105</f>
        <v>139.028811287288</v>
      </c>
      <c r="D17" s="21" t="n">
        <f aca="false">w_dcf*D79+(1-w_dcf)*D105</f>
        <v>106.28131013428</v>
      </c>
    </row>
    <row r="18" customFormat="false" ht="17.15" hidden="false" customHeight="false" outlineLevel="0" collapsed="false">
      <c r="A18" s="4" t="s">
        <v>964</v>
      </c>
      <c r="B18" s="19" t="n">
        <f aca="false">B17/px-1</f>
        <v>-0.505126459237353</v>
      </c>
      <c r="C18" s="19" t="n">
        <f aca="false">C17/px-1</f>
        <v>-0.561146429017399</v>
      </c>
      <c r="D18" s="19" t="n">
        <f aca="false">D17/px-1</f>
        <v>-0.664516066495329</v>
      </c>
    </row>
    <row r="19" customFormat="false" ht="17.15" hidden="false" customHeight="false" outlineLevel="0" collapsed="false">
      <c r="A19" s="0" t="s">
        <v>965</v>
      </c>
      <c r="B19" s="19" t="n">
        <f aca="false">B72</f>
        <v>1.01718095991827</v>
      </c>
      <c r="C19" s="19" t="n">
        <f aca="false">C72</f>
        <v>1.22770044714089</v>
      </c>
      <c r="D19" s="19" t="n">
        <f aca="false">D72</f>
        <v>-7.28060852146605</v>
      </c>
    </row>
    <row r="20" customFormat="false" ht="17.15" hidden="false" customHeight="false" outlineLevel="0" collapsed="false">
      <c r="A20" s="4" t="s">
        <v>966</v>
      </c>
      <c r="B20" s="21" t="n">
        <v>211.728957</v>
      </c>
      <c r="C20" s="19" t="n">
        <f aca="false">B20/px-1</f>
        <v>-0.331663645833333</v>
      </c>
      <c r="E20" s="4" t="s">
        <v>967</v>
      </c>
    </row>
    <row r="21" customFormat="false" ht="17.15" hidden="false" customHeight="false" outlineLevel="0" collapsed="false">
      <c r="A21" s="4" t="s">
        <v>968</v>
      </c>
      <c r="B21" s="32" t="s">
        <v>969</v>
      </c>
    </row>
    <row r="22" customFormat="false" ht="17.15" hidden="false" customHeight="false" outlineLevel="0" collapsed="false">
      <c r="A22" s="4" t="s">
        <v>970</v>
      </c>
      <c r="B22" s="16" t="n">
        <f aca="false">ROUND(tp_wA+tp_wB+tp_wC,6)</f>
        <v>1</v>
      </c>
    </row>
    <row r="24" customFormat="false" ht="17.15" hidden="false" customHeight="false" outlineLevel="0" collapsed="false">
      <c r="A24" s="5" t="s">
        <v>971</v>
      </c>
    </row>
    <row r="25" customFormat="false" ht="15" hidden="false" customHeight="false" outlineLevel="0" collapsed="false">
      <c r="A25" s="3" t="s">
        <v>43</v>
      </c>
      <c r="B25" s="3" t="s">
        <v>690</v>
      </c>
      <c r="C25" s="3"/>
      <c r="D25" s="3"/>
      <c r="E25" s="3" t="s">
        <v>50</v>
      </c>
    </row>
    <row r="26" customFormat="false" ht="17.15" hidden="false" customHeight="false" outlineLevel="0" collapsed="false">
      <c r="A26" s="4" t="s">
        <v>972</v>
      </c>
      <c r="B26" s="20" t="n">
        <f aca="false">px*sh_out</f>
        <v>3874.464</v>
      </c>
    </row>
    <row r="27" customFormat="false" ht="17.15" hidden="false" customHeight="false" outlineLevel="0" collapsed="false">
      <c r="A27" s="4" t="s">
        <v>973</v>
      </c>
      <c r="B27" s="20" t="n">
        <f aca="false">debt_0</f>
        <v>101.085</v>
      </c>
    </row>
    <row r="28" customFormat="false" ht="17.15" hidden="false" customHeight="false" outlineLevel="0" collapsed="false">
      <c r="A28" s="4" t="s">
        <v>974</v>
      </c>
      <c r="B28" s="34" t="n">
        <f aca="false">rf+beta*erp</f>
        <v>0.1172225</v>
      </c>
    </row>
    <row r="29" customFormat="false" ht="15" hidden="false" customHeight="false" outlineLevel="0" collapsed="false">
      <c r="A29" s="4" t="s">
        <v>975</v>
      </c>
      <c r="B29" s="34" t="n">
        <f aca="false">kd*(1-tax_w)</f>
        <v>0.05430464</v>
      </c>
    </row>
    <row r="30" customFormat="false" ht="17.15" hidden="false" customHeight="false" outlineLevel="0" collapsed="false">
      <c r="A30" s="5" t="s">
        <v>976</v>
      </c>
      <c r="B30" s="34" t="n">
        <f aca="false">(B26*ke+B27*B29)/(B26+B27)</f>
        <v>0.115622707901324</v>
      </c>
      <c r="E30" s="7" t="s">
        <v>977</v>
      </c>
    </row>
    <row r="32" customFormat="false" ht="17.15" hidden="false" customHeight="false" outlineLevel="0" collapsed="false">
      <c r="A32" s="5" t="s">
        <v>978</v>
      </c>
    </row>
    <row r="33" customFormat="false" ht="17.15" hidden="false" customHeight="false" outlineLevel="0" collapsed="false">
      <c r="A33" s="24" t="s">
        <v>813</v>
      </c>
    </row>
    <row r="34" customFormat="false" ht="15" hidden="false" customHeight="false" outlineLevel="0" collapsed="false">
      <c r="A34" s="3" t="s">
        <v>43</v>
      </c>
      <c r="B34" s="3"/>
      <c r="C34" s="3"/>
      <c r="D34" s="3"/>
      <c r="E34" s="3" t="s">
        <v>50</v>
      </c>
      <c r="F34" s="14" t="s">
        <v>749</v>
      </c>
      <c r="G34" s="3"/>
      <c r="H34" s="14" t="s">
        <v>751</v>
      </c>
      <c r="I34" s="14" t="s">
        <v>752</v>
      </c>
      <c r="J34" s="14" t="s">
        <v>753</v>
      </c>
      <c r="K34" s="14" t="s">
        <v>754</v>
      </c>
      <c r="L34" s="14" t="s">
        <v>755</v>
      </c>
      <c r="M34" s="14" t="s">
        <v>756</v>
      </c>
    </row>
    <row r="35" customFormat="false" ht="17.15" hidden="false" customHeight="false" outlineLevel="0" collapsed="false">
      <c r="A35" s="4" t="s">
        <v>979</v>
      </c>
      <c r="F35" s="21" t="n">
        <f aca="false">PL!F46</f>
        <v>84.2498925897347</v>
      </c>
      <c r="H35" s="21" t="n">
        <f aca="false">PL!H46</f>
        <v>171.88276356987</v>
      </c>
      <c r="I35" s="21" t="n">
        <f aca="false">PL!I46</f>
        <v>187.203577445244</v>
      </c>
      <c r="J35" s="21" t="n">
        <f aca="false">PL!J46</f>
        <v>204.412506700348</v>
      </c>
      <c r="K35" s="21" t="n">
        <f aca="false">PL!K46</f>
        <v>213.002797837558</v>
      </c>
      <c r="L35" s="21" t="n">
        <f aca="false">PL!L46</f>
        <v>201.871394818259</v>
      </c>
      <c r="M35" s="21" t="n">
        <f aca="false">PL!M46</f>
        <v>191.618923359531</v>
      </c>
    </row>
    <row r="36" customFormat="false" ht="17.15" hidden="false" customHeight="false" outlineLevel="0" collapsed="false">
      <c r="A36" s="0" t="s">
        <v>980</v>
      </c>
      <c r="E36" s="4" t="s">
        <v>981</v>
      </c>
      <c r="F36" s="21" t="n">
        <f aca="false">(F35+rd2*Thesis!F70)*(1-tax)</f>
        <v>70.0959106346593</v>
      </c>
      <c r="H36" s="21" t="n">
        <f aca="false">(H35+rd2*Thesis!H70)*(1-tax)</f>
        <v>143.006459290132</v>
      </c>
      <c r="I36" s="21" t="n">
        <f aca="false">(I35+rd2*Thesis!I70)*(1-tax)</f>
        <v>155.753376434443</v>
      </c>
      <c r="J36" s="21" t="n">
        <f aca="false">(J35+rd2*Thesis!J70)*(1-tax)</f>
        <v>170.071205574689</v>
      </c>
      <c r="K36" s="21" t="n">
        <f aca="false">(K35+rd2*Thesis!K70)*(1-tax)</f>
        <v>177.218327800848</v>
      </c>
      <c r="L36" s="21" t="n">
        <f aca="false">(L35+rd2*Thesis!L70)*(1-tax)</f>
        <v>167.957000488792</v>
      </c>
      <c r="M36" s="21" t="n">
        <f aca="false">(M35+rd2*Thesis!M70)*(1-tax)</f>
        <v>159.42694423513</v>
      </c>
    </row>
    <row r="37" customFormat="false" ht="17.15" hidden="false" customHeight="false" outlineLevel="0" collapsed="false">
      <c r="A37" s="4" t="s">
        <v>982</v>
      </c>
      <c r="F37" s="21" t="n">
        <f aca="false">PL!F44-rd2*Thesis!F65</f>
        <v>21.8622188301703</v>
      </c>
      <c r="H37" s="21" t="n">
        <f aca="false">PL!H44-rd2*Thesis!H65</f>
        <v>66.8615657466009</v>
      </c>
      <c r="I37" s="21" t="n">
        <f aca="false">PL!I44-rd2*Thesis!I65</f>
        <v>98.8824042375775</v>
      </c>
      <c r="J37" s="21" t="n">
        <f aca="false">PL!J44-rd2*Thesis!J65</f>
        <v>134.235540367014</v>
      </c>
      <c r="K37" s="21" t="n">
        <f aca="false">PL!K44-rd2*Thesis!K65</f>
        <v>174.750635933454</v>
      </c>
      <c r="L37" s="21" t="n">
        <f aca="false">PL!L44-rd2*Thesis!L65</f>
        <v>221.886686797599</v>
      </c>
      <c r="M37" s="21" t="n">
        <f aca="false">PL!M44-rd2*Thesis!M65</f>
        <v>270.408751181745</v>
      </c>
    </row>
    <row r="38" customFormat="false" ht="17.15" hidden="false" customHeight="false" outlineLevel="0" collapsed="false">
      <c r="A38" s="4" t="s">
        <v>983</v>
      </c>
      <c r="F38" s="21" t="n">
        <f aca="false">CF!F20-rd2*(1-ext_sh)*Thesis!F52</f>
        <v>119.402</v>
      </c>
      <c r="H38" s="21" t="n">
        <f aca="false">CF!H20-rd2*(1-ext_sh)*Thesis!H52</f>
        <v>238.732055275981</v>
      </c>
      <c r="I38" s="21" t="n">
        <f aca="false">CF!I20-rd2*(1-ext_sh)*Thesis!I52</f>
        <v>259.558257678638</v>
      </c>
      <c r="J38" s="21" t="n">
        <f aca="false">CF!J20-rd2*(1-ext_sh)*Thesis!J52</f>
        <v>292.166795195691</v>
      </c>
      <c r="K38" s="21" t="n">
        <f aca="false">CF!K20-rd2*(1-ext_sh)*Thesis!K52</f>
        <v>331.159521084693</v>
      </c>
      <c r="L38" s="21" t="n">
        <f aca="false">CF!L20-rd2*(1-ext_sh)*Thesis!L52</f>
        <v>382.978908695489</v>
      </c>
      <c r="M38" s="21" t="n">
        <f aca="false">CF!M20-rd2*(1-ext_sh)*Thesis!M52</f>
        <v>419.904671084701</v>
      </c>
    </row>
    <row r="39" customFormat="false" ht="15" hidden="false" customHeight="false" outlineLevel="0" collapsed="false">
      <c r="A39" s="4" t="s">
        <v>984</v>
      </c>
      <c r="F39" s="21" t="n">
        <f aca="false">CF!F15</f>
        <v>8.49</v>
      </c>
      <c r="H39" s="21" t="n">
        <f aca="false">CF!H15</f>
        <v>1.4028549902334</v>
      </c>
      <c r="I39" s="21" t="n">
        <f aca="false">CF!I15</f>
        <v>1.31538453540977</v>
      </c>
      <c r="J39" s="21" t="n">
        <f aca="false">CF!J15</f>
        <v>1.26050212809194</v>
      </c>
      <c r="K39" s="21" t="n">
        <f aca="false">CF!K15</f>
        <v>1.09650869976037</v>
      </c>
      <c r="L39" s="21" t="n">
        <f aca="false">CF!L15</f>
        <v>0.981333053421711</v>
      </c>
      <c r="M39" s="21" t="n">
        <f aca="false">CF!M15</f>
        <v>1.04465465572417</v>
      </c>
    </row>
    <row r="40" customFormat="false" ht="17.15" hidden="false" customHeight="false" outlineLevel="0" collapsed="false">
      <c r="A40" s="4" t="s">
        <v>985</v>
      </c>
      <c r="E40" s="4" t="s">
        <v>986</v>
      </c>
      <c r="F40" s="21" t="n">
        <f aca="false">F36+F37-F38+F39</f>
        <v>-18.9538705351705</v>
      </c>
      <c r="H40" s="21" t="n">
        <f aca="false">H36+H37-H38+H39</f>
        <v>-27.4611752490151</v>
      </c>
      <c r="I40" s="21" t="n">
        <f aca="false">I36+I37-I38+I39</f>
        <v>-3.60709247120813</v>
      </c>
      <c r="J40" s="21" t="n">
        <f aca="false">J36+J37-J38+J39</f>
        <v>13.4004528741033</v>
      </c>
      <c r="K40" s="21" t="n">
        <f aca="false">K36+K37-K38+K39</f>
        <v>21.9059513493697</v>
      </c>
      <c r="L40" s="21" t="n">
        <f aca="false">L36+L37-L38+L39</f>
        <v>7.84611164432292</v>
      </c>
      <c r="M40" s="21" t="n">
        <f aca="false">M36+M37-M38+M39</f>
        <v>10.9756789878983</v>
      </c>
    </row>
    <row r="41" customFormat="false" ht="17.15" hidden="false" customHeight="false" outlineLevel="0" collapsed="false">
      <c r="A41" s="4" t="s">
        <v>987</v>
      </c>
      <c r="F41" s="18" t="n">
        <v>0.25</v>
      </c>
      <c r="H41" s="18" t="n">
        <v>1</v>
      </c>
      <c r="I41" s="18" t="n">
        <v>2</v>
      </c>
      <c r="J41" s="18" t="n">
        <v>3</v>
      </c>
      <c r="K41" s="18" t="n">
        <v>4</v>
      </c>
      <c r="L41" s="18" t="n">
        <v>5</v>
      </c>
      <c r="M41" s="18" t="n">
        <v>6</v>
      </c>
    </row>
    <row r="42" customFormat="false" ht="15" hidden="false" customHeight="false" outlineLevel="0" collapsed="false">
      <c r="A42" s="4" t="s">
        <v>988</v>
      </c>
      <c r="F42" s="21" t="n">
        <f aca="false">F40/(1+wacc)^F41</f>
        <v>-18.4424482488064</v>
      </c>
      <c r="H42" s="21" t="n">
        <f aca="false">H40/(1+wacc)^H41</f>
        <v>-24.6151096195185</v>
      </c>
      <c r="I42" s="21" t="n">
        <f aca="false">I40/(1+wacc)^I41</f>
        <v>-2.89816151412397</v>
      </c>
      <c r="J42" s="21" t="n">
        <f aca="false">J40/(1+wacc)^J41</f>
        <v>9.65089163639194</v>
      </c>
      <c r="K42" s="21" t="n">
        <f aca="false">K40/(1+wacc)^K41</f>
        <v>14.1414107444025</v>
      </c>
      <c r="L42" s="21" t="n">
        <f aca="false">L40/(1+wacc)^L41</f>
        <v>4.54012443349249</v>
      </c>
      <c r="M42" s="21" t="n">
        <f aca="false">M40/(1+wacc)^M41</f>
        <v>5.69281831199046</v>
      </c>
    </row>
    <row r="44" customFormat="false" ht="17.15" hidden="false" customHeight="false" outlineLevel="0" collapsed="false">
      <c r="A44" s="24" t="s">
        <v>848</v>
      </c>
    </row>
    <row r="45" customFormat="false" ht="15" hidden="false" customHeight="false" outlineLevel="0" collapsed="false">
      <c r="A45" s="3" t="s">
        <v>43</v>
      </c>
      <c r="B45" s="3"/>
      <c r="C45" s="3"/>
      <c r="D45" s="3"/>
      <c r="E45" s="3" t="s">
        <v>50</v>
      </c>
      <c r="F45" s="14" t="s">
        <v>749</v>
      </c>
      <c r="G45" s="3"/>
      <c r="H45" s="14" t="s">
        <v>751</v>
      </c>
      <c r="I45" s="14" t="s">
        <v>752</v>
      </c>
      <c r="J45" s="14" t="s">
        <v>753</v>
      </c>
      <c r="K45" s="14" t="s">
        <v>754</v>
      </c>
      <c r="L45" s="14" t="s">
        <v>755</v>
      </c>
      <c r="M45" s="14" t="s">
        <v>756</v>
      </c>
    </row>
    <row r="46" customFormat="false" ht="17.15" hidden="false" customHeight="false" outlineLevel="0" collapsed="false">
      <c r="A46" s="4" t="s">
        <v>979</v>
      </c>
      <c r="F46" s="21" t="n">
        <f aca="false">PL!F102</f>
        <v>84.2498925897347</v>
      </c>
      <c r="H46" s="21" t="n">
        <f aca="false">PL!H102</f>
        <v>164.461039521629</v>
      </c>
      <c r="I46" s="21" t="n">
        <f aca="false">PL!I102</f>
        <v>170.450045482744</v>
      </c>
      <c r="J46" s="21" t="n">
        <f aca="false">PL!J102</f>
        <v>176.601420078611</v>
      </c>
      <c r="K46" s="21" t="n">
        <f aca="false">PL!K102</f>
        <v>172.786887355392</v>
      </c>
      <c r="L46" s="21" t="n">
        <f aca="false">PL!L102</f>
        <v>158.775179039706</v>
      </c>
      <c r="M46" s="21" t="n">
        <f aca="false">PL!M102</f>
        <v>145.411977860881</v>
      </c>
    </row>
    <row r="47" customFormat="false" ht="17.15" hidden="false" customHeight="false" outlineLevel="0" collapsed="false">
      <c r="A47" s="0" t="s">
        <v>980</v>
      </c>
      <c r="E47" s="4" t="s">
        <v>981</v>
      </c>
      <c r="F47" s="21" t="n">
        <f aca="false">(F46+rd2*Thesis!F70)*(1-tax)</f>
        <v>70.0959106346593</v>
      </c>
      <c r="H47" s="21" t="n">
        <f aca="false">(H46+rd2*Thesis!H70)*(1-tax)</f>
        <v>136.831584881996</v>
      </c>
      <c r="I47" s="21" t="n">
        <f aca="false">(I46+rd2*Thesis!I70)*(1-tax)</f>
        <v>141.814437841643</v>
      </c>
      <c r="J47" s="21" t="n">
        <f aca="false">(J46+rd2*Thesis!J70)*(1-tax)</f>
        <v>146.932381505405</v>
      </c>
      <c r="K47" s="21" t="n">
        <f aca="false">(K46+rd2*Thesis!K70)*(1-tax)</f>
        <v>143.758690279686</v>
      </c>
      <c r="L47" s="21" t="n">
        <f aca="false">(L46+rd2*Thesis!L70)*(1-tax)</f>
        <v>132.100948961036</v>
      </c>
      <c r="M47" s="21" t="n">
        <f aca="false">(M46+rd2*Thesis!M70)*(1-tax)</f>
        <v>120.982765580253</v>
      </c>
    </row>
    <row r="48" customFormat="false" ht="17.15" hidden="false" customHeight="false" outlineLevel="0" collapsed="false">
      <c r="A48" s="4" t="s">
        <v>982</v>
      </c>
      <c r="F48" s="21" t="n">
        <f aca="false">PL!F100-rd2*Thesis!F65</f>
        <v>21.8622188301703</v>
      </c>
      <c r="H48" s="21" t="n">
        <f aca="false">PL!H100-rd2*Thesis!H65</f>
        <v>66.8444439593472</v>
      </c>
      <c r="I48" s="21" t="n">
        <f aca="false">PL!I100-rd2*Thesis!I65</f>
        <v>98.775108985414</v>
      </c>
      <c r="J48" s="21" t="n">
        <f aca="false">PL!J100-rd2*Thesis!J65</f>
        <v>133.947144999075</v>
      </c>
      <c r="K48" s="21" t="n">
        <f aca="false">PL!K100-rd2*Thesis!K65</f>
        <v>174.174322805244</v>
      </c>
      <c r="L48" s="21" t="n">
        <f aca="false">PL!L100-rd2*Thesis!L65</f>
        <v>220.927301076945</v>
      </c>
      <c r="M48" s="21" t="n">
        <f aca="false">PL!M100-rd2*Thesis!M65</f>
        <v>269.035647061252</v>
      </c>
    </row>
    <row r="49" customFormat="false" ht="17.15" hidden="false" customHeight="false" outlineLevel="0" collapsed="false">
      <c r="A49" s="4" t="s">
        <v>983</v>
      </c>
      <c r="F49" s="21" t="n">
        <f aca="false">CF!F52-rd2*(1-ext_sh)*Thesis!F52</f>
        <v>119.402</v>
      </c>
      <c r="H49" s="21" t="n">
        <f aca="false">CF!H52-rd2*(1-ext_sh)*Thesis!H52</f>
        <v>238.047183785833</v>
      </c>
      <c r="I49" s="21" t="n">
        <f aca="false">CF!I52-rd2*(1-ext_sh)*Thesis!I52</f>
        <v>258.005933552691</v>
      </c>
      <c r="J49" s="21" t="n">
        <f aca="false">CF!J52-rd2*(1-ext_sh)*Thesis!J52</f>
        <v>289.579762942537</v>
      </c>
      <c r="K49" s="21" t="n">
        <f aca="false">CF!K52-rd2*(1-ext_sh)*Thesis!K52</f>
        <v>327.403907433285</v>
      </c>
      <c r="L49" s="21" t="n">
        <f aca="false">CF!L52-rd2*(1-ext_sh)*Thesis!L52</f>
        <v>378.922845951969</v>
      </c>
      <c r="M49" s="21" t="n">
        <f aca="false">CF!M52-rd2*(1-ext_sh)*Thesis!M52</f>
        <v>415.524123321698</v>
      </c>
    </row>
    <row r="50" customFormat="false" ht="15" hidden="false" customHeight="false" outlineLevel="0" collapsed="false">
      <c r="A50" s="4" t="s">
        <v>984</v>
      </c>
      <c r="F50" s="21" t="n">
        <f aca="false">CF!F47</f>
        <v>8.49</v>
      </c>
      <c r="H50" s="21" t="n">
        <f aca="false">CF!H47</f>
        <v>1.26930504965447</v>
      </c>
      <c r="I50" s="21" t="n">
        <f aca="false">CF!I47</f>
        <v>1.14623127142898</v>
      </c>
      <c r="J50" s="21" t="n">
        <f aca="false">CF!J47</f>
        <v>1.05873404328662</v>
      </c>
      <c r="K50" s="21" t="n">
        <f aca="false">CF!K47</f>
        <v>0.86863532710084</v>
      </c>
      <c r="L50" s="21" t="n">
        <f aca="false">CF!L47</f>
        <v>0.922745480459747</v>
      </c>
      <c r="M50" s="21" t="n">
        <f aca="false">CF!M47</f>
        <v>0.981380076925253</v>
      </c>
    </row>
    <row r="51" customFormat="false" ht="17.15" hidden="false" customHeight="false" outlineLevel="0" collapsed="false">
      <c r="A51" s="4" t="s">
        <v>985</v>
      </c>
      <c r="E51" s="4" t="s">
        <v>986</v>
      </c>
      <c r="F51" s="21" t="n">
        <f aca="false">F47+F48-F49+F50</f>
        <v>-18.9538705351705</v>
      </c>
      <c r="H51" s="21" t="n">
        <f aca="false">H47+H48-H49+H50</f>
        <v>-33.1018498948357</v>
      </c>
      <c r="I51" s="21" t="n">
        <f aca="false">I47+I48-I49+I50</f>
        <v>-16.2701554542056</v>
      </c>
      <c r="J51" s="21" t="n">
        <f aca="false">J47+J48-J49+J50</f>
        <v>-7.64150239477089</v>
      </c>
      <c r="K51" s="21" t="n">
        <f aca="false">K47+K48-K49+K50</f>
        <v>-8.60225902125432</v>
      </c>
      <c r="L51" s="21" t="n">
        <f aca="false">L47+L48-L49+L50</f>
        <v>-24.9718504335281</v>
      </c>
      <c r="M51" s="21" t="n">
        <f aca="false">M47+M48-M49+M50</f>
        <v>-24.5243306032682</v>
      </c>
    </row>
    <row r="52" customFormat="false" ht="17.15" hidden="false" customHeight="false" outlineLevel="0" collapsed="false">
      <c r="A52" s="4" t="s">
        <v>987</v>
      </c>
      <c r="F52" s="18" t="n">
        <v>0.25</v>
      </c>
      <c r="H52" s="18" t="n">
        <v>1</v>
      </c>
      <c r="I52" s="18" t="n">
        <v>2</v>
      </c>
      <c r="J52" s="18" t="n">
        <v>3</v>
      </c>
      <c r="K52" s="18" t="n">
        <v>4</v>
      </c>
      <c r="L52" s="18" t="n">
        <v>5</v>
      </c>
      <c r="M52" s="18" t="n">
        <v>6</v>
      </c>
    </row>
    <row r="53" customFormat="false" ht="15" hidden="false" customHeight="false" outlineLevel="0" collapsed="false">
      <c r="A53" s="4" t="s">
        <v>988</v>
      </c>
      <c r="F53" s="21" t="n">
        <f aca="false">F51/(1+wacc)^F52</f>
        <v>-18.4424482488064</v>
      </c>
      <c r="H53" s="21" t="n">
        <f aca="false">H51/(1+wacc)^H52</f>
        <v>-29.6711869168618</v>
      </c>
      <c r="I53" s="21" t="n">
        <f aca="false">I51/(1+wacc)^I52</f>
        <v>-13.0724506628464</v>
      </c>
      <c r="J53" s="21" t="n">
        <f aca="false">J51/(1+wacc)^J52</f>
        <v>-5.50334471857155</v>
      </c>
      <c r="K53" s="21" t="n">
        <f aca="false">K51/(1+wacc)^K52</f>
        <v>-5.55319767715997</v>
      </c>
      <c r="L53" s="21" t="n">
        <f aca="false">L51/(1+wacc)^L52</f>
        <v>-14.4498719164689</v>
      </c>
      <c r="M53" s="21" t="n">
        <f aca="false">M51/(1+wacc)^M52</f>
        <v>-12.7201750799681</v>
      </c>
    </row>
    <row r="55" customFormat="false" ht="17.15" hidden="false" customHeight="false" outlineLevel="0" collapsed="false">
      <c r="A55" s="24" t="s">
        <v>850</v>
      </c>
    </row>
    <row r="56" customFormat="false" ht="15" hidden="false" customHeight="false" outlineLevel="0" collapsed="false">
      <c r="A56" s="3" t="s">
        <v>43</v>
      </c>
      <c r="B56" s="3"/>
      <c r="C56" s="3"/>
      <c r="D56" s="3"/>
      <c r="E56" s="3" t="s">
        <v>50</v>
      </c>
      <c r="F56" s="14" t="s">
        <v>749</v>
      </c>
      <c r="G56" s="3"/>
      <c r="H56" s="14" t="s">
        <v>751</v>
      </c>
      <c r="I56" s="14" t="s">
        <v>752</v>
      </c>
      <c r="J56" s="14" t="s">
        <v>753</v>
      </c>
      <c r="K56" s="14" t="s">
        <v>754</v>
      </c>
      <c r="L56" s="14" t="s">
        <v>755</v>
      </c>
      <c r="M56" s="14" t="s">
        <v>756</v>
      </c>
    </row>
    <row r="57" customFormat="false" ht="17.15" hidden="false" customHeight="false" outlineLevel="0" collapsed="false">
      <c r="A57" s="4" t="s">
        <v>979</v>
      </c>
      <c r="F57" s="21" t="n">
        <f aca="false">PL!F158</f>
        <v>84.2498925897347</v>
      </c>
      <c r="H57" s="21" t="n">
        <f aca="false">PL!H158</f>
        <v>149.985610799441</v>
      </c>
      <c r="I57" s="21" t="n">
        <f aca="false">PL!I158</f>
        <v>138.594210331407</v>
      </c>
      <c r="J57" s="21" t="n">
        <f aca="false">PL!J158</f>
        <v>125.063236579685</v>
      </c>
      <c r="K57" s="21" t="n">
        <f aca="false">PL!K158</f>
        <v>100.175639325366</v>
      </c>
      <c r="L57" s="21" t="n">
        <f aca="false">PL!L158</f>
        <v>80.960798861369</v>
      </c>
      <c r="M57" s="21" t="n">
        <f aca="false">PL!M158</f>
        <v>61.9782149623676</v>
      </c>
    </row>
    <row r="58" customFormat="false" ht="17.15" hidden="false" customHeight="false" outlineLevel="0" collapsed="false">
      <c r="A58" s="0" t="s">
        <v>980</v>
      </c>
      <c r="E58" s="4" t="s">
        <v>981</v>
      </c>
      <c r="F58" s="21" t="n">
        <f aca="false">(F57+rd2*Thesis!F70)*(1-tax)</f>
        <v>70.0959106346593</v>
      </c>
      <c r="H58" s="21" t="n">
        <f aca="false">(H57+rd2*Thesis!H70)*(1-tax)</f>
        <v>124.788028185135</v>
      </c>
      <c r="I58" s="21" t="n">
        <f aca="false">(I57+rd2*Thesis!I70)*(1-tax)</f>
        <v>115.310382995731</v>
      </c>
      <c r="J58" s="21" t="n">
        <f aca="false">(J57+rd2*Thesis!J70)*(1-tax)</f>
        <v>104.052612834298</v>
      </c>
      <c r="K58" s="21" t="n">
        <f aca="false">(K57+rd2*Thesis!K70)*(1-tax)</f>
        <v>83.3461319187041</v>
      </c>
      <c r="L58" s="21" t="n">
        <f aca="false">(L57+rd2*Thesis!L70)*(1-tax)</f>
        <v>67.359384652659</v>
      </c>
      <c r="M58" s="21" t="n">
        <f aca="false">(M57+rd2*Thesis!M70)*(1-tax)</f>
        <v>51.5658748486899</v>
      </c>
    </row>
    <row r="59" customFormat="false" ht="17.15" hidden="false" customHeight="false" outlineLevel="0" collapsed="false">
      <c r="A59" s="4" t="s">
        <v>982</v>
      </c>
      <c r="F59" s="21" t="n">
        <f aca="false">PL!F156-rd2*Thesis!F65</f>
        <v>21.8622188301703</v>
      </c>
      <c r="H59" s="21" t="n">
        <f aca="false">PL!H156-rd2*Thesis!H65</f>
        <v>66.8110493990838</v>
      </c>
      <c r="I59" s="21" t="n">
        <f aca="false">PL!I156-rd2*Thesis!I65</f>
        <v>98.5677317285365</v>
      </c>
      <c r="J59" s="21" t="n">
        <f aca="false">PL!J156-rd2*Thesis!J65</f>
        <v>133.398483834215</v>
      </c>
      <c r="K59" s="21" t="n">
        <f aca="false">PL!K156-rd2*Thesis!K65</f>
        <v>173.096392700396</v>
      </c>
      <c r="L59" s="21" t="n">
        <f aca="false">PL!L156-rd2*Thesis!L65</f>
        <v>219.157368869619</v>
      </c>
      <c r="M59" s="21" t="n">
        <f aca="false">PL!M156-rd2*Thesis!M65</f>
        <v>266.518352583249</v>
      </c>
    </row>
    <row r="60" customFormat="false" ht="17.15" hidden="false" customHeight="false" outlineLevel="0" collapsed="false">
      <c r="A60" s="4" t="s">
        <v>983</v>
      </c>
      <c r="F60" s="21" t="n">
        <f aca="false">CF!F84-rd2*(1-ext_sh)*Thesis!F52</f>
        <v>119.402</v>
      </c>
      <c r="H60" s="21" t="n">
        <f aca="false">CF!H84-rd2*(1-ext_sh)*Thesis!H52</f>
        <v>236.711401375296</v>
      </c>
      <c r="I60" s="21" t="n">
        <f aca="false">CF!I84-rd2*(1-ext_sh)*Thesis!I52</f>
        <v>255.053972919742</v>
      </c>
      <c r="J60" s="21" t="n">
        <f aca="false">CF!J84-rd2*(1-ext_sh)*Thesis!J52</f>
        <v>284.784288522057</v>
      </c>
      <c r="K60" s="21" t="n">
        <f aca="false">CF!K84-rd2*(1-ext_sh)*Thesis!K52</f>
        <v>320.619573095257</v>
      </c>
      <c r="L60" s="21" t="n">
        <f aca="false">CF!L84-rd2*(1-ext_sh)*Thesis!L52</f>
        <v>371.595764866899</v>
      </c>
      <c r="M60" s="21" t="n">
        <f aca="false">CF!M84-rd2*(1-ext_sh)*Thesis!M52</f>
        <v>407.610875749823</v>
      </c>
    </row>
    <row r="61" customFormat="false" ht="15" hidden="false" customHeight="false" outlineLevel="0" collapsed="false">
      <c r="A61" s="4" t="s">
        <v>984</v>
      </c>
      <c r="F61" s="21" t="n">
        <f aca="false">CF!F79</f>
        <v>8.49</v>
      </c>
      <c r="H61" s="21" t="n">
        <f aca="false">CF!H79</f>
        <v>1.00882747959971</v>
      </c>
      <c r="I61" s="21" t="n">
        <f aca="false">CF!I79</f>
        <v>0.831076518058697</v>
      </c>
      <c r="J61" s="21" t="n">
        <f aca="false">CF!J79</f>
        <v>0.69924885471794</v>
      </c>
      <c r="K61" s="21" t="n">
        <f aca="false">CF!K79</f>
        <v>0.480807643179234</v>
      </c>
      <c r="L61" s="21" t="n">
        <f aca="false">CF!L79</f>
        <v>0.81690986478652</v>
      </c>
      <c r="M61" s="21" t="n">
        <f aca="false">CF!M79</f>
        <v>0.867077611998168</v>
      </c>
    </row>
    <row r="62" customFormat="false" ht="17.15" hidden="false" customHeight="false" outlineLevel="0" collapsed="false">
      <c r="A62" s="4" t="s">
        <v>985</v>
      </c>
      <c r="E62" s="4" t="s">
        <v>986</v>
      </c>
      <c r="F62" s="21" t="n">
        <f aca="false">F58+F59-F60+F61</f>
        <v>-18.9538705351705</v>
      </c>
      <c r="H62" s="21" t="n">
        <f aca="false">H58+H59-H60+H61</f>
        <v>-44.1034963114775</v>
      </c>
      <c r="I62" s="21" t="n">
        <f aca="false">I58+I59-I60+I61</f>
        <v>-40.3447816774161</v>
      </c>
      <c r="J62" s="21" t="n">
        <f aca="false">J58+J59-J60+J61</f>
        <v>-46.6339429988264</v>
      </c>
      <c r="K62" s="21" t="n">
        <f aca="false">K58+K59-K60+K61</f>
        <v>-63.6962408329778</v>
      </c>
      <c r="L62" s="21" t="n">
        <f aca="false">L58+L59-L60+L61</f>
        <v>-84.2621014798345</v>
      </c>
      <c r="M62" s="21" t="n">
        <f aca="false">M58+M59-M60+M61</f>
        <v>-88.6595707058865</v>
      </c>
    </row>
    <row r="63" customFormat="false" ht="17.15" hidden="false" customHeight="false" outlineLevel="0" collapsed="false">
      <c r="A63" s="4" t="s">
        <v>987</v>
      </c>
      <c r="F63" s="18" t="n">
        <v>0.25</v>
      </c>
      <c r="H63" s="18" t="n">
        <v>1</v>
      </c>
      <c r="I63" s="18" t="n">
        <v>2</v>
      </c>
      <c r="J63" s="18" t="n">
        <v>3</v>
      </c>
      <c r="K63" s="18" t="n">
        <v>4</v>
      </c>
      <c r="L63" s="18" t="n">
        <v>5</v>
      </c>
      <c r="M63" s="18" t="n">
        <v>6</v>
      </c>
    </row>
    <row r="64" customFormat="false" ht="15" hidden="false" customHeight="false" outlineLevel="0" collapsed="false">
      <c r="A64" s="4" t="s">
        <v>988</v>
      </c>
      <c r="F64" s="21" t="n">
        <f aca="false">F62/(1+wacc)^F63</f>
        <v>-18.4424482488064</v>
      </c>
      <c r="H64" s="21" t="n">
        <f aca="false">H62/(1+wacc)^H63</f>
        <v>-39.5326269348207</v>
      </c>
      <c r="I64" s="21" t="n">
        <f aca="false">I62/(1+wacc)^I63</f>
        <v>-32.4154965492358</v>
      </c>
      <c r="J64" s="21" t="n">
        <f aca="false">J62/(1+wacc)^J63</f>
        <v>-33.5853672027086</v>
      </c>
      <c r="K64" s="21" t="n">
        <f aca="false">K62/(1+wacc)^K63</f>
        <v>-41.1191776210823</v>
      </c>
      <c r="L64" s="21" t="n">
        <f aca="false">L62/(1+wacc)^L63</f>
        <v>-48.75796357331</v>
      </c>
      <c r="M64" s="21" t="n">
        <f aca="false">M62/(1+wacc)^M63</f>
        <v>-45.9855675629896</v>
      </c>
    </row>
    <row r="66" customFormat="false" ht="17.15" hidden="false" customHeight="false" outlineLevel="0" collapsed="false">
      <c r="A66" s="5" t="s">
        <v>989</v>
      </c>
    </row>
    <row r="67" customFormat="false" ht="17.15" hidden="false" customHeight="false" outlineLevel="0" collapsed="false">
      <c r="A67" s="3" t="s">
        <v>43</v>
      </c>
      <c r="B67" s="3" t="s">
        <v>899</v>
      </c>
      <c r="C67" s="3" t="s">
        <v>900</v>
      </c>
      <c r="D67" s="3" t="s">
        <v>901</v>
      </c>
      <c r="E67" s="3" t="s">
        <v>50</v>
      </c>
    </row>
    <row r="68" customFormat="false" ht="17.15" hidden="false" customHeight="false" outlineLevel="0" collapsed="false">
      <c r="A68" s="4" t="s">
        <v>990</v>
      </c>
      <c r="B68" s="21" t="n">
        <f aca="false">SUM(F42:M42)</f>
        <v>-11.9304742561715</v>
      </c>
      <c r="C68" s="21" t="n">
        <f aca="false">SUM(F53:M53)</f>
        <v>-99.412675220683</v>
      </c>
      <c r="D68" s="21" t="n">
        <f aca="false">SUM(F64:M64)</f>
        <v>-259.838647692953</v>
      </c>
    </row>
    <row r="69" customFormat="false" ht="17.15" hidden="false" customHeight="false" outlineLevel="0" collapsed="false">
      <c r="A69" s="4" t="s">
        <v>991</v>
      </c>
      <c r="B69" s="21" t="n">
        <f aca="false">IF(tv_alt=1,M40*(1+g_tv)/(wacc-g_tv),M36*(1+g_tv)*(1-g_tv/ronic)/(wacc-g_tv))</f>
        <v>1438.3721029189</v>
      </c>
      <c r="C69" s="21" t="n">
        <f aca="false">IF(tv_alt=1,M51*(1+g_tv)/(wacc-g_tv),M47*(1+g_tv)*(1-g_tv/ronic)/(wacc-g_tv))</f>
        <v>1091.52336689062</v>
      </c>
      <c r="D69" s="21" t="n">
        <f aca="false">IF(tv_alt=1,M62*(1+g_tv)/(wacc-g_tv),M58*(1+g_tv)*(1-g_tv/ronic)/(wacc-g_tv))</f>
        <v>465.234507258524</v>
      </c>
      <c r="E69" s="7" t="s">
        <v>992</v>
      </c>
    </row>
    <row r="70" customFormat="false" ht="17.15" hidden="false" customHeight="false" outlineLevel="0" collapsed="false">
      <c r="A70" s="4" t="s">
        <v>993</v>
      </c>
      <c r="B70" s="21" t="n">
        <f aca="false">B69/(1+wacc)^6.5</f>
        <v>706.331387413616</v>
      </c>
      <c r="C70" s="21" t="n">
        <f aca="false">C69/(1+wacc)^6.5</f>
        <v>536.006790291389</v>
      </c>
      <c r="D70" s="21" t="n">
        <f aca="false">D69/(1+wacc)^6.5</f>
        <v>228.459474650372</v>
      </c>
    </row>
    <row r="71" customFormat="false" ht="17.15" hidden="false" customHeight="false" outlineLevel="0" collapsed="false">
      <c r="A71" s="2" t="s">
        <v>994</v>
      </c>
      <c r="B71" s="21" t="n">
        <f aca="false">B68+B70</f>
        <v>694.400913157444</v>
      </c>
      <c r="C71" s="21" t="n">
        <f aca="false">C68+C70</f>
        <v>436.594115070706</v>
      </c>
      <c r="D71" s="21" t="n">
        <f aca="false">D68+D70</f>
        <v>-31.3791730425809</v>
      </c>
    </row>
    <row r="72" customFormat="false" ht="17.15" hidden="false" customHeight="false" outlineLevel="0" collapsed="false">
      <c r="A72" s="4" t="s">
        <v>995</v>
      </c>
      <c r="B72" s="19" t="n">
        <f aca="false">B70/B71</f>
        <v>1.01718095991827</v>
      </c>
      <c r="C72" s="19" t="n">
        <f aca="false">C70/C71</f>
        <v>1.22770044714089</v>
      </c>
      <c r="D72" s="19" t="n">
        <f aca="false">D70/D71</f>
        <v>-7.28060852146605</v>
      </c>
    </row>
    <row r="73" customFormat="false" ht="17.15" hidden="false" customHeight="false" outlineLevel="0" collapsed="false">
      <c r="A73" s="4" t="s">
        <v>996</v>
      </c>
      <c r="B73" s="21" t="n">
        <f aca="false">cash_0-debt_0</f>
        <v>54.326</v>
      </c>
      <c r="C73" s="21" t="n">
        <f aca="false">cash_0-debt_0</f>
        <v>54.326</v>
      </c>
      <c r="D73" s="21" t="n">
        <f aca="false">cash_0-debt_0</f>
        <v>54.326</v>
      </c>
    </row>
    <row r="74" customFormat="false" ht="17.15" hidden="false" customHeight="false" outlineLevel="0" collapsed="false">
      <c r="A74" s="4" t="s">
        <v>997</v>
      </c>
      <c r="B74" s="21" t="n">
        <f aca="false">ant_val*ant_stake*(1-illiq)+spacex+oth_eq</f>
        <v>197.689</v>
      </c>
      <c r="C74" s="21" t="n">
        <f aca="false">ant_val*ant_stake*(1-illiq)+spacex+oth_eq</f>
        <v>197.689</v>
      </c>
      <c r="D74" s="21" t="n">
        <f aca="false">ant_val*ant_stake*(1-illiq)+spacex+oth_eq</f>
        <v>197.689</v>
      </c>
      <c r="E74" s="4" t="s">
        <v>998</v>
      </c>
    </row>
    <row r="75" customFormat="false" ht="15" hidden="false" customHeight="false" outlineLevel="0" collapsed="false">
      <c r="A75" s="4" t="s">
        <v>999</v>
      </c>
      <c r="B75" s="21" t="n">
        <f aca="false">fines+nci</f>
        <v>24.456</v>
      </c>
      <c r="C75" s="21" t="n">
        <f aca="false">fines+nci</f>
        <v>24.456</v>
      </c>
      <c r="D75" s="21" t="n">
        <f aca="false">fines+nci</f>
        <v>24.456</v>
      </c>
    </row>
    <row r="76" customFormat="false" ht="15" hidden="false" customHeight="false" outlineLevel="0" collapsed="false">
      <c r="A76" s="4" t="s">
        <v>1000</v>
      </c>
      <c r="B76" s="21" t="n">
        <f aca="false">B71+B73+B74-B75</f>
        <v>921.959913157444</v>
      </c>
      <c r="C76" s="21" t="n">
        <f aca="false">C71+C73+C74-C75</f>
        <v>664.153115070706</v>
      </c>
      <c r="D76" s="21" t="n">
        <f aca="false">D71+D73+D74-D75</f>
        <v>196.179826957419</v>
      </c>
    </row>
    <row r="77" customFormat="false" ht="15" hidden="false" customHeight="false" outlineLevel="0" collapsed="false">
      <c r="A77" s="4" t="s">
        <v>1001</v>
      </c>
      <c r="B77" s="16" t="n">
        <f aca="false">PL!E61+conv_sh</f>
        <v>12.4426</v>
      </c>
      <c r="C77" s="16" t="n">
        <f aca="false">PL!E117+conv_sh</f>
        <v>12.4426</v>
      </c>
      <c r="D77" s="16" t="n">
        <f aca="false">PL!E173+conv_sh</f>
        <v>12.4426</v>
      </c>
    </row>
    <row r="78" customFormat="false" ht="15" hidden="false" customHeight="false" outlineLevel="0" collapsed="false">
      <c r="A78" s="4" t="s">
        <v>1002</v>
      </c>
      <c r="B78" s="21" t="n">
        <f aca="false">MAX(0,B76/B77)</f>
        <v>74.0970466910006</v>
      </c>
      <c r="C78" s="21" t="n">
        <f aca="false">MAX(0,C76/C77)</f>
        <v>53.3773580337475</v>
      </c>
      <c r="D78" s="21" t="n">
        <f aca="false">MAX(0,D76/D77)</f>
        <v>15.7667872436162</v>
      </c>
    </row>
    <row r="79" customFormat="false" ht="17.15" hidden="false" customHeight="false" outlineLevel="0" collapsed="false">
      <c r="A79" s="35" t="s">
        <v>1003</v>
      </c>
      <c r="B79" s="29" t="n">
        <f aca="false">B78*(1+ke)^t_tgt</f>
        <v>85.8033271183542</v>
      </c>
      <c r="C79" s="29" t="n">
        <f aca="false">C78*(1+ke)^t_tgt</f>
        <v>61.8102220886409</v>
      </c>
      <c r="D79" s="29" t="n">
        <f aca="false">D78*(1+ke)^t_tgt</f>
        <v>18.2577155755089</v>
      </c>
      <c r="E79" s="9"/>
    </row>
    <row r="81" customFormat="false" ht="17.15" hidden="false" customHeight="false" outlineLevel="0" collapsed="false">
      <c r="A81" s="5" t="s">
        <v>1004</v>
      </c>
    </row>
    <row r="82" customFormat="false" ht="15" hidden="false" customHeight="false" outlineLevel="0" collapsed="false">
      <c r="A82" s="3" t="s">
        <v>1005</v>
      </c>
      <c r="B82" s="3" t="s">
        <v>1006</v>
      </c>
      <c r="C82" s="3" t="s">
        <v>1007</v>
      </c>
      <c r="D82" s="3"/>
      <c r="E82" s="3" t="s">
        <v>50</v>
      </c>
    </row>
    <row r="83" customFormat="false" ht="17.15" hidden="false" customHeight="false" outlineLevel="0" collapsed="false">
      <c r="A83" s="4" t="s">
        <v>1008</v>
      </c>
      <c r="B83" s="18" t="n">
        <f aca="false">MEDIAN(pm_ads_meta,pm_ads_pins,pm_ads_ttd,pm_ads_app,pm_ads_rddt,pm_ads_snap)</f>
        <v>9.11</v>
      </c>
      <c r="C83" s="36" t="n">
        <v>6</v>
      </c>
      <c r="E83" s="7" t="s">
        <v>1009</v>
      </c>
    </row>
    <row r="84" customFormat="false" ht="17.15" hidden="false" customHeight="false" outlineLevel="0" collapsed="false">
      <c r="A84" s="4" t="s">
        <v>1010</v>
      </c>
      <c r="B84" s="18" t="n">
        <f aca="false">MEDIAN(pm_subs_nflx,pm_subs_spot,pm_subs_dis)</f>
        <v>15.41</v>
      </c>
      <c r="C84" s="36" t="n">
        <v>3</v>
      </c>
      <c r="E84" s="7" t="s">
        <v>1011</v>
      </c>
    </row>
    <row r="85" customFormat="false" ht="17.15" hidden="false" customHeight="false" outlineLevel="0" collapsed="false">
      <c r="A85" s="4" t="s">
        <v>1012</v>
      </c>
      <c r="B85" s="18" t="n">
        <f aca="false">MEDIAN(pm_cloud_orcl,pm_cloud_ibm,pm_cloud_sap,pm_cloud_crm,pm_cloud_now,pm_cloud_akam,pm_cloud_eqix,pm_cloud_docn)</f>
        <v>13.82</v>
      </c>
      <c r="C85" s="36" t="n">
        <v>8</v>
      </c>
      <c r="E85" s="7" t="s">
        <v>1013</v>
      </c>
    </row>
    <row r="86" customFormat="false" ht="17.15" hidden="false" customHeight="false" outlineLevel="0" collapsed="false">
      <c r="A86" s="4" t="s">
        <v>1014</v>
      </c>
      <c r="B86" s="18" t="n">
        <f aca="false">IF(ads_own=1,mult_ads_own,mult_ads)</f>
        <v>9.11</v>
      </c>
      <c r="E86" s="7" t="s">
        <v>1015</v>
      </c>
    </row>
    <row r="88" customFormat="false" ht="17.15" hidden="false" customHeight="false" outlineLevel="0" collapsed="false">
      <c r="A88" s="3" t="s">
        <v>1016</v>
      </c>
      <c r="B88" s="3" t="s">
        <v>899</v>
      </c>
      <c r="C88" s="3" t="s">
        <v>900</v>
      </c>
      <c r="D88" s="3" t="s">
        <v>901</v>
      </c>
      <c r="E88" s="3" t="s">
        <v>1017</v>
      </c>
      <c r="F88" s="14" t="s">
        <v>1018</v>
      </c>
      <c r="G88" s="14" t="s">
        <v>1019</v>
      </c>
      <c r="H88" s="14" t="s">
        <v>1020</v>
      </c>
    </row>
    <row r="89" customFormat="false" ht="17.15" hidden="false" customHeight="false" outlineLevel="0" collapsed="false">
      <c r="A89" s="0" t="s">
        <v>1021</v>
      </c>
      <c r="B89" s="21" t="n">
        <f aca="false">(w_ntm27*PL!H14+(1-w_ntm27)*PL!I14)*m_yt</f>
        <v>21.6131424593508</v>
      </c>
      <c r="C89" s="21" t="n">
        <f aca="false">(w_ntm27*PL!H70+(1-w_ntm27)*PL!I70)*m_yt</f>
        <v>21.6131424593508</v>
      </c>
      <c r="D89" s="21" t="n">
        <f aca="false">(w_ntm27*PL!H126+(1-w_ntm27)*PL!I126)*m_yt</f>
        <v>21.6131424593508</v>
      </c>
      <c r="E89" s="0" t="str">
        <f aca="false">"數位廣告 "&amp;TEXT(mult_adsx,"0.00")&amp;"×"</f>
        <v>數位廣告 9.11×</v>
      </c>
      <c r="F89" s="20" t="n">
        <f aca="false">B89*mult_adsx</f>
        <v>196.895727804686</v>
      </c>
      <c r="G89" s="20" t="n">
        <f aca="false">C89*mult_adsx</f>
        <v>196.895727804686</v>
      </c>
      <c r="H89" s="20" t="n">
        <f aca="false">D89*mult_adsx</f>
        <v>196.895727804686</v>
      </c>
    </row>
    <row r="90" customFormat="false" ht="17.15" hidden="false" customHeight="false" outlineLevel="0" collapsed="false">
      <c r="A90" s="0" t="s">
        <v>1022</v>
      </c>
      <c r="B90" s="21" t="n">
        <f aca="false">(w_ntm27*PL!H15+(1-w_ntm27)*PL!I15)*m_net</f>
        <v>4.25893330063853</v>
      </c>
      <c r="C90" s="21" t="n">
        <f aca="false">(w_ntm27*PL!H71+(1-w_ntm27)*PL!I71)*m_net</f>
        <v>4.25893330063853</v>
      </c>
      <c r="D90" s="21" t="n">
        <f aca="false">(w_ntm27*PL!H127+(1-w_ntm27)*PL!I127)*m_net</f>
        <v>4.25893330063853</v>
      </c>
      <c r="E90" s="0" t="str">
        <f aca="false">"數位廣告 "&amp;TEXT(mult_adsx,"0.00")&amp;"×"</f>
        <v>數位廣告 9.11×</v>
      </c>
      <c r="F90" s="20" t="n">
        <f aca="false">B90*mult_adsx</f>
        <v>38.798882368817</v>
      </c>
      <c r="G90" s="20" t="n">
        <f aca="false">C90*mult_adsx</f>
        <v>38.798882368817</v>
      </c>
      <c r="H90" s="20" t="n">
        <f aca="false">D90*mult_adsx</f>
        <v>38.798882368817</v>
      </c>
    </row>
    <row r="91" customFormat="false" ht="17.15" hidden="false" customHeight="false" outlineLevel="0" collapsed="false">
      <c r="A91" s="0" t="s">
        <v>1023</v>
      </c>
      <c r="B91" s="21" t="n">
        <f aca="false">(w_ntm27*PL!H16+(1-w_ntm27)*PL!I16)*m_subs</f>
        <v>14.6049845085051</v>
      </c>
      <c r="C91" s="21" t="n">
        <f aca="false">(w_ntm27*PL!H72+(1-w_ntm27)*PL!I72)*m_subs</f>
        <v>14.6049845085051</v>
      </c>
      <c r="D91" s="21" t="n">
        <f aca="false">(w_ntm27*PL!H128+(1-w_ntm27)*PL!I128)*m_subs</f>
        <v>14.6049845085051</v>
      </c>
      <c r="E91" s="0" t="str">
        <f aca="false">"訂閱影音 "&amp;TEXT(mult_subs,"0.00")&amp;"×"</f>
        <v>訂閱影音 15.41×</v>
      </c>
      <c r="F91" s="20" t="n">
        <f aca="false">B91*mult_subs</f>
        <v>225.062811276064</v>
      </c>
      <c r="G91" s="20" t="n">
        <f aca="false">C91*mult_subs</f>
        <v>225.062811276064</v>
      </c>
      <c r="H91" s="20" t="n">
        <f aca="false">D91*mult_subs</f>
        <v>225.062811276064</v>
      </c>
    </row>
    <row r="92" customFormat="false" ht="17.15" hidden="false" customHeight="false" outlineLevel="0" collapsed="false">
      <c r="A92" s="0" t="s">
        <v>1024</v>
      </c>
      <c r="B92" s="21" t="n">
        <f aca="false">(w_ntm27*PL!H30+(1-w_ntm27)*PL!I30)+rd2*svc_sh*(w_ntm27*(Thesis!H68+Thesis!H69)+(1-w_ntm27)*(Thesis!I68+Thesis!I69))-(w_ntm27*PL!H14+(1-w_ntm27)*PL!I14)*m_yt-(w_ntm27*PL!H15+(1-w_ntm27)*PL!I15)*m_net-(w_ntm27*PL!H16+(1-w_ntm27)*PL!I16)*m_subs</f>
        <v>203.950419550089</v>
      </c>
      <c r="C92" s="21" t="n">
        <f aca="false">(w_ntm27*PL!H86+(1-w_ntm27)*PL!I86)+rd2*svc_sh*(w_ntm27*(Thesis!H68+Thesis!H69)+(1-w_ntm27)*(Thesis!I68+Thesis!I69))-(w_ntm27*PL!H70+(1-w_ntm27)*PL!I70)*m_yt-(w_ntm27*PL!H71+(1-w_ntm27)*PL!I71)*m_net-(w_ntm27*PL!H72+(1-w_ntm27)*PL!I72)*m_subs</f>
        <v>187.642393415788</v>
      </c>
      <c r="D92" s="21" t="n">
        <f aca="false">(w_ntm27*PL!H142+(1-w_ntm27)*PL!I142)+rd2*svc_sh*(w_ntm27*(Thesis!H68+Thesis!H69)+(1-w_ntm27)*(Thesis!I68+Thesis!I69))-(w_ntm27*PL!H126+(1-w_ntm27)*PL!I126)*m_yt-(w_ntm27*PL!H127+(1-w_ntm27)*PL!I127)*m_net-(w_ntm27*PL!H128+(1-w_ntm27)*PL!I128)*m_subs</f>
        <v>156.561001681185</v>
      </c>
      <c r="E92" s="0" t="str">
        <f aca="false">"數位廣告 "&amp;TEXT(mult_adsx,"0.00")&amp;"×"</f>
        <v>數位廣告 9.11×</v>
      </c>
      <c r="F92" s="20" t="n">
        <f aca="false">B92*mult_adsx</f>
        <v>1857.98832210131</v>
      </c>
      <c r="G92" s="20" t="n">
        <f aca="false">C92*mult_adsx</f>
        <v>1709.42220401783</v>
      </c>
      <c r="H92" s="20" t="n">
        <f aca="false">D92*mult_adsx</f>
        <v>1426.2707253156</v>
      </c>
    </row>
    <row r="93" customFormat="false" ht="17.15" hidden="false" customHeight="false" outlineLevel="0" collapsed="false">
      <c r="A93" s="0" t="s">
        <v>1025</v>
      </c>
      <c r="B93" s="21" t="n">
        <f aca="false">w_ntm27*Thesis!H41+(1-w_ntm27)*Thesis!I41</f>
        <v>45.3253593315348</v>
      </c>
      <c r="C93" s="21" t="n">
        <f aca="false">w_ntm27*Thesis!H41+(1-w_ntm27)*Thesis!I41</f>
        <v>45.3253593315348</v>
      </c>
      <c r="D93" s="21" t="n">
        <f aca="false">w_ntm27*Thesis!H41+(1-w_ntm27)*Thesis!I41</f>
        <v>45.3253593315348</v>
      </c>
      <c r="E93" s="0" t="str">
        <f aca="false">"AI 基礎設施 "&amp;TEXT(mult_ai,"0.00")&amp;"×"</f>
        <v>AI 基礎設施 6.00×</v>
      </c>
      <c r="F93" s="20" t="n">
        <f aca="false">B93*mult_ai</f>
        <v>271.952155989209</v>
      </c>
      <c r="G93" s="20" t="n">
        <f aca="false">C93*mult_ai</f>
        <v>271.952155989209</v>
      </c>
      <c r="H93" s="20" t="n">
        <f aca="false">D93*mult_ai</f>
        <v>271.952155989209</v>
      </c>
    </row>
    <row r="94" customFormat="false" ht="17.15" hidden="false" customHeight="false" outlineLevel="0" collapsed="false">
      <c r="A94" s="0" t="s">
        <v>1026</v>
      </c>
      <c r="B94" s="21" t="n">
        <f aca="false">(w_ntm27*PL!H19+(1-w_ntm27)*PL!I19)*tpu_m</f>
        <v>3.25</v>
      </c>
      <c r="C94" s="21" t="n">
        <f aca="false">(w_ntm27*PL!H75+(1-w_ntm27)*PL!I75)*tpu_m</f>
        <v>3.25</v>
      </c>
      <c r="D94" s="21" t="n">
        <f aca="false">(w_ntm27*PL!H131+(1-w_ntm27)*PL!I131)*tpu_m</f>
        <v>3.25</v>
      </c>
      <c r="E94" s="0" t="str">
        <f aca="false">"AI 基礎設施 "&amp;TEXT(mult_ai,"0.00")&amp;"×"</f>
        <v>AI 基礎設施 6.00×</v>
      </c>
      <c r="F94" s="20" t="n">
        <f aca="false">B94*mult_ai</f>
        <v>19.5</v>
      </c>
      <c r="G94" s="20" t="n">
        <f aca="false">C94*mult_ai</f>
        <v>19.5</v>
      </c>
      <c r="H94" s="20" t="n">
        <f aca="false">D94*mult_ai</f>
        <v>19.5</v>
      </c>
    </row>
    <row r="95" customFormat="false" ht="17.15" hidden="false" customHeight="false" outlineLevel="0" collapsed="false">
      <c r="A95" s="0" t="s">
        <v>1027</v>
      </c>
      <c r="B95" s="21" t="n">
        <f aca="false">(w_ntm27*PL!H20+(1-w_ntm27)*PL!I20)*m_co</f>
        <v>36.5282978899854</v>
      </c>
      <c r="C95" s="21" t="n">
        <f aca="false">(w_ntm27*PL!H76+(1-w_ntm27)*PL!I76)*m_co</f>
        <v>36.5282978899854</v>
      </c>
      <c r="D95" s="21" t="n">
        <f aca="false">(w_ntm27*PL!H132+(1-w_ntm27)*PL!I132)*m_co</f>
        <v>36.5282978899854</v>
      </c>
      <c r="E95" s="0" t="str">
        <f aca="false">"非 AI 雲端 "&amp;TEXT(mult_cloud,"0.00")&amp;"×"</f>
        <v>非 AI 雲端 13.82×</v>
      </c>
      <c r="F95" s="20" t="n">
        <f aca="false">B95*mult_cloud</f>
        <v>504.821076839598</v>
      </c>
      <c r="G95" s="20" t="n">
        <f aca="false">C95*mult_cloud</f>
        <v>504.821076839598</v>
      </c>
      <c r="H95" s="20" t="n">
        <f aca="false">D95*mult_cloud</f>
        <v>504.821076839598</v>
      </c>
    </row>
    <row r="96" customFormat="false" ht="17.15" hidden="false" customHeight="false" outlineLevel="0" collapsed="false">
      <c r="A96" s="0" t="s">
        <v>1028</v>
      </c>
      <c r="B96" s="21" t="n">
        <f aca="false">(w_ntm27*PL!H38+(1-w_ntm27)*PL!I38)</f>
        <v>-8.88899395543819</v>
      </c>
      <c r="C96" s="21" t="n">
        <f aca="false">(w_ntm27*PL!H94+(1-w_ntm27)*PL!I94)</f>
        <v>-8.88899395543819</v>
      </c>
      <c r="D96" s="21" t="n">
        <f aca="false">(w_ntm27*PL!H150+(1-w_ntm27)*PL!I150)</f>
        <v>-8.88899395543819</v>
      </c>
      <c r="E96" s="0" t="str">
        <f aca="false">"沿用 AI 倍數（v0.2.2） "&amp;TEXT(mult_ai,"0.00")&amp;"×"</f>
        <v>沿用 AI 倍數（v0.2.2） 6.00×</v>
      </c>
      <c r="F96" s="20" t="n">
        <f aca="false">B96*mult_ai</f>
        <v>-53.3339637326291</v>
      </c>
      <c r="G96" s="20" t="n">
        <f aca="false">C96*mult_ai</f>
        <v>-53.3339637326291</v>
      </c>
      <c r="H96" s="20" t="n">
        <f aca="false">D96*mult_ai</f>
        <v>-53.3339637326291</v>
      </c>
    </row>
    <row r="97" customFormat="false" ht="17.15" hidden="false" customHeight="false" outlineLevel="0" collapsed="false">
      <c r="A97" s="0" t="s">
        <v>1029</v>
      </c>
      <c r="B97" s="21" t="n">
        <f aca="false">(w_ntm27*PL!H41+(1-w_ntm27)*PL!I41)+rd2*(1-svc_sh)*(w_ntm27*(Thesis!H68+Thesis!H69)+(1-w_ntm27)*(Thesis!I68+Thesis!I69))</f>
        <v>-42.9877096882907</v>
      </c>
      <c r="C97" s="21" t="n">
        <f aca="false">(w_ntm27*PL!H97+(1-w_ntm27)*PL!I97)+rd2*(1-svc_sh)*(w_ntm27*(Thesis!H68+Thesis!H69)+(1-w_ntm27)*(Thesis!I68+Thesis!I69))</f>
        <v>-41.862455885024</v>
      </c>
      <c r="D97" s="21" t="n">
        <f aca="false">(w_ntm27*PL!H153+(1-w_ntm27)*PL!I153)+rd2*(1-svc_sh)*(w_ntm27*(Thesis!H68+Thesis!H69)+(1-w_ntm27)*(Thesis!I68+Thesis!I69))</f>
        <v>-39.7178398553364</v>
      </c>
      <c r="E97" s="0" t="str">
        <f aca="false">"數位廣告（v0.2.2） "&amp;TEXT(mult_adsx,"0.00")&amp;"×"</f>
        <v>數位廣告（v0.2.2） 9.11×</v>
      </c>
      <c r="F97" s="20" t="n">
        <f aca="false">B97*mult_adsx</f>
        <v>-391.618035260328</v>
      </c>
      <c r="G97" s="20" t="n">
        <f aca="false">C97*mult_adsx</f>
        <v>-381.366973112568</v>
      </c>
      <c r="H97" s="20" t="n">
        <f aca="false">D97*mult_adsx</f>
        <v>-361.829521082114</v>
      </c>
    </row>
    <row r="98" customFormat="false" ht="17.15" hidden="false" customHeight="false" outlineLevel="0" collapsed="false">
      <c r="A98" s="2" t="s">
        <v>1030</v>
      </c>
      <c r="B98" s="20" t="n">
        <f aca="false">SUM(F89:F97)</f>
        <v>2670.06697738673</v>
      </c>
      <c r="C98" s="20" t="n">
        <f aca="false">SUM(G89:G97)</f>
        <v>2531.75192145101</v>
      </c>
      <c r="D98" s="20" t="n">
        <f aca="false">SUM(H89:H97)</f>
        <v>2268.13789477923</v>
      </c>
    </row>
    <row r="99" customFormat="false" ht="17.15" hidden="false" customHeight="false" outlineLevel="0" collapsed="false">
      <c r="A99" s="4" t="s">
        <v>1031</v>
      </c>
      <c r="B99" s="20" t="n">
        <f aca="false">SUM(B89:B97)</f>
        <v>277.654433396375</v>
      </c>
      <c r="C99" s="20" t="n">
        <f aca="false">SUM(C89:C97)</f>
        <v>262.471661065341</v>
      </c>
      <c r="D99" s="20" t="n">
        <f aca="false">SUM(D89:D97)</f>
        <v>233.534885360425</v>
      </c>
    </row>
    <row r="100" customFormat="false" ht="17.15" hidden="false" customHeight="false" outlineLevel="0" collapsed="false">
      <c r="A100" s="4" t="s">
        <v>1032</v>
      </c>
      <c r="B100" s="21" t="n">
        <f aca="false">CF!H39</f>
        <v>21.609381590591</v>
      </c>
      <c r="C100" s="21" t="n">
        <f aca="false">CF!H71</f>
        <v>15.2484504276311</v>
      </c>
      <c r="D100" s="21" t="n">
        <f aca="false">CF!H103</f>
        <v>2.84200617590767</v>
      </c>
      <c r="E100" s="4" t="s">
        <v>1033</v>
      </c>
    </row>
    <row r="101" customFormat="false" ht="17.15" hidden="false" customHeight="false" outlineLevel="0" collapsed="false">
      <c r="A101" s="4" t="s">
        <v>1034</v>
      </c>
      <c r="B101" s="21" t="n">
        <f aca="false">B74</f>
        <v>197.689</v>
      </c>
      <c r="C101" s="21" t="n">
        <f aca="false">B74</f>
        <v>197.689</v>
      </c>
      <c r="D101" s="21" t="n">
        <f aca="false">B74</f>
        <v>197.689</v>
      </c>
    </row>
    <row r="102" customFormat="false" ht="15" hidden="false" customHeight="false" outlineLevel="0" collapsed="false">
      <c r="A102" s="4" t="s">
        <v>1035</v>
      </c>
      <c r="B102" s="21" t="n">
        <f aca="false">B75</f>
        <v>24.456</v>
      </c>
      <c r="C102" s="21" t="n">
        <f aca="false">B75</f>
        <v>24.456</v>
      </c>
      <c r="D102" s="21" t="n">
        <f aca="false">B75</f>
        <v>24.456</v>
      </c>
    </row>
    <row r="103" customFormat="false" ht="15" hidden="false" customHeight="false" outlineLevel="0" collapsed="false">
      <c r="A103" s="4" t="s">
        <v>1000</v>
      </c>
      <c r="B103" s="21" t="n">
        <f aca="false">B98+B100+B101-B102</f>
        <v>2864.90935897732</v>
      </c>
      <c r="C103" s="21" t="n">
        <f aca="false">C98+C100+C101-C102</f>
        <v>2720.23337187864</v>
      </c>
      <c r="D103" s="21" t="n">
        <f aca="false">D98+D100+D101-D102</f>
        <v>2444.21290095513</v>
      </c>
    </row>
    <row r="104" customFormat="false" ht="17.15" hidden="false" customHeight="false" outlineLevel="0" collapsed="false">
      <c r="A104" s="4" t="s">
        <v>1036</v>
      </c>
      <c r="B104" s="16" t="n">
        <f aca="false">PL!H61+conv_sh</f>
        <v>12.5792650721624</v>
      </c>
      <c r="C104" s="16" t="n">
        <f aca="false">PL!H117+conv_sh</f>
        <v>12.5792650721624</v>
      </c>
      <c r="D104" s="16" t="n">
        <f aca="false">PL!H173+conv_sh</f>
        <v>12.5792650721624</v>
      </c>
    </row>
    <row r="105" customFormat="false" ht="15" hidden="false" customHeight="false" outlineLevel="0" collapsed="false">
      <c r="A105" s="30" t="s">
        <v>1037</v>
      </c>
      <c r="B105" s="29" t="n">
        <f aca="false">MAX(0,B103/B104)</f>
        <v>227.748548308859</v>
      </c>
      <c r="C105" s="29" t="n">
        <f aca="false">MAX(0,C103/C104)</f>
        <v>216.247400485935</v>
      </c>
      <c r="D105" s="29" t="n">
        <f aca="false">MAX(0,D103/D104)</f>
        <v>194.30490469305</v>
      </c>
      <c r="E105" s="9"/>
    </row>
    <row r="106" customFormat="false" ht="17.15" hidden="false" customHeight="false" outlineLevel="0" collapsed="false">
      <c r="A106" s="4" t="s">
        <v>1038</v>
      </c>
      <c r="B106" s="18" t="n">
        <f aca="false">B98/B99</f>
        <v>9.61651123205724</v>
      </c>
      <c r="C106" s="18" t="n">
        <f aca="false">C98/C99</f>
        <v>9.64581056550994</v>
      </c>
      <c r="D106" s="18" t="n">
        <f aca="false">D98/D99</f>
        <v>9.71220163222597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1039</v>
      </c>
    </row>
    <row r="3" customFormat="false" ht="17.15" hidden="false" customHeight="false" outlineLevel="0" collapsed="false">
      <c r="A3" s="5" t="s">
        <v>1040</v>
      </c>
    </row>
    <row r="4" customFormat="false" ht="17.15" hidden="false" customHeight="false" outlineLevel="0" collapsed="false">
      <c r="A4" s="3" t="s">
        <v>43</v>
      </c>
      <c r="B4" s="3" t="s">
        <v>1041</v>
      </c>
      <c r="C4" s="3" t="s">
        <v>899</v>
      </c>
      <c r="D4" s="3" t="s">
        <v>900</v>
      </c>
      <c r="E4" s="3" t="s">
        <v>901</v>
      </c>
      <c r="F4" s="3" t="s">
        <v>1042</v>
      </c>
      <c r="G4" s="14" t="s">
        <v>1043</v>
      </c>
      <c r="H4" s="3" t="s">
        <v>50</v>
      </c>
    </row>
    <row r="5" customFormat="false" ht="15" hidden="false" customHeight="false" outlineLevel="0" collapsed="false">
      <c r="A5" s="4" t="s">
        <v>1044</v>
      </c>
      <c r="B5" s="0" t="s">
        <v>1045</v>
      </c>
      <c r="C5" s="21" t="n">
        <f aca="false">PL!G24</f>
        <v>496.861031966039</v>
      </c>
      <c r="D5" s="21" t="n">
        <f aca="false">PL!G80</f>
        <v>496.861031966039</v>
      </c>
      <c r="E5" s="21" t="n">
        <f aca="false">PL!G136</f>
        <v>496.861031966039</v>
      </c>
      <c r="F5" s="21" t="n">
        <f aca="false">c_rev_26</f>
        <v>500.142</v>
      </c>
      <c r="G5" s="19" t="n">
        <f aca="false">D5/F5-1</f>
        <v>-0.0065600730071872</v>
      </c>
    </row>
    <row r="6" customFormat="false" ht="15" hidden="false" customHeight="false" outlineLevel="0" collapsed="false">
      <c r="A6" s="4" t="s">
        <v>1044</v>
      </c>
      <c r="B6" s="0" t="s">
        <v>1046</v>
      </c>
      <c r="C6" s="21" t="n">
        <f aca="false">PL!H24</f>
        <v>616.763167883424</v>
      </c>
      <c r="D6" s="21" t="n">
        <f aca="false">PL!H80</f>
        <v>605.348643047618</v>
      </c>
      <c r="E6" s="21" t="n">
        <f aca="false">PL!H136</f>
        <v>583.085602871998</v>
      </c>
      <c r="F6" s="21" t="n">
        <f aca="false">c_rev_27</f>
        <v>626.817</v>
      </c>
      <c r="G6" s="19" t="n">
        <f aca="false">D6/F6-1</f>
        <v>-0.0342498001049456</v>
      </c>
    </row>
    <row r="7" customFormat="false" ht="15" hidden="false" customHeight="false" outlineLevel="0" collapsed="false">
      <c r="A7" s="4" t="s">
        <v>1044</v>
      </c>
      <c r="B7" s="0" t="s">
        <v>1047</v>
      </c>
      <c r="C7" s="21" t="n">
        <f aca="false">PL!I24</f>
        <v>729.189196550926</v>
      </c>
      <c r="D7" s="21" t="n">
        <f aca="false">PL!I80</f>
        <v>703.317127785138</v>
      </c>
      <c r="E7" s="21" t="n">
        <f aca="false">PL!I136</f>
        <v>654.117783902656</v>
      </c>
      <c r="F7" s="21" t="n">
        <f aca="false">c_rev_28</f>
        <v>754.762</v>
      </c>
      <c r="G7" s="19" t="n">
        <f aca="false">D7/F7-1</f>
        <v>-0.068160389917434</v>
      </c>
    </row>
    <row r="8" customFormat="false" ht="15" hidden="false" customHeight="false" outlineLevel="0" collapsed="false">
      <c r="A8" s="4" t="s">
        <v>1048</v>
      </c>
      <c r="B8" s="0" t="s">
        <v>1045</v>
      </c>
      <c r="C8" s="21" t="n">
        <f aca="false">PL!G46</f>
        <v>164.715892589735</v>
      </c>
      <c r="D8" s="21" t="n">
        <f aca="false">PL!G102</f>
        <v>164.715892589735</v>
      </c>
      <c r="E8" s="21" t="n">
        <f aca="false">PL!G158</f>
        <v>164.715892589735</v>
      </c>
      <c r="F8" s="21" t="n">
        <f aca="false">c_ebit_26</f>
        <v>172.033</v>
      </c>
      <c r="G8" s="19" t="n">
        <f aca="false">D8/F8-1</f>
        <v>-0.0425331617205147</v>
      </c>
    </row>
    <row r="9" customFormat="false" ht="15" hidden="false" customHeight="false" outlineLevel="0" collapsed="false">
      <c r="A9" s="4" t="s">
        <v>1048</v>
      </c>
      <c r="B9" s="0" t="s">
        <v>1046</v>
      </c>
      <c r="C9" s="21" t="n">
        <f aca="false">PL!H46</f>
        <v>171.88276356987</v>
      </c>
      <c r="D9" s="21" t="n">
        <f aca="false">PL!H102</f>
        <v>164.461039521629</v>
      </c>
      <c r="E9" s="21" t="n">
        <f aca="false">PL!H158</f>
        <v>149.985610799441</v>
      </c>
      <c r="F9" s="21" t="n">
        <f aca="false">c_ebit_27</f>
        <v>220.967</v>
      </c>
      <c r="G9" s="19" t="n">
        <f aca="false">D9/F9-1</f>
        <v>-0.255721263710738</v>
      </c>
    </row>
    <row r="10" customFormat="false" ht="15" hidden="false" customHeight="false" outlineLevel="0" collapsed="false">
      <c r="A10" s="4" t="s">
        <v>1048</v>
      </c>
      <c r="B10" s="0" t="s">
        <v>1047</v>
      </c>
      <c r="C10" s="21" t="n">
        <f aca="false">PL!I46</f>
        <v>187.203577445244</v>
      </c>
      <c r="D10" s="21" t="n">
        <f aca="false">PL!I102</f>
        <v>170.450045482744</v>
      </c>
      <c r="E10" s="21" t="n">
        <f aca="false">PL!I158</f>
        <v>138.594210331407</v>
      </c>
      <c r="F10" s="21" t="n">
        <f aca="false">c_ebit_28</f>
        <v>268.322</v>
      </c>
      <c r="G10" s="19" t="n">
        <f aca="false">D10/F10-1</f>
        <v>-0.364755608996864</v>
      </c>
    </row>
    <row r="11" customFormat="false" ht="17.15" hidden="false" customHeight="false" outlineLevel="0" collapsed="false">
      <c r="A11" s="0" t="s">
        <v>1049</v>
      </c>
      <c r="B11" s="0" t="s">
        <v>1045</v>
      </c>
      <c r="C11" s="21" t="n">
        <f aca="false">PL!G63</f>
        <v>19.825491936826</v>
      </c>
      <c r="D11" s="21" t="n">
        <f aca="false">PL!G119</f>
        <v>19.825491936826</v>
      </c>
      <c r="E11" s="21" t="n">
        <f aca="false">PL!G175</f>
        <v>19.825491936826</v>
      </c>
      <c r="F11" s="21" t="n">
        <f aca="false">c_eps_26</f>
        <v>20.6</v>
      </c>
      <c r="G11" s="19" t="n">
        <f aca="false">D11/F11-1</f>
        <v>-0.037597478794853</v>
      </c>
      <c r="H11" s="4" t="s">
        <v>1050</v>
      </c>
    </row>
    <row r="12" customFormat="false" ht="17.15" hidden="false" customHeight="false" outlineLevel="0" collapsed="false">
      <c r="A12" s="0" t="s">
        <v>1049</v>
      </c>
      <c r="B12" s="0" t="s">
        <v>1046</v>
      </c>
      <c r="C12" s="21" t="n">
        <f aca="false">PL!H63</f>
        <v>11.3853602245649</v>
      </c>
      <c r="D12" s="21" t="n">
        <f aca="false">PL!H119</f>
        <v>10.8908679681073</v>
      </c>
      <c r="E12" s="21" t="n">
        <f aca="false">PL!H175</f>
        <v>9.92640373237164</v>
      </c>
      <c r="F12" s="21" t="n">
        <f aca="false">c_eps_27</f>
        <v>15.12</v>
      </c>
      <c r="G12" s="19" t="n">
        <f aca="false">D12/F12-1</f>
        <v>-0.279704499463806</v>
      </c>
    </row>
    <row r="13" customFormat="false" ht="17.15" hidden="false" customHeight="false" outlineLevel="0" collapsed="false">
      <c r="A13" s="0" t="s">
        <v>1049</v>
      </c>
      <c r="B13" s="0" t="s">
        <v>1047</v>
      </c>
      <c r="C13" s="21" t="n">
        <f aca="false">PL!I63</f>
        <v>12.2729294357923</v>
      </c>
      <c r="D13" s="21" t="n">
        <f aca="false">PL!I119</f>
        <v>11.1475787190568</v>
      </c>
      <c r="E13" s="21" t="n">
        <f aca="false">PL!I175</f>
        <v>9.00700806344862</v>
      </c>
      <c r="F13" s="21" t="n">
        <f aca="false">c_eps_28</f>
        <v>18.21</v>
      </c>
      <c r="G13" s="19" t="n">
        <f aca="false">D13/F13-1</f>
        <v>-0.38783203080413</v>
      </c>
    </row>
    <row r="14" customFormat="false" ht="15" hidden="false" customHeight="false" outlineLevel="0" collapsed="false">
      <c r="A14" s="4" t="s">
        <v>1051</v>
      </c>
      <c r="B14" s="0" t="s">
        <v>1045</v>
      </c>
      <c r="C14" s="21" t="n">
        <f aca="false">CF!G20</f>
        <v>200</v>
      </c>
      <c r="D14" s="21" t="n">
        <f aca="false">CF!G52</f>
        <v>200</v>
      </c>
      <c r="E14" s="21" t="n">
        <f aca="false">CF!G84</f>
        <v>200</v>
      </c>
      <c r="F14" s="21" t="n">
        <f aca="false">c_capex_26</f>
        <v>202.078</v>
      </c>
      <c r="G14" s="19" t="n">
        <f aca="false">D14/F14-1</f>
        <v>-0.0102831579884995</v>
      </c>
    </row>
    <row r="15" customFormat="false" ht="15" hidden="false" customHeight="false" outlineLevel="0" collapsed="false">
      <c r="A15" s="4" t="s">
        <v>1051</v>
      </c>
      <c r="B15" s="0" t="s">
        <v>1046</v>
      </c>
      <c r="C15" s="21" t="n">
        <f aca="false">CF!H20</f>
        <v>238.732055275981</v>
      </c>
      <c r="D15" s="21" t="n">
        <f aca="false">CF!H52</f>
        <v>238.047183785833</v>
      </c>
      <c r="E15" s="21" t="n">
        <f aca="false">CF!H84</f>
        <v>236.711401375296</v>
      </c>
      <c r="F15" s="21" t="n">
        <f aca="false">c_capex_27</f>
        <v>308.024</v>
      </c>
      <c r="G15" s="19" t="n">
        <f aca="false">D15/F15-1</f>
        <v>-0.227179752922392</v>
      </c>
    </row>
    <row r="16" customFormat="false" ht="15" hidden="false" customHeight="false" outlineLevel="0" collapsed="false">
      <c r="A16" s="4" t="s">
        <v>1051</v>
      </c>
      <c r="B16" s="0" t="s">
        <v>1047</v>
      </c>
      <c r="C16" s="21" t="n">
        <f aca="false">CF!I20</f>
        <v>259.558257678638</v>
      </c>
      <c r="D16" s="21" t="n">
        <f aca="false">CF!I52</f>
        <v>258.005933552691</v>
      </c>
      <c r="E16" s="21" t="n">
        <f aca="false">CF!I84</f>
        <v>255.053972919742</v>
      </c>
      <c r="F16" s="21" t="n">
        <f aca="false">c_capex_28</f>
        <v>352.387</v>
      </c>
      <c r="G16" s="19" t="n">
        <f aca="false">D16/F16-1</f>
        <v>-0.267833564936586</v>
      </c>
    </row>
    <row r="17" customFormat="false" ht="15" hidden="false" customHeight="false" outlineLevel="0" collapsed="false">
      <c r="A17" s="4" t="s">
        <v>1052</v>
      </c>
      <c r="B17" s="0" t="s">
        <v>1045</v>
      </c>
      <c r="C17" s="21" t="n">
        <f aca="false">CF!G22</f>
        <v>1.55776718988664</v>
      </c>
      <c r="D17" s="21" t="n">
        <f aca="false">CF!G54</f>
        <v>1.55776718988664</v>
      </c>
      <c r="E17" s="21" t="n">
        <f aca="false">CF!G86</f>
        <v>1.55776718988664</v>
      </c>
      <c r="F17" s="21" t="n">
        <f aca="false">c_fcf_26</f>
        <v>7.069</v>
      </c>
      <c r="G17" s="19" t="n">
        <f aca="false">D17/F17-1</f>
        <v>-0.779634009069651</v>
      </c>
      <c r="H17" s="4" t="s">
        <v>1053</v>
      </c>
    </row>
    <row r="18" customFormat="false" ht="15" hidden="false" customHeight="false" outlineLevel="0" collapsed="false">
      <c r="A18" s="4" t="s">
        <v>1052</v>
      </c>
      <c r="B18" s="0" t="s">
        <v>1046</v>
      </c>
      <c r="C18" s="21" t="n">
        <f aca="false">CF!H22</f>
        <v>11.4385589607044</v>
      </c>
      <c r="D18" s="21" t="n">
        <f aca="false">CF!H54</f>
        <v>5.0776277977445</v>
      </c>
      <c r="E18" s="21" t="n">
        <f aca="false">CF!H86</f>
        <v>-7.32881645397896</v>
      </c>
      <c r="F18" s="21" t="n">
        <f aca="false">c_fcf_27</f>
        <v>-37.207</v>
      </c>
      <c r="G18" s="19" t="n">
        <f aca="false">D18/F18-1</f>
        <v>-1.13646969112652</v>
      </c>
      <c r="H18" s="4" t="s">
        <v>1053</v>
      </c>
    </row>
    <row r="19" customFormat="false" ht="15" hidden="false" customHeight="false" outlineLevel="0" collapsed="false">
      <c r="A19" s="4" t="s">
        <v>1052</v>
      </c>
      <c r="B19" s="0" t="s">
        <v>1047</v>
      </c>
      <c r="C19" s="21" t="n">
        <f aca="false">CF!I22</f>
        <v>41.6868808395234</v>
      </c>
      <c r="D19" s="21" t="n">
        <f aca="false">CF!I54</f>
        <v>27.1901831177566</v>
      </c>
      <c r="E19" s="21" t="n">
        <f aca="false">CF!I86</f>
        <v>-0.381163845901019</v>
      </c>
      <c r="F19" s="21" t="n">
        <f aca="false">c_fcf_28</f>
        <v>6.132</v>
      </c>
      <c r="G19" s="19" t="n">
        <f aca="false">D19/F19-1</f>
        <v>3.43414597484615</v>
      </c>
      <c r="H19" s="4" t="s">
        <v>1053</v>
      </c>
    </row>
    <row r="20" customFormat="false" ht="17.15" hidden="false" customHeight="false" outlineLevel="0" collapsed="false">
      <c r="A20" s="0" t="s">
        <v>1054</v>
      </c>
      <c r="B20" s="0" t="s">
        <v>1045</v>
      </c>
      <c r="C20" s="18" t="n">
        <f aca="false">PL!G64</f>
        <v>11.1266991469593</v>
      </c>
      <c r="D20" s="18" t="n">
        <f aca="false">PL!G120</f>
        <v>11.1266991469593</v>
      </c>
      <c r="E20" s="18" t="n">
        <f aca="false">PL!G176</f>
        <v>11.1266991469593</v>
      </c>
      <c r="F20" s="18" t="n">
        <f aca="false">c_eps26_sa</f>
        <v>11.89</v>
      </c>
      <c r="G20" s="19" t="n">
        <f aca="false">D20/F20-1</f>
        <v>-0.0641968757813861</v>
      </c>
    </row>
    <row r="22" customFormat="false" ht="17.15" hidden="false" customHeight="false" outlineLevel="0" collapsed="false">
      <c r="A22" s="5" t="s">
        <v>1055</v>
      </c>
    </row>
    <row r="23" customFormat="false" ht="15" hidden="false" customHeight="false" outlineLevel="0" collapsed="false">
      <c r="A23" s="3" t="s">
        <v>1056</v>
      </c>
      <c r="B23" s="14" t="s">
        <v>750</v>
      </c>
      <c r="C23" s="14" t="s">
        <v>751</v>
      </c>
      <c r="D23" s="14" t="s">
        <v>752</v>
      </c>
      <c r="E23" s="3" t="s">
        <v>1042</v>
      </c>
      <c r="F23" s="3" t="s">
        <v>1057</v>
      </c>
      <c r="G23" s="3" t="s">
        <v>50</v>
      </c>
    </row>
    <row r="24" customFormat="false" ht="17.15" hidden="false" customHeight="false" outlineLevel="0" collapsed="false">
      <c r="A24" s="0" t="s">
        <v>640</v>
      </c>
      <c r="B24" s="21" t="n">
        <f aca="false">PL!G69</f>
        <v>263.411100565981</v>
      </c>
      <c r="C24" s="21" t="n">
        <f aca="false">PL!H69</f>
        <v>301.871731194856</v>
      </c>
      <c r="D24" s="21" t="n">
        <f aca="false">PL!I69</f>
        <v>339.305819879187</v>
      </c>
      <c r="E24" s="4" t="s">
        <v>1058</v>
      </c>
      <c r="F24" s="4" t="s">
        <v>1059</v>
      </c>
      <c r="G24" s="7" t="s">
        <v>1060</v>
      </c>
    </row>
    <row r="25" customFormat="false" ht="15" hidden="false" customHeight="false" outlineLevel="0" collapsed="false">
      <c r="A25" s="0" t="s">
        <v>643</v>
      </c>
      <c r="B25" s="21" t="n">
        <f aca="false">PL!G70</f>
        <v>45.1173637484587</v>
      </c>
      <c r="C25" s="21" t="n">
        <f aca="false">PL!H70</f>
        <v>49.9834744846827</v>
      </c>
      <c r="D25" s="21" t="n">
        <f aca="false">PL!I70</f>
        <v>54.9103289240237</v>
      </c>
      <c r="E25" s="4" t="s">
        <v>1058</v>
      </c>
      <c r="F25" s="4" t="s">
        <v>1059</v>
      </c>
    </row>
    <row r="26" customFormat="false" ht="15" hidden="false" customHeight="false" outlineLevel="0" collapsed="false">
      <c r="A26" s="0" t="s">
        <v>644</v>
      </c>
      <c r="B26" s="21" t="n">
        <f aca="false">PL!G71</f>
        <v>29.1252550478215</v>
      </c>
      <c r="C26" s="21" t="n">
        <f aca="false">PL!H71</f>
        <v>28.6493774746437</v>
      </c>
      <c r="D26" s="21" t="n">
        <f aca="false">PL!I71</f>
        <v>28.3373093353078</v>
      </c>
      <c r="E26" s="4" t="s">
        <v>1058</v>
      </c>
      <c r="F26" s="4" t="s">
        <v>1059</v>
      </c>
    </row>
    <row r="27" customFormat="false" ht="15" hidden="false" customHeight="false" outlineLevel="0" collapsed="false">
      <c r="A27" s="0" t="s">
        <v>645</v>
      </c>
      <c r="B27" s="21" t="n">
        <f aca="false">PL!G72</f>
        <v>56.4887011693374</v>
      </c>
      <c r="C27" s="21" t="n">
        <f aca="false">PL!H72</f>
        <v>65.5029631403152</v>
      </c>
      <c r="D27" s="21" t="n">
        <f aca="false">PL!I72</f>
        <v>74.6548787045084</v>
      </c>
      <c r="E27" s="4" t="s">
        <v>1058</v>
      </c>
      <c r="F27" s="4" t="s">
        <v>1059</v>
      </c>
    </row>
    <row r="28" customFormat="false" ht="15" hidden="false" customHeight="false" outlineLevel="0" collapsed="false">
      <c r="A28" s="0" t="s">
        <v>825</v>
      </c>
      <c r="B28" s="21" t="n">
        <f aca="false">PL!G73</f>
        <v>394.142420531598</v>
      </c>
      <c r="C28" s="21" t="n">
        <f aca="false">PL!H73</f>
        <v>446.007546294497</v>
      </c>
      <c r="D28" s="21" t="n">
        <f aca="false">PL!I73</f>
        <v>497.208336843026</v>
      </c>
      <c r="E28" s="4" t="s">
        <v>1058</v>
      </c>
      <c r="F28" s="4" t="s">
        <v>1059</v>
      </c>
    </row>
    <row r="29" customFormat="false" ht="17.15" hidden="false" customHeight="false" outlineLevel="0" collapsed="false">
      <c r="A29" s="0" t="s">
        <v>834</v>
      </c>
      <c r="B29" s="21" t="n">
        <f aca="false">PL!G77</f>
        <v>101.249611434441</v>
      </c>
      <c r="C29" s="21" t="n">
        <f aca="false">PL!H77</f>
        <v>157.741096753121</v>
      </c>
      <c r="D29" s="21" t="n">
        <f aca="false">PL!I77</f>
        <v>204.308790942111</v>
      </c>
      <c r="E29" s="4" t="s">
        <v>1058</v>
      </c>
      <c r="F29" s="4" t="s">
        <v>1061</v>
      </c>
    </row>
    <row r="30" customFormat="false" ht="17.15" hidden="false" customHeight="false" outlineLevel="0" collapsed="false">
      <c r="A30" s="0" t="s">
        <v>1062</v>
      </c>
      <c r="B30" s="21" t="n">
        <f aca="false">PL!G74</f>
        <v>22.8306110724624</v>
      </c>
      <c r="C30" s="21" t="n">
        <f aca="false">PL!H74</f>
        <v>38.882857987105</v>
      </c>
      <c r="D30" s="21" t="n">
        <f aca="false">PL!I74</f>
        <v>56.7035586757632</v>
      </c>
      <c r="E30" s="4" t="s">
        <v>1058</v>
      </c>
      <c r="F30" s="4" t="s">
        <v>1059</v>
      </c>
    </row>
    <row r="31" customFormat="false" ht="17.15" hidden="false" customHeight="false" outlineLevel="0" collapsed="false">
      <c r="A31" s="0" t="s">
        <v>1063</v>
      </c>
      <c r="B31" s="21" t="n">
        <f aca="false">PL!G75</f>
        <v>1</v>
      </c>
      <c r="C31" s="21" t="n">
        <f aca="false">PL!H75</f>
        <v>13</v>
      </c>
      <c r="D31" s="21" t="n">
        <f aca="false">PL!I75</f>
        <v>13</v>
      </c>
      <c r="E31" s="4" t="s">
        <v>1058</v>
      </c>
      <c r="F31" s="7" t="s">
        <v>1064</v>
      </c>
    </row>
    <row r="32" customFormat="false" ht="17.15" hidden="false" customHeight="false" outlineLevel="0" collapsed="false">
      <c r="A32" s="0" t="s">
        <v>1065</v>
      </c>
      <c r="B32" s="21" t="n">
        <f aca="false">PL!G76</f>
        <v>77.4190003619788</v>
      </c>
      <c r="C32" s="21" t="n">
        <f aca="false">PL!H76</f>
        <v>105.858238766016</v>
      </c>
      <c r="D32" s="21" t="n">
        <f aca="false">PL!I76</f>
        <v>134.605232266348</v>
      </c>
      <c r="E32" s="4" t="s">
        <v>1058</v>
      </c>
      <c r="F32" s="4" t="s">
        <v>1059</v>
      </c>
    </row>
    <row r="33" customFormat="false" ht="15" hidden="false" customHeight="false" outlineLevel="0" collapsed="false">
      <c r="A33" s="0" t="s">
        <v>835</v>
      </c>
      <c r="B33" s="21" t="n">
        <f aca="false">PL!G78</f>
        <v>1.543</v>
      </c>
      <c r="C33" s="21" t="n">
        <f aca="false">PL!H78</f>
        <v>1.6</v>
      </c>
      <c r="D33" s="21" t="n">
        <f aca="false">PL!I78</f>
        <v>1.8</v>
      </c>
      <c r="E33" s="4" t="s">
        <v>1058</v>
      </c>
      <c r="F33" s="4" t="s">
        <v>1059</v>
      </c>
    </row>
    <row r="34" customFormat="false" ht="17.15" hidden="false" customHeight="false" outlineLevel="0" collapsed="false">
      <c r="A34" s="0" t="s">
        <v>1066</v>
      </c>
      <c r="B34" s="20" t="n">
        <f aca="false">513.9*0.5</f>
        <v>256.95</v>
      </c>
      <c r="G34" s="7" t="s">
        <v>1067</v>
      </c>
    </row>
    <row r="35" customFormat="false" ht="17.15" hidden="false" customHeight="false" outlineLevel="0" collapsed="false">
      <c r="A35" s="4" t="s">
        <v>1068</v>
      </c>
      <c r="B35" s="20" t="n">
        <f aca="false">PL!F77+PL!H77+0.5*PL!I77</f>
        <v>316.349103658618</v>
      </c>
      <c r="C35" s="18" t="n">
        <f aca="false">B35/B34</f>
        <v>1.23116989164669</v>
      </c>
      <c r="G35" s="7" t="s">
        <v>1069</v>
      </c>
    </row>
    <row r="36" customFormat="false" ht="17.15" hidden="false" customHeight="false" outlineLevel="0" collapsed="false">
      <c r="A36" s="0" t="s">
        <v>1070</v>
      </c>
      <c r="B36" s="20" t="n">
        <f aca="false">CF!G52</f>
        <v>200</v>
      </c>
      <c r="C36" s="20" t="n">
        <f aca="false">capex_g</f>
        <v>200</v>
      </c>
      <c r="G36" s="7" t="s">
        <v>1071</v>
      </c>
    </row>
    <row r="37" customFormat="false" ht="17.15" hidden="false" customHeight="false" outlineLevel="0" collapsed="false">
      <c r="A37" s="0" t="s">
        <v>1072</v>
      </c>
      <c r="B37" s="20" t="n">
        <f aca="false">CF!H52</f>
        <v>238.047183785833</v>
      </c>
      <c r="C37" s="20" t="n">
        <f aca="false">c_capex_27</f>
        <v>308.024</v>
      </c>
      <c r="G37" s="4" t="s">
        <v>1073</v>
      </c>
    </row>
    <row r="39" customFormat="false" ht="17.15" hidden="false" customHeight="false" outlineLevel="0" collapsed="false">
      <c r="A39" s="5" t="s">
        <v>1074</v>
      </c>
    </row>
    <row r="40" customFormat="false" ht="15" hidden="false" customHeight="false" outlineLevel="0" collapsed="false">
      <c r="A40" s="3" t="s">
        <v>43</v>
      </c>
      <c r="B40" s="3" t="s">
        <v>690</v>
      </c>
      <c r="C40" s="3" t="s">
        <v>50</v>
      </c>
    </row>
    <row r="41" customFormat="false" ht="17.15" hidden="false" customHeight="false" outlineLevel="0" collapsed="false">
      <c r="A41" s="0" t="s">
        <v>1075</v>
      </c>
      <c r="B41" s="21" t="n">
        <f aca="false">tpw_v022</f>
        <v>147.54</v>
      </c>
      <c r="C41" s="7" t="s">
        <v>1076</v>
      </c>
    </row>
    <row r="42" customFormat="false" ht="17.15" hidden="false" customHeight="false" outlineLevel="0" collapsed="false">
      <c r="A42" s="0" t="s">
        <v>1077</v>
      </c>
      <c r="B42" s="21" t="n">
        <f aca="false">Val!B8</f>
        <v>135.278717605616</v>
      </c>
    </row>
    <row r="43" customFormat="false" ht="15" hidden="false" customHeight="false" outlineLevel="0" collapsed="false">
      <c r="A43" s="4" t="s">
        <v>1078</v>
      </c>
      <c r="B43" s="21" t="n">
        <f aca="false">B42-B41</f>
        <v>-12.2612823943845</v>
      </c>
    </row>
    <row r="44" customFormat="false" ht="17.15" hidden="false" customHeight="false" outlineLevel="0" collapsed="false">
      <c r="A44" s="2" t="s">
        <v>1079</v>
      </c>
    </row>
    <row r="45" customFormat="false" ht="17.15" hidden="false" customHeight="false" outlineLevel="0" collapsed="false">
      <c r="A45" s="4" t="s">
        <v>1080</v>
      </c>
      <c r="B45" s="21" t="n">
        <f aca="false">Val!B8-143.114552194398</f>
        <v>-7.83583458878246</v>
      </c>
      <c r="C45" s="7" t="s">
        <v>1081</v>
      </c>
    </row>
    <row r="46" customFormat="false" ht="17.15" hidden="false" customHeight="false" outlineLevel="0" collapsed="false">
      <c r="A46" s="4" t="s">
        <v>1082</v>
      </c>
      <c r="B46" s="21" t="n">
        <f aca="false">Val!B8-135.178806968983</f>
        <v>0.0999106366325293</v>
      </c>
      <c r="C46" s="7" t="s">
        <v>1083</v>
      </c>
    </row>
    <row r="47" customFormat="false" ht="17.15" hidden="false" customHeight="false" outlineLevel="0" collapsed="false">
      <c r="A47" s="4" t="s">
        <v>1084</v>
      </c>
      <c r="B47" s="21" t="n">
        <f aca="false">B43-N(B45)-N(B46)</f>
        <v>-4.52535844223453</v>
      </c>
      <c r="C47" s="4" t="s">
        <v>1085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6"/>
    <col collapsed="false" customWidth="true" hidden="false" outlineLevel="0" max="7" min="7" style="0" width="24"/>
  </cols>
  <sheetData>
    <row r="1" customFormat="false" ht="17.15" hidden="false" customHeight="false" outlineLevel="0" collapsed="false">
      <c r="A1" s="0" t="s">
        <v>1086</v>
      </c>
    </row>
    <row r="2" customFormat="false" ht="17.15" hidden="false" customHeight="false" outlineLevel="0" collapsed="false">
      <c r="A2" s="4" t="s">
        <v>1087</v>
      </c>
    </row>
    <row r="3" customFormat="false" ht="15" hidden="false" customHeight="false" outlineLevel="0" collapsed="false">
      <c r="A3" s="3" t="s">
        <v>1088</v>
      </c>
      <c r="B3" s="3" t="s">
        <v>1089</v>
      </c>
      <c r="C3" s="3" t="s">
        <v>1090</v>
      </c>
      <c r="D3" s="3" t="s">
        <v>1091</v>
      </c>
      <c r="E3" s="3" t="s">
        <v>1092</v>
      </c>
      <c r="F3" s="3" t="s">
        <v>42</v>
      </c>
      <c r="G3" s="3" t="s">
        <v>50</v>
      </c>
    </row>
    <row r="4" customFormat="false" ht="17.15" hidden="false" customHeight="false" outlineLevel="0" collapsed="false">
      <c r="A4" s="4" t="s">
        <v>1093</v>
      </c>
      <c r="B4" s="0" t="s">
        <v>1094</v>
      </c>
      <c r="C4" s="4" t="s">
        <v>45</v>
      </c>
      <c r="D4" s="23" t="n">
        <v>124.735362168165</v>
      </c>
      <c r="E4" s="37" t="n">
        <f aca="false">D4/Val!$B$8-1</f>
        <v>-0.0779380202892526</v>
      </c>
      <c r="F4" s="7" t="s">
        <v>221</v>
      </c>
      <c r="G4" s="4" t="s">
        <v>1095</v>
      </c>
    </row>
    <row r="5" customFormat="false" ht="17.15" hidden="false" customHeight="false" outlineLevel="0" collapsed="false">
      <c r="A5" s="4" t="s">
        <v>1096</v>
      </c>
      <c r="B5" s="0" t="s">
        <v>1094</v>
      </c>
      <c r="C5" s="4" t="s">
        <v>47</v>
      </c>
      <c r="D5" s="23" t="n">
        <v>147.131961259899</v>
      </c>
      <c r="E5" s="37" t="n">
        <f aca="false">D5/Val!$B$8-1</f>
        <v>0.0876209049293311</v>
      </c>
      <c r="F5" s="7" t="s">
        <v>221</v>
      </c>
      <c r="G5" s="4" t="s">
        <v>1095</v>
      </c>
    </row>
    <row r="6" customFormat="false" ht="17.15" hidden="false" customHeight="false" outlineLevel="0" collapsed="false">
      <c r="A6" s="0" t="s">
        <v>1097</v>
      </c>
      <c r="B6" s="0" t="s">
        <v>1098</v>
      </c>
      <c r="C6" s="4" t="s">
        <v>45</v>
      </c>
      <c r="D6" s="23" t="n">
        <v>153.100233220611</v>
      </c>
      <c r="E6" s="37" t="n">
        <f aca="false">D6/Val!$B$8-1</f>
        <v>0.131739241252651</v>
      </c>
      <c r="F6" s="7" t="s">
        <v>240</v>
      </c>
      <c r="G6" s="4" t="s">
        <v>1095</v>
      </c>
    </row>
    <row r="7" customFormat="false" ht="17.15" hidden="false" customHeight="false" outlineLevel="0" collapsed="false">
      <c r="A7" s="0" t="s">
        <v>1099</v>
      </c>
      <c r="B7" s="0" t="s">
        <v>1098</v>
      </c>
      <c r="C7" s="4" t="s">
        <v>47</v>
      </c>
      <c r="D7" s="23" t="n">
        <v>108.579966319178</v>
      </c>
      <c r="E7" s="37" t="n">
        <f aca="false">D7/Val!$B$8-1</f>
        <v>-0.197361061362761</v>
      </c>
      <c r="F7" s="7" t="s">
        <v>240</v>
      </c>
      <c r="G7" s="4" t="s">
        <v>1095</v>
      </c>
    </row>
    <row r="8" customFormat="false" ht="17.15" hidden="false" customHeight="false" outlineLevel="0" collapsed="false">
      <c r="A8" s="0" t="s">
        <v>1100</v>
      </c>
      <c r="B8" s="4" t="s">
        <v>1101</v>
      </c>
      <c r="C8" s="4" t="s">
        <v>45</v>
      </c>
      <c r="D8" s="23" t="n">
        <v>134.5519414752</v>
      </c>
      <c r="E8" s="37" t="n">
        <f aca="false">D8/Val!$B$8-1</f>
        <v>-0.0053724350975467</v>
      </c>
      <c r="F8" s="7" t="s">
        <v>273</v>
      </c>
      <c r="G8" s="4" t="s">
        <v>1095</v>
      </c>
    </row>
    <row r="9" customFormat="false" ht="17.15" hidden="false" customHeight="false" outlineLevel="0" collapsed="false">
      <c r="A9" s="0" t="s">
        <v>1102</v>
      </c>
      <c r="B9" s="0" t="s">
        <v>1103</v>
      </c>
      <c r="C9" s="4" t="s">
        <v>47</v>
      </c>
      <c r="D9" s="23" t="n">
        <v>140.505460509935</v>
      </c>
      <c r="E9" s="37" t="n">
        <f aca="false">D9/Val!$B$8-1</f>
        <v>0.0386368454464305</v>
      </c>
      <c r="F9" s="7" t="s">
        <v>278</v>
      </c>
      <c r="G9" s="4" t="s">
        <v>1095</v>
      </c>
    </row>
    <row r="10" customFormat="false" ht="17.15" hidden="false" customHeight="false" outlineLevel="0" collapsed="false">
      <c r="A10" s="0" t="s">
        <v>1104</v>
      </c>
      <c r="B10" s="0" t="s">
        <v>1105</v>
      </c>
      <c r="C10" s="4" t="s">
        <v>45</v>
      </c>
      <c r="D10" s="23" t="n">
        <v>149.334692698151</v>
      </c>
      <c r="E10" s="37" t="n">
        <f aca="false">D10/Val!$B$8-1</f>
        <v>0.103903816811108</v>
      </c>
      <c r="F10" s="7" t="s">
        <v>264</v>
      </c>
      <c r="G10" s="4" t="s">
        <v>1095</v>
      </c>
    </row>
    <row r="11" customFormat="false" ht="17.15" hidden="false" customHeight="false" outlineLevel="0" collapsed="false">
      <c r="A11" s="0" t="s">
        <v>1106</v>
      </c>
      <c r="B11" s="0" t="s">
        <v>1107</v>
      </c>
      <c r="C11" s="4" t="s">
        <v>45</v>
      </c>
      <c r="D11" s="23" t="n">
        <v>134.381809214858</v>
      </c>
      <c r="E11" s="37" t="n">
        <f aca="false">D11/Val!$B$8-1</f>
        <v>-0.00663007756602418</v>
      </c>
      <c r="F11" s="7" t="s">
        <v>330</v>
      </c>
      <c r="G11" s="4" t="s">
        <v>1095</v>
      </c>
    </row>
    <row r="12" customFormat="false" ht="17.15" hidden="false" customHeight="false" outlineLevel="0" collapsed="false">
      <c r="A12" s="0" t="s">
        <v>1108</v>
      </c>
      <c r="B12" s="0" t="s">
        <v>1107</v>
      </c>
      <c r="C12" s="4" t="s">
        <v>47</v>
      </c>
      <c r="D12" s="23" t="n">
        <v>138.553022254516</v>
      </c>
      <c r="E12" s="37" t="n">
        <f aca="false">D12/Val!$B$8-1</f>
        <v>0.0242041372571717</v>
      </c>
      <c r="F12" s="7" t="s">
        <v>330</v>
      </c>
      <c r="G12" s="4" t="s">
        <v>1095</v>
      </c>
    </row>
    <row r="13" customFormat="false" ht="17.15" hidden="false" customHeight="false" outlineLevel="0" collapsed="false">
      <c r="A13" s="0" t="s">
        <v>1109</v>
      </c>
      <c r="B13" s="0" t="s">
        <v>1110</v>
      </c>
      <c r="C13" s="4" t="s">
        <v>45</v>
      </c>
      <c r="D13" s="23" t="n">
        <v>137.93137737671</v>
      </c>
      <c r="E13" s="37" t="n">
        <f aca="false">D13/Val!$B$8-1</f>
        <v>0.0196088477038043</v>
      </c>
      <c r="F13" s="7" t="s">
        <v>411</v>
      </c>
      <c r="G13" s="4" t="s">
        <v>1095</v>
      </c>
    </row>
    <row r="14" customFormat="false" ht="17.15" hidden="false" customHeight="false" outlineLevel="0" collapsed="false">
      <c r="A14" s="0" t="s">
        <v>1111</v>
      </c>
      <c r="B14" s="0" t="s">
        <v>1110</v>
      </c>
      <c r="C14" s="4" t="s">
        <v>47</v>
      </c>
      <c r="D14" s="23" t="n">
        <v>132.626057834521</v>
      </c>
      <c r="E14" s="37" t="n">
        <f aca="false">D14/Val!$B$8-1</f>
        <v>-0.0196088477038048</v>
      </c>
      <c r="F14" s="7" t="s">
        <v>411</v>
      </c>
      <c r="G14" s="4" t="s">
        <v>1095</v>
      </c>
    </row>
    <row r="15" customFormat="false" ht="17.15" hidden="false" customHeight="false" outlineLevel="0" collapsed="false">
      <c r="A15" s="0" t="s">
        <v>1112</v>
      </c>
      <c r="B15" s="0" t="s">
        <v>1113</v>
      </c>
      <c r="C15" s="4" t="s">
        <v>45</v>
      </c>
      <c r="D15" s="23" t="n">
        <v>129.153610264801</v>
      </c>
      <c r="E15" s="37" t="n">
        <f aca="false">D15/Val!$B$8-1</f>
        <v>-0.0452776863147931</v>
      </c>
      <c r="F15" s="7" t="s">
        <v>387</v>
      </c>
      <c r="G15" s="4" t="s">
        <v>1095</v>
      </c>
    </row>
    <row r="16" customFormat="false" ht="17.15" hidden="false" customHeight="false" outlineLevel="0" collapsed="false">
      <c r="A16" s="0" t="s">
        <v>1114</v>
      </c>
      <c r="B16" s="0" t="s">
        <v>1113</v>
      </c>
      <c r="C16" s="4" t="s">
        <v>47</v>
      </c>
      <c r="D16" s="23" t="n">
        <v>141.913305233049</v>
      </c>
      <c r="E16" s="37" t="n">
        <f aca="false">D16/Val!$B$8-1</f>
        <v>0.0490438388599719</v>
      </c>
      <c r="F16" s="7" t="s">
        <v>387</v>
      </c>
      <c r="G16" s="4" t="s">
        <v>1095</v>
      </c>
    </row>
    <row r="17" customFormat="false" ht="17.15" hidden="false" customHeight="false" outlineLevel="0" collapsed="false">
      <c r="A17" s="0" t="s">
        <v>1115</v>
      </c>
      <c r="B17" s="0" t="s">
        <v>1116</v>
      </c>
      <c r="C17" s="4" t="s">
        <v>45</v>
      </c>
      <c r="D17" s="23" t="n">
        <v>135.876061551906</v>
      </c>
      <c r="E17" s="37" t="n">
        <f aca="false">D17/Val!$B$8-1</f>
        <v>0.00441565352527906</v>
      </c>
      <c r="F17" s="7" t="s">
        <v>418</v>
      </c>
      <c r="G17" s="4" t="s">
        <v>1095</v>
      </c>
    </row>
    <row r="18" customFormat="false" ht="17.15" hidden="false" customHeight="false" outlineLevel="0" collapsed="false">
      <c r="A18" s="0" t="s">
        <v>1117</v>
      </c>
      <c r="B18" s="0" t="s">
        <v>1116</v>
      </c>
      <c r="C18" s="4" t="s">
        <v>47</v>
      </c>
      <c r="D18" s="23" t="n">
        <v>134.681373659325</v>
      </c>
      <c r="E18" s="37" t="n">
        <f aca="false">D18/Val!$B$8-1</f>
        <v>-0.00441565352527951</v>
      </c>
      <c r="F18" s="7" t="s">
        <v>418</v>
      </c>
      <c r="G18" s="4" t="s">
        <v>1095</v>
      </c>
    </row>
    <row r="19" customFormat="false" ht="17.15" hidden="false" customHeight="false" outlineLevel="0" collapsed="false">
      <c r="A19" s="0" t="s">
        <v>1118</v>
      </c>
      <c r="B19" s="0" t="s">
        <v>1119</v>
      </c>
      <c r="C19" s="4" t="s">
        <v>45</v>
      </c>
      <c r="D19" s="23" t="n">
        <v>134.224347019878</v>
      </c>
      <c r="E19" s="37" t="n">
        <f aca="false">D19/Val!$B$8-1</f>
        <v>-0.00779406106444169</v>
      </c>
      <c r="F19" s="7" t="s">
        <v>401</v>
      </c>
      <c r="G19" s="4" t="s">
        <v>1095</v>
      </c>
    </row>
    <row r="20" customFormat="false" ht="17.15" hidden="false" customHeight="false" outlineLevel="0" collapsed="false">
      <c r="A20" s="0" t="s">
        <v>1120</v>
      </c>
      <c r="B20" s="0" t="s">
        <v>1119</v>
      </c>
      <c r="C20" s="4" t="s">
        <v>47</v>
      </c>
      <c r="D20" s="23" t="n">
        <v>136.819681613354</v>
      </c>
      <c r="E20" s="37" t="n">
        <f aca="false">D20/Val!$B$8-1</f>
        <v>0.0113910305701663</v>
      </c>
      <c r="F20" s="7" t="s">
        <v>401</v>
      </c>
      <c r="G20" s="4" t="s">
        <v>1095</v>
      </c>
    </row>
    <row r="21" customFormat="false" ht="17.15" hidden="false" customHeight="false" outlineLevel="0" collapsed="false">
      <c r="A21" s="0" t="s">
        <v>1121</v>
      </c>
      <c r="B21" s="0" t="s">
        <v>1113</v>
      </c>
      <c r="C21" s="4" t="s">
        <v>45</v>
      </c>
      <c r="D21" s="23" t="n">
        <v>134.242661446471</v>
      </c>
      <c r="E21" s="37" t="n">
        <f aca="false">D21/Val!$B$8-1</f>
        <v>-0.00765867815338839</v>
      </c>
      <c r="F21" s="7" t="s">
        <v>391</v>
      </c>
      <c r="G21" s="4" t="s">
        <v>1095</v>
      </c>
    </row>
    <row r="22" customFormat="false" ht="17.15" hidden="false" customHeight="false" outlineLevel="0" collapsed="false">
      <c r="A22" s="0" t="s">
        <v>1122</v>
      </c>
      <c r="B22" s="0" t="s">
        <v>1113</v>
      </c>
      <c r="C22" s="4" t="s">
        <v>47</v>
      </c>
      <c r="D22" s="23" t="n">
        <v>136.401500012466</v>
      </c>
      <c r="E22" s="37" t="n">
        <f aca="false">D22/Val!$B$8-1</f>
        <v>0.00829977121843917</v>
      </c>
      <c r="F22" s="7" t="s">
        <v>391</v>
      </c>
      <c r="G22" s="4" t="s">
        <v>1095</v>
      </c>
    </row>
    <row r="23" customFormat="false" ht="17.15" hidden="false" customHeight="false" outlineLevel="0" collapsed="false">
      <c r="A23" s="0" t="s">
        <v>1123</v>
      </c>
      <c r="B23" s="0" t="s">
        <v>1124</v>
      </c>
      <c r="C23" s="4" t="s">
        <v>45</v>
      </c>
      <c r="D23" s="23" t="n">
        <v>136.730974017786</v>
      </c>
      <c r="E23" s="37" t="n">
        <f aca="false">D23/Val!$B$8-1</f>
        <v>0.0107352910928997</v>
      </c>
      <c r="F23" s="7" t="s">
        <v>117</v>
      </c>
      <c r="G23" s="4" t="s">
        <v>1095</v>
      </c>
    </row>
    <row r="24" customFormat="false" ht="17.15" hidden="false" customHeight="false" outlineLevel="0" collapsed="false">
      <c r="A24" s="0" t="s">
        <v>1125</v>
      </c>
      <c r="B24" s="0" t="s">
        <v>1124</v>
      </c>
      <c r="C24" s="4" t="s">
        <v>47</v>
      </c>
      <c r="D24" s="23" t="n">
        <v>133.964794184305</v>
      </c>
      <c r="E24" s="37" t="n">
        <f aca="false">D24/Val!$B$8-1</f>
        <v>-0.00971271345978508</v>
      </c>
      <c r="F24" s="7" t="s">
        <v>117</v>
      </c>
      <c r="G24" s="4" t="s">
        <v>1095</v>
      </c>
    </row>
    <row r="25" customFormat="false" ht="17.15" hidden="false" customHeight="false" outlineLevel="0" collapsed="false">
      <c r="A25" s="4" t="s">
        <v>1126</v>
      </c>
      <c r="B25" s="0" t="s">
        <v>1127</v>
      </c>
      <c r="C25" s="4" t="s">
        <v>45</v>
      </c>
      <c r="D25" s="23" t="n">
        <v>134.934469731458</v>
      </c>
      <c r="E25" s="37" t="n">
        <f aca="false">D25/Val!$B$8-1</f>
        <v>-0.00254473046648129</v>
      </c>
      <c r="F25" s="7" t="s">
        <v>130</v>
      </c>
      <c r="G25" s="4" t="s">
        <v>1095</v>
      </c>
    </row>
    <row r="26" customFormat="false" ht="17.15" hidden="false" customHeight="false" outlineLevel="0" collapsed="false">
      <c r="A26" s="4" t="s">
        <v>1128</v>
      </c>
      <c r="B26" s="0" t="s">
        <v>1127</v>
      </c>
      <c r="C26" s="4" t="s">
        <v>47</v>
      </c>
      <c r="D26" s="23" t="n">
        <v>135.65698020989</v>
      </c>
      <c r="E26" s="37" t="n">
        <f aca="false">D26/Val!$B$8-1</f>
        <v>0.00279617230980311</v>
      </c>
      <c r="F26" s="7" t="s">
        <v>130</v>
      </c>
      <c r="G26" s="4" t="s">
        <v>1095</v>
      </c>
    </row>
    <row r="27" customFormat="false" ht="17.15" hidden="false" customHeight="false" outlineLevel="0" collapsed="false">
      <c r="A27" s="4" t="s">
        <v>1129</v>
      </c>
      <c r="B27" s="0" t="s">
        <v>1130</v>
      </c>
      <c r="C27" s="4" t="s">
        <v>47</v>
      </c>
      <c r="D27" s="23" t="n">
        <v>138.391479444058</v>
      </c>
      <c r="E27" s="37" t="n">
        <f aca="false">D27/Val!$B$8-1</f>
        <v>0.0230099892543132</v>
      </c>
      <c r="F27" s="7" t="s">
        <v>133</v>
      </c>
      <c r="G27" s="4" t="s">
        <v>1095</v>
      </c>
    </row>
    <row r="28" customFormat="false" ht="17.15" hidden="false" customHeight="false" outlineLevel="0" collapsed="false">
      <c r="A28" s="4" t="s">
        <v>1131</v>
      </c>
      <c r="B28" s="4" t="s">
        <v>1132</v>
      </c>
      <c r="C28" s="4" t="s">
        <v>47</v>
      </c>
      <c r="D28" s="23" t="n">
        <v>110.081254739056</v>
      </c>
      <c r="E28" s="37" t="n">
        <f aca="false">D28/Val!$B$8-1</f>
        <v>-0.186263318521535</v>
      </c>
      <c r="F28" s="7" t="s">
        <v>168</v>
      </c>
      <c r="G28" s="4" t="s">
        <v>1095</v>
      </c>
    </row>
    <row r="29" customFormat="false" ht="17.15" hidden="false" customHeight="false" outlineLevel="0" collapsed="false">
      <c r="A29" s="0" t="s">
        <v>1133</v>
      </c>
      <c r="B29" s="0" t="s">
        <v>1134</v>
      </c>
      <c r="C29" s="4" t="s">
        <v>45</v>
      </c>
      <c r="D29" s="23" t="n">
        <v>132.123814266793</v>
      </c>
      <c r="E29" s="37" t="n">
        <f aca="false">D29/Val!$B$8-1</f>
        <v>-0.0233215053680518</v>
      </c>
      <c r="F29" s="7" t="s">
        <v>210</v>
      </c>
      <c r="G29" s="4" t="s">
        <v>1095</v>
      </c>
    </row>
    <row r="30" customFormat="false" ht="17.15" hidden="false" customHeight="false" outlineLevel="0" collapsed="false">
      <c r="A30" s="0" t="s">
        <v>1135</v>
      </c>
      <c r="B30" s="0" t="s">
        <v>1134</v>
      </c>
      <c r="C30" s="4" t="s">
        <v>47</v>
      </c>
      <c r="D30" s="23" t="n">
        <v>141.58852428326</v>
      </c>
      <c r="E30" s="37" t="n">
        <f aca="false">D30/Val!$B$8-1</f>
        <v>0.0466430107360993</v>
      </c>
      <c r="F30" s="7" t="s">
        <v>210</v>
      </c>
      <c r="G30" s="4" t="s">
        <v>1095</v>
      </c>
    </row>
    <row r="31" customFormat="false" ht="17.15" hidden="false" customHeight="false" outlineLevel="0" collapsed="false">
      <c r="A31" s="4" t="s">
        <v>1136</v>
      </c>
      <c r="B31" s="0" t="s">
        <v>1137</v>
      </c>
      <c r="C31" s="4" t="s">
        <v>47</v>
      </c>
      <c r="D31" s="23" t="n">
        <v>172.520530181964</v>
      </c>
      <c r="E31" s="37" t="n">
        <f aca="false">D31/Val!$B$8-1</f>
        <v>0.275296907270524</v>
      </c>
      <c r="F31" s="7" t="s">
        <v>217</v>
      </c>
      <c r="G31" s="4" t="s">
        <v>1095</v>
      </c>
    </row>
    <row r="32" customFormat="false" ht="17.15" hidden="false" customHeight="false" outlineLevel="0" collapsed="false">
      <c r="A32" s="4" t="s">
        <v>1138</v>
      </c>
      <c r="B32" s="0" t="s">
        <v>1139</v>
      </c>
      <c r="C32" s="4" t="s">
        <v>45</v>
      </c>
      <c r="D32" s="23" t="n">
        <v>137.360248219165</v>
      </c>
      <c r="E32" s="37" t="n">
        <f aca="false">D32/Val!$B$8-1</f>
        <v>0.0153869777182383</v>
      </c>
      <c r="F32" s="7" t="s">
        <v>102</v>
      </c>
      <c r="G32" s="4" t="s">
        <v>1095</v>
      </c>
    </row>
    <row r="33" customFormat="false" ht="17.15" hidden="false" customHeight="false" outlineLevel="0" collapsed="false">
      <c r="A33" s="4" t="s">
        <v>1140</v>
      </c>
      <c r="B33" s="0" t="s">
        <v>1139</v>
      </c>
      <c r="C33" s="4" t="s">
        <v>47</v>
      </c>
      <c r="D33" s="23" t="n">
        <v>133.197186992066</v>
      </c>
      <c r="E33" s="37" t="n">
        <f aca="false">D33/Val!$B$8-1</f>
        <v>-0.0153869777182387</v>
      </c>
      <c r="F33" s="7" t="s">
        <v>102</v>
      </c>
      <c r="G33" s="4" t="s">
        <v>1095</v>
      </c>
    </row>
    <row r="34" customFormat="false" ht="17.15" hidden="false" customHeight="false" outlineLevel="0" collapsed="false">
      <c r="A34" s="0" t="s">
        <v>1141</v>
      </c>
      <c r="B34" s="0" t="s">
        <v>1142</v>
      </c>
      <c r="C34" s="4" t="s">
        <v>45</v>
      </c>
      <c r="D34" s="23" t="n">
        <v>166.622055960747</v>
      </c>
      <c r="E34" s="37" t="n">
        <f aca="false">D34/Val!$B$8-1</f>
        <v>0.231694526011905</v>
      </c>
      <c r="F34" s="7" t="s">
        <v>145</v>
      </c>
      <c r="G34" s="4" t="s">
        <v>1095</v>
      </c>
    </row>
    <row r="35" customFormat="false" ht="17.15" hidden="false" customHeight="false" outlineLevel="0" collapsed="false">
      <c r="A35" s="0" t="s">
        <v>1143</v>
      </c>
      <c r="B35" s="0" t="s">
        <v>1142</v>
      </c>
      <c r="C35" s="4" t="s">
        <v>47</v>
      </c>
      <c r="D35" s="23" t="n">
        <v>103.935379250484</v>
      </c>
      <c r="E35" s="37" t="n">
        <f aca="false">D35/Val!$B$8-1</f>
        <v>-0.231694526011906</v>
      </c>
      <c r="F35" s="7" t="s">
        <v>145</v>
      </c>
      <c r="G35" s="4" t="s">
        <v>1095</v>
      </c>
    </row>
    <row r="36" customFormat="false" ht="17.15" hidden="false" customHeight="false" outlineLevel="0" collapsed="false">
      <c r="A36" s="4" t="s">
        <v>1144</v>
      </c>
      <c r="B36" s="0" t="s">
        <v>1145</v>
      </c>
      <c r="C36" s="4" t="s">
        <v>45</v>
      </c>
      <c r="D36" s="23" t="n">
        <v>135.530888755047</v>
      </c>
      <c r="E36" s="37" t="n">
        <f aca="false">D36/Val!$B$8-1</f>
        <v>0.00186408589536335</v>
      </c>
      <c r="F36" s="7" t="s">
        <v>505</v>
      </c>
      <c r="G36" s="4" t="s">
        <v>1095</v>
      </c>
    </row>
    <row r="37" customFormat="false" ht="17.15" hidden="false" customHeight="false" outlineLevel="0" collapsed="false">
      <c r="A37" s="4" t="s">
        <v>1146</v>
      </c>
      <c r="B37" s="0" t="s">
        <v>1145</v>
      </c>
      <c r="C37" s="4" t="s">
        <v>47</v>
      </c>
      <c r="D37" s="23" t="n">
        <v>134.848420392668</v>
      </c>
      <c r="E37" s="37" t="n">
        <f aca="false">D37/Val!$B$8-1</f>
        <v>-0.00318081972215312</v>
      </c>
      <c r="F37" s="7" t="s">
        <v>505</v>
      </c>
      <c r="G37" s="4" t="s">
        <v>1095</v>
      </c>
    </row>
    <row r="38" customFormat="false" ht="17.15" hidden="false" customHeight="false" outlineLevel="0" collapsed="false">
      <c r="A38" s="4" t="s">
        <v>1147</v>
      </c>
      <c r="B38" s="4" t="s">
        <v>1148</v>
      </c>
      <c r="C38" s="4" t="s">
        <v>47</v>
      </c>
      <c r="D38" s="23" t="n">
        <v>211.728956842576</v>
      </c>
      <c r="E38" s="37" t="n">
        <f aca="false">D38/Val!$B$8-1</f>
        <v>0.565131312523523</v>
      </c>
      <c r="F38" s="7" t="s">
        <v>164</v>
      </c>
      <c r="G38" s="4" t="s">
        <v>1095</v>
      </c>
    </row>
    <row r="39" customFormat="false" ht="17.15" hidden="false" customHeight="false" outlineLevel="0" collapsed="false">
      <c r="A39" s="4" t="s">
        <v>1149</v>
      </c>
      <c r="B39" s="0" t="s">
        <v>1150</v>
      </c>
      <c r="C39" s="4" t="s">
        <v>47</v>
      </c>
      <c r="D39" s="23" t="n">
        <v>121.87421805965</v>
      </c>
      <c r="E39" s="37" t="n">
        <f aca="false">D39/Val!$B$8-1</f>
        <v>-0.0990880146058473</v>
      </c>
      <c r="F39" s="7" t="s">
        <v>161</v>
      </c>
      <c r="G39" s="4" t="s">
        <v>1095</v>
      </c>
    </row>
    <row r="41" customFormat="false" ht="17.15" hidden="false" customHeight="false" outlineLevel="0" collapsed="false">
      <c r="A41" s="4" t="s">
        <v>1151</v>
      </c>
      <c r="D41" s="21" t="n">
        <f aca="false">Val!B8</f>
        <v>135.278717605616</v>
      </c>
    </row>
    <row r="42" customFormat="false" ht="15" hidden="false" customHeight="false" outlineLevel="0" collapsed="false">
      <c r="A42" s="4" t="s">
        <v>1152</v>
      </c>
      <c r="D42" s="23" t="n">
        <v>135.278717605616</v>
      </c>
      <c r="E42" s="16" t="n">
        <f aca="false">D42-D41</f>
        <v>4.83169060316868E-013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15" hidden="false" customHeight="false" outlineLevel="0" collapsed="false">
      <c r="A1" s="0" t="s">
        <v>1153</v>
      </c>
    </row>
    <row r="3" customFormat="false" ht="15" hidden="false" customHeight="false" outlineLevel="0" collapsed="false">
      <c r="A3" s="3" t="s">
        <v>1154</v>
      </c>
      <c r="B3" s="3" t="s">
        <v>1155</v>
      </c>
      <c r="C3" s="3" t="s">
        <v>1156</v>
      </c>
      <c r="D3" s="3" t="s">
        <v>1157</v>
      </c>
      <c r="E3" s="3" t="s">
        <v>48</v>
      </c>
      <c r="F3" s="3" t="s">
        <v>1158</v>
      </c>
    </row>
    <row r="4" customFormat="false" ht="17.15" hidden="false" customHeight="false" outlineLevel="0" collapsed="false">
      <c r="A4" s="0" t="s">
        <v>1159</v>
      </c>
      <c r="B4" s="0" t="s">
        <v>1160</v>
      </c>
      <c r="C4" s="0" t="s">
        <v>1161</v>
      </c>
      <c r="D4" s="0" t="s">
        <v>1162</v>
      </c>
      <c r="E4" s="0" t="s">
        <v>55</v>
      </c>
      <c r="F4" s="0" t="s">
        <v>1163</v>
      </c>
    </row>
    <row r="5" customFormat="false" ht="17.15" hidden="false" customHeight="false" outlineLevel="0" collapsed="false">
      <c r="A5" s="0" t="s">
        <v>1164</v>
      </c>
      <c r="B5" s="0" t="s">
        <v>1165</v>
      </c>
      <c r="C5" s="0" t="s">
        <v>1166</v>
      </c>
      <c r="D5" s="0" t="s">
        <v>1167</v>
      </c>
      <c r="E5" s="0" t="s">
        <v>64</v>
      </c>
      <c r="F5" s="0" t="s">
        <v>1168</v>
      </c>
    </row>
    <row r="6" customFormat="false" ht="17.15" hidden="false" customHeight="false" outlineLevel="0" collapsed="false">
      <c r="A6" s="0" t="s">
        <v>1169</v>
      </c>
      <c r="B6" s="0" t="s">
        <v>1170</v>
      </c>
      <c r="C6" s="0" t="s">
        <v>1171</v>
      </c>
      <c r="D6" s="0" t="s">
        <v>1172</v>
      </c>
      <c r="E6" s="0" t="s">
        <v>64</v>
      </c>
      <c r="F6" s="0" t="s">
        <v>632</v>
      </c>
    </row>
    <row r="7" customFormat="false" ht="17.15" hidden="false" customHeight="false" outlineLevel="0" collapsed="false">
      <c r="A7" s="0" t="s">
        <v>1173</v>
      </c>
      <c r="B7" s="0" t="s">
        <v>1174</v>
      </c>
      <c r="C7" s="0" t="s">
        <v>1175</v>
      </c>
      <c r="D7" s="0" t="s">
        <v>1176</v>
      </c>
      <c r="E7" s="0" t="s">
        <v>64</v>
      </c>
      <c r="F7" s="0" t="s">
        <v>1177</v>
      </c>
    </row>
    <row r="8" customFormat="false" ht="15" hidden="false" customHeight="false" outlineLevel="0" collapsed="false">
      <c r="A8" s="0" t="s">
        <v>1178</v>
      </c>
      <c r="B8" s="0" t="s">
        <v>1179</v>
      </c>
      <c r="C8" s="0" t="s">
        <v>1180</v>
      </c>
      <c r="D8" s="0" t="s">
        <v>1181</v>
      </c>
      <c r="E8" s="0" t="s">
        <v>64</v>
      </c>
      <c r="F8" s="4" t="s">
        <v>1182</v>
      </c>
    </row>
    <row r="9" customFormat="false" ht="17.15" hidden="false" customHeight="false" outlineLevel="0" collapsed="false">
      <c r="A9" s="0" t="s">
        <v>1183</v>
      </c>
      <c r="B9" s="0" t="s">
        <v>1184</v>
      </c>
      <c r="C9" s="0" t="s">
        <v>1166</v>
      </c>
      <c r="D9" s="0" t="s">
        <v>1185</v>
      </c>
      <c r="E9" s="0" t="s">
        <v>64</v>
      </c>
      <c r="F9" s="0" t="s">
        <v>1186</v>
      </c>
    </row>
    <row r="10" customFormat="false" ht="17.15" hidden="false" customHeight="false" outlineLevel="0" collapsed="false">
      <c r="A10" s="0" t="s">
        <v>1187</v>
      </c>
      <c r="B10" s="4" t="s">
        <v>1188</v>
      </c>
      <c r="C10" s="0" t="s">
        <v>1189</v>
      </c>
      <c r="D10" s="0" t="s">
        <v>1190</v>
      </c>
      <c r="E10" s="4" t="s">
        <v>1191</v>
      </c>
      <c r="F10" s="0" t="s">
        <v>1192</v>
      </c>
    </row>
    <row r="11" customFormat="false" ht="17.15" hidden="false" customHeight="false" outlineLevel="0" collapsed="false">
      <c r="A11" s="0" t="s">
        <v>1193</v>
      </c>
      <c r="B11" s="0" t="s">
        <v>1194</v>
      </c>
      <c r="C11" s="0" t="s">
        <v>1195</v>
      </c>
      <c r="D11" s="0" t="s">
        <v>1196</v>
      </c>
      <c r="E11" s="0" t="s">
        <v>77</v>
      </c>
      <c r="F11" s="0" t="s">
        <v>1197</v>
      </c>
    </row>
    <row r="12" customFormat="false" ht="17.15" hidden="false" customHeight="false" outlineLevel="0" collapsed="false">
      <c r="A12" s="0" t="s">
        <v>1198</v>
      </c>
      <c r="B12" s="0" t="s">
        <v>1199</v>
      </c>
      <c r="C12" s="0" t="s">
        <v>1200</v>
      </c>
      <c r="D12" s="0" t="s">
        <v>1190</v>
      </c>
      <c r="E12" s="0" t="s">
        <v>1201</v>
      </c>
      <c r="F12" s="0" t="s">
        <v>1202</v>
      </c>
    </row>
    <row r="13" customFormat="false" ht="17.15" hidden="false" customHeight="false" outlineLevel="0" collapsed="false">
      <c r="A13" s="0" t="s">
        <v>1203</v>
      </c>
      <c r="B13" s="0" t="s">
        <v>1204</v>
      </c>
      <c r="C13" s="0" t="s">
        <v>1205</v>
      </c>
      <c r="D13" s="0" t="s">
        <v>1206</v>
      </c>
      <c r="E13" s="0" t="s">
        <v>77</v>
      </c>
      <c r="F13" s="0" t="s">
        <v>1207</v>
      </c>
    </row>
    <row r="14" customFormat="false" ht="17.15" hidden="false" customHeight="false" outlineLevel="0" collapsed="false">
      <c r="A14" s="0" t="s">
        <v>1208</v>
      </c>
      <c r="B14" s="0" t="s">
        <v>1209</v>
      </c>
      <c r="C14" s="0" t="s">
        <v>1210</v>
      </c>
      <c r="D14" s="0" t="s">
        <v>1211</v>
      </c>
      <c r="E14" s="0" t="s">
        <v>55</v>
      </c>
      <c r="F14" s="0" t="s">
        <v>1212</v>
      </c>
    </row>
    <row r="15" customFormat="false" ht="17.15" hidden="false" customHeight="false" outlineLevel="0" collapsed="false">
      <c r="A15" s="0" t="s">
        <v>1213</v>
      </c>
      <c r="B15" s="0" t="s">
        <v>1214</v>
      </c>
      <c r="C15" s="0" t="s">
        <v>1215</v>
      </c>
      <c r="D15" s="0" t="s">
        <v>1216</v>
      </c>
      <c r="E15" s="0" t="s">
        <v>55</v>
      </c>
      <c r="F15" s="4" t="s">
        <v>1217</v>
      </c>
    </row>
    <row r="16" customFormat="false" ht="17.15" hidden="false" customHeight="false" outlineLevel="0" collapsed="false">
      <c r="A16" s="0" t="s">
        <v>1218</v>
      </c>
      <c r="B16" s="0" t="s">
        <v>1219</v>
      </c>
      <c r="C16" s="0" t="s">
        <v>1215</v>
      </c>
      <c r="D16" s="0" t="s">
        <v>1220</v>
      </c>
      <c r="E16" s="0" t="s">
        <v>64</v>
      </c>
      <c r="F16" s="4" t="s">
        <v>1221</v>
      </c>
    </row>
    <row r="17" customFormat="false" ht="17.15" hidden="false" customHeight="false" outlineLevel="0" collapsed="false">
      <c r="A17" s="0" t="s">
        <v>1222</v>
      </c>
      <c r="B17" s="0" t="s">
        <v>1223</v>
      </c>
      <c r="C17" s="0" t="s">
        <v>1215</v>
      </c>
      <c r="D17" s="0" t="s">
        <v>1224</v>
      </c>
      <c r="E17" s="0" t="s">
        <v>64</v>
      </c>
      <c r="F17" s="0" t="s">
        <v>1225</v>
      </c>
    </row>
    <row r="18" customFormat="false" ht="17.15" hidden="false" customHeight="false" outlineLevel="0" collapsed="false">
      <c r="A18" s="0" t="s">
        <v>1226</v>
      </c>
      <c r="B18" s="4" t="s">
        <v>1227</v>
      </c>
      <c r="C18" s="0" t="s">
        <v>1228</v>
      </c>
      <c r="D18" s="0" t="s">
        <v>1229</v>
      </c>
      <c r="E18" s="0" t="s">
        <v>77</v>
      </c>
      <c r="F18" s="0" t="s">
        <v>1230</v>
      </c>
    </row>
    <row r="19" customFormat="false" ht="17.15" hidden="false" customHeight="false" outlineLevel="0" collapsed="false">
      <c r="A19" s="0" t="s">
        <v>1231</v>
      </c>
      <c r="B19" s="4" t="s">
        <v>1232</v>
      </c>
      <c r="C19" s="0" t="s">
        <v>1189</v>
      </c>
      <c r="D19" s="0" t="s">
        <v>1190</v>
      </c>
      <c r="E19" s="0" t="s">
        <v>64</v>
      </c>
      <c r="F19" s="0" t="s">
        <v>1233</v>
      </c>
    </row>
    <row r="20" customFormat="false" ht="17.15" hidden="false" customHeight="false" outlineLevel="0" collapsed="false">
      <c r="A20" s="0" t="s">
        <v>1234</v>
      </c>
      <c r="B20" s="0" t="s">
        <v>1235</v>
      </c>
      <c r="C20" s="0" t="s">
        <v>1195</v>
      </c>
      <c r="D20" s="0" t="s">
        <v>1190</v>
      </c>
      <c r="E20" s="0" t="s">
        <v>77</v>
      </c>
      <c r="F20" s="4" t="s">
        <v>1236</v>
      </c>
    </row>
    <row r="21" customFormat="false" ht="17.15" hidden="false" customHeight="false" outlineLevel="0" collapsed="false">
      <c r="A21" s="0" t="s">
        <v>1237</v>
      </c>
      <c r="B21" s="0" t="s">
        <v>1238</v>
      </c>
      <c r="C21" s="0" t="s">
        <v>1189</v>
      </c>
      <c r="D21" s="0" t="s">
        <v>1239</v>
      </c>
      <c r="E21" s="0" t="s">
        <v>648</v>
      </c>
      <c r="F21" s="4" t="s">
        <v>1240</v>
      </c>
    </row>
    <row r="22" customFormat="false" ht="17.15" hidden="false" customHeight="false" outlineLevel="0" collapsed="false">
      <c r="A22" s="0" t="s">
        <v>1241</v>
      </c>
      <c r="B22" s="0" t="s">
        <v>1242</v>
      </c>
      <c r="C22" s="0" t="s">
        <v>1243</v>
      </c>
      <c r="D22" s="0" t="s">
        <v>1244</v>
      </c>
      <c r="E22" s="0" t="s">
        <v>64</v>
      </c>
      <c r="F22" s="4" t="s">
        <v>1245</v>
      </c>
    </row>
    <row r="23" customFormat="false" ht="17.15" hidden="false" customHeight="false" outlineLevel="0" collapsed="false">
      <c r="A23" s="0" t="s">
        <v>1246</v>
      </c>
      <c r="B23" s="0" t="s">
        <v>1247</v>
      </c>
      <c r="C23" s="0" t="s">
        <v>1248</v>
      </c>
      <c r="D23" s="4" t="s">
        <v>1249</v>
      </c>
      <c r="E23" s="0" t="s">
        <v>64</v>
      </c>
      <c r="F23" s="4" t="s">
        <v>1250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2026-10-27T06:27:57Z</dcterms:created>
  <dc:creator>openpyxl</dc:creator>
  <dc:description/>
  <dc:language>en-US</dc:language>
  <cp:lastModifiedBy/>
  <dcterms:modified xsi:type="dcterms:W3CDTF">2026-10-27T06:27:57Z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